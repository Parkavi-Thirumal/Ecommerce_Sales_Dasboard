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f58f905ade0c4dd8/Parkavi/Module 1/Module end assignment/"/>
    </mc:Choice>
  </mc:AlternateContent>
  <xr:revisionPtr revIDLastSave="2696" documentId="8_{4D306A8B-8AF0-419D-934B-A8982A33EE47}" xr6:coauthVersionLast="47" xr6:coauthVersionMax="47" xr10:uidLastSave="{B8E42385-3DF5-48C9-A252-2C318CCC64C9}"/>
  <bookViews>
    <workbookView xWindow="-108" yWindow="-108" windowWidth="23256" windowHeight="12456" activeTab="1" xr2:uid="{00000000-000D-0000-FFFF-FFFF00000000}"/>
  </bookViews>
  <sheets>
    <sheet name="Sales_Dasborad" sheetId="8" r:id="rId1"/>
    <sheet name="Tool Pak Analysis" sheetId="9" r:id="rId2"/>
    <sheet name="Pivot_Tables" sheetId="7" r:id="rId3"/>
    <sheet name="Sales_Fact" sheetId="6" r:id="rId4"/>
    <sheet name="Customer_Dim" sheetId="1" r:id="rId5"/>
    <sheet name="Product_Dim" sheetId="2" r:id="rId6"/>
    <sheet name="Store_Dim" sheetId="3" r:id="rId7"/>
  </sheets>
  <definedNames>
    <definedName name="_xlnm._FilterDatabase" localSheetId="5" hidden="1">Product_Dim!$A$1:$G$101</definedName>
    <definedName name="Slicer_Age_group">#N/A</definedName>
    <definedName name="Slicer_Category">#N/A</definedName>
    <definedName name="Slicer_loyalty_Level">#N/A</definedName>
  </definedNames>
  <calcPr calcId="191029"/>
  <pivotCaches>
    <pivotCache cacheId="15"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54" i="6" l="1"/>
  <c r="M10" i="6"/>
  <c r="Q96" i="6"/>
  <c r="Q86" i="6"/>
  <c r="Q72" i="6"/>
  <c r="Q66" i="6"/>
  <c r="O261" i="6"/>
  <c r="O60" i="6"/>
  <c r="O28" i="6"/>
  <c r="M45" i="6"/>
  <c r="M36" i="6"/>
  <c r="M31" i="6"/>
  <c r="M17" i="6"/>
  <c r="C2" i="6"/>
  <c r="C3" i="6"/>
  <c r="C4" i="6"/>
  <c r="C5" i="6"/>
  <c r="C6" i="6"/>
  <c r="C7" i="6"/>
  <c r="C8" i="6"/>
  <c r="C9" i="6"/>
  <c r="C10" i="6"/>
  <c r="C11" i="6"/>
  <c r="C12" i="6"/>
  <c r="C13" i="6"/>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013" i="6"/>
  <c r="C1014" i="6"/>
  <c r="C1015" i="6"/>
  <c r="C1016" i="6"/>
  <c r="C1017" i="6"/>
  <c r="C1018" i="6"/>
  <c r="C1019" i="6"/>
  <c r="C1020" i="6"/>
  <c r="C1021" i="6"/>
  <c r="C1022" i="6"/>
  <c r="C1023" i="6"/>
  <c r="C1024" i="6"/>
  <c r="C1025" i="6"/>
  <c r="C1026" i="6"/>
  <c r="C1027" i="6"/>
  <c r="C1028" i="6"/>
  <c r="C1029" i="6"/>
  <c r="C1030" i="6"/>
  <c r="C1031" i="6"/>
  <c r="C1032" i="6"/>
  <c r="C1033" i="6"/>
  <c r="C1034" i="6"/>
  <c r="C1035" i="6"/>
  <c r="C1036" i="6"/>
  <c r="C1037" i="6"/>
  <c r="C1038" i="6"/>
  <c r="C1039" i="6"/>
  <c r="C1040" i="6"/>
  <c r="C1041" i="6"/>
  <c r="C1042" i="6"/>
  <c r="C1043" i="6"/>
  <c r="C1044" i="6"/>
  <c r="C1045" i="6"/>
  <c r="C1046" i="6"/>
  <c r="C1047" i="6"/>
  <c r="C1048" i="6"/>
  <c r="C1049" i="6"/>
  <c r="C1050" i="6"/>
  <c r="C1051" i="6"/>
  <c r="C1052" i="6"/>
  <c r="C1053" i="6"/>
  <c r="C1054" i="6"/>
  <c r="C1055" i="6"/>
  <c r="C1056" i="6"/>
  <c r="C1057" i="6"/>
  <c r="C1058" i="6"/>
  <c r="C1059" i="6"/>
  <c r="C1060" i="6"/>
  <c r="C1061" i="6"/>
  <c r="C1062" i="6"/>
  <c r="C1063" i="6"/>
  <c r="C1064" i="6"/>
  <c r="C1065" i="6"/>
  <c r="C1066" i="6"/>
  <c r="C1067" i="6"/>
  <c r="C1068" i="6"/>
  <c r="C1069" i="6"/>
  <c r="C1070" i="6"/>
  <c r="C1071" i="6"/>
  <c r="C1072" i="6"/>
  <c r="C1073" i="6"/>
  <c r="C1074" i="6"/>
  <c r="C1075" i="6"/>
  <c r="C1076" i="6"/>
  <c r="C1077" i="6"/>
  <c r="C1078" i="6"/>
  <c r="C1079" i="6"/>
  <c r="C1080" i="6"/>
  <c r="C1081" i="6"/>
  <c r="C1082" i="6"/>
  <c r="C1083" i="6"/>
  <c r="C1084" i="6"/>
  <c r="C1085" i="6"/>
  <c r="C1086" i="6"/>
  <c r="C1087" i="6"/>
  <c r="C1088" i="6"/>
  <c r="C1089" i="6"/>
  <c r="C1090" i="6"/>
  <c r="C1091" i="6"/>
  <c r="C1092" i="6"/>
  <c r="C1093" i="6"/>
  <c r="C1094" i="6"/>
  <c r="C1095" i="6"/>
  <c r="C1096" i="6"/>
  <c r="C1097" i="6"/>
  <c r="C1098" i="6"/>
  <c r="C1099" i="6"/>
  <c r="C1100" i="6"/>
  <c r="C1101" i="6"/>
  <c r="C1102" i="6"/>
  <c r="C1103" i="6"/>
  <c r="C1104" i="6"/>
  <c r="C1105" i="6"/>
  <c r="C1106" i="6"/>
  <c r="C1107" i="6"/>
  <c r="C1108" i="6"/>
  <c r="C1109" i="6"/>
  <c r="C1110" i="6"/>
  <c r="C1111" i="6"/>
  <c r="C1112" i="6"/>
  <c r="C1113" i="6"/>
  <c r="C1114" i="6"/>
  <c r="C1115" i="6"/>
  <c r="C1116" i="6"/>
  <c r="C1117" i="6"/>
  <c r="C1118" i="6"/>
  <c r="C1119" i="6"/>
  <c r="C1120" i="6"/>
  <c r="C1121" i="6"/>
  <c r="C1122" i="6"/>
  <c r="C1123" i="6"/>
  <c r="C1124" i="6"/>
  <c r="C1125" i="6"/>
  <c r="C1126" i="6"/>
  <c r="C1127" i="6"/>
  <c r="C1128" i="6"/>
  <c r="C1129" i="6"/>
  <c r="C1130" i="6"/>
  <c r="C1131" i="6"/>
  <c r="C1132" i="6"/>
  <c r="C1133" i="6"/>
  <c r="C1134" i="6"/>
  <c r="C1135" i="6"/>
  <c r="C1136" i="6"/>
  <c r="C1137" i="6"/>
  <c r="C1138" i="6"/>
  <c r="C1139" i="6"/>
  <c r="C1140" i="6"/>
  <c r="C1141" i="6"/>
  <c r="C1142" i="6"/>
  <c r="C1143" i="6"/>
  <c r="C1144" i="6"/>
  <c r="C1145" i="6"/>
  <c r="C1146" i="6"/>
  <c r="C1147" i="6"/>
  <c r="C1148" i="6"/>
  <c r="C1149" i="6"/>
  <c r="C1150" i="6"/>
  <c r="C1151" i="6"/>
  <c r="C1152" i="6"/>
  <c r="C1153" i="6"/>
  <c r="C1154" i="6"/>
  <c r="C1155" i="6"/>
  <c r="C1156" i="6"/>
  <c r="C1157" i="6"/>
  <c r="C1158" i="6"/>
  <c r="C1159" i="6"/>
  <c r="C1160" i="6"/>
  <c r="C1161" i="6"/>
  <c r="C1162" i="6"/>
  <c r="C1163" i="6"/>
  <c r="C1164" i="6"/>
  <c r="C1165" i="6"/>
  <c r="C1166" i="6"/>
  <c r="C1167" i="6"/>
  <c r="C1168" i="6"/>
  <c r="C1169" i="6"/>
  <c r="C1170" i="6"/>
  <c r="C1171" i="6"/>
  <c r="C1172" i="6"/>
  <c r="C1173" i="6"/>
  <c r="C1174" i="6"/>
  <c r="C1175" i="6"/>
  <c r="C1176" i="6"/>
  <c r="C1177" i="6"/>
  <c r="C1178" i="6"/>
  <c r="C1179" i="6"/>
  <c r="C1180" i="6"/>
  <c r="C1181" i="6"/>
  <c r="C1182" i="6"/>
  <c r="C1183" i="6"/>
  <c r="C1184" i="6"/>
  <c r="C1185" i="6"/>
  <c r="C1186" i="6"/>
  <c r="C1187" i="6"/>
  <c r="C1188" i="6"/>
  <c r="C1189" i="6"/>
  <c r="C1190" i="6"/>
  <c r="C1191" i="6"/>
  <c r="C1192" i="6"/>
  <c r="C1193" i="6"/>
  <c r="C1194" i="6"/>
  <c r="C1195" i="6"/>
  <c r="C1196" i="6"/>
  <c r="C1197" i="6"/>
  <c r="C1198" i="6"/>
  <c r="C1199" i="6"/>
  <c r="C1200" i="6"/>
  <c r="C1201" i="6"/>
  <c r="C1202" i="6"/>
  <c r="C1203" i="6"/>
  <c r="C1204" i="6"/>
  <c r="C1205" i="6"/>
  <c r="C1206" i="6"/>
  <c r="C1207" i="6"/>
  <c r="C1208" i="6"/>
  <c r="C1209" i="6"/>
  <c r="C1210" i="6"/>
  <c r="C1211" i="6"/>
  <c r="C1212" i="6"/>
  <c r="C1213" i="6"/>
  <c r="C1214" i="6"/>
  <c r="C1215" i="6"/>
  <c r="C1216" i="6"/>
  <c r="C1217" i="6"/>
  <c r="C1218" i="6"/>
  <c r="C1219" i="6"/>
  <c r="C1220" i="6"/>
  <c r="C1221" i="6"/>
  <c r="C1222" i="6"/>
  <c r="C1223" i="6"/>
  <c r="C1224" i="6"/>
  <c r="C1225" i="6"/>
  <c r="C1226" i="6"/>
  <c r="C1227" i="6"/>
  <c r="C1228" i="6"/>
  <c r="C1229" i="6"/>
  <c r="C1230" i="6"/>
  <c r="C1231" i="6"/>
  <c r="C1232" i="6"/>
  <c r="C1233" i="6"/>
  <c r="C1234" i="6"/>
  <c r="C1235" i="6"/>
  <c r="C1236" i="6"/>
  <c r="C1237" i="6"/>
  <c r="C1238" i="6"/>
  <c r="C1239" i="6"/>
  <c r="C1240" i="6"/>
  <c r="C1241" i="6"/>
  <c r="C1242" i="6"/>
  <c r="C1243" i="6"/>
  <c r="C1244" i="6"/>
  <c r="C1245" i="6"/>
  <c r="C1246" i="6"/>
  <c r="C1247" i="6"/>
  <c r="C1248" i="6"/>
  <c r="C1249" i="6"/>
  <c r="C1250" i="6"/>
  <c r="C1251" i="6"/>
  <c r="C1252" i="6"/>
  <c r="C1253" i="6"/>
  <c r="C1254" i="6"/>
  <c r="C1255" i="6"/>
  <c r="C1256" i="6"/>
  <c r="C1257" i="6"/>
  <c r="C1258" i="6"/>
  <c r="C1259" i="6"/>
  <c r="C1260" i="6"/>
  <c r="C1261" i="6"/>
  <c r="C1262" i="6"/>
  <c r="C1263" i="6"/>
  <c r="C1264" i="6"/>
  <c r="C1265" i="6"/>
  <c r="C1266" i="6"/>
  <c r="C1267" i="6"/>
  <c r="C1268" i="6"/>
  <c r="C1269" i="6"/>
  <c r="C1270" i="6"/>
  <c r="C1271" i="6"/>
  <c r="C1272" i="6"/>
  <c r="C1273" i="6"/>
  <c r="C1274" i="6"/>
  <c r="C1275" i="6"/>
  <c r="C1276" i="6"/>
  <c r="C1277" i="6"/>
  <c r="C1278" i="6"/>
  <c r="C1279" i="6"/>
  <c r="C1280" i="6"/>
  <c r="C1281" i="6"/>
  <c r="C1282" i="6"/>
  <c r="C1283" i="6"/>
  <c r="C1284" i="6"/>
  <c r="C1285" i="6"/>
  <c r="C1286" i="6"/>
  <c r="C1287" i="6"/>
  <c r="C1288" i="6"/>
  <c r="C1289" i="6"/>
  <c r="C1290" i="6"/>
  <c r="C1291" i="6"/>
  <c r="C1292" i="6"/>
  <c r="C1293" i="6"/>
  <c r="C1294" i="6"/>
  <c r="C1295" i="6"/>
  <c r="C1296" i="6"/>
  <c r="C1297" i="6"/>
  <c r="C1298" i="6"/>
  <c r="C1299" i="6"/>
  <c r="C1300" i="6"/>
  <c r="C1301" i="6"/>
  <c r="C1302" i="6"/>
  <c r="C1303" i="6"/>
  <c r="C1304" i="6"/>
  <c r="C1305" i="6"/>
  <c r="C1306" i="6"/>
  <c r="C1307" i="6"/>
  <c r="C1308" i="6"/>
  <c r="C1309" i="6"/>
  <c r="C1310" i="6"/>
  <c r="C1311" i="6"/>
  <c r="C1312" i="6"/>
  <c r="C1313" i="6"/>
  <c r="C1314" i="6"/>
  <c r="C1315" i="6"/>
  <c r="C1316" i="6"/>
  <c r="C1317" i="6"/>
  <c r="C1318" i="6"/>
  <c r="C1319" i="6"/>
  <c r="C1320" i="6"/>
  <c r="C1321" i="6"/>
  <c r="C1322" i="6"/>
  <c r="C1323" i="6"/>
  <c r="C1324" i="6"/>
  <c r="C1325" i="6"/>
  <c r="C1326" i="6"/>
  <c r="C1327" i="6"/>
  <c r="C1328" i="6"/>
  <c r="C1329" i="6"/>
  <c r="C1330" i="6"/>
  <c r="C1331" i="6"/>
  <c r="C1332" i="6"/>
  <c r="C1333" i="6"/>
  <c r="C1334" i="6"/>
  <c r="C1335" i="6"/>
  <c r="C1336" i="6"/>
  <c r="C1337" i="6"/>
  <c r="C1338" i="6"/>
  <c r="C1339" i="6"/>
  <c r="C1340" i="6"/>
  <c r="C1341" i="6"/>
  <c r="C1342" i="6"/>
  <c r="C1343" i="6"/>
  <c r="C1344" i="6"/>
  <c r="C1345" i="6"/>
  <c r="C1346" i="6"/>
  <c r="C1347" i="6"/>
  <c r="C1348" i="6"/>
  <c r="C1349" i="6"/>
  <c r="C1350" i="6"/>
  <c r="C1351" i="6"/>
  <c r="C1352" i="6"/>
  <c r="C1353" i="6"/>
  <c r="C1354" i="6"/>
  <c r="C1355" i="6"/>
  <c r="C1356" i="6"/>
  <c r="C1357" i="6"/>
  <c r="C1358" i="6"/>
  <c r="C1359" i="6"/>
  <c r="C1360" i="6"/>
  <c r="C1361" i="6"/>
  <c r="C1362" i="6"/>
  <c r="C1363" i="6"/>
  <c r="C1364" i="6"/>
  <c r="C1365" i="6"/>
  <c r="C1366" i="6"/>
  <c r="C1367" i="6"/>
  <c r="C1368" i="6"/>
  <c r="C1369" i="6"/>
  <c r="C1370" i="6"/>
  <c r="C1371" i="6"/>
  <c r="C1372" i="6"/>
  <c r="C1373" i="6"/>
  <c r="C1374" i="6"/>
  <c r="C1375" i="6"/>
  <c r="C1376" i="6"/>
  <c r="C1377" i="6"/>
  <c r="C1378" i="6"/>
  <c r="C1379" i="6"/>
  <c r="C1380" i="6"/>
  <c r="C1381" i="6"/>
  <c r="C1382" i="6"/>
  <c r="C1383" i="6"/>
  <c r="C1384" i="6"/>
  <c r="C1385" i="6"/>
  <c r="C1386" i="6"/>
  <c r="C1387" i="6"/>
  <c r="C1388" i="6"/>
  <c r="C1389" i="6"/>
  <c r="C1390" i="6"/>
  <c r="C1391" i="6"/>
  <c r="C1392" i="6"/>
  <c r="C1393" i="6"/>
  <c r="C1394" i="6"/>
  <c r="C1395" i="6"/>
  <c r="C1396" i="6"/>
  <c r="C1397" i="6"/>
  <c r="C1398" i="6"/>
  <c r="C1399" i="6"/>
  <c r="C1400" i="6"/>
  <c r="C1401" i="6"/>
  <c r="C1402" i="6"/>
  <c r="C1403" i="6"/>
  <c r="C1404" i="6"/>
  <c r="C1405" i="6"/>
  <c r="C1406" i="6"/>
  <c r="C1407" i="6"/>
  <c r="C1408" i="6"/>
  <c r="C1409" i="6"/>
  <c r="C1410" i="6"/>
  <c r="C1411" i="6"/>
  <c r="C1412" i="6"/>
  <c r="C1413" i="6"/>
  <c r="C1414" i="6"/>
  <c r="C1415" i="6"/>
  <c r="C1416" i="6"/>
  <c r="C1417" i="6"/>
  <c r="C1418" i="6"/>
  <c r="C1419" i="6"/>
  <c r="C1420" i="6"/>
  <c r="C1421" i="6"/>
  <c r="C1422" i="6"/>
  <c r="C1423" i="6"/>
  <c r="C1424" i="6"/>
  <c r="C1425" i="6"/>
  <c r="C1426" i="6"/>
  <c r="C1427" i="6"/>
  <c r="C1428" i="6"/>
  <c r="C1429" i="6"/>
  <c r="C1430" i="6"/>
  <c r="C1431" i="6"/>
  <c r="C1432" i="6"/>
  <c r="C1433" i="6"/>
  <c r="C1434" i="6"/>
  <c r="C1435" i="6"/>
  <c r="C1436" i="6"/>
  <c r="C1437" i="6"/>
  <c r="C1438" i="6"/>
  <c r="C1439" i="6"/>
  <c r="C1440" i="6"/>
  <c r="C1441" i="6"/>
  <c r="C1442" i="6"/>
  <c r="C1443" i="6"/>
  <c r="C1444" i="6"/>
  <c r="C1445" i="6"/>
  <c r="C1446" i="6"/>
  <c r="C1447" i="6"/>
  <c r="C1448" i="6"/>
  <c r="C1449" i="6"/>
  <c r="C1450" i="6"/>
  <c r="C1451" i="6"/>
  <c r="C1452" i="6"/>
  <c r="C1453" i="6"/>
  <c r="C1454" i="6"/>
  <c r="C1455" i="6"/>
  <c r="C1456" i="6"/>
  <c r="C1457" i="6"/>
  <c r="C1458" i="6"/>
  <c r="C1459" i="6"/>
  <c r="C1460" i="6"/>
  <c r="C1461" i="6"/>
  <c r="C1462" i="6"/>
  <c r="C1463" i="6"/>
  <c r="C1464" i="6"/>
  <c r="C1465" i="6"/>
  <c r="C1466" i="6"/>
  <c r="C1467" i="6"/>
  <c r="C1468" i="6"/>
  <c r="C1469" i="6"/>
  <c r="C1470" i="6"/>
  <c r="C1471" i="6"/>
  <c r="C1472" i="6"/>
  <c r="C1473" i="6"/>
  <c r="C1474" i="6"/>
  <c r="C1475" i="6"/>
  <c r="C1476" i="6"/>
  <c r="C1477" i="6"/>
  <c r="C1478" i="6"/>
  <c r="C1479" i="6"/>
  <c r="C1480" i="6"/>
  <c r="C1481" i="6"/>
  <c r="C1482" i="6"/>
  <c r="C1483" i="6"/>
  <c r="C1484" i="6"/>
  <c r="C1485" i="6"/>
  <c r="C1486" i="6"/>
  <c r="C1487" i="6"/>
  <c r="C1488" i="6"/>
  <c r="C1489" i="6"/>
  <c r="C1490" i="6"/>
  <c r="C1491" i="6"/>
  <c r="C1492" i="6"/>
  <c r="C1493" i="6"/>
  <c r="C1494" i="6"/>
  <c r="C1495" i="6"/>
  <c r="C1496" i="6"/>
  <c r="C1497" i="6"/>
  <c r="C1498" i="6"/>
  <c r="C1499" i="6"/>
  <c r="C1500" i="6"/>
  <c r="C1501" i="6"/>
  <c r="C1502" i="6"/>
  <c r="C1503" i="6"/>
  <c r="C1504" i="6"/>
  <c r="C1505" i="6"/>
  <c r="C1506" i="6"/>
  <c r="C1507" i="6"/>
  <c r="C1508" i="6"/>
  <c r="C1509" i="6"/>
  <c r="C1510" i="6"/>
  <c r="C1511" i="6"/>
  <c r="C1512" i="6"/>
  <c r="C1513" i="6"/>
  <c r="C1514" i="6"/>
  <c r="C1515" i="6"/>
  <c r="C1516" i="6"/>
  <c r="C1517" i="6"/>
  <c r="C1518" i="6"/>
  <c r="C1519" i="6"/>
  <c r="C1520" i="6"/>
  <c r="C1521" i="6"/>
  <c r="C1522" i="6"/>
  <c r="C1523" i="6"/>
  <c r="C1524" i="6"/>
  <c r="C1525" i="6"/>
  <c r="C1526" i="6"/>
  <c r="C1527" i="6"/>
  <c r="C1528" i="6"/>
  <c r="C1529" i="6"/>
  <c r="C1530" i="6"/>
  <c r="C1531" i="6"/>
  <c r="C1532" i="6"/>
  <c r="C1533" i="6"/>
  <c r="C1534" i="6"/>
  <c r="C1535" i="6"/>
  <c r="C1536" i="6"/>
  <c r="C1537" i="6"/>
  <c r="C1538" i="6"/>
  <c r="C1539" i="6"/>
  <c r="C1540" i="6"/>
  <c r="C1541" i="6"/>
  <c r="C1542" i="6"/>
  <c r="C1543" i="6"/>
  <c r="C1544" i="6"/>
  <c r="C1545" i="6"/>
  <c r="C1546" i="6"/>
  <c r="C1547" i="6"/>
  <c r="C1548" i="6"/>
  <c r="C1549" i="6"/>
  <c r="C1550" i="6"/>
  <c r="C1551" i="6"/>
  <c r="C1552" i="6"/>
  <c r="C1553" i="6"/>
  <c r="C1554" i="6"/>
  <c r="C1555" i="6"/>
  <c r="C1556" i="6"/>
  <c r="C1557" i="6"/>
  <c r="C1558" i="6"/>
  <c r="C1559" i="6"/>
  <c r="C1560" i="6"/>
  <c r="C1561" i="6"/>
  <c r="C1562" i="6"/>
  <c r="C1563" i="6"/>
  <c r="C1564" i="6"/>
  <c r="C1565" i="6"/>
  <c r="C1566" i="6"/>
  <c r="C1567" i="6"/>
  <c r="C1568" i="6"/>
  <c r="C1569" i="6"/>
  <c r="C1570" i="6"/>
  <c r="C1571" i="6"/>
  <c r="C1572" i="6"/>
  <c r="C1573" i="6"/>
  <c r="C1574" i="6"/>
  <c r="C1575" i="6"/>
  <c r="C1576" i="6"/>
  <c r="C1577" i="6"/>
  <c r="C1578" i="6"/>
  <c r="C1579" i="6"/>
  <c r="C1580" i="6"/>
  <c r="C1581" i="6"/>
  <c r="C1582" i="6"/>
  <c r="C1583" i="6"/>
  <c r="C1584" i="6"/>
  <c r="C1585" i="6"/>
  <c r="C1586" i="6"/>
  <c r="C1587" i="6"/>
  <c r="C1588" i="6"/>
  <c r="C1589" i="6"/>
  <c r="C1590" i="6"/>
  <c r="C1591" i="6"/>
  <c r="C1592" i="6"/>
  <c r="C1593" i="6"/>
  <c r="C1594" i="6"/>
  <c r="C1595" i="6"/>
  <c r="C1596" i="6"/>
  <c r="C1597" i="6"/>
  <c r="C1598" i="6"/>
  <c r="C1599" i="6"/>
  <c r="C1600" i="6"/>
  <c r="C1601" i="6"/>
  <c r="C1602" i="6"/>
  <c r="C1603" i="6"/>
  <c r="C1604" i="6"/>
  <c r="C1605" i="6"/>
  <c r="C1606" i="6"/>
  <c r="C1607" i="6"/>
  <c r="C1608" i="6"/>
  <c r="C1609" i="6"/>
  <c r="C1610" i="6"/>
  <c r="C1611" i="6"/>
  <c r="C1612" i="6"/>
  <c r="C1613" i="6"/>
  <c r="C1614" i="6"/>
  <c r="C1615" i="6"/>
  <c r="C1616" i="6"/>
  <c r="C1617" i="6"/>
  <c r="C1618" i="6"/>
  <c r="C1619" i="6"/>
  <c r="C1620" i="6"/>
  <c r="C1621" i="6"/>
  <c r="C1622" i="6"/>
  <c r="C1623" i="6"/>
  <c r="C1624" i="6"/>
  <c r="C1625" i="6"/>
  <c r="C1626" i="6"/>
  <c r="C1627" i="6"/>
  <c r="C1628" i="6"/>
  <c r="C1629" i="6"/>
  <c r="C1630" i="6"/>
  <c r="C1631" i="6"/>
  <c r="C1632" i="6"/>
  <c r="C1633" i="6"/>
  <c r="C1634" i="6"/>
  <c r="C1635" i="6"/>
  <c r="C1636" i="6"/>
  <c r="C1637" i="6"/>
  <c r="C1638" i="6"/>
  <c r="C1639" i="6"/>
  <c r="C1640" i="6"/>
  <c r="C1641" i="6"/>
  <c r="C1642" i="6"/>
  <c r="C1643" i="6"/>
  <c r="C1644" i="6"/>
  <c r="C1645" i="6"/>
  <c r="C1646" i="6"/>
  <c r="C1647" i="6"/>
  <c r="C1648" i="6"/>
  <c r="C1649" i="6"/>
  <c r="C1650" i="6"/>
  <c r="C1651" i="6"/>
  <c r="C1652" i="6"/>
  <c r="C1653" i="6"/>
  <c r="C1654" i="6"/>
  <c r="C1655" i="6"/>
  <c r="C1656" i="6"/>
  <c r="C1657" i="6"/>
  <c r="C1658" i="6"/>
  <c r="C1659" i="6"/>
  <c r="C1660" i="6"/>
  <c r="C1661" i="6"/>
  <c r="C1662" i="6"/>
  <c r="C1663" i="6"/>
  <c r="C1664" i="6"/>
  <c r="C1665" i="6"/>
  <c r="C1666" i="6"/>
  <c r="C1667" i="6"/>
  <c r="C1668" i="6"/>
  <c r="C1669" i="6"/>
  <c r="C1670" i="6"/>
  <c r="C1671" i="6"/>
  <c r="C1672" i="6"/>
  <c r="C1673" i="6"/>
  <c r="C1674" i="6"/>
  <c r="C1675" i="6"/>
  <c r="C1676" i="6"/>
  <c r="C1677" i="6"/>
  <c r="C1678" i="6"/>
  <c r="C1679" i="6"/>
  <c r="C1680" i="6"/>
  <c r="C1681" i="6"/>
  <c r="C1682" i="6"/>
  <c r="C1683" i="6"/>
  <c r="C1684" i="6"/>
  <c r="C1685" i="6"/>
  <c r="C1686" i="6"/>
  <c r="C1687" i="6"/>
  <c r="C1688" i="6"/>
  <c r="C1689" i="6"/>
  <c r="C1690" i="6"/>
  <c r="C1691" i="6"/>
  <c r="C1692" i="6"/>
  <c r="C1693" i="6"/>
  <c r="C1694" i="6"/>
  <c r="C1695" i="6"/>
  <c r="C1696" i="6"/>
  <c r="C1697" i="6"/>
  <c r="C1698" i="6"/>
  <c r="C1699" i="6"/>
  <c r="C1700" i="6"/>
  <c r="C1701" i="6"/>
  <c r="C1702" i="6"/>
  <c r="C1703" i="6"/>
  <c r="C1704" i="6"/>
  <c r="C1705" i="6"/>
  <c r="C1706" i="6"/>
  <c r="C1707" i="6"/>
  <c r="C1708" i="6"/>
  <c r="C1709" i="6"/>
  <c r="C1710" i="6"/>
  <c r="C1711" i="6"/>
  <c r="C1712" i="6"/>
  <c r="C1713" i="6"/>
  <c r="C1714" i="6"/>
  <c r="C1715" i="6"/>
  <c r="C1716" i="6"/>
  <c r="C1717" i="6"/>
  <c r="C1718" i="6"/>
  <c r="C1719" i="6"/>
  <c r="C1720" i="6"/>
  <c r="C1721" i="6"/>
  <c r="C1722" i="6"/>
  <c r="C1723" i="6"/>
  <c r="C1724" i="6"/>
  <c r="C1725" i="6"/>
  <c r="C1726" i="6"/>
  <c r="C1727" i="6"/>
  <c r="C1728" i="6"/>
  <c r="C1729" i="6"/>
  <c r="C1730" i="6"/>
  <c r="C1731" i="6"/>
  <c r="C1732" i="6"/>
  <c r="C1733" i="6"/>
  <c r="C1734" i="6"/>
  <c r="C1735" i="6"/>
  <c r="C1736" i="6"/>
  <c r="C1737" i="6"/>
  <c r="C1738" i="6"/>
  <c r="C1739" i="6"/>
  <c r="C1740" i="6"/>
  <c r="C1741" i="6"/>
  <c r="C1742" i="6"/>
  <c r="C1743" i="6"/>
  <c r="C1744" i="6"/>
  <c r="C1745" i="6"/>
  <c r="C1746" i="6"/>
  <c r="C1747" i="6"/>
  <c r="C1748" i="6"/>
  <c r="C1749" i="6"/>
  <c r="C1750" i="6"/>
  <c r="C1751" i="6"/>
  <c r="C1752" i="6"/>
  <c r="C1753" i="6"/>
  <c r="C1754" i="6"/>
  <c r="C1755" i="6"/>
  <c r="C1756" i="6"/>
  <c r="C1757" i="6"/>
  <c r="C1758" i="6"/>
  <c r="C1759" i="6"/>
  <c r="C1760" i="6"/>
  <c r="C1761" i="6"/>
  <c r="C1762" i="6"/>
  <c r="C1763" i="6"/>
  <c r="C1764" i="6"/>
  <c r="C1765" i="6"/>
  <c r="C1766" i="6"/>
  <c r="C1767" i="6"/>
  <c r="C1768" i="6"/>
  <c r="C1769" i="6"/>
  <c r="C1770" i="6"/>
  <c r="C1771" i="6"/>
  <c r="C1772" i="6"/>
  <c r="C1773" i="6"/>
  <c r="C1774" i="6"/>
  <c r="C1775" i="6"/>
  <c r="C1776" i="6"/>
  <c r="C1777" i="6"/>
  <c r="C1778" i="6"/>
  <c r="C1779" i="6"/>
  <c r="C1780" i="6"/>
  <c r="C1781" i="6"/>
  <c r="C1782" i="6"/>
  <c r="C1783" i="6"/>
  <c r="C1784" i="6"/>
  <c r="C1785" i="6"/>
  <c r="C1786" i="6"/>
  <c r="C1787" i="6"/>
  <c r="C1788" i="6"/>
  <c r="C1789" i="6"/>
  <c r="C1790" i="6"/>
  <c r="C1791" i="6"/>
  <c r="C1792" i="6"/>
  <c r="C1793" i="6"/>
  <c r="C1794" i="6"/>
  <c r="C1795" i="6"/>
  <c r="C1796" i="6"/>
  <c r="C1797" i="6"/>
  <c r="C1798" i="6"/>
  <c r="C1799" i="6"/>
  <c r="C1800" i="6"/>
  <c r="C1801" i="6"/>
  <c r="C1802" i="6"/>
  <c r="C1803" i="6"/>
  <c r="C1804" i="6"/>
  <c r="C1805" i="6"/>
  <c r="C1806" i="6"/>
  <c r="C1807" i="6"/>
  <c r="C1808" i="6"/>
  <c r="C1809" i="6"/>
  <c r="C1810" i="6"/>
  <c r="C1811" i="6"/>
  <c r="C1812" i="6"/>
  <c r="C1813" i="6"/>
  <c r="C1814" i="6"/>
  <c r="C1815" i="6"/>
  <c r="C1816" i="6"/>
  <c r="C1817" i="6"/>
  <c r="C1818" i="6"/>
  <c r="C1819" i="6"/>
  <c r="C1820" i="6"/>
  <c r="C1821" i="6"/>
  <c r="C1822" i="6"/>
  <c r="C1823" i="6"/>
  <c r="C1824" i="6"/>
  <c r="C1825" i="6"/>
  <c r="C1826" i="6"/>
  <c r="C1827" i="6"/>
  <c r="C1828" i="6"/>
  <c r="C1829" i="6"/>
  <c r="C1830" i="6"/>
  <c r="C1831" i="6"/>
  <c r="C1832" i="6"/>
  <c r="C1833" i="6"/>
  <c r="C1834" i="6"/>
  <c r="C1835" i="6"/>
  <c r="C1836" i="6"/>
  <c r="C1837" i="6"/>
  <c r="C1838" i="6"/>
  <c r="C1839" i="6"/>
  <c r="C1840" i="6"/>
  <c r="C1841" i="6"/>
  <c r="C1842" i="6"/>
  <c r="C1843" i="6"/>
  <c r="C1844" i="6"/>
  <c r="C1845" i="6"/>
  <c r="C1846" i="6"/>
  <c r="C1847" i="6"/>
  <c r="C1848" i="6"/>
  <c r="C1849" i="6"/>
  <c r="C1850" i="6"/>
  <c r="C1851" i="6"/>
  <c r="C1852" i="6"/>
  <c r="C1853" i="6"/>
  <c r="C1854" i="6"/>
  <c r="C1855" i="6"/>
  <c r="C1856" i="6"/>
  <c r="C1857" i="6"/>
  <c r="C1858" i="6"/>
  <c r="C1859" i="6"/>
  <c r="C1860" i="6"/>
  <c r="C1861" i="6"/>
  <c r="C1862" i="6"/>
  <c r="C1863" i="6"/>
  <c r="C1864" i="6"/>
  <c r="C1865" i="6"/>
  <c r="C1866" i="6"/>
  <c r="C1867" i="6"/>
  <c r="C1868" i="6"/>
  <c r="C1869" i="6"/>
  <c r="C1870" i="6"/>
  <c r="C1871" i="6"/>
  <c r="C1872" i="6"/>
  <c r="C1873" i="6"/>
  <c r="C1874" i="6"/>
  <c r="C1875" i="6"/>
  <c r="C1876" i="6"/>
  <c r="C1877" i="6"/>
  <c r="C1878" i="6"/>
  <c r="C1879" i="6"/>
  <c r="C1880" i="6"/>
  <c r="C1881" i="6"/>
  <c r="C1882" i="6"/>
  <c r="C1883" i="6"/>
  <c r="C1884" i="6"/>
  <c r="C1885" i="6"/>
  <c r="C1886" i="6"/>
  <c r="C1887" i="6"/>
  <c r="C1888" i="6"/>
  <c r="C1889" i="6"/>
  <c r="C1890" i="6"/>
  <c r="C1891" i="6"/>
  <c r="C1892" i="6"/>
  <c r="C1893" i="6"/>
  <c r="C1894" i="6"/>
  <c r="C1895" i="6"/>
  <c r="C1896" i="6"/>
  <c r="C1897" i="6"/>
  <c r="C1898" i="6"/>
  <c r="C1899" i="6"/>
  <c r="C1900" i="6"/>
  <c r="C1901" i="6"/>
  <c r="C1902" i="6"/>
  <c r="C1903" i="6"/>
  <c r="C1904" i="6"/>
  <c r="C1905" i="6"/>
  <c r="C1906" i="6"/>
  <c r="C1907" i="6"/>
  <c r="C1908" i="6"/>
  <c r="C1909" i="6"/>
  <c r="C1910" i="6"/>
  <c r="C1911" i="6"/>
  <c r="C1912" i="6"/>
  <c r="C1913" i="6"/>
  <c r="C1914" i="6"/>
  <c r="C1915" i="6"/>
  <c r="C1916" i="6"/>
  <c r="C1917" i="6"/>
  <c r="C1918" i="6"/>
  <c r="C1919" i="6"/>
  <c r="C1920" i="6"/>
  <c r="C1921" i="6"/>
  <c r="C1922" i="6"/>
  <c r="C1923" i="6"/>
  <c r="C1924" i="6"/>
  <c r="C1925" i="6"/>
  <c r="C1926" i="6"/>
  <c r="C1927" i="6"/>
  <c r="C1928" i="6"/>
  <c r="C1929" i="6"/>
  <c r="C1930" i="6"/>
  <c r="C1931" i="6"/>
  <c r="C1932" i="6"/>
  <c r="C1933" i="6"/>
  <c r="C1934" i="6"/>
  <c r="C1935" i="6"/>
  <c r="C1936" i="6"/>
  <c r="C1937" i="6"/>
  <c r="C1938" i="6"/>
  <c r="C1939" i="6"/>
  <c r="C1940" i="6"/>
  <c r="C1941" i="6"/>
  <c r="C1942" i="6"/>
  <c r="C1943" i="6"/>
  <c r="C1944" i="6"/>
  <c r="C1945" i="6"/>
  <c r="C1946" i="6"/>
  <c r="C1947" i="6"/>
  <c r="C1948" i="6"/>
  <c r="C1949" i="6"/>
  <c r="C1950" i="6"/>
  <c r="C1951" i="6"/>
  <c r="C1952" i="6"/>
  <c r="C1953" i="6"/>
  <c r="C1954" i="6"/>
  <c r="C1955" i="6"/>
  <c r="C1956" i="6"/>
  <c r="C1957" i="6"/>
  <c r="C1958" i="6"/>
  <c r="C1959" i="6"/>
  <c r="C1960" i="6"/>
  <c r="C1961" i="6"/>
  <c r="C1962" i="6"/>
  <c r="C1963" i="6"/>
  <c r="C1964" i="6"/>
  <c r="C1965" i="6"/>
  <c r="C1966" i="6"/>
  <c r="C1967" i="6"/>
  <c r="C1968" i="6"/>
  <c r="C1969" i="6"/>
  <c r="C1970" i="6"/>
  <c r="C1971" i="6"/>
  <c r="C1972" i="6"/>
  <c r="C1973" i="6"/>
  <c r="C1974" i="6"/>
  <c r="C1975" i="6"/>
  <c r="C1976" i="6"/>
  <c r="C1977" i="6"/>
  <c r="C1978" i="6"/>
  <c r="C1979" i="6"/>
  <c r="C1980" i="6"/>
  <c r="C1981" i="6"/>
  <c r="C1982" i="6"/>
  <c r="C1983" i="6"/>
  <c r="C1984" i="6"/>
  <c r="C1985" i="6"/>
  <c r="C1986" i="6"/>
  <c r="C1987" i="6"/>
  <c r="C1988" i="6"/>
  <c r="C1989" i="6"/>
  <c r="C1990" i="6"/>
  <c r="C1991" i="6"/>
  <c r="C1992" i="6"/>
  <c r="C1993" i="6"/>
  <c r="C1994" i="6"/>
  <c r="C1995" i="6"/>
  <c r="C1996" i="6"/>
  <c r="C1997" i="6"/>
  <c r="C1998" i="6"/>
  <c r="C1999" i="6"/>
  <c r="C2000" i="6"/>
  <c r="C2001"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58" i="6"/>
  <c r="G259" i="6"/>
  <c r="G260" i="6"/>
  <c r="G261" i="6"/>
  <c r="G262" i="6"/>
  <c r="G263" i="6"/>
  <c r="G264" i="6"/>
  <c r="G265" i="6"/>
  <c r="G266" i="6"/>
  <c r="G267" i="6"/>
  <c r="G268" i="6"/>
  <c r="G269" i="6"/>
  <c r="G270" i="6"/>
  <c r="G271" i="6"/>
  <c r="G272" i="6"/>
  <c r="G273" i="6"/>
  <c r="G274" i="6"/>
  <c r="G275" i="6"/>
  <c r="G276" i="6"/>
  <c r="G277" i="6"/>
  <c r="G278" i="6"/>
  <c r="G279" i="6"/>
  <c r="G280" i="6"/>
  <c r="G281" i="6"/>
  <c r="G282" i="6"/>
  <c r="G283" i="6"/>
  <c r="G284" i="6"/>
  <c r="G285" i="6"/>
  <c r="G286" i="6"/>
  <c r="G287" i="6"/>
  <c r="G288" i="6"/>
  <c r="G289" i="6"/>
  <c r="G290" i="6"/>
  <c r="G291" i="6"/>
  <c r="G292" i="6"/>
  <c r="G293" i="6"/>
  <c r="G294" i="6"/>
  <c r="G295" i="6"/>
  <c r="G296" i="6"/>
  <c r="G297" i="6"/>
  <c r="G298" i="6"/>
  <c r="G299" i="6"/>
  <c r="G300" i="6"/>
  <c r="G301" i="6"/>
  <c r="G302" i="6"/>
  <c r="G303" i="6"/>
  <c r="G304" i="6"/>
  <c r="G305" i="6"/>
  <c r="G306" i="6"/>
  <c r="G307" i="6"/>
  <c r="G308" i="6"/>
  <c r="G309" i="6"/>
  <c r="G310" i="6"/>
  <c r="G311" i="6"/>
  <c r="G312" i="6"/>
  <c r="G313" i="6"/>
  <c r="G314" i="6"/>
  <c r="G315" i="6"/>
  <c r="G316" i="6"/>
  <c r="G317" i="6"/>
  <c r="G318" i="6"/>
  <c r="G319" i="6"/>
  <c r="G320" i="6"/>
  <c r="G321" i="6"/>
  <c r="G322" i="6"/>
  <c r="G323" i="6"/>
  <c r="G324" i="6"/>
  <c r="G325" i="6"/>
  <c r="G326" i="6"/>
  <c r="G327" i="6"/>
  <c r="G328" i="6"/>
  <c r="G329" i="6"/>
  <c r="G330" i="6"/>
  <c r="G331" i="6"/>
  <c r="G332" i="6"/>
  <c r="G333" i="6"/>
  <c r="G334" i="6"/>
  <c r="G335" i="6"/>
  <c r="G336" i="6"/>
  <c r="G337" i="6"/>
  <c r="G338" i="6"/>
  <c r="G339" i="6"/>
  <c r="G340" i="6"/>
  <c r="G341" i="6"/>
  <c r="G342" i="6"/>
  <c r="G343" i="6"/>
  <c r="G344" i="6"/>
  <c r="G345" i="6"/>
  <c r="G346" i="6"/>
  <c r="G347" i="6"/>
  <c r="G348" i="6"/>
  <c r="G349" i="6"/>
  <c r="G350" i="6"/>
  <c r="G351" i="6"/>
  <c r="G352" i="6"/>
  <c r="G353" i="6"/>
  <c r="G354" i="6"/>
  <c r="G355" i="6"/>
  <c r="G356" i="6"/>
  <c r="G357" i="6"/>
  <c r="G358" i="6"/>
  <c r="G359" i="6"/>
  <c r="G360" i="6"/>
  <c r="G361" i="6"/>
  <c r="G362" i="6"/>
  <c r="G363" i="6"/>
  <c r="G364" i="6"/>
  <c r="G365" i="6"/>
  <c r="G366" i="6"/>
  <c r="G367" i="6"/>
  <c r="G368" i="6"/>
  <c r="G369" i="6"/>
  <c r="G370" i="6"/>
  <c r="G371" i="6"/>
  <c r="G372" i="6"/>
  <c r="G373" i="6"/>
  <c r="G374" i="6"/>
  <c r="G375" i="6"/>
  <c r="G376" i="6"/>
  <c r="G377" i="6"/>
  <c r="G378" i="6"/>
  <c r="G379" i="6"/>
  <c r="G380" i="6"/>
  <c r="G381" i="6"/>
  <c r="G382" i="6"/>
  <c r="G383" i="6"/>
  <c r="G384" i="6"/>
  <c r="G385" i="6"/>
  <c r="G386" i="6"/>
  <c r="G387" i="6"/>
  <c r="G388" i="6"/>
  <c r="G389" i="6"/>
  <c r="G390" i="6"/>
  <c r="G391" i="6"/>
  <c r="G392" i="6"/>
  <c r="G393" i="6"/>
  <c r="G394" i="6"/>
  <c r="G395" i="6"/>
  <c r="G396" i="6"/>
  <c r="G397" i="6"/>
  <c r="G398" i="6"/>
  <c r="G399" i="6"/>
  <c r="G400" i="6"/>
  <c r="G401" i="6"/>
  <c r="G402" i="6"/>
  <c r="G403" i="6"/>
  <c r="G404" i="6"/>
  <c r="G405" i="6"/>
  <c r="G406" i="6"/>
  <c r="G407" i="6"/>
  <c r="G408" i="6"/>
  <c r="G409" i="6"/>
  <c r="G410" i="6"/>
  <c r="G411" i="6"/>
  <c r="G412" i="6"/>
  <c r="G413" i="6"/>
  <c r="G414" i="6"/>
  <c r="G415" i="6"/>
  <c r="G416" i="6"/>
  <c r="G417" i="6"/>
  <c r="G418" i="6"/>
  <c r="G419" i="6"/>
  <c r="G420" i="6"/>
  <c r="G421" i="6"/>
  <c r="G422" i="6"/>
  <c r="G423" i="6"/>
  <c r="G424" i="6"/>
  <c r="G425" i="6"/>
  <c r="G426" i="6"/>
  <c r="G427" i="6"/>
  <c r="G428" i="6"/>
  <c r="G429" i="6"/>
  <c r="G430" i="6"/>
  <c r="G431" i="6"/>
  <c r="G432" i="6"/>
  <c r="G433" i="6"/>
  <c r="G434" i="6"/>
  <c r="G435" i="6"/>
  <c r="G436" i="6"/>
  <c r="G437" i="6"/>
  <c r="G438" i="6"/>
  <c r="G439" i="6"/>
  <c r="G440" i="6"/>
  <c r="G441" i="6"/>
  <c r="G442" i="6"/>
  <c r="G443" i="6"/>
  <c r="G444" i="6"/>
  <c r="G445" i="6"/>
  <c r="G446" i="6"/>
  <c r="G447" i="6"/>
  <c r="G448" i="6"/>
  <c r="G449" i="6"/>
  <c r="G450" i="6"/>
  <c r="G451" i="6"/>
  <c r="G452" i="6"/>
  <c r="G453" i="6"/>
  <c r="G454" i="6"/>
  <c r="G455" i="6"/>
  <c r="G456" i="6"/>
  <c r="G457" i="6"/>
  <c r="G458" i="6"/>
  <c r="G459" i="6"/>
  <c r="G460" i="6"/>
  <c r="G461" i="6"/>
  <c r="G462" i="6"/>
  <c r="G463" i="6"/>
  <c r="G464" i="6"/>
  <c r="G465" i="6"/>
  <c r="G466" i="6"/>
  <c r="G467" i="6"/>
  <c r="G468" i="6"/>
  <c r="G469" i="6"/>
  <c r="G470" i="6"/>
  <c r="G471" i="6"/>
  <c r="G472" i="6"/>
  <c r="G473" i="6"/>
  <c r="G474" i="6"/>
  <c r="G475" i="6"/>
  <c r="G476" i="6"/>
  <c r="G477" i="6"/>
  <c r="G478" i="6"/>
  <c r="G479" i="6"/>
  <c r="G480" i="6"/>
  <c r="G481" i="6"/>
  <c r="G482" i="6"/>
  <c r="G483" i="6"/>
  <c r="G484" i="6"/>
  <c r="G485" i="6"/>
  <c r="G486" i="6"/>
  <c r="G487" i="6"/>
  <c r="G488" i="6"/>
  <c r="G489" i="6"/>
  <c r="G490" i="6"/>
  <c r="G491" i="6"/>
  <c r="G492" i="6"/>
  <c r="G493" i="6"/>
  <c r="G494" i="6"/>
  <c r="G495" i="6"/>
  <c r="G496" i="6"/>
  <c r="G497" i="6"/>
  <c r="G498" i="6"/>
  <c r="G499" i="6"/>
  <c r="G500" i="6"/>
  <c r="G501" i="6"/>
  <c r="G502" i="6"/>
  <c r="G503" i="6"/>
  <c r="G504" i="6"/>
  <c r="G505" i="6"/>
  <c r="G506" i="6"/>
  <c r="G507" i="6"/>
  <c r="G508" i="6"/>
  <c r="G509" i="6"/>
  <c r="G510" i="6"/>
  <c r="G511" i="6"/>
  <c r="G512" i="6"/>
  <c r="G513" i="6"/>
  <c r="G514" i="6"/>
  <c r="G515" i="6"/>
  <c r="G516" i="6"/>
  <c r="G517" i="6"/>
  <c r="G518" i="6"/>
  <c r="G519" i="6"/>
  <c r="G520" i="6"/>
  <c r="G521" i="6"/>
  <c r="G522" i="6"/>
  <c r="G523" i="6"/>
  <c r="G524" i="6"/>
  <c r="G525" i="6"/>
  <c r="G526" i="6"/>
  <c r="G527" i="6"/>
  <c r="G528" i="6"/>
  <c r="G529" i="6"/>
  <c r="G530" i="6"/>
  <c r="G531" i="6"/>
  <c r="G532" i="6"/>
  <c r="G533" i="6"/>
  <c r="G534" i="6"/>
  <c r="G535" i="6"/>
  <c r="G536" i="6"/>
  <c r="G537" i="6"/>
  <c r="G538" i="6"/>
  <c r="G539" i="6"/>
  <c r="G540" i="6"/>
  <c r="G541" i="6"/>
  <c r="G542" i="6"/>
  <c r="G543" i="6"/>
  <c r="G544" i="6"/>
  <c r="G545" i="6"/>
  <c r="G546" i="6"/>
  <c r="G547" i="6"/>
  <c r="G548" i="6"/>
  <c r="G549" i="6"/>
  <c r="G550" i="6"/>
  <c r="G551" i="6"/>
  <c r="G552" i="6"/>
  <c r="G553" i="6"/>
  <c r="G554" i="6"/>
  <c r="G555" i="6"/>
  <c r="G556" i="6"/>
  <c r="G557" i="6"/>
  <c r="G558" i="6"/>
  <c r="G559" i="6"/>
  <c r="G560" i="6"/>
  <c r="G561" i="6"/>
  <c r="G562" i="6"/>
  <c r="G563" i="6"/>
  <c r="G564" i="6"/>
  <c r="G565" i="6"/>
  <c r="G566" i="6"/>
  <c r="G567" i="6"/>
  <c r="G568" i="6"/>
  <c r="G569" i="6"/>
  <c r="G570" i="6"/>
  <c r="G571" i="6"/>
  <c r="G572" i="6"/>
  <c r="G573" i="6"/>
  <c r="G574" i="6"/>
  <c r="G575" i="6"/>
  <c r="G576" i="6"/>
  <c r="G577" i="6"/>
  <c r="G578" i="6"/>
  <c r="G579" i="6"/>
  <c r="G580" i="6"/>
  <c r="G581" i="6"/>
  <c r="G582" i="6"/>
  <c r="G583" i="6"/>
  <c r="G584" i="6"/>
  <c r="G585" i="6"/>
  <c r="G586" i="6"/>
  <c r="G587" i="6"/>
  <c r="G588" i="6"/>
  <c r="G589" i="6"/>
  <c r="G590" i="6"/>
  <c r="G591" i="6"/>
  <c r="G592" i="6"/>
  <c r="G593" i="6"/>
  <c r="G594" i="6"/>
  <c r="G595" i="6"/>
  <c r="G596" i="6"/>
  <c r="G597" i="6"/>
  <c r="G598" i="6"/>
  <c r="G599" i="6"/>
  <c r="G600" i="6"/>
  <c r="G601" i="6"/>
  <c r="G602" i="6"/>
  <c r="G603" i="6"/>
  <c r="G604" i="6"/>
  <c r="G605" i="6"/>
  <c r="G606" i="6"/>
  <c r="G607" i="6"/>
  <c r="G608" i="6"/>
  <c r="G609" i="6"/>
  <c r="G610" i="6"/>
  <c r="G611" i="6"/>
  <c r="G612" i="6"/>
  <c r="G613" i="6"/>
  <c r="G614" i="6"/>
  <c r="G615" i="6"/>
  <c r="G616" i="6"/>
  <c r="G617" i="6"/>
  <c r="G618" i="6"/>
  <c r="G619" i="6"/>
  <c r="G620" i="6"/>
  <c r="G621" i="6"/>
  <c r="G622" i="6"/>
  <c r="G623" i="6"/>
  <c r="G624" i="6"/>
  <c r="G625" i="6"/>
  <c r="G626" i="6"/>
  <c r="G627" i="6"/>
  <c r="G628" i="6"/>
  <c r="G629" i="6"/>
  <c r="G630" i="6"/>
  <c r="G631" i="6"/>
  <c r="G632" i="6"/>
  <c r="G633" i="6"/>
  <c r="G634" i="6"/>
  <c r="G635" i="6"/>
  <c r="G636" i="6"/>
  <c r="G637" i="6"/>
  <c r="G638" i="6"/>
  <c r="G639" i="6"/>
  <c r="G640" i="6"/>
  <c r="G641" i="6"/>
  <c r="G642" i="6"/>
  <c r="G643" i="6"/>
  <c r="G644" i="6"/>
  <c r="G645" i="6"/>
  <c r="G646" i="6"/>
  <c r="G647" i="6"/>
  <c r="G648" i="6"/>
  <c r="G649" i="6"/>
  <c r="G650" i="6"/>
  <c r="G651" i="6"/>
  <c r="G652" i="6"/>
  <c r="G653" i="6"/>
  <c r="G654" i="6"/>
  <c r="G655" i="6"/>
  <c r="G656" i="6"/>
  <c r="G657" i="6"/>
  <c r="G658" i="6"/>
  <c r="G659" i="6"/>
  <c r="G660" i="6"/>
  <c r="G661" i="6"/>
  <c r="G662" i="6"/>
  <c r="G663" i="6"/>
  <c r="G664" i="6"/>
  <c r="G665" i="6"/>
  <c r="G666" i="6"/>
  <c r="G667" i="6"/>
  <c r="G668" i="6"/>
  <c r="G669" i="6"/>
  <c r="G670" i="6"/>
  <c r="G671" i="6"/>
  <c r="G672" i="6"/>
  <c r="G673" i="6"/>
  <c r="G674" i="6"/>
  <c r="G675" i="6"/>
  <c r="G676" i="6"/>
  <c r="G677" i="6"/>
  <c r="G678" i="6"/>
  <c r="G679" i="6"/>
  <c r="G680" i="6"/>
  <c r="G681" i="6"/>
  <c r="G682" i="6"/>
  <c r="G683" i="6"/>
  <c r="G684" i="6"/>
  <c r="G685" i="6"/>
  <c r="G686" i="6"/>
  <c r="G687" i="6"/>
  <c r="G688" i="6"/>
  <c r="G689" i="6"/>
  <c r="G690" i="6"/>
  <c r="G691" i="6"/>
  <c r="G692" i="6"/>
  <c r="G693" i="6"/>
  <c r="G694" i="6"/>
  <c r="G695" i="6"/>
  <c r="G696" i="6"/>
  <c r="G697" i="6"/>
  <c r="G698" i="6"/>
  <c r="G699" i="6"/>
  <c r="G700" i="6"/>
  <c r="G701" i="6"/>
  <c r="G702" i="6"/>
  <c r="G703" i="6"/>
  <c r="G704" i="6"/>
  <c r="G705" i="6"/>
  <c r="G706" i="6"/>
  <c r="G707" i="6"/>
  <c r="G708" i="6"/>
  <c r="G709" i="6"/>
  <c r="G710" i="6"/>
  <c r="G711" i="6"/>
  <c r="G712" i="6"/>
  <c r="G713" i="6"/>
  <c r="G714" i="6"/>
  <c r="G715" i="6"/>
  <c r="G716" i="6"/>
  <c r="G717" i="6"/>
  <c r="G718" i="6"/>
  <c r="G719" i="6"/>
  <c r="G720" i="6"/>
  <c r="G721" i="6"/>
  <c r="G722" i="6"/>
  <c r="G723" i="6"/>
  <c r="G724" i="6"/>
  <c r="G725" i="6"/>
  <c r="G726" i="6"/>
  <c r="G727" i="6"/>
  <c r="G728" i="6"/>
  <c r="G729" i="6"/>
  <c r="G730" i="6"/>
  <c r="G731" i="6"/>
  <c r="G732" i="6"/>
  <c r="G733" i="6"/>
  <c r="G734" i="6"/>
  <c r="G735" i="6"/>
  <c r="G736" i="6"/>
  <c r="G737" i="6"/>
  <c r="G738" i="6"/>
  <c r="G739" i="6"/>
  <c r="G740" i="6"/>
  <c r="G741" i="6"/>
  <c r="G742" i="6"/>
  <c r="G743" i="6"/>
  <c r="G744" i="6"/>
  <c r="G745" i="6"/>
  <c r="G746" i="6"/>
  <c r="G747" i="6"/>
  <c r="G748" i="6"/>
  <c r="G749" i="6"/>
  <c r="G750" i="6"/>
  <c r="G751" i="6"/>
  <c r="G752" i="6"/>
  <c r="G753" i="6"/>
  <c r="G754" i="6"/>
  <c r="G755" i="6"/>
  <c r="G756" i="6"/>
  <c r="G757" i="6"/>
  <c r="G758" i="6"/>
  <c r="G759" i="6"/>
  <c r="G760" i="6"/>
  <c r="G761" i="6"/>
  <c r="G762" i="6"/>
  <c r="G763" i="6"/>
  <c r="G764" i="6"/>
  <c r="G765" i="6"/>
  <c r="G766" i="6"/>
  <c r="G767" i="6"/>
  <c r="G768" i="6"/>
  <c r="G769" i="6"/>
  <c r="G770" i="6"/>
  <c r="G771" i="6"/>
  <c r="G772" i="6"/>
  <c r="G773" i="6"/>
  <c r="G774" i="6"/>
  <c r="G775" i="6"/>
  <c r="G776" i="6"/>
  <c r="G777" i="6"/>
  <c r="G778" i="6"/>
  <c r="G779" i="6"/>
  <c r="G780" i="6"/>
  <c r="G781" i="6"/>
  <c r="G782" i="6"/>
  <c r="G783" i="6"/>
  <c r="G784" i="6"/>
  <c r="G785" i="6"/>
  <c r="G786" i="6"/>
  <c r="G787" i="6"/>
  <c r="G788" i="6"/>
  <c r="G789" i="6"/>
  <c r="G790" i="6"/>
  <c r="G791" i="6"/>
  <c r="G792" i="6"/>
  <c r="G793" i="6"/>
  <c r="G794" i="6"/>
  <c r="G795" i="6"/>
  <c r="G796" i="6"/>
  <c r="G797" i="6"/>
  <c r="G798" i="6"/>
  <c r="G799" i="6"/>
  <c r="G800" i="6"/>
  <c r="G801" i="6"/>
  <c r="G802" i="6"/>
  <c r="G803" i="6"/>
  <c r="G804" i="6"/>
  <c r="G805" i="6"/>
  <c r="G806" i="6"/>
  <c r="G807" i="6"/>
  <c r="G808" i="6"/>
  <c r="G809" i="6"/>
  <c r="G810" i="6"/>
  <c r="G811" i="6"/>
  <c r="G812" i="6"/>
  <c r="G813" i="6"/>
  <c r="G814" i="6"/>
  <c r="G815" i="6"/>
  <c r="G816" i="6"/>
  <c r="G817" i="6"/>
  <c r="G818" i="6"/>
  <c r="G819" i="6"/>
  <c r="G820" i="6"/>
  <c r="G821" i="6"/>
  <c r="G822" i="6"/>
  <c r="G823" i="6"/>
  <c r="G824" i="6"/>
  <c r="G825" i="6"/>
  <c r="G826" i="6"/>
  <c r="G827" i="6"/>
  <c r="G828" i="6"/>
  <c r="G829" i="6"/>
  <c r="G830" i="6"/>
  <c r="G831" i="6"/>
  <c r="G832" i="6"/>
  <c r="G833" i="6"/>
  <c r="G834" i="6"/>
  <c r="G835" i="6"/>
  <c r="G836" i="6"/>
  <c r="G837" i="6"/>
  <c r="G838" i="6"/>
  <c r="G839" i="6"/>
  <c r="G840" i="6"/>
  <c r="G841" i="6"/>
  <c r="G842" i="6"/>
  <c r="G843" i="6"/>
  <c r="G844" i="6"/>
  <c r="G845" i="6"/>
  <c r="G846" i="6"/>
  <c r="G847" i="6"/>
  <c r="G848" i="6"/>
  <c r="G849" i="6"/>
  <c r="G850" i="6"/>
  <c r="G851" i="6"/>
  <c r="G852" i="6"/>
  <c r="G853" i="6"/>
  <c r="G854" i="6"/>
  <c r="G855" i="6"/>
  <c r="G856" i="6"/>
  <c r="G857" i="6"/>
  <c r="G858" i="6"/>
  <c r="G859" i="6"/>
  <c r="G860" i="6"/>
  <c r="G861" i="6"/>
  <c r="G862" i="6"/>
  <c r="G863" i="6"/>
  <c r="G864" i="6"/>
  <c r="G865" i="6"/>
  <c r="G866" i="6"/>
  <c r="G867" i="6"/>
  <c r="G868" i="6"/>
  <c r="G869" i="6"/>
  <c r="G870" i="6"/>
  <c r="G871" i="6"/>
  <c r="G872" i="6"/>
  <c r="G873" i="6"/>
  <c r="G874" i="6"/>
  <c r="G875" i="6"/>
  <c r="G876" i="6"/>
  <c r="G877" i="6"/>
  <c r="G878" i="6"/>
  <c r="G879" i="6"/>
  <c r="G880" i="6"/>
  <c r="G881" i="6"/>
  <c r="G882" i="6"/>
  <c r="G883" i="6"/>
  <c r="G884" i="6"/>
  <c r="G885" i="6"/>
  <c r="G886" i="6"/>
  <c r="G887" i="6"/>
  <c r="G888" i="6"/>
  <c r="G889" i="6"/>
  <c r="G890" i="6"/>
  <c r="G891" i="6"/>
  <c r="G892" i="6"/>
  <c r="G893" i="6"/>
  <c r="G894" i="6"/>
  <c r="G895" i="6"/>
  <c r="G896" i="6"/>
  <c r="G897" i="6"/>
  <c r="G898" i="6"/>
  <c r="G899" i="6"/>
  <c r="G900" i="6"/>
  <c r="G901" i="6"/>
  <c r="G902" i="6"/>
  <c r="G903" i="6"/>
  <c r="G904" i="6"/>
  <c r="G905" i="6"/>
  <c r="G906" i="6"/>
  <c r="G907" i="6"/>
  <c r="G908" i="6"/>
  <c r="G909" i="6"/>
  <c r="G910" i="6"/>
  <c r="G911" i="6"/>
  <c r="G912" i="6"/>
  <c r="G913" i="6"/>
  <c r="G914" i="6"/>
  <c r="G915" i="6"/>
  <c r="G916" i="6"/>
  <c r="G917" i="6"/>
  <c r="G918" i="6"/>
  <c r="G919" i="6"/>
  <c r="G920" i="6"/>
  <c r="G921" i="6"/>
  <c r="G922" i="6"/>
  <c r="G923" i="6"/>
  <c r="G924" i="6"/>
  <c r="G925" i="6"/>
  <c r="G926" i="6"/>
  <c r="G927" i="6"/>
  <c r="G928" i="6"/>
  <c r="G929" i="6"/>
  <c r="G930" i="6"/>
  <c r="G931" i="6"/>
  <c r="G932" i="6"/>
  <c r="G933" i="6"/>
  <c r="G934" i="6"/>
  <c r="G935" i="6"/>
  <c r="G936" i="6"/>
  <c r="G937" i="6"/>
  <c r="G938" i="6"/>
  <c r="G939" i="6"/>
  <c r="G940" i="6"/>
  <c r="G941" i="6"/>
  <c r="G942" i="6"/>
  <c r="G943" i="6"/>
  <c r="G944" i="6"/>
  <c r="G945" i="6"/>
  <c r="G946" i="6"/>
  <c r="G947" i="6"/>
  <c r="G948" i="6"/>
  <c r="G949" i="6"/>
  <c r="G950" i="6"/>
  <c r="G951" i="6"/>
  <c r="G952" i="6"/>
  <c r="G953" i="6"/>
  <c r="G954" i="6"/>
  <c r="G955" i="6"/>
  <c r="G956" i="6"/>
  <c r="G957" i="6"/>
  <c r="G958" i="6"/>
  <c r="G959" i="6"/>
  <c r="G960" i="6"/>
  <c r="G961" i="6"/>
  <c r="G962" i="6"/>
  <c r="G963" i="6"/>
  <c r="G964" i="6"/>
  <c r="G965" i="6"/>
  <c r="G966" i="6"/>
  <c r="G967" i="6"/>
  <c r="G968" i="6"/>
  <c r="G969" i="6"/>
  <c r="G970" i="6"/>
  <c r="G971" i="6"/>
  <c r="G972" i="6"/>
  <c r="G973" i="6"/>
  <c r="G974" i="6"/>
  <c r="G975" i="6"/>
  <c r="G976" i="6"/>
  <c r="G977" i="6"/>
  <c r="G978" i="6"/>
  <c r="G979" i="6"/>
  <c r="G980" i="6"/>
  <c r="G981" i="6"/>
  <c r="G982" i="6"/>
  <c r="G983" i="6"/>
  <c r="G984" i="6"/>
  <c r="G985" i="6"/>
  <c r="G986" i="6"/>
  <c r="G987" i="6"/>
  <c r="G988" i="6"/>
  <c r="G989" i="6"/>
  <c r="G990" i="6"/>
  <c r="G991" i="6"/>
  <c r="G992" i="6"/>
  <c r="G993" i="6"/>
  <c r="G994" i="6"/>
  <c r="G995" i="6"/>
  <c r="G996" i="6"/>
  <c r="G997" i="6"/>
  <c r="G998" i="6"/>
  <c r="G999" i="6"/>
  <c r="G1000" i="6"/>
  <c r="G1001" i="6"/>
  <c r="G1002" i="6"/>
  <c r="G1003" i="6"/>
  <c r="G1004" i="6"/>
  <c r="G1005" i="6"/>
  <c r="G1006" i="6"/>
  <c r="G1007" i="6"/>
  <c r="G1008" i="6"/>
  <c r="G1009" i="6"/>
  <c r="G1010" i="6"/>
  <c r="G1011" i="6"/>
  <c r="G1012" i="6"/>
  <c r="G1013" i="6"/>
  <c r="G1014" i="6"/>
  <c r="G1015" i="6"/>
  <c r="G1016" i="6"/>
  <c r="G1017" i="6"/>
  <c r="G1018" i="6"/>
  <c r="G1019" i="6"/>
  <c r="G1020" i="6"/>
  <c r="G1021" i="6"/>
  <c r="G1022" i="6"/>
  <c r="G1023" i="6"/>
  <c r="G1024" i="6"/>
  <c r="G1025" i="6"/>
  <c r="G1026" i="6"/>
  <c r="G1027" i="6"/>
  <c r="G1028" i="6"/>
  <c r="G1029" i="6"/>
  <c r="G1030" i="6"/>
  <c r="G1031" i="6"/>
  <c r="G1032" i="6"/>
  <c r="G1033" i="6"/>
  <c r="G1034" i="6"/>
  <c r="G1035" i="6"/>
  <c r="G1036" i="6"/>
  <c r="G1037" i="6"/>
  <c r="G1038" i="6"/>
  <c r="G1039" i="6"/>
  <c r="G1040" i="6"/>
  <c r="G1041" i="6"/>
  <c r="G1042" i="6"/>
  <c r="G1043" i="6"/>
  <c r="G1044" i="6"/>
  <c r="G1045" i="6"/>
  <c r="G1046" i="6"/>
  <c r="G1047" i="6"/>
  <c r="G1048" i="6"/>
  <c r="G1049" i="6"/>
  <c r="G1050" i="6"/>
  <c r="G1051" i="6"/>
  <c r="G1052" i="6"/>
  <c r="G1053" i="6"/>
  <c r="G1054" i="6"/>
  <c r="G1055" i="6"/>
  <c r="G1056" i="6"/>
  <c r="G1057" i="6"/>
  <c r="G1058" i="6"/>
  <c r="G1059" i="6"/>
  <c r="G1060" i="6"/>
  <c r="G1061" i="6"/>
  <c r="G1062" i="6"/>
  <c r="G1063" i="6"/>
  <c r="G1064" i="6"/>
  <c r="G1065" i="6"/>
  <c r="G1066" i="6"/>
  <c r="G1067" i="6"/>
  <c r="G1068" i="6"/>
  <c r="G1069" i="6"/>
  <c r="G1070" i="6"/>
  <c r="G1071" i="6"/>
  <c r="G1072" i="6"/>
  <c r="G1073" i="6"/>
  <c r="G1074" i="6"/>
  <c r="G1075" i="6"/>
  <c r="G1076" i="6"/>
  <c r="G1077" i="6"/>
  <c r="G1078" i="6"/>
  <c r="G1079" i="6"/>
  <c r="G1080" i="6"/>
  <c r="G1081" i="6"/>
  <c r="G1082" i="6"/>
  <c r="G1083" i="6"/>
  <c r="G1084" i="6"/>
  <c r="G1085" i="6"/>
  <c r="G1086" i="6"/>
  <c r="G1087" i="6"/>
  <c r="G1088" i="6"/>
  <c r="G1089" i="6"/>
  <c r="G1090" i="6"/>
  <c r="G1091" i="6"/>
  <c r="G1092" i="6"/>
  <c r="G1093" i="6"/>
  <c r="G1094" i="6"/>
  <c r="G1095" i="6"/>
  <c r="G1096" i="6"/>
  <c r="G1097" i="6"/>
  <c r="G1098" i="6"/>
  <c r="G1099" i="6"/>
  <c r="G1100" i="6"/>
  <c r="G1101" i="6"/>
  <c r="G1102" i="6"/>
  <c r="G1103" i="6"/>
  <c r="G1104" i="6"/>
  <c r="G1105" i="6"/>
  <c r="G1106" i="6"/>
  <c r="G1107" i="6"/>
  <c r="G1108" i="6"/>
  <c r="G1109" i="6"/>
  <c r="G1110" i="6"/>
  <c r="G1111" i="6"/>
  <c r="G1112" i="6"/>
  <c r="G1113" i="6"/>
  <c r="G1114" i="6"/>
  <c r="G1115" i="6"/>
  <c r="G1116" i="6"/>
  <c r="G1117" i="6"/>
  <c r="G1118" i="6"/>
  <c r="G1119" i="6"/>
  <c r="G1120" i="6"/>
  <c r="G1121" i="6"/>
  <c r="G1122" i="6"/>
  <c r="G1123" i="6"/>
  <c r="G1124" i="6"/>
  <c r="G1125" i="6"/>
  <c r="G1126" i="6"/>
  <c r="G1127" i="6"/>
  <c r="G1128" i="6"/>
  <c r="G1129" i="6"/>
  <c r="G1130" i="6"/>
  <c r="G1131" i="6"/>
  <c r="G1132" i="6"/>
  <c r="G1133" i="6"/>
  <c r="G1134" i="6"/>
  <c r="G1135" i="6"/>
  <c r="G1136" i="6"/>
  <c r="G1137" i="6"/>
  <c r="G1138" i="6"/>
  <c r="G1139" i="6"/>
  <c r="G1140" i="6"/>
  <c r="G1141" i="6"/>
  <c r="G1142" i="6"/>
  <c r="G1143" i="6"/>
  <c r="G1144" i="6"/>
  <c r="G1145" i="6"/>
  <c r="G1146" i="6"/>
  <c r="G1147" i="6"/>
  <c r="G1148" i="6"/>
  <c r="G1149" i="6"/>
  <c r="G1150" i="6"/>
  <c r="G1151" i="6"/>
  <c r="G1152" i="6"/>
  <c r="G1153" i="6"/>
  <c r="G1154" i="6"/>
  <c r="G1155" i="6"/>
  <c r="G1156" i="6"/>
  <c r="G1157" i="6"/>
  <c r="G1158" i="6"/>
  <c r="G1159" i="6"/>
  <c r="G1160" i="6"/>
  <c r="G1161" i="6"/>
  <c r="G1162" i="6"/>
  <c r="G1163" i="6"/>
  <c r="G1164" i="6"/>
  <c r="G1165" i="6"/>
  <c r="G1166" i="6"/>
  <c r="G1167" i="6"/>
  <c r="G1168" i="6"/>
  <c r="G1169" i="6"/>
  <c r="G1170" i="6"/>
  <c r="G1171" i="6"/>
  <c r="G1172" i="6"/>
  <c r="G1173" i="6"/>
  <c r="G1174" i="6"/>
  <c r="G1175" i="6"/>
  <c r="G1176" i="6"/>
  <c r="G1177" i="6"/>
  <c r="G1178" i="6"/>
  <c r="G1179" i="6"/>
  <c r="G1180" i="6"/>
  <c r="G1181" i="6"/>
  <c r="G1182" i="6"/>
  <c r="G1183" i="6"/>
  <c r="G1184" i="6"/>
  <c r="G1185" i="6"/>
  <c r="G1186" i="6"/>
  <c r="G1187" i="6"/>
  <c r="G1188" i="6"/>
  <c r="G1189" i="6"/>
  <c r="G1190" i="6"/>
  <c r="G1191" i="6"/>
  <c r="G1192" i="6"/>
  <c r="G1193" i="6"/>
  <c r="G1194" i="6"/>
  <c r="G1195" i="6"/>
  <c r="G1196" i="6"/>
  <c r="G1197" i="6"/>
  <c r="G1198" i="6"/>
  <c r="G1199" i="6"/>
  <c r="G1200" i="6"/>
  <c r="G1201" i="6"/>
  <c r="G1202" i="6"/>
  <c r="G1203" i="6"/>
  <c r="G1204" i="6"/>
  <c r="G1205" i="6"/>
  <c r="G1206" i="6"/>
  <c r="G1207" i="6"/>
  <c r="G1208" i="6"/>
  <c r="G1209" i="6"/>
  <c r="G1210" i="6"/>
  <c r="G1211" i="6"/>
  <c r="G1212" i="6"/>
  <c r="G1213" i="6"/>
  <c r="G1214" i="6"/>
  <c r="G1215" i="6"/>
  <c r="G1216" i="6"/>
  <c r="G1217" i="6"/>
  <c r="G1218" i="6"/>
  <c r="G1219" i="6"/>
  <c r="G1220" i="6"/>
  <c r="G1221" i="6"/>
  <c r="G1222" i="6"/>
  <c r="G1223" i="6"/>
  <c r="G1224" i="6"/>
  <c r="G1225" i="6"/>
  <c r="G1226" i="6"/>
  <c r="G1227" i="6"/>
  <c r="G1228" i="6"/>
  <c r="G1229" i="6"/>
  <c r="G1230" i="6"/>
  <c r="G1231" i="6"/>
  <c r="G1232" i="6"/>
  <c r="G1233" i="6"/>
  <c r="G1234" i="6"/>
  <c r="G1235" i="6"/>
  <c r="G1236" i="6"/>
  <c r="G1237" i="6"/>
  <c r="G1238" i="6"/>
  <c r="G1239" i="6"/>
  <c r="G1240" i="6"/>
  <c r="G1241" i="6"/>
  <c r="G1242" i="6"/>
  <c r="G1243" i="6"/>
  <c r="G1244" i="6"/>
  <c r="G1245" i="6"/>
  <c r="G1246" i="6"/>
  <c r="G1247" i="6"/>
  <c r="G1248" i="6"/>
  <c r="G1249" i="6"/>
  <c r="G1250" i="6"/>
  <c r="G1251" i="6"/>
  <c r="G1252" i="6"/>
  <c r="G1253" i="6"/>
  <c r="G1254" i="6"/>
  <c r="G1255" i="6"/>
  <c r="G1256" i="6"/>
  <c r="G1257" i="6"/>
  <c r="G1258" i="6"/>
  <c r="G1259" i="6"/>
  <c r="G1260" i="6"/>
  <c r="G1261" i="6"/>
  <c r="G1262" i="6"/>
  <c r="G1263" i="6"/>
  <c r="G1264" i="6"/>
  <c r="G1265" i="6"/>
  <c r="G1266" i="6"/>
  <c r="G1267" i="6"/>
  <c r="G1268" i="6"/>
  <c r="G1269" i="6"/>
  <c r="G1270" i="6"/>
  <c r="G1271" i="6"/>
  <c r="G1272" i="6"/>
  <c r="G1273" i="6"/>
  <c r="G1274" i="6"/>
  <c r="G1275" i="6"/>
  <c r="G1276" i="6"/>
  <c r="G1277" i="6"/>
  <c r="G1278" i="6"/>
  <c r="G1279" i="6"/>
  <c r="G1280" i="6"/>
  <c r="G1281" i="6"/>
  <c r="G1282" i="6"/>
  <c r="G1283" i="6"/>
  <c r="G1284" i="6"/>
  <c r="G1285" i="6"/>
  <c r="G1286" i="6"/>
  <c r="G1287" i="6"/>
  <c r="G1288" i="6"/>
  <c r="G1289" i="6"/>
  <c r="G1290" i="6"/>
  <c r="G1291" i="6"/>
  <c r="G1292" i="6"/>
  <c r="G1293" i="6"/>
  <c r="G1294" i="6"/>
  <c r="G1295" i="6"/>
  <c r="G1296" i="6"/>
  <c r="G1297" i="6"/>
  <c r="G1298" i="6"/>
  <c r="G1299" i="6"/>
  <c r="G1300" i="6"/>
  <c r="G1301" i="6"/>
  <c r="G1302" i="6"/>
  <c r="G1303" i="6"/>
  <c r="G1304" i="6"/>
  <c r="G1305" i="6"/>
  <c r="G1306" i="6"/>
  <c r="G1307" i="6"/>
  <c r="G1308" i="6"/>
  <c r="G1309" i="6"/>
  <c r="G1310" i="6"/>
  <c r="G1311" i="6"/>
  <c r="G1312" i="6"/>
  <c r="G1313" i="6"/>
  <c r="G1314" i="6"/>
  <c r="G1315" i="6"/>
  <c r="G1316" i="6"/>
  <c r="G1317" i="6"/>
  <c r="G1318" i="6"/>
  <c r="G1319" i="6"/>
  <c r="G1320" i="6"/>
  <c r="G1321" i="6"/>
  <c r="G1322" i="6"/>
  <c r="G1323" i="6"/>
  <c r="G1324" i="6"/>
  <c r="G1325" i="6"/>
  <c r="G1326" i="6"/>
  <c r="G1327" i="6"/>
  <c r="G1328" i="6"/>
  <c r="G1329" i="6"/>
  <c r="G1330" i="6"/>
  <c r="G1331" i="6"/>
  <c r="G1332" i="6"/>
  <c r="G1333" i="6"/>
  <c r="G1334" i="6"/>
  <c r="G1335" i="6"/>
  <c r="G1336" i="6"/>
  <c r="G1337" i="6"/>
  <c r="G1338" i="6"/>
  <c r="G1339" i="6"/>
  <c r="G1340" i="6"/>
  <c r="G1341" i="6"/>
  <c r="G1342" i="6"/>
  <c r="G1343" i="6"/>
  <c r="G1344" i="6"/>
  <c r="G1345" i="6"/>
  <c r="G1346" i="6"/>
  <c r="G1347" i="6"/>
  <c r="G1348" i="6"/>
  <c r="G1349" i="6"/>
  <c r="G1350" i="6"/>
  <c r="G1351" i="6"/>
  <c r="G1352" i="6"/>
  <c r="G1353" i="6"/>
  <c r="G1354" i="6"/>
  <c r="G1355" i="6"/>
  <c r="G1356" i="6"/>
  <c r="G1357" i="6"/>
  <c r="G1358" i="6"/>
  <c r="G1359" i="6"/>
  <c r="G1360" i="6"/>
  <c r="G1361" i="6"/>
  <c r="G1362" i="6"/>
  <c r="G1363" i="6"/>
  <c r="G1364" i="6"/>
  <c r="G1365" i="6"/>
  <c r="G1366" i="6"/>
  <c r="G1367" i="6"/>
  <c r="G1368" i="6"/>
  <c r="G1369" i="6"/>
  <c r="G1370" i="6"/>
  <c r="G1371" i="6"/>
  <c r="G1372" i="6"/>
  <c r="G1373" i="6"/>
  <c r="G1374" i="6"/>
  <c r="G1375" i="6"/>
  <c r="G1376" i="6"/>
  <c r="G1377" i="6"/>
  <c r="G1378" i="6"/>
  <c r="G1379" i="6"/>
  <c r="G1380" i="6"/>
  <c r="G1381" i="6"/>
  <c r="G1382" i="6"/>
  <c r="G1383" i="6"/>
  <c r="G1384" i="6"/>
  <c r="G1385" i="6"/>
  <c r="G1386" i="6"/>
  <c r="G1387" i="6"/>
  <c r="G1388" i="6"/>
  <c r="G1389" i="6"/>
  <c r="G1390" i="6"/>
  <c r="G1391" i="6"/>
  <c r="G1392" i="6"/>
  <c r="G1393" i="6"/>
  <c r="G1394" i="6"/>
  <c r="G1395" i="6"/>
  <c r="G1396" i="6"/>
  <c r="G1397" i="6"/>
  <c r="G1398" i="6"/>
  <c r="G1399" i="6"/>
  <c r="G1400" i="6"/>
  <c r="G1401" i="6"/>
  <c r="G1402" i="6"/>
  <c r="G1403" i="6"/>
  <c r="G1404" i="6"/>
  <c r="G1405" i="6"/>
  <c r="G1406" i="6"/>
  <c r="G1407" i="6"/>
  <c r="G1408" i="6"/>
  <c r="G1409" i="6"/>
  <c r="G1410" i="6"/>
  <c r="G1411" i="6"/>
  <c r="G1412" i="6"/>
  <c r="G1413" i="6"/>
  <c r="G1414" i="6"/>
  <c r="G1415" i="6"/>
  <c r="G1416" i="6"/>
  <c r="G1417" i="6"/>
  <c r="G1418" i="6"/>
  <c r="G1419" i="6"/>
  <c r="G1420" i="6"/>
  <c r="G1421" i="6"/>
  <c r="G1422" i="6"/>
  <c r="G1423" i="6"/>
  <c r="G1424" i="6"/>
  <c r="G1425" i="6"/>
  <c r="G1426" i="6"/>
  <c r="G1427" i="6"/>
  <c r="G1428" i="6"/>
  <c r="G1429" i="6"/>
  <c r="G1430" i="6"/>
  <c r="G1431" i="6"/>
  <c r="G1432" i="6"/>
  <c r="G1433" i="6"/>
  <c r="G1434" i="6"/>
  <c r="G1435" i="6"/>
  <c r="G1436" i="6"/>
  <c r="G1437" i="6"/>
  <c r="G1438" i="6"/>
  <c r="G1439" i="6"/>
  <c r="G1440" i="6"/>
  <c r="G1441" i="6"/>
  <c r="G1442" i="6"/>
  <c r="G1443" i="6"/>
  <c r="G1444" i="6"/>
  <c r="G1445" i="6"/>
  <c r="G1446" i="6"/>
  <c r="G1447" i="6"/>
  <c r="G1448" i="6"/>
  <c r="G1449" i="6"/>
  <c r="G1450" i="6"/>
  <c r="G1451" i="6"/>
  <c r="G1452" i="6"/>
  <c r="G1453" i="6"/>
  <c r="G1454" i="6"/>
  <c r="G1455" i="6"/>
  <c r="G1456" i="6"/>
  <c r="G1457" i="6"/>
  <c r="G1458" i="6"/>
  <c r="G1459" i="6"/>
  <c r="G1460" i="6"/>
  <c r="G1461" i="6"/>
  <c r="G1462" i="6"/>
  <c r="G1463" i="6"/>
  <c r="G1464" i="6"/>
  <c r="G1465" i="6"/>
  <c r="G1466" i="6"/>
  <c r="G1467" i="6"/>
  <c r="G1468" i="6"/>
  <c r="G1469" i="6"/>
  <c r="G1470" i="6"/>
  <c r="G1471" i="6"/>
  <c r="G1472" i="6"/>
  <c r="G1473" i="6"/>
  <c r="G1474" i="6"/>
  <c r="G1475" i="6"/>
  <c r="G1476" i="6"/>
  <c r="G1477" i="6"/>
  <c r="G1478" i="6"/>
  <c r="G1479" i="6"/>
  <c r="G1480" i="6"/>
  <c r="G1481" i="6"/>
  <c r="G1482" i="6"/>
  <c r="G1483" i="6"/>
  <c r="G1484" i="6"/>
  <c r="G1485" i="6"/>
  <c r="G1486" i="6"/>
  <c r="G1487" i="6"/>
  <c r="G1488" i="6"/>
  <c r="G1489" i="6"/>
  <c r="G1490" i="6"/>
  <c r="G1491" i="6"/>
  <c r="G1492" i="6"/>
  <c r="G1493" i="6"/>
  <c r="G1494" i="6"/>
  <c r="G1495" i="6"/>
  <c r="G1496" i="6"/>
  <c r="G1497" i="6"/>
  <c r="G1498" i="6"/>
  <c r="G1499" i="6"/>
  <c r="G1500" i="6"/>
  <c r="G1501" i="6"/>
  <c r="G1502" i="6"/>
  <c r="G1503" i="6"/>
  <c r="G1504" i="6"/>
  <c r="G1505" i="6"/>
  <c r="G1506" i="6"/>
  <c r="G1507" i="6"/>
  <c r="G1508" i="6"/>
  <c r="G1509" i="6"/>
  <c r="G1510" i="6"/>
  <c r="G1511" i="6"/>
  <c r="G1512" i="6"/>
  <c r="G1513" i="6"/>
  <c r="G1514" i="6"/>
  <c r="G1515" i="6"/>
  <c r="G1516" i="6"/>
  <c r="G1517" i="6"/>
  <c r="G1518" i="6"/>
  <c r="G1519" i="6"/>
  <c r="G1520" i="6"/>
  <c r="G1521" i="6"/>
  <c r="G1522" i="6"/>
  <c r="G1523" i="6"/>
  <c r="G1524" i="6"/>
  <c r="G1525" i="6"/>
  <c r="G1526" i="6"/>
  <c r="G1527" i="6"/>
  <c r="G1528" i="6"/>
  <c r="G1529" i="6"/>
  <c r="G1530" i="6"/>
  <c r="G1531" i="6"/>
  <c r="G1532" i="6"/>
  <c r="G1533" i="6"/>
  <c r="G1534" i="6"/>
  <c r="G1535" i="6"/>
  <c r="G1536" i="6"/>
  <c r="G1537" i="6"/>
  <c r="G1538" i="6"/>
  <c r="G1539" i="6"/>
  <c r="G1540" i="6"/>
  <c r="G1541" i="6"/>
  <c r="G1542" i="6"/>
  <c r="G1543" i="6"/>
  <c r="G1544" i="6"/>
  <c r="G1545" i="6"/>
  <c r="G1546" i="6"/>
  <c r="G1547" i="6"/>
  <c r="G1548" i="6"/>
  <c r="G1549" i="6"/>
  <c r="G1550" i="6"/>
  <c r="G1551" i="6"/>
  <c r="G1552" i="6"/>
  <c r="G1553" i="6"/>
  <c r="G1554" i="6"/>
  <c r="G1555" i="6"/>
  <c r="G1556" i="6"/>
  <c r="G1557" i="6"/>
  <c r="G1558" i="6"/>
  <c r="G1559" i="6"/>
  <c r="G1560" i="6"/>
  <c r="G1561" i="6"/>
  <c r="G1562" i="6"/>
  <c r="G1563" i="6"/>
  <c r="G1564" i="6"/>
  <c r="G1565" i="6"/>
  <c r="G1566" i="6"/>
  <c r="G1567" i="6"/>
  <c r="G1568" i="6"/>
  <c r="G1569" i="6"/>
  <c r="G1570" i="6"/>
  <c r="G1571" i="6"/>
  <c r="G1572" i="6"/>
  <c r="G1573" i="6"/>
  <c r="G1574" i="6"/>
  <c r="G1575" i="6"/>
  <c r="G1576" i="6"/>
  <c r="G1577" i="6"/>
  <c r="G1578" i="6"/>
  <c r="G1579" i="6"/>
  <c r="G1580" i="6"/>
  <c r="G1581" i="6"/>
  <c r="G1582" i="6"/>
  <c r="G1583" i="6"/>
  <c r="G1584" i="6"/>
  <c r="G1585" i="6"/>
  <c r="G1586" i="6"/>
  <c r="G1587" i="6"/>
  <c r="G1588" i="6"/>
  <c r="G1589" i="6"/>
  <c r="G1590" i="6"/>
  <c r="G1591" i="6"/>
  <c r="G1592" i="6"/>
  <c r="G1593" i="6"/>
  <c r="G1594" i="6"/>
  <c r="G1595" i="6"/>
  <c r="G1596" i="6"/>
  <c r="G1597" i="6"/>
  <c r="G1598" i="6"/>
  <c r="G1599" i="6"/>
  <c r="G1600" i="6"/>
  <c r="G1601" i="6"/>
  <c r="G1602" i="6"/>
  <c r="G1603" i="6"/>
  <c r="G1604" i="6"/>
  <c r="G1605" i="6"/>
  <c r="G1606" i="6"/>
  <c r="G1607" i="6"/>
  <c r="G1608" i="6"/>
  <c r="G1609" i="6"/>
  <c r="G1610" i="6"/>
  <c r="G1611" i="6"/>
  <c r="G1612" i="6"/>
  <c r="G1613" i="6"/>
  <c r="G1614" i="6"/>
  <c r="G1615" i="6"/>
  <c r="G1616" i="6"/>
  <c r="G1617" i="6"/>
  <c r="G1618" i="6"/>
  <c r="G1619" i="6"/>
  <c r="G1620" i="6"/>
  <c r="G1621" i="6"/>
  <c r="G1622" i="6"/>
  <c r="G1623" i="6"/>
  <c r="G1624" i="6"/>
  <c r="G1625" i="6"/>
  <c r="G1626" i="6"/>
  <c r="G1627" i="6"/>
  <c r="G1628" i="6"/>
  <c r="G1629" i="6"/>
  <c r="G1630" i="6"/>
  <c r="G1631" i="6"/>
  <c r="G1632" i="6"/>
  <c r="G1633" i="6"/>
  <c r="G1634" i="6"/>
  <c r="G1635" i="6"/>
  <c r="G1636" i="6"/>
  <c r="G1637" i="6"/>
  <c r="G1638" i="6"/>
  <c r="G1639" i="6"/>
  <c r="G1640" i="6"/>
  <c r="G1641" i="6"/>
  <c r="G1642" i="6"/>
  <c r="G1643" i="6"/>
  <c r="G1644" i="6"/>
  <c r="G1645" i="6"/>
  <c r="G1646" i="6"/>
  <c r="G1647" i="6"/>
  <c r="G1648" i="6"/>
  <c r="G1649" i="6"/>
  <c r="G1650" i="6"/>
  <c r="G1651" i="6"/>
  <c r="G1652" i="6"/>
  <c r="G1653" i="6"/>
  <c r="G1654" i="6"/>
  <c r="G1655" i="6"/>
  <c r="G1656" i="6"/>
  <c r="G1657" i="6"/>
  <c r="G1658" i="6"/>
  <c r="G1659" i="6"/>
  <c r="G1660" i="6"/>
  <c r="G1661" i="6"/>
  <c r="G1662" i="6"/>
  <c r="G1663" i="6"/>
  <c r="G1664" i="6"/>
  <c r="G1665" i="6"/>
  <c r="G1666" i="6"/>
  <c r="G1667" i="6"/>
  <c r="G1668" i="6"/>
  <c r="G1669" i="6"/>
  <c r="G1670" i="6"/>
  <c r="G1671" i="6"/>
  <c r="G1672" i="6"/>
  <c r="G1673" i="6"/>
  <c r="G1674" i="6"/>
  <c r="G1675" i="6"/>
  <c r="G1676" i="6"/>
  <c r="G1677" i="6"/>
  <c r="G1678" i="6"/>
  <c r="G1679" i="6"/>
  <c r="G1680" i="6"/>
  <c r="G1681" i="6"/>
  <c r="G1682" i="6"/>
  <c r="G1683" i="6"/>
  <c r="G1684" i="6"/>
  <c r="G1685" i="6"/>
  <c r="G1686" i="6"/>
  <c r="G1687" i="6"/>
  <c r="G1688" i="6"/>
  <c r="G1689" i="6"/>
  <c r="G1690" i="6"/>
  <c r="G1691" i="6"/>
  <c r="G1692" i="6"/>
  <c r="G1693" i="6"/>
  <c r="G1694" i="6"/>
  <c r="G1695" i="6"/>
  <c r="G1696" i="6"/>
  <c r="G1697" i="6"/>
  <c r="G1698" i="6"/>
  <c r="G1699" i="6"/>
  <c r="G1700" i="6"/>
  <c r="G1701" i="6"/>
  <c r="G1702" i="6"/>
  <c r="G1703" i="6"/>
  <c r="G1704" i="6"/>
  <c r="G1705" i="6"/>
  <c r="G1706" i="6"/>
  <c r="G1707" i="6"/>
  <c r="G1708" i="6"/>
  <c r="G1709" i="6"/>
  <c r="G1710" i="6"/>
  <c r="G1711" i="6"/>
  <c r="G1712" i="6"/>
  <c r="G1713" i="6"/>
  <c r="G1714" i="6"/>
  <c r="G1715" i="6"/>
  <c r="G1716" i="6"/>
  <c r="G1717" i="6"/>
  <c r="G1718" i="6"/>
  <c r="G1719" i="6"/>
  <c r="G1720" i="6"/>
  <c r="G1721" i="6"/>
  <c r="G1722" i="6"/>
  <c r="G1723" i="6"/>
  <c r="G1724" i="6"/>
  <c r="G1725" i="6"/>
  <c r="G1726" i="6"/>
  <c r="G1727" i="6"/>
  <c r="G1728" i="6"/>
  <c r="G1729" i="6"/>
  <c r="G1730" i="6"/>
  <c r="G1731" i="6"/>
  <c r="G1732" i="6"/>
  <c r="G1733" i="6"/>
  <c r="G1734" i="6"/>
  <c r="G1735" i="6"/>
  <c r="G1736" i="6"/>
  <c r="G1737" i="6"/>
  <c r="G1738" i="6"/>
  <c r="G1739" i="6"/>
  <c r="G1740" i="6"/>
  <c r="G1741" i="6"/>
  <c r="G1742" i="6"/>
  <c r="G1743" i="6"/>
  <c r="G1744" i="6"/>
  <c r="G1745" i="6"/>
  <c r="G1746" i="6"/>
  <c r="G1747" i="6"/>
  <c r="G1748" i="6"/>
  <c r="G1749" i="6"/>
  <c r="G1750" i="6"/>
  <c r="G1751" i="6"/>
  <c r="G1752" i="6"/>
  <c r="G1753" i="6"/>
  <c r="G1754" i="6"/>
  <c r="G1755" i="6"/>
  <c r="G1756" i="6"/>
  <c r="G1757" i="6"/>
  <c r="G1758" i="6"/>
  <c r="G1759" i="6"/>
  <c r="G1760" i="6"/>
  <c r="G1761" i="6"/>
  <c r="G1762" i="6"/>
  <c r="G1763" i="6"/>
  <c r="G1764" i="6"/>
  <c r="G1765" i="6"/>
  <c r="G1766" i="6"/>
  <c r="G1767" i="6"/>
  <c r="G1768" i="6"/>
  <c r="G1769" i="6"/>
  <c r="G1770" i="6"/>
  <c r="G1771" i="6"/>
  <c r="G1772" i="6"/>
  <c r="G1773" i="6"/>
  <c r="G1774" i="6"/>
  <c r="G1775" i="6"/>
  <c r="G1776" i="6"/>
  <c r="G1777" i="6"/>
  <c r="G1778" i="6"/>
  <c r="G1779" i="6"/>
  <c r="G1780" i="6"/>
  <c r="G1781" i="6"/>
  <c r="G1782" i="6"/>
  <c r="G1783" i="6"/>
  <c r="G1784" i="6"/>
  <c r="G1785" i="6"/>
  <c r="G1786" i="6"/>
  <c r="G1787" i="6"/>
  <c r="G1788" i="6"/>
  <c r="G1789" i="6"/>
  <c r="G1790" i="6"/>
  <c r="G1791" i="6"/>
  <c r="G1792" i="6"/>
  <c r="G1793" i="6"/>
  <c r="G1794" i="6"/>
  <c r="G1795" i="6"/>
  <c r="G1796" i="6"/>
  <c r="G1797" i="6"/>
  <c r="G1798" i="6"/>
  <c r="G1799" i="6"/>
  <c r="G1800" i="6"/>
  <c r="G1801" i="6"/>
  <c r="G1802" i="6"/>
  <c r="G1803" i="6"/>
  <c r="G1804" i="6"/>
  <c r="G1805" i="6"/>
  <c r="G1806" i="6"/>
  <c r="G1807" i="6"/>
  <c r="G1808" i="6"/>
  <c r="G1809" i="6"/>
  <c r="G1810" i="6"/>
  <c r="G1811" i="6"/>
  <c r="G1812" i="6"/>
  <c r="G1813" i="6"/>
  <c r="G1814" i="6"/>
  <c r="G1815" i="6"/>
  <c r="G1816" i="6"/>
  <c r="G1817" i="6"/>
  <c r="G1818" i="6"/>
  <c r="G1819" i="6"/>
  <c r="G1820" i="6"/>
  <c r="G1821" i="6"/>
  <c r="G1822" i="6"/>
  <c r="G1823" i="6"/>
  <c r="G1824" i="6"/>
  <c r="G1825" i="6"/>
  <c r="G1826" i="6"/>
  <c r="G1827" i="6"/>
  <c r="G1828" i="6"/>
  <c r="G1829" i="6"/>
  <c r="G1830" i="6"/>
  <c r="G1831" i="6"/>
  <c r="G1832" i="6"/>
  <c r="G1833" i="6"/>
  <c r="G1834" i="6"/>
  <c r="G1835" i="6"/>
  <c r="G1836" i="6"/>
  <c r="G1837" i="6"/>
  <c r="G1838" i="6"/>
  <c r="G1839" i="6"/>
  <c r="G1840" i="6"/>
  <c r="G1841" i="6"/>
  <c r="G1842" i="6"/>
  <c r="G1843" i="6"/>
  <c r="G1844" i="6"/>
  <c r="G1845" i="6"/>
  <c r="G1846" i="6"/>
  <c r="G1847" i="6"/>
  <c r="G1848" i="6"/>
  <c r="G1849" i="6"/>
  <c r="G1850" i="6"/>
  <c r="G1851" i="6"/>
  <c r="G1852" i="6"/>
  <c r="G1853" i="6"/>
  <c r="G1854" i="6"/>
  <c r="G1855" i="6"/>
  <c r="G1856" i="6"/>
  <c r="G1857" i="6"/>
  <c r="G1858" i="6"/>
  <c r="G1859" i="6"/>
  <c r="G1860" i="6"/>
  <c r="G1861" i="6"/>
  <c r="G1862" i="6"/>
  <c r="G1863" i="6"/>
  <c r="G1864" i="6"/>
  <c r="G1865" i="6"/>
  <c r="G1866" i="6"/>
  <c r="G1867" i="6"/>
  <c r="G1868" i="6"/>
  <c r="G1869" i="6"/>
  <c r="G1870" i="6"/>
  <c r="G1871" i="6"/>
  <c r="G1872" i="6"/>
  <c r="G1873" i="6"/>
  <c r="G1874" i="6"/>
  <c r="G1875" i="6"/>
  <c r="G1876" i="6"/>
  <c r="G1877" i="6"/>
  <c r="G1878" i="6"/>
  <c r="G1879" i="6"/>
  <c r="G1880" i="6"/>
  <c r="G1881" i="6"/>
  <c r="G1882" i="6"/>
  <c r="G1883" i="6"/>
  <c r="G1884" i="6"/>
  <c r="G1885" i="6"/>
  <c r="G1886" i="6"/>
  <c r="G1887" i="6"/>
  <c r="G1888" i="6"/>
  <c r="G1889" i="6"/>
  <c r="G1890" i="6"/>
  <c r="G1891" i="6"/>
  <c r="G1892" i="6"/>
  <c r="G1893" i="6"/>
  <c r="G1894" i="6"/>
  <c r="G1895" i="6"/>
  <c r="G1896" i="6"/>
  <c r="G1897" i="6"/>
  <c r="G1898" i="6"/>
  <c r="G1899" i="6"/>
  <c r="G1900" i="6"/>
  <c r="G1901" i="6"/>
  <c r="G1902" i="6"/>
  <c r="G1903" i="6"/>
  <c r="G1904" i="6"/>
  <c r="G1905" i="6"/>
  <c r="G1906" i="6"/>
  <c r="G1907" i="6"/>
  <c r="G1908" i="6"/>
  <c r="G1909" i="6"/>
  <c r="G1910" i="6"/>
  <c r="G1911" i="6"/>
  <c r="G1912" i="6"/>
  <c r="G1913" i="6"/>
  <c r="G1914" i="6"/>
  <c r="G1915" i="6"/>
  <c r="G1916" i="6"/>
  <c r="G1917" i="6"/>
  <c r="G1918" i="6"/>
  <c r="G1919" i="6"/>
  <c r="G1920" i="6"/>
  <c r="G1921" i="6"/>
  <c r="G1922" i="6"/>
  <c r="G1923" i="6"/>
  <c r="G1924" i="6"/>
  <c r="G1925" i="6"/>
  <c r="G1926" i="6"/>
  <c r="G1927" i="6"/>
  <c r="G1928" i="6"/>
  <c r="G1929" i="6"/>
  <c r="G1930" i="6"/>
  <c r="G1931" i="6"/>
  <c r="G1932" i="6"/>
  <c r="G1933" i="6"/>
  <c r="G1934" i="6"/>
  <c r="G1935" i="6"/>
  <c r="G1936" i="6"/>
  <c r="G1937" i="6"/>
  <c r="G1938" i="6"/>
  <c r="G1939" i="6"/>
  <c r="G1940" i="6"/>
  <c r="G1941" i="6"/>
  <c r="G1942" i="6"/>
  <c r="G1943" i="6"/>
  <c r="G1944" i="6"/>
  <c r="G1945" i="6"/>
  <c r="G1946" i="6"/>
  <c r="G1947" i="6"/>
  <c r="G1948" i="6"/>
  <c r="G1949" i="6"/>
  <c r="G1950" i="6"/>
  <c r="G1951" i="6"/>
  <c r="G1952" i="6"/>
  <c r="G1953" i="6"/>
  <c r="G1954" i="6"/>
  <c r="G1955" i="6"/>
  <c r="G1956" i="6"/>
  <c r="G1957" i="6"/>
  <c r="G1958" i="6"/>
  <c r="G1959" i="6"/>
  <c r="G1960" i="6"/>
  <c r="G1961" i="6"/>
  <c r="G1962" i="6"/>
  <c r="G1963" i="6"/>
  <c r="G1964" i="6"/>
  <c r="G1965" i="6"/>
  <c r="G1966" i="6"/>
  <c r="G1967" i="6"/>
  <c r="G1968" i="6"/>
  <c r="G1969" i="6"/>
  <c r="G1970" i="6"/>
  <c r="G1971" i="6"/>
  <c r="G1972" i="6"/>
  <c r="G1973" i="6"/>
  <c r="G1974" i="6"/>
  <c r="G1975" i="6"/>
  <c r="G1976" i="6"/>
  <c r="G1977" i="6"/>
  <c r="G1978" i="6"/>
  <c r="G1979" i="6"/>
  <c r="G1980" i="6"/>
  <c r="G1981" i="6"/>
  <c r="G1982" i="6"/>
  <c r="G1983" i="6"/>
  <c r="G1984" i="6"/>
  <c r="G1985" i="6"/>
  <c r="G1986" i="6"/>
  <c r="G1987" i="6"/>
  <c r="G1988" i="6"/>
  <c r="G1989" i="6"/>
  <c r="G1990" i="6"/>
  <c r="G1991" i="6"/>
  <c r="G1992" i="6"/>
  <c r="G1993" i="6"/>
  <c r="G1994" i="6"/>
  <c r="G1995" i="6"/>
  <c r="G1996" i="6"/>
  <c r="G1997" i="6"/>
  <c r="G1998" i="6"/>
  <c r="G1999" i="6"/>
  <c r="G2000" i="6"/>
  <c r="G2001" i="6"/>
  <c r="E2" i="6"/>
  <c r="E3" i="6"/>
  <c r="E4" i="6"/>
  <c r="E5" i="6"/>
  <c r="E6" i="6"/>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78" i="6"/>
  <c r="E79" i="6"/>
  <c r="E80" i="6"/>
  <c r="E81" i="6"/>
  <c r="E82" i="6"/>
  <c r="E83" i="6"/>
  <c r="E84" i="6"/>
  <c r="E85" i="6"/>
  <c r="E86" i="6"/>
  <c r="E87" i="6"/>
  <c r="E88" i="6"/>
  <c r="E89" i="6"/>
  <c r="E90" i="6"/>
  <c r="E91" i="6"/>
  <c r="E92" i="6"/>
  <c r="E93" i="6"/>
  <c r="E94" i="6"/>
  <c r="E95" i="6"/>
  <c r="E96" i="6"/>
  <c r="E97" i="6"/>
  <c r="E98" i="6"/>
  <c r="E99" i="6"/>
  <c r="E100" i="6"/>
  <c r="E101" i="6"/>
  <c r="E102" i="6"/>
  <c r="E103" i="6"/>
  <c r="E104" i="6"/>
  <c r="E105" i="6"/>
  <c r="E106" i="6"/>
  <c r="E107" i="6"/>
  <c r="E108" i="6"/>
  <c r="E109" i="6"/>
  <c r="E110" i="6"/>
  <c r="E111" i="6"/>
  <c r="E112" i="6"/>
  <c r="E113" i="6"/>
  <c r="E114" i="6"/>
  <c r="E115" i="6"/>
  <c r="E116" i="6"/>
  <c r="E117" i="6"/>
  <c r="E118" i="6"/>
  <c r="E119" i="6"/>
  <c r="E120" i="6"/>
  <c r="E121" i="6"/>
  <c r="E122" i="6"/>
  <c r="E123" i="6"/>
  <c r="E124" i="6"/>
  <c r="E125" i="6"/>
  <c r="E126" i="6"/>
  <c r="E127" i="6"/>
  <c r="E128" i="6"/>
  <c r="E129" i="6"/>
  <c r="E130" i="6"/>
  <c r="E131" i="6"/>
  <c r="E132" i="6"/>
  <c r="E133" i="6"/>
  <c r="E134" i="6"/>
  <c r="E135" i="6"/>
  <c r="E136" i="6"/>
  <c r="E137" i="6"/>
  <c r="E138" i="6"/>
  <c r="E139" i="6"/>
  <c r="E140" i="6"/>
  <c r="E141" i="6"/>
  <c r="E142" i="6"/>
  <c r="E143" i="6"/>
  <c r="E144" i="6"/>
  <c r="E145" i="6"/>
  <c r="E146" i="6"/>
  <c r="E147" i="6"/>
  <c r="E148" i="6"/>
  <c r="E149" i="6"/>
  <c r="E150" i="6"/>
  <c r="E151" i="6"/>
  <c r="E152" i="6"/>
  <c r="E153" i="6"/>
  <c r="E154" i="6"/>
  <c r="E155" i="6"/>
  <c r="E156" i="6"/>
  <c r="E157" i="6"/>
  <c r="E158" i="6"/>
  <c r="E159" i="6"/>
  <c r="E160" i="6"/>
  <c r="E161" i="6"/>
  <c r="E162" i="6"/>
  <c r="E163" i="6"/>
  <c r="E164" i="6"/>
  <c r="E165" i="6"/>
  <c r="E166" i="6"/>
  <c r="E167" i="6"/>
  <c r="E168" i="6"/>
  <c r="E169" i="6"/>
  <c r="E170" i="6"/>
  <c r="E171" i="6"/>
  <c r="E172" i="6"/>
  <c r="E173" i="6"/>
  <c r="E174" i="6"/>
  <c r="E175" i="6"/>
  <c r="E176" i="6"/>
  <c r="E177" i="6"/>
  <c r="E178" i="6"/>
  <c r="E179" i="6"/>
  <c r="E180" i="6"/>
  <c r="E181" i="6"/>
  <c r="E182" i="6"/>
  <c r="E183" i="6"/>
  <c r="E184" i="6"/>
  <c r="E185" i="6"/>
  <c r="E186" i="6"/>
  <c r="E187" i="6"/>
  <c r="E188" i="6"/>
  <c r="E189" i="6"/>
  <c r="E190" i="6"/>
  <c r="E191" i="6"/>
  <c r="E192" i="6"/>
  <c r="E193" i="6"/>
  <c r="E194" i="6"/>
  <c r="E195" i="6"/>
  <c r="E196" i="6"/>
  <c r="E197" i="6"/>
  <c r="E198" i="6"/>
  <c r="E199" i="6"/>
  <c r="E200" i="6"/>
  <c r="E201" i="6"/>
  <c r="E202" i="6"/>
  <c r="E203" i="6"/>
  <c r="E204" i="6"/>
  <c r="E205" i="6"/>
  <c r="E206" i="6"/>
  <c r="E207" i="6"/>
  <c r="E208" i="6"/>
  <c r="E209" i="6"/>
  <c r="E210" i="6"/>
  <c r="E211" i="6"/>
  <c r="E212" i="6"/>
  <c r="E213" i="6"/>
  <c r="E214" i="6"/>
  <c r="E215" i="6"/>
  <c r="E216" i="6"/>
  <c r="E217" i="6"/>
  <c r="E218" i="6"/>
  <c r="E219" i="6"/>
  <c r="E220" i="6"/>
  <c r="E221" i="6"/>
  <c r="E222" i="6"/>
  <c r="E223" i="6"/>
  <c r="E224" i="6"/>
  <c r="E225" i="6"/>
  <c r="E226" i="6"/>
  <c r="E227" i="6"/>
  <c r="E228" i="6"/>
  <c r="E229" i="6"/>
  <c r="E230" i="6"/>
  <c r="E231" i="6"/>
  <c r="E232" i="6"/>
  <c r="E233" i="6"/>
  <c r="E234" i="6"/>
  <c r="E235" i="6"/>
  <c r="E236" i="6"/>
  <c r="E237" i="6"/>
  <c r="E238" i="6"/>
  <c r="E239" i="6"/>
  <c r="E240" i="6"/>
  <c r="E241" i="6"/>
  <c r="E242" i="6"/>
  <c r="E243" i="6"/>
  <c r="E244" i="6"/>
  <c r="E245" i="6"/>
  <c r="E246" i="6"/>
  <c r="E247" i="6"/>
  <c r="E248" i="6"/>
  <c r="E249" i="6"/>
  <c r="E250" i="6"/>
  <c r="E251" i="6"/>
  <c r="E252" i="6"/>
  <c r="E253" i="6"/>
  <c r="E254" i="6"/>
  <c r="E255" i="6"/>
  <c r="E256" i="6"/>
  <c r="E257" i="6"/>
  <c r="E258" i="6"/>
  <c r="E259" i="6"/>
  <c r="E260" i="6"/>
  <c r="E261" i="6"/>
  <c r="E262" i="6"/>
  <c r="E263" i="6"/>
  <c r="E264" i="6"/>
  <c r="E265" i="6"/>
  <c r="E266" i="6"/>
  <c r="E267" i="6"/>
  <c r="E268" i="6"/>
  <c r="E269" i="6"/>
  <c r="E270" i="6"/>
  <c r="E271" i="6"/>
  <c r="E272" i="6"/>
  <c r="E273" i="6"/>
  <c r="E274" i="6"/>
  <c r="E275" i="6"/>
  <c r="E276" i="6"/>
  <c r="E277" i="6"/>
  <c r="E278" i="6"/>
  <c r="E279" i="6"/>
  <c r="E280" i="6"/>
  <c r="E281" i="6"/>
  <c r="E282" i="6"/>
  <c r="E283" i="6"/>
  <c r="E284" i="6"/>
  <c r="E285" i="6"/>
  <c r="E286" i="6"/>
  <c r="E287" i="6"/>
  <c r="E288" i="6"/>
  <c r="E289" i="6"/>
  <c r="E290" i="6"/>
  <c r="E291" i="6"/>
  <c r="E292" i="6"/>
  <c r="E293" i="6"/>
  <c r="E294" i="6"/>
  <c r="E295" i="6"/>
  <c r="E296" i="6"/>
  <c r="E297" i="6"/>
  <c r="E298" i="6"/>
  <c r="E299" i="6"/>
  <c r="E300" i="6"/>
  <c r="E301" i="6"/>
  <c r="E302" i="6"/>
  <c r="E303" i="6"/>
  <c r="E304" i="6"/>
  <c r="E305" i="6"/>
  <c r="E306" i="6"/>
  <c r="E307" i="6"/>
  <c r="E308" i="6"/>
  <c r="E309" i="6"/>
  <c r="E310" i="6"/>
  <c r="E311" i="6"/>
  <c r="E312" i="6"/>
  <c r="E313" i="6"/>
  <c r="E314" i="6"/>
  <c r="E315" i="6"/>
  <c r="E316" i="6"/>
  <c r="E317" i="6"/>
  <c r="E318" i="6"/>
  <c r="E319" i="6"/>
  <c r="E320" i="6"/>
  <c r="E321" i="6"/>
  <c r="E322" i="6"/>
  <c r="E323" i="6"/>
  <c r="E324" i="6"/>
  <c r="E325" i="6"/>
  <c r="E326" i="6"/>
  <c r="E327" i="6"/>
  <c r="E328" i="6"/>
  <c r="E329" i="6"/>
  <c r="E330" i="6"/>
  <c r="E331" i="6"/>
  <c r="E332" i="6"/>
  <c r="E333" i="6"/>
  <c r="E334" i="6"/>
  <c r="E335" i="6"/>
  <c r="E336" i="6"/>
  <c r="E337" i="6"/>
  <c r="E338" i="6"/>
  <c r="E339" i="6"/>
  <c r="E340" i="6"/>
  <c r="E341" i="6"/>
  <c r="E342" i="6"/>
  <c r="E343" i="6"/>
  <c r="E344" i="6"/>
  <c r="E345" i="6"/>
  <c r="E346" i="6"/>
  <c r="E347" i="6"/>
  <c r="E348" i="6"/>
  <c r="E349" i="6"/>
  <c r="E350" i="6"/>
  <c r="E351" i="6"/>
  <c r="E352" i="6"/>
  <c r="E353" i="6"/>
  <c r="E354" i="6"/>
  <c r="E355" i="6"/>
  <c r="E356" i="6"/>
  <c r="E357" i="6"/>
  <c r="E358" i="6"/>
  <c r="E359" i="6"/>
  <c r="E360" i="6"/>
  <c r="E361" i="6"/>
  <c r="E362" i="6"/>
  <c r="E363" i="6"/>
  <c r="E364" i="6"/>
  <c r="E365" i="6"/>
  <c r="E366" i="6"/>
  <c r="E367" i="6"/>
  <c r="E368" i="6"/>
  <c r="E369" i="6"/>
  <c r="E370" i="6"/>
  <c r="E371" i="6"/>
  <c r="E372" i="6"/>
  <c r="E373" i="6"/>
  <c r="E374" i="6"/>
  <c r="E375" i="6"/>
  <c r="E376" i="6"/>
  <c r="E377" i="6"/>
  <c r="E378" i="6"/>
  <c r="E379" i="6"/>
  <c r="E380" i="6"/>
  <c r="E381" i="6"/>
  <c r="E382" i="6"/>
  <c r="E383" i="6"/>
  <c r="E384" i="6"/>
  <c r="E385" i="6"/>
  <c r="E386" i="6"/>
  <c r="E387" i="6"/>
  <c r="E388" i="6"/>
  <c r="E389" i="6"/>
  <c r="E390" i="6"/>
  <c r="E391" i="6"/>
  <c r="E392" i="6"/>
  <c r="E393" i="6"/>
  <c r="E394" i="6"/>
  <c r="E395" i="6"/>
  <c r="E396" i="6"/>
  <c r="E397" i="6"/>
  <c r="E398" i="6"/>
  <c r="E399" i="6"/>
  <c r="E400" i="6"/>
  <c r="E401" i="6"/>
  <c r="E402" i="6"/>
  <c r="E403" i="6"/>
  <c r="E404" i="6"/>
  <c r="E405" i="6"/>
  <c r="E406" i="6"/>
  <c r="E407" i="6"/>
  <c r="E408" i="6"/>
  <c r="E409" i="6"/>
  <c r="E410" i="6"/>
  <c r="E411" i="6"/>
  <c r="E412" i="6"/>
  <c r="E413" i="6"/>
  <c r="E414" i="6"/>
  <c r="E415" i="6"/>
  <c r="E416" i="6"/>
  <c r="E417" i="6"/>
  <c r="E418" i="6"/>
  <c r="E419" i="6"/>
  <c r="E420" i="6"/>
  <c r="E421" i="6"/>
  <c r="E422" i="6"/>
  <c r="E423" i="6"/>
  <c r="E424" i="6"/>
  <c r="E425" i="6"/>
  <c r="E426" i="6"/>
  <c r="E427" i="6"/>
  <c r="E428" i="6"/>
  <c r="E429" i="6"/>
  <c r="E430" i="6"/>
  <c r="E431" i="6"/>
  <c r="E432" i="6"/>
  <c r="E433" i="6"/>
  <c r="E434" i="6"/>
  <c r="E435" i="6"/>
  <c r="E436" i="6"/>
  <c r="E437" i="6"/>
  <c r="E438" i="6"/>
  <c r="E439" i="6"/>
  <c r="E440" i="6"/>
  <c r="E441" i="6"/>
  <c r="E442" i="6"/>
  <c r="E443" i="6"/>
  <c r="E444" i="6"/>
  <c r="E445" i="6"/>
  <c r="E446" i="6"/>
  <c r="E447" i="6"/>
  <c r="E448" i="6"/>
  <c r="E449" i="6"/>
  <c r="E450" i="6"/>
  <c r="E451" i="6"/>
  <c r="E452" i="6"/>
  <c r="E453" i="6"/>
  <c r="E454" i="6"/>
  <c r="E455" i="6"/>
  <c r="E456" i="6"/>
  <c r="E457" i="6"/>
  <c r="E458" i="6"/>
  <c r="E459" i="6"/>
  <c r="E460" i="6"/>
  <c r="E461" i="6"/>
  <c r="E462" i="6"/>
  <c r="E463" i="6"/>
  <c r="E464" i="6"/>
  <c r="E465" i="6"/>
  <c r="E466" i="6"/>
  <c r="E467" i="6"/>
  <c r="E468" i="6"/>
  <c r="E469" i="6"/>
  <c r="E470" i="6"/>
  <c r="E471" i="6"/>
  <c r="E472" i="6"/>
  <c r="E473" i="6"/>
  <c r="E474" i="6"/>
  <c r="E475" i="6"/>
  <c r="E476" i="6"/>
  <c r="E477" i="6"/>
  <c r="E478" i="6"/>
  <c r="E479" i="6"/>
  <c r="E480" i="6"/>
  <c r="E481" i="6"/>
  <c r="E482" i="6"/>
  <c r="E483" i="6"/>
  <c r="E484" i="6"/>
  <c r="E485" i="6"/>
  <c r="E486" i="6"/>
  <c r="E487" i="6"/>
  <c r="E488" i="6"/>
  <c r="E489" i="6"/>
  <c r="E490" i="6"/>
  <c r="E491" i="6"/>
  <c r="E492" i="6"/>
  <c r="E493" i="6"/>
  <c r="E494" i="6"/>
  <c r="E495" i="6"/>
  <c r="E496" i="6"/>
  <c r="E497" i="6"/>
  <c r="E498" i="6"/>
  <c r="E499" i="6"/>
  <c r="E500" i="6"/>
  <c r="E501" i="6"/>
  <c r="E502" i="6"/>
  <c r="E503" i="6"/>
  <c r="E504" i="6"/>
  <c r="E505" i="6"/>
  <c r="E506" i="6"/>
  <c r="E507" i="6"/>
  <c r="E508" i="6"/>
  <c r="E509" i="6"/>
  <c r="E510" i="6"/>
  <c r="E511" i="6"/>
  <c r="E512" i="6"/>
  <c r="E513" i="6"/>
  <c r="E514" i="6"/>
  <c r="E515" i="6"/>
  <c r="E516" i="6"/>
  <c r="E517" i="6"/>
  <c r="E518" i="6"/>
  <c r="E519" i="6"/>
  <c r="E520" i="6"/>
  <c r="E521" i="6"/>
  <c r="E522" i="6"/>
  <c r="E523" i="6"/>
  <c r="E524" i="6"/>
  <c r="E525" i="6"/>
  <c r="E526" i="6"/>
  <c r="E527" i="6"/>
  <c r="E528" i="6"/>
  <c r="E529" i="6"/>
  <c r="E530" i="6"/>
  <c r="E531" i="6"/>
  <c r="E532" i="6"/>
  <c r="E533" i="6"/>
  <c r="E534" i="6"/>
  <c r="E535" i="6"/>
  <c r="E536" i="6"/>
  <c r="E537" i="6"/>
  <c r="E538" i="6"/>
  <c r="E539" i="6"/>
  <c r="E540" i="6"/>
  <c r="E541" i="6"/>
  <c r="E542" i="6"/>
  <c r="E543" i="6"/>
  <c r="E544" i="6"/>
  <c r="E545" i="6"/>
  <c r="E546" i="6"/>
  <c r="E547" i="6"/>
  <c r="E548" i="6"/>
  <c r="E549" i="6"/>
  <c r="E550" i="6"/>
  <c r="E551" i="6"/>
  <c r="E552" i="6"/>
  <c r="E553" i="6"/>
  <c r="E554" i="6"/>
  <c r="E555" i="6"/>
  <c r="E556" i="6"/>
  <c r="E557" i="6"/>
  <c r="E558" i="6"/>
  <c r="E559" i="6"/>
  <c r="E560" i="6"/>
  <c r="E561" i="6"/>
  <c r="E562" i="6"/>
  <c r="E563" i="6"/>
  <c r="E564" i="6"/>
  <c r="E565" i="6"/>
  <c r="E566" i="6"/>
  <c r="E567" i="6"/>
  <c r="E568" i="6"/>
  <c r="E569" i="6"/>
  <c r="E570" i="6"/>
  <c r="E571" i="6"/>
  <c r="E572" i="6"/>
  <c r="E573" i="6"/>
  <c r="E574" i="6"/>
  <c r="E575" i="6"/>
  <c r="E576" i="6"/>
  <c r="E577" i="6"/>
  <c r="E578" i="6"/>
  <c r="E579" i="6"/>
  <c r="E580" i="6"/>
  <c r="E581" i="6"/>
  <c r="E582" i="6"/>
  <c r="E583" i="6"/>
  <c r="E584" i="6"/>
  <c r="E585" i="6"/>
  <c r="E586" i="6"/>
  <c r="E587" i="6"/>
  <c r="E588" i="6"/>
  <c r="E589" i="6"/>
  <c r="E590" i="6"/>
  <c r="E591" i="6"/>
  <c r="E592" i="6"/>
  <c r="E593" i="6"/>
  <c r="E594" i="6"/>
  <c r="E595" i="6"/>
  <c r="E596" i="6"/>
  <c r="E597" i="6"/>
  <c r="E598" i="6"/>
  <c r="E599" i="6"/>
  <c r="E600" i="6"/>
  <c r="E601" i="6"/>
  <c r="E602" i="6"/>
  <c r="E603" i="6"/>
  <c r="E604" i="6"/>
  <c r="E605" i="6"/>
  <c r="E606" i="6"/>
  <c r="E607" i="6"/>
  <c r="E608" i="6"/>
  <c r="E609" i="6"/>
  <c r="E610" i="6"/>
  <c r="E611" i="6"/>
  <c r="E612" i="6"/>
  <c r="E613" i="6"/>
  <c r="E614" i="6"/>
  <c r="E615" i="6"/>
  <c r="E616" i="6"/>
  <c r="E617" i="6"/>
  <c r="E618" i="6"/>
  <c r="E619" i="6"/>
  <c r="E620" i="6"/>
  <c r="E621" i="6"/>
  <c r="E622" i="6"/>
  <c r="E623" i="6"/>
  <c r="E624" i="6"/>
  <c r="E625" i="6"/>
  <c r="E626" i="6"/>
  <c r="E627" i="6"/>
  <c r="E628" i="6"/>
  <c r="E629" i="6"/>
  <c r="E630" i="6"/>
  <c r="E631" i="6"/>
  <c r="E632" i="6"/>
  <c r="E633" i="6"/>
  <c r="E634" i="6"/>
  <c r="E635" i="6"/>
  <c r="E636" i="6"/>
  <c r="E637" i="6"/>
  <c r="E638" i="6"/>
  <c r="E639" i="6"/>
  <c r="E640" i="6"/>
  <c r="E641" i="6"/>
  <c r="E642" i="6"/>
  <c r="E643" i="6"/>
  <c r="E644" i="6"/>
  <c r="E645" i="6"/>
  <c r="E646" i="6"/>
  <c r="E647" i="6"/>
  <c r="E648" i="6"/>
  <c r="E649" i="6"/>
  <c r="E650" i="6"/>
  <c r="E651" i="6"/>
  <c r="E652" i="6"/>
  <c r="E653" i="6"/>
  <c r="E654" i="6"/>
  <c r="E655" i="6"/>
  <c r="E656" i="6"/>
  <c r="E657" i="6"/>
  <c r="E658" i="6"/>
  <c r="E659" i="6"/>
  <c r="E660" i="6"/>
  <c r="E661" i="6"/>
  <c r="E662" i="6"/>
  <c r="E663" i="6"/>
  <c r="E664" i="6"/>
  <c r="E665" i="6"/>
  <c r="E666" i="6"/>
  <c r="E667" i="6"/>
  <c r="E668" i="6"/>
  <c r="E669" i="6"/>
  <c r="E670" i="6"/>
  <c r="E671" i="6"/>
  <c r="E672" i="6"/>
  <c r="E673" i="6"/>
  <c r="E674" i="6"/>
  <c r="E675" i="6"/>
  <c r="E676" i="6"/>
  <c r="E677" i="6"/>
  <c r="E678" i="6"/>
  <c r="E679" i="6"/>
  <c r="E680" i="6"/>
  <c r="E681" i="6"/>
  <c r="E682" i="6"/>
  <c r="E683" i="6"/>
  <c r="E684" i="6"/>
  <c r="E685" i="6"/>
  <c r="E686" i="6"/>
  <c r="E687" i="6"/>
  <c r="E688" i="6"/>
  <c r="E689" i="6"/>
  <c r="E690" i="6"/>
  <c r="E691" i="6"/>
  <c r="E692" i="6"/>
  <c r="E693" i="6"/>
  <c r="E694" i="6"/>
  <c r="E695" i="6"/>
  <c r="E696" i="6"/>
  <c r="E697" i="6"/>
  <c r="E698" i="6"/>
  <c r="E699" i="6"/>
  <c r="E700" i="6"/>
  <c r="E701" i="6"/>
  <c r="E702" i="6"/>
  <c r="E703" i="6"/>
  <c r="E704" i="6"/>
  <c r="E705" i="6"/>
  <c r="E706" i="6"/>
  <c r="E707" i="6"/>
  <c r="E708" i="6"/>
  <c r="E709" i="6"/>
  <c r="E710" i="6"/>
  <c r="E711" i="6"/>
  <c r="E712" i="6"/>
  <c r="E713" i="6"/>
  <c r="E714" i="6"/>
  <c r="E715" i="6"/>
  <c r="E716" i="6"/>
  <c r="E717" i="6"/>
  <c r="E718" i="6"/>
  <c r="E719" i="6"/>
  <c r="E720" i="6"/>
  <c r="E721" i="6"/>
  <c r="E722" i="6"/>
  <c r="E723" i="6"/>
  <c r="E724" i="6"/>
  <c r="E725" i="6"/>
  <c r="E726" i="6"/>
  <c r="E727" i="6"/>
  <c r="E728" i="6"/>
  <c r="E729" i="6"/>
  <c r="E730" i="6"/>
  <c r="E731" i="6"/>
  <c r="E732" i="6"/>
  <c r="E733" i="6"/>
  <c r="E734" i="6"/>
  <c r="E735" i="6"/>
  <c r="E736" i="6"/>
  <c r="E737" i="6"/>
  <c r="E738" i="6"/>
  <c r="E739" i="6"/>
  <c r="E740" i="6"/>
  <c r="E741" i="6"/>
  <c r="E742" i="6"/>
  <c r="E743" i="6"/>
  <c r="E744" i="6"/>
  <c r="E745" i="6"/>
  <c r="E746" i="6"/>
  <c r="E747" i="6"/>
  <c r="E748" i="6"/>
  <c r="E749" i="6"/>
  <c r="E750" i="6"/>
  <c r="E751" i="6"/>
  <c r="E752" i="6"/>
  <c r="E753" i="6"/>
  <c r="E754" i="6"/>
  <c r="E755" i="6"/>
  <c r="E756" i="6"/>
  <c r="E757" i="6"/>
  <c r="E758" i="6"/>
  <c r="E759" i="6"/>
  <c r="E760" i="6"/>
  <c r="E761" i="6"/>
  <c r="E762" i="6"/>
  <c r="E763" i="6"/>
  <c r="E764" i="6"/>
  <c r="E765" i="6"/>
  <c r="E766" i="6"/>
  <c r="E767" i="6"/>
  <c r="E768" i="6"/>
  <c r="E769" i="6"/>
  <c r="E770" i="6"/>
  <c r="E771" i="6"/>
  <c r="E772" i="6"/>
  <c r="E773" i="6"/>
  <c r="E774" i="6"/>
  <c r="E775" i="6"/>
  <c r="E776" i="6"/>
  <c r="E777" i="6"/>
  <c r="E778" i="6"/>
  <c r="E779" i="6"/>
  <c r="E780" i="6"/>
  <c r="E781" i="6"/>
  <c r="E782" i="6"/>
  <c r="E783" i="6"/>
  <c r="E784" i="6"/>
  <c r="E785" i="6"/>
  <c r="E786" i="6"/>
  <c r="E787" i="6"/>
  <c r="E788" i="6"/>
  <c r="E789" i="6"/>
  <c r="E790" i="6"/>
  <c r="E791" i="6"/>
  <c r="E792" i="6"/>
  <c r="E793" i="6"/>
  <c r="E794" i="6"/>
  <c r="E795" i="6"/>
  <c r="E796" i="6"/>
  <c r="E797" i="6"/>
  <c r="E798" i="6"/>
  <c r="E799" i="6"/>
  <c r="E800" i="6"/>
  <c r="E801" i="6"/>
  <c r="E802" i="6"/>
  <c r="E803" i="6"/>
  <c r="E804" i="6"/>
  <c r="E805" i="6"/>
  <c r="E806" i="6"/>
  <c r="E807" i="6"/>
  <c r="E808" i="6"/>
  <c r="E809" i="6"/>
  <c r="E810" i="6"/>
  <c r="E811" i="6"/>
  <c r="E812" i="6"/>
  <c r="E813" i="6"/>
  <c r="E814" i="6"/>
  <c r="E815" i="6"/>
  <c r="E816" i="6"/>
  <c r="E817" i="6"/>
  <c r="E818" i="6"/>
  <c r="E819" i="6"/>
  <c r="E820" i="6"/>
  <c r="E821" i="6"/>
  <c r="E822" i="6"/>
  <c r="E823" i="6"/>
  <c r="E824" i="6"/>
  <c r="E825" i="6"/>
  <c r="E826" i="6"/>
  <c r="E827" i="6"/>
  <c r="E828" i="6"/>
  <c r="E829" i="6"/>
  <c r="E830" i="6"/>
  <c r="E831" i="6"/>
  <c r="E832" i="6"/>
  <c r="E833" i="6"/>
  <c r="E834" i="6"/>
  <c r="E835" i="6"/>
  <c r="E836" i="6"/>
  <c r="E837" i="6"/>
  <c r="E838" i="6"/>
  <c r="E839" i="6"/>
  <c r="E840" i="6"/>
  <c r="E841" i="6"/>
  <c r="E842" i="6"/>
  <c r="E843" i="6"/>
  <c r="E844" i="6"/>
  <c r="E845" i="6"/>
  <c r="E846" i="6"/>
  <c r="E847" i="6"/>
  <c r="E848" i="6"/>
  <c r="E849" i="6"/>
  <c r="E850" i="6"/>
  <c r="E851" i="6"/>
  <c r="E852" i="6"/>
  <c r="E853" i="6"/>
  <c r="E854" i="6"/>
  <c r="E855" i="6"/>
  <c r="E856" i="6"/>
  <c r="E857" i="6"/>
  <c r="E858" i="6"/>
  <c r="E859" i="6"/>
  <c r="E860" i="6"/>
  <c r="E861" i="6"/>
  <c r="E862" i="6"/>
  <c r="E863" i="6"/>
  <c r="E864" i="6"/>
  <c r="E865" i="6"/>
  <c r="E866" i="6"/>
  <c r="E867" i="6"/>
  <c r="E868" i="6"/>
  <c r="E869" i="6"/>
  <c r="E870" i="6"/>
  <c r="E871" i="6"/>
  <c r="E872" i="6"/>
  <c r="E873" i="6"/>
  <c r="E874" i="6"/>
  <c r="E875" i="6"/>
  <c r="E876" i="6"/>
  <c r="E877" i="6"/>
  <c r="E878" i="6"/>
  <c r="E879" i="6"/>
  <c r="E880" i="6"/>
  <c r="E881" i="6"/>
  <c r="E882" i="6"/>
  <c r="E883" i="6"/>
  <c r="E884" i="6"/>
  <c r="E885" i="6"/>
  <c r="E886" i="6"/>
  <c r="E887" i="6"/>
  <c r="E888" i="6"/>
  <c r="E889" i="6"/>
  <c r="E890" i="6"/>
  <c r="E891" i="6"/>
  <c r="E892" i="6"/>
  <c r="E893" i="6"/>
  <c r="E894" i="6"/>
  <c r="E895" i="6"/>
  <c r="E896" i="6"/>
  <c r="E897" i="6"/>
  <c r="E898" i="6"/>
  <c r="E899" i="6"/>
  <c r="E900" i="6"/>
  <c r="E901" i="6"/>
  <c r="E902" i="6"/>
  <c r="E903" i="6"/>
  <c r="E904" i="6"/>
  <c r="E905" i="6"/>
  <c r="E906" i="6"/>
  <c r="E907" i="6"/>
  <c r="E908" i="6"/>
  <c r="E909" i="6"/>
  <c r="E910" i="6"/>
  <c r="E911" i="6"/>
  <c r="E912" i="6"/>
  <c r="E913" i="6"/>
  <c r="E914" i="6"/>
  <c r="E915" i="6"/>
  <c r="E916" i="6"/>
  <c r="E917" i="6"/>
  <c r="E918" i="6"/>
  <c r="E919" i="6"/>
  <c r="E920" i="6"/>
  <c r="E921" i="6"/>
  <c r="E922" i="6"/>
  <c r="E923" i="6"/>
  <c r="E924" i="6"/>
  <c r="E925" i="6"/>
  <c r="E926" i="6"/>
  <c r="E927" i="6"/>
  <c r="E928" i="6"/>
  <c r="E929" i="6"/>
  <c r="E930" i="6"/>
  <c r="E931" i="6"/>
  <c r="E932" i="6"/>
  <c r="E933" i="6"/>
  <c r="E934" i="6"/>
  <c r="E935" i="6"/>
  <c r="E936" i="6"/>
  <c r="E937" i="6"/>
  <c r="E938" i="6"/>
  <c r="E939" i="6"/>
  <c r="E940" i="6"/>
  <c r="E941" i="6"/>
  <c r="E942" i="6"/>
  <c r="E943" i="6"/>
  <c r="E944" i="6"/>
  <c r="E945" i="6"/>
  <c r="E946" i="6"/>
  <c r="E947" i="6"/>
  <c r="E948" i="6"/>
  <c r="E949" i="6"/>
  <c r="E950" i="6"/>
  <c r="E951" i="6"/>
  <c r="E952" i="6"/>
  <c r="E953" i="6"/>
  <c r="E954" i="6"/>
  <c r="E955" i="6"/>
  <c r="E956" i="6"/>
  <c r="E957" i="6"/>
  <c r="E958" i="6"/>
  <c r="E959" i="6"/>
  <c r="E960" i="6"/>
  <c r="E961" i="6"/>
  <c r="E962" i="6"/>
  <c r="E963" i="6"/>
  <c r="E964" i="6"/>
  <c r="E965" i="6"/>
  <c r="E966" i="6"/>
  <c r="E967" i="6"/>
  <c r="E968" i="6"/>
  <c r="E969" i="6"/>
  <c r="E970" i="6"/>
  <c r="E971" i="6"/>
  <c r="E972" i="6"/>
  <c r="E973" i="6"/>
  <c r="E974" i="6"/>
  <c r="E975" i="6"/>
  <c r="E976" i="6"/>
  <c r="E977" i="6"/>
  <c r="E978" i="6"/>
  <c r="E979" i="6"/>
  <c r="E980" i="6"/>
  <c r="E981" i="6"/>
  <c r="E982" i="6"/>
  <c r="E983" i="6"/>
  <c r="E984" i="6"/>
  <c r="E985" i="6"/>
  <c r="E986" i="6"/>
  <c r="E987" i="6"/>
  <c r="E988" i="6"/>
  <c r="E989" i="6"/>
  <c r="E990" i="6"/>
  <c r="E991" i="6"/>
  <c r="E992" i="6"/>
  <c r="E993" i="6"/>
  <c r="E994" i="6"/>
  <c r="E995" i="6"/>
  <c r="E996" i="6"/>
  <c r="E997" i="6"/>
  <c r="E998" i="6"/>
  <c r="E999" i="6"/>
  <c r="E1000" i="6"/>
  <c r="E1001" i="6"/>
  <c r="E1002" i="6"/>
  <c r="E1003" i="6"/>
  <c r="E1004" i="6"/>
  <c r="E1005" i="6"/>
  <c r="E1006" i="6"/>
  <c r="E1007" i="6"/>
  <c r="E1008" i="6"/>
  <c r="E1009" i="6"/>
  <c r="E1010" i="6"/>
  <c r="E1011" i="6"/>
  <c r="E1012" i="6"/>
  <c r="E1013" i="6"/>
  <c r="E1014" i="6"/>
  <c r="E1015" i="6"/>
  <c r="E1016" i="6"/>
  <c r="E1017" i="6"/>
  <c r="E1018" i="6"/>
  <c r="E1019" i="6"/>
  <c r="E1020" i="6"/>
  <c r="E1021" i="6"/>
  <c r="E1022" i="6"/>
  <c r="E1023" i="6"/>
  <c r="E1024" i="6"/>
  <c r="E1025" i="6"/>
  <c r="E1026" i="6"/>
  <c r="E1027" i="6"/>
  <c r="E1028" i="6"/>
  <c r="E1029" i="6"/>
  <c r="E1030" i="6"/>
  <c r="E1031" i="6"/>
  <c r="E1032" i="6"/>
  <c r="E1033" i="6"/>
  <c r="E1034" i="6"/>
  <c r="E1035" i="6"/>
  <c r="E1036" i="6"/>
  <c r="E1037" i="6"/>
  <c r="E1038" i="6"/>
  <c r="E1039" i="6"/>
  <c r="E1040" i="6"/>
  <c r="E1041" i="6"/>
  <c r="E1042" i="6"/>
  <c r="E1043" i="6"/>
  <c r="E1044" i="6"/>
  <c r="E1045" i="6"/>
  <c r="E1046" i="6"/>
  <c r="E1047" i="6"/>
  <c r="E1048" i="6"/>
  <c r="E1049" i="6"/>
  <c r="E1050" i="6"/>
  <c r="E1051" i="6"/>
  <c r="E1052" i="6"/>
  <c r="E1053" i="6"/>
  <c r="E1054" i="6"/>
  <c r="E1055" i="6"/>
  <c r="E1056" i="6"/>
  <c r="E1057" i="6"/>
  <c r="E1058" i="6"/>
  <c r="E1059" i="6"/>
  <c r="E1060" i="6"/>
  <c r="E1061" i="6"/>
  <c r="E1062" i="6"/>
  <c r="E1063" i="6"/>
  <c r="E1064" i="6"/>
  <c r="E1065" i="6"/>
  <c r="E1066" i="6"/>
  <c r="E1067" i="6"/>
  <c r="E1068" i="6"/>
  <c r="E1069" i="6"/>
  <c r="E1070" i="6"/>
  <c r="E1071" i="6"/>
  <c r="E1072" i="6"/>
  <c r="E1073" i="6"/>
  <c r="E1074" i="6"/>
  <c r="E1075" i="6"/>
  <c r="E1076" i="6"/>
  <c r="E1077" i="6"/>
  <c r="E1078" i="6"/>
  <c r="E1079" i="6"/>
  <c r="E1080" i="6"/>
  <c r="E1081" i="6"/>
  <c r="E1082" i="6"/>
  <c r="E1083" i="6"/>
  <c r="E1084" i="6"/>
  <c r="E1085" i="6"/>
  <c r="E1086" i="6"/>
  <c r="E1087" i="6"/>
  <c r="E1088" i="6"/>
  <c r="E1089" i="6"/>
  <c r="E1090" i="6"/>
  <c r="E1091" i="6"/>
  <c r="E1092" i="6"/>
  <c r="E1093" i="6"/>
  <c r="E1094" i="6"/>
  <c r="E1095" i="6"/>
  <c r="E1096" i="6"/>
  <c r="E1097" i="6"/>
  <c r="E1098" i="6"/>
  <c r="E1099" i="6"/>
  <c r="E1100" i="6"/>
  <c r="E1101" i="6"/>
  <c r="E1102" i="6"/>
  <c r="E1103" i="6"/>
  <c r="E1104" i="6"/>
  <c r="E1105" i="6"/>
  <c r="E1106" i="6"/>
  <c r="E1107" i="6"/>
  <c r="E1108" i="6"/>
  <c r="E1109" i="6"/>
  <c r="E1110" i="6"/>
  <c r="E1111" i="6"/>
  <c r="E1112" i="6"/>
  <c r="E1113" i="6"/>
  <c r="E1114" i="6"/>
  <c r="E1115" i="6"/>
  <c r="E1116" i="6"/>
  <c r="E1117" i="6"/>
  <c r="E1118" i="6"/>
  <c r="E1119" i="6"/>
  <c r="E1120" i="6"/>
  <c r="E1121" i="6"/>
  <c r="E1122" i="6"/>
  <c r="E1123" i="6"/>
  <c r="E1124" i="6"/>
  <c r="E1125" i="6"/>
  <c r="E1126" i="6"/>
  <c r="E1127" i="6"/>
  <c r="E1128" i="6"/>
  <c r="E1129" i="6"/>
  <c r="E1130" i="6"/>
  <c r="E1131" i="6"/>
  <c r="E1132" i="6"/>
  <c r="E1133" i="6"/>
  <c r="E1134" i="6"/>
  <c r="E1135" i="6"/>
  <c r="E1136" i="6"/>
  <c r="E1137" i="6"/>
  <c r="E1138" i="6"/>
  <c r="E1139" i="6"/>
  <c r="E1140" i="6"/>
  <c r="E1141" i="6"/>
  <c r="E1142" i="6"/>
  <c r="E1143" i="6"/>
  <c r="E1144" i="6"/>
  <c r="E1145" i="6"/>
  <c r="E1146" i="6"/>
  <c r="E1147" i="6"/>
  <c r="E1148" i="6"/>
  <c r="E1149" i="6"/>
  <c r="E1150" i="6"/>
  <c r="E1151" i="6"/>
  <c r="E1152" i="6"/>
  <c r="E1153" i="6"/>
  <c r="E1154" i="6"/>
  <c r="E1155" i="6"/>
  <c r="E1156" i="6"/>
  <c r="E1157" i="6"/>
  <c r="E1158" i="6"/>
  <c r="E1159" i="6"/>
  <c r="E1160" i="6"/>
  <c r="E1161" i="6"/>
  <c r="E1162" i="6"/>
  <c r="E1163" i="6"/>
  <c r="E1164" i="6"/>
  <c r="E1165" i="6"/>
  <c r="E1166" i="6"/>
  <c r="E1167" i="6"/>
  <c r="E1168" i="6"/>
  <c r="E1169" i="6"/>
  <c r="E1170" i="6"/>
  <c r="E1171" i="6"/>
  <c r="E1172" i="6"/>
  <c r="E1173" i="6"/>
  <c r="E1174" i="6"/>
  <c r="E1175" i="6"/>
  <c r="E1176" i="6"/>
  <c r="E1177" i="6"/>
  <c r="E1178" i="6"/>
  <c r="E1179" i="6"/>
  <c r="E1180" i="6"/>
  <c r="E1181" i="6"/>
  <c r="E1182" i="6"/>
  <c r="E1183" i="6"/>
  <c r="E1184" i="6"/>
  <c r="E1185" i="6"/>
  <c r="E1186" i="6"/>
  <c r="E1187" i="6"/>
  <c r="E1188" i="6"/>
  <c r="E1189" i="6"/>
  <c r="E1190" i="6"/>
  <c r="E1191" i="6"/>
  <c r="E1192" i="6"/>
  <c r="E1193" i="6"/>
  <c r="E1194" i="6"/>
  <c r="E1195" i="6"/>
  <c r="E1196" i="6"/>
  <c r="E1197" i="6"/>
  <c r="E1198" i="6"/>
  <c r="E1199" i="6"/>
  <c r="E1200" i="6"/>
  <c r="E1201" i="6"/>
  <c r="E1202" i="6"/>
  <c r="E1203" i="6"/>
  <c r="E1204" i="6"/>
  <c r="E1205" i="6"/>
  <c r="E1206" i="6"/>
  <c r="E1207" i="6"/>
  <c r="E1208" i="6"/>
  <c r="E1209" i="6"/>
  <c r="E1210" i="6"/>
  <c r="E1211" i="6"/>
  <c r="E1212" i="6"/>
  <c r="E1213" i="6"/>
  <c r="E1214" i="6"/>
  <c r="E1215" i="6"/>
  <c r="E1216" i="6"/>
  <c r="E1217" i="6"/>
  <c r="E1218" i="6"/>
  <c r="E1219" i="6"/>
  <c r="E1220" i="6"/>
  <c r="E1221" i="6"/>
  <c r="E1222" i="6"/>
  <c r="E1223" i="6"/>
  <c r="E1224" i="6"/>
  <c r="E1225" i="6"/>
  <c r="E1226" i="6"/>
  <c r="E1227" i="6"/>
  <c r="E1228" i="6"/>
  <c r="E1229" i="6"/>
  <c r="E1230" i="6"/>
  <c r="E1231" i="6"/>
  <c r="E1232" i="6"/>
  <c r="E1233" i="6"/>
  <c r="E1234" i="6"/>
  <c r="E1235" i="6"/>
  <c r="E1236" i="6"/>
  <c r="E1237" i="6"/>
  <c r="E1238" i="6"/>
  <c r="E1239" i="6"/>
  <c r="E1240" i="6"/>
  <c r="E1241" i="6"/>
  <c r="E1242" i="6"/>
  <c r="E1243" i="6"/>
  <c r="E1244" i="6"/>
  <c r="E1245" i="6"/>
  <c r="E1246" i="6"/>
  <c r="E1247" i="6"/>
  <c r="E1248" i="6"/>
  <c r="E1249" i="6"/>
  <c r="E1250" i="6"/>
  <c r="E1251" i="6"/>
  <c r="E1252" i="6"/>
  <c r="E1253" i="6"/>
  <c r="E1254" i="6"/>
  <c r="E1255" i="6"/>
  <c r="E1256" i="6"/>
  <c r="E1257" i="6"/>
  <c r="E1258" i="6"/>
  <c r="E1259" i="6"/>
  <c r="E1260" i="6"/>
  <c r="E1261" i="6"/>
  <c r="E1262" i="6"/>
  <c r="E1263" i="6"/>
  <c r="E1264" i="6"/>
  <c r="E1265" i="6"/>
  <c r="E1266" i="6"/>
  <c r="E1267" i="6"/>
  <c r="E1268" i="6"/>
  <c r="E1269" i="6"/>
  <c r="E1270" i="6"/>
  <c r="E1271" i="6"/>
  <c r="E1272" i="6"/>
  <c r="E1273" i="6"/>
  <c r="E1274" i="6"/>
  <c r="E1275" i="6"/>
  <c r="E1276" i="6"/>
  <c r="E1277" i="6"/>
  <c r="E1278" i="6"/>
  <c r="E1279" i="6"/>
  <c r="E1280" i="6"/>
  <c r="E1281" i="6"/>
  <c r="E1282" i="6"/>
  <c r="E1283" i="6"/>
  <c r="E1284" i="6"/>
  <c r="E1285" i="6"/>
  <c r="E1286" i="6"/>
  <c r="E1287" i="6"/>
  <c r="E1288" i="6"/>
  <c r="E1289" i="6"/>
  <c r="E1290" i="6"/>
  <c r="E1291" i="6"/>
  <c r="E1292" i="6"/>
  <c r="E1293" i="6"/>
  <c r="E1294" i="6"/>
  <c r="E1295" i="6"/>
  <c r="E1296" i="6"/>
  <c r="E1297" i="6"/>
  <c r="E1298" i="6"/>
  <c r="E1299" i="6"/>
  <c r="E1300" i="6"/>
  <c r="E1301" i="6"/>
  <c r="E1302" i="6"/>
  <c r="E1303" i="6"/>
  <c r="E1304" i="6"/>
  <c r="E1305" i="6"/>
  <c r="E1306" i="6"/>
  <c r="E1307" i="6"/>
  <c r="E1308" i="6"/>
  <c r="E1309" i="6"/>
  <c r="E1310" i="6"/>
  <c r="E1311" i="6"/>
  <c r="E1312" i="6"/>
  <c r="E1313" i="6"/>
  <c r="E1314" i="6"/>
  <c r="E1315" i="6"/>
  <c r="E1316" i="6"/>
  <c r="E1317" i="6"/>
  <c r="E1318" i="6"/>
  <c r="E1319" i="6"/>
  <c r="E1320" i="6"/>
  <c r="E1321" i="6"/>
  <c r="E1322" i="6"/>
  <c r="E1323" i="6"/>
  <c r="E1324" i="6"/>
  <c r="E1325" i="6"/>
  <c r="E1326" i="6"/>
  <c r="E1327" i="6"/>
  <c r="E1328" i="6"/>
  <c r="E1329" i="6"/>
  <c r="E1330" i="6"/>
  <c r="E1331" i="6"/>
  <c r="E1332" i="6"/>
  <c r="E1333" i="6"/>
  <c r="E1334" i="6"/>
  <c r="E1335" i="6"/>
  <c r="E1336" i="6"/>
  <c r="E1337" i="6"/>
  <c r="E1338" i="6"/>
  <c r="E1339" i="6"/>
  <c r="E1340" i="6"/>
  <c r="E1341" i="6"/>
  <c r="E1342" i="6"/>
  <c r="E1343" i="6"/>
  <c r="E1344" i="6"/>
  <c r="E1345" i="6"/>
  <c r="E1346" i="6"/>
  <c r="E1347" i="6"/>
  <c r="E1348" i="6"/>
  <c r="E1349" i="6"/>
  <c r="E1350" i="6"/>
  <c r="E1351" i="6"/>
  <c r="E1352" i="6"/>
  <c r="E1353" i="6"/>
  <c r="E1354" i="6"/>
  <c r="E1355" i="6"/>
  <c r="E1356" i="6"/>
  <c r="E1357" i="6"/>
  <c r="E1358" i="6"/>
  <c r="E1359" i="6"/>
  <c r="E1360" i="6"/>
  <c r="E1361" i="6"/>
  <c r="E1362" i="6"/>
  <c r="E1363" i="6"/>
  <c r="E1364" i="6"/>
  <c r="E1365" i="6"/>
  <c r="E1366" i="6"/>
  <c r="E1367" i="6"/>
  <c r="E1368" i="6"/>
  <c r="E1369" i="6"/>
  <c r="E1370" i="6"/>
  <c r="E1371" i="6"/>
  <c r="E1372" i="6"/>
  <c r="E1373" i="6"/>
  <c r="E1374" i="6"/>
  <c r="E1375" i="6"/>
  <c r="E1376" i="6"/>
  <c r="E1377" i="6"/>
  <c r="E1378" i="6"/>
  <c r="E1379" i="6"/>
  <c r="E1380" i="6"/>
  <c r="E1381" i="6"/>
  <c r="E1382" i="6"/>
  <c r="E1383" i="6"/>
  <c r="E1384" i="6"/>
  <c r="E1385" i="6"/>
  <c r="E1386" i="6"/>
  <c r="E1387" i="6"/>
  <c r="E1388" i="6"/>
  <c r="E1389" i="6"/>
  <c r="E1390" i="6"/>
  <c r="E1391" i="6"/>
  <c r="E1392" i="6"/>
  <c r="E1393" i="6"/>
  <c r="E1394" i="6"/>
  <c r="E1395" i="6"/>
  <c r="E1396" i="6"/>
  <c r="E1397" i="6"/>
  <c r="E1398" i="6"/>
  <c r="E1399" i="6"/>
  <c r="E1400" i="6"/>
  <c r="E1401" i="6"/>
  <c r="E1402" i="6"/>
  <c r="E1403" i="6"/>
  <c r="E1404" i="6"/>
  <c r="E1405" i="6"/>
  <c r="E1406" i="6"/>
  <c r="E1407" i="6"/>
  <c r="E1408" i="6"/>
  <c r="E1409" i="6"/>
  <c r="E1410" i="6"/>
  <c r="E1411" i="6"/>
  <c r="E1412" i="6"/>
  <c r="E1413" i="6"/>
  <c r="E1414" i="6"/>
  <c r="E1415" i="6"/>
  <c r="E1416" i="6"/>
  <c r="E1417" i="6"/>
  <c r="E1418" i="6"/>
  <c r="E1419" i="6"/>
  <c r="E1420" i="6"/>
  <c r="E1421" i="6"/>
  <c r="E1422" i="6"/>
  <c r="E1423" i="6"/>
  <c r="E1424" i="6"/>
  <c r="E1425" i="6"/>
  <c r="E1426" i="6"/>
  <c r="E1427" i="6"/>
  <c r="E1428" i="6"/>
  <c r="E1429" i="6"/>
  <c r="E1430" i="6"/>
  <c r="E1431" i="6"/>
  <c r="E1432" i="6"/>
  <c r="E1433" i="6"/>
  <c r="E1434" i="6"/>
  <c r="E1435" i="6"/>
  <c r="E1436" i="6"/>
  <c r="E1437" i="6"/>
  <c r="E1438" i="6"/>
  <c r="E1439" i="6"/>
  <c r="E1440" i="6"/>
  <c r="E1441" i="6"/>
  <c r="E1442" i="6"/>
  <c r="E1443" i="6"/>
  <c r="E1444" i="6"/>
  <c r="E1445" i="6"/>
  <c r="E1446" i="6"/>
  <c r="E1447" i="6"/>
  <c r="E1448" i="6"/>
  <c r="E1449" i="6"/>
  <c r="E1450" i="6"/>
  <c r="E1451" i="6"/>
  <c r="E1452" i="6"/>
  <c r="E1453" i="6"/>
  <c r="E1454" i="6"/>
  <c r="E1455" i="6"/>
  <c r="E1456" i="6"/>
  <c r="E1457" i="6"/>
  <c r="E1458" i="6"/>
  <c r="E1459" i="6"/>
  <c r="E1460" i="6"/>
  <c r="E1461" i="6"/>
  <c r="E1462" i="6"/>
  <c r="E1463" i="6"/>
  <c r="E1464" i="6"/>
  <c r="E1465" i="6"/>
  <c r="E1466" i="6"/>
  <c r="E1467" i="6"/>
  <c r="E1468" i="6"/>
  <c r="E1469" i="6"/>
  <c r="E1470" i="6"/>
  <c r="E1471" i="6"/>
  <c r="E1472" i="6"/>
  <c r="E1473" i="6"/>
  <c r="E1474" i="6"/>
  <c r="E1475" i="6"/>
  <c r="E1476" i="6"/>
  <c r="E1477" i="6"/>
  <c r="E1478" i="6"/>
  <c r="E1479" i="6"/>
  <c r="E1480" i="6"/>
  <c r="E1481" i="6"/>
  <c r="E1482" i="6"/>
  <c r="E1483" i="6"/>
  <c r="E1484" i="6"/>
  <c r="E1485" i="6"/>
  <c r="E1486" i="6"/>
  <c r="E1487" i="6"/>
  <c r="E1488" i="6"/>
  <c r="E1489" i="6"/>
  <c r="E1490" i="6"/>
  <c r="E1491" i="6"/>
  <c r="E1492" i="6"/>
  <c r="E1493" i="6"/>
  <c r="E1494" i="6"/>
  <c r="E1495" i="6"/>
  <c r="E1496" i="6"/>
  <c r="E1497" i="6"/>
  <c r="E1498" i="6"/>
  <c r="E1499" i="6"/>
  <c r="E1500" i="6"/>
  <c r="E1501" i="6"/>
  <c r="E1502" i="6"/>
  <c r="E1503" i="6"/>
  <c r="E1504" i="6"/>
  <c r="E1505" i="6"/>
  <c r="E1506" i="6"/>
  <c r="E1507" i="6"/>
  <c r="E1508" i="6"/>
  <c r="E1509" i="6"/>
  <c r="E1510" i="6"/>
  <c r="E1511" i="6"/>
  <c r="E1512" i="6"/>
  <c r="E1513" i="6"/>
  <c r="E1514" i="6"/>
  <c r="E1515" i="6"/>
  <c r="E1516" i="6"/>
  <c r="E1517" i="6"/>
  <c r="E1518" i="6"/>
  <c r="E1519" i="6"/>
  <c r="E1520" i="6"/>
  <c r="E1521" i="6"/>
  <c r="E1522" i="6"/>
  <c r="E1523" i="6"/>
  <c r="E1524" i="6"/>
  <c r="E1525" i="6"/>
  <c r="E1526" i="6"/>
  <c r="E1527" i="6"/>
  <c r="E1528" i="6"/>
  <c r="E1529" i="6"/>
  <c r="E1530" i="6"/>
  <c r="E1531" i="6"/>
  <c r="E1532" i="6"/>
  <c r="E1533" i="6"/>
  <c r="E1534" i="6"/>
  <c r="E1535" i="6"/>
  <c r="E1536" i="6"/>
  <c r="E1537" i="6"/>
  <c r="E1538" i="6"/>
  <c r="E1539" i="6"/>
  <c r="E1540" i="6"/>
  <c r="E1541" i="6"/>
  <c r="E1542" i="6"/>
  <c r="E1543" i="6"/>
  <c r="E1544" i="6"/>
  <c r="E1545" i="6"/>
  <c r="E1546" i="6"/>
  <c r="E1547" i="6"/>
  <c r="E1548" i="6"/>
  <c r="E1549" i="6"/>
  <c r="E1550" i="6"/>
  <c r="E1551" i="6"/>
  <c r="E1552" i="6"/>
  <c r="E1553" i="6"/>
  <c r="E1554" i="6"/>
  <c r="E1555" i="6"/>
  <c r="E1556" i="6"/>
  <c r="E1557" i="6"/>
  <c r="E1558" i="6"/>
  <c r="E1559" i="6"/>
  <c r="E1560" i="6"/>
  <c r="E1561" i="6"/>
  <c r="E1562" i="6"/>
  <c r="E1563" i="6"/>
  <c r="E1564" i="6"/>
  <c r="E1565" i="6"/>
  <c r="E1566" i="6"/>
  <c r="E1567" i="6"/>
  <c r="E1568" i="6"/>
  <c r="E1569" i="6"/>
  <c r="E1570" i="6"/>
  <c r="E1571" i="6"/>
  <c r="E1572" i="6"/>
  <c r="E1573" i="6"/>
  <c r="E1574" i="6"/>
  <c r="E1575" i="6"/>
  <c r="E1576" i="6"/>
  <c r="E1577" i="6"/>
  <c r="E1578" i="6"/>
  <c r="E1579" i="6"/>
  <c r="E1580" i="6"/>
  <c r="E1581" i="6"/>
  <c r="E1582" i="6"/>
  <c r="E1583" i="6"/>
  <c r="E1584" i="6"/>
  <c r="E1585" i="6"/>
  <c r="E1586" i="6"/>
  <c r="E1587" i="6"/>
  <c r="E1588" i="6"/>
  <c r="E1589" i="6"/>
  <c r="E1590" i="6"/>
  <c r="E1591" i="6"/>
  <c r="E1592" i="6"/>
  <c r="E1593" i="6"/>
  <c r="E1594" i="6"/>
  <c r="E1595" i="6"/>
  <c r="E1596" i="6"/>
  <c r="E1597" i="6"/>
  <c r="E1598" i="6"/>
  <c r="E1599" i="6"/>
  <c r="E1600" i="6"/>
  <c r="E1601" i="6"/>
  <c r="E1602" i="6"/>
  <c r="E1603" i="6"/>
  <c r="E1604" i="6"/>
  <c r="E1605" i="6"/>
  <c r="E1606" i="6"/>
  <c r="E1607" i="6"/>
  <c r="E1608" i="6"/>
  <c r="E1609" i="6"/>
  <c r="E1610" i="6"/>
  <c r="E1611" i="6"/>
  <c r="E1612" i="6"/>
  <c r="E1613" i="6"/>
  <c r="E1614" i="6"/>
  <c r="E1615" i="6"/>
  <c r="E1616" i="6"/>
  <c r="E1617" i="6"/>
  <c r="E1618" i="6"/>
  <c r="E1619" i="6"/>
  <c r="E1620" i="6"/>
  <c r="E1621" i="6"/>
  <c r="E1622" i="6"/>
  <c r="E1623" i="6"/>
  <c r="E1624" i="6"/>
  <c r="E1625" i="6"/>
  <c r="E1626" i="6"/>
  <c r="E1627" i="6"/>
  <c r="E1628" i="6"/>
  <c r="E1629" i="6"/>
  <c r="E1630" i="6"/>
  <c r="E1631" i="6"/>
  <c r="E1632" i="6"/>
  <c r="E1633" i="6"/>
  <c r="E1634" i="6"/>
  <c r="E1635" i="6"/>
  <c r="E1636" i="6"/>
  <c r="E1637" i="6"/>
  <c r="E1638" i="6"/>
  <c r="E1639" i="6"/>
  <c r="E1640" i="6"/>
  <c r="E1641" i="6"/>
  <c r="E1642" i="6"/>
  <c r="E1643" i="6"/>
  <c r="E1644" i="6"/>
  <c r="E1645" i="6"/>
  <c r="E1646" i="6"/>
  <c r="E1647" i="6"/>
  <c r="E1648" i="6"/>
  <c r="E1649" i="6"/>
  <c r="E1650" i="6"/>
  <c r="E1651" i="6"/>
  <c r="E1652" i="6"/>
  <c r="E1653" i="6"/>
  <c r="E1654" i="6"/>
  <c r="E1655" i="6"/>
  <c r="E1656" i="6"/>
  <c r="E1657" i="6"/>
  <c r="E1658" i="6"/>
  <c r="E1659" i="6"/>
  <c r="E1660" i="6"/>
  <c r="E1661" i="6"/>
  <c r="E1662" i="6"/>
  <c r="E1663" i="6"/>
  <c r="E1664" i="6"/>
  <c r="E1665" i="6"/>
  <c r="E1666" i="6"/>
  <c r="E1667" i="6"/>
  <c r="E1668" i="6"/>
  <c r="E1669" i="6"/>
  <c r="E1670" i="6"/>
  <c r="E1671" i="6"/>
  <c r="E1672" i="6"/>
  <c r="E1673" i="6"/>
  <c r="E1674" i="6"/>
  <c r="E1675" i="6"/>
  <c r="E1676" i="6"/>
  <c r="E1677" i="6"/>
  <c r="E1678" i="6"/>
  <c r="E1679" i="6"/>
  <c r="E1680" i="6"/>
  <c r="E1681" i="6"/>
  <c r="E1682" i="6"/>
  <c r="E1683" i="6"/>
  <c r="E1684" i="6"/>
  <c r="E1685" i="6"/>
  <c r="E1686" i="6"/>
  <c r="E1687" i="6"/>
  <c r="E1688" i="6"/>
  <c r="E1689" i="6"/>
  <c r="E1690" i="6"/>
  <c r="E1691" i="6"/>
  <c r="E1692" i="6"/>
  <c r="E1693" i="6"/>
  <c r="E1694" i="6"/>
  <c r="E1695" i="6"/>
  <c r="E1696" i="6"/>
  <c r="E1697" i="6"/>
  <c r="E1698" i="6"/>
  <c r="E1699" i="6"/>
  <c r="E1700" i="6"/>
  <c r="E1701" i="6"/>
  <c r="E1702" i="6"/>
  <c r="E1703" i="6"/>
  <c r="E1704" i="6"/>
  <c r="E1705" i="6"/>
  <c r="E1706" i="6"/>
  <c r="E1707" i="6"/>
  <c r="E1708" i="6"/>
  <c r="E1709" i="6"/>
  <c r="E1710" i="6"/>
  <c r="E1711" i="6"/>
  <c r="E1712" i="6"/>
  <c r="E1713" i="6"/>
  <c r="E1714" i="6"/>
  <c r="E1715" i="6"/>
  <c r="E1716" i="6"/>
  <c r="E1717" i="6"/>
  <c r="E1718" i="6"/>
  <c r="E1719" i="6"/>
  <c r="E1720" i="6"/>
  <c r="E1721" i="6"/>
  <c r="E1722" i="6"/>
  <c r="E1723" i="6"/>
  <c r="E1724" i="6"/>
  <c r="E1725" i="6"/>
  <c r="E1726" i="6"/>
  <c r="E1727" i="6"/>
  <c r="E1728" i="6"/>
  <c r="E1729" i="6"/>
  <c r="E1730" i="6"/>
  <c r="E1731" i="6"/>
  <c r="E1732" i="6"/>
  <c r="E1733" i="6"/>
  <c r="E1734" i="6"/>
  <c r="E1735" i="6"/>
  <c r="E1736" i="6"/>
  <c r="E1737" i="6"/>
  <c r="E1738" i="6"/>
  <c r="E1739" i="6"/>
  <c r="E1740" i="6"/>
  <c r="E1741" i="6"/>
  <c r="E1742" i="6"/>
  <c r="E1743" i="6"/>
  <c r="E1744" i="6"/>
  <c r="E1745" i="6"/>
  <c r="E1746" i="6"/>
  <c r="E1747" i="6"/>
  <c r="E1748" i="6"/>
  <c r="E1749" i="6"/>
  <c r="E1750" i="6"/>
  <c r="E1751" i="6"/>
  <c r="E1752" i="6"/>
  <c r="E1753" i="6"/>
  <c r="E1754" i="6"/>
  <c r="E1755" i="6"/>
  <c r="E1756" i="6"/>
  <c r="E1757" i="6"/>
  <c r="E1758" i="6"/>
  <c r="E1759" i="6"/>
  <c r="E1760" i="6"/>
  <c r="E1761" i="6"/>
  <c r="E1762" i="6"/>
  <c r="E1763" i="6"/>
  <c r="E1764" i="6"/>
  <c r="E1765" i="6"/>
  <c r="E1766" i="6"/>
  <c r="E1767" i="6"/>
  <c r="E1768" i="6"/>
  <c r="E1769" i="6"/>
  <c r="E1770" i="6"/>
  <c r="E1771" i="6"/>
  <c r="E1772" i="6"/>
  <c r="E1773" i="6"/>
  <c r="E1774" i="6"/>
  <c r="E1775" i="6"/>
  <c r="E1776" i="6"/>
  <c r="E1777" i="6"/>
  <c r="E1778" i="6"/>
  <c r="E1779" i="6"/>
  <c r="E1780" i="6"/>
  <c r="E1781" i="6"/>
  <c r="E1782" i="6"/>
  <c r="E1783" i="6"/>
  <c r="E1784" i="6"/>
  <c r="E1785" i="6"/>
  <c r="E1786" i="6"/>
  <c r="E1787" i="6"/>
  <c r="E1788" i="6"/>
  <c r="E1789" i="6"/>
  <c r="E1790" i="6"/>
  <c r="E1791" i="6"/>
  <c r="E1792" i="6"/>
  <c r="E1793" i="6"/>
  <c r="E1794" i="6"/>
  <c r="E1795" i="6"/>
  <c r="E1796" i="6"/>
  <c r="E1797" i="6"/>
  <c r="E1798" i="6"/>
  <c r="E1799" i="6"/>
  <c r="E1800" i="6"/>
  <c r="E1801" i="6"/>
  <c r="E1802" i="6"/>
  <c r="E1803" i="6"/>
  <c r="E1804" i="6"/>
  <c r="E1805" i="6"/>
  <c r="E1806" i="6"/>
  <c r="E1807" i="6"/>
  <c r="E1808" i="6"/>
  <c r="E1809" i="6"/>
  <c r="E1810" i="6"/>
  <c r="E1811" i="6"/>
  <c r="E1812" i="6"/>
  <c r="E1813" i="6"/>
  <c r="E1814" i="6"/>
  <c r="E1815" i="6"/>
  <c r="E1816" i="6"/>
  <c r="E1817" i="6"/>
  <c r="E1818" i="6"/>
  <c r="E1819" i="6"/>
  <c r="E1820" i="6"/>
  <c r="E1821" i="6"/>
  <c r="E1822" i="6"/>
  <c r="E1823" i="6"/>
  <c r="E1824" i="6"/>
  <c r="E1825" i="6"/>
  <c r="E1826" i="6"/>
  <c r="E1827" i="6"/>
  <c r="E1828" i="6"/>
  <c r="E1829" i="6"/>
  <c r="E1830" i="6"/>
  <c r="E1831" i="6"/>
  <c r="E1832" i="6"/>
  <c r="E1833" i="6"/>
  <c r="E1834" i="6"/>
  <c r="E1835" i="6"/>
  <c r="E1836" i="6"/>
  <c r="E1837" i="6"/>
  <c r="E1838" i="6"/>
  <c r="E1839" i="6"/>
  <c r="E1840" i="6"/>
  <c r="E1841" i="6"/>
  <c r="E1842" i="6"/>
  <c r="E1843" i="6"/>
  <c r="E1844" i="6"/>
  <c r="E1845" i="6"/>
  <c r="E1846" i="6"/>
  <c r="E1847" i="6"/>
  <c r="E1848" i="6"/>
  <c r="E1849" i="6"/>
  <c r="E1850" i="6"/>
  <c r="E1851" i="6"/>
  <c r="E1852" i="6"/>
  <c r="E1853" i="6"/>
  <c r="E1854" i="6"/>
  <c r="E1855" i="6"/>
  <c r="E1856" i="6"/>
  <c r="E1857" i="6"/>
  <c r="E1858" i="6"/>
  <c r="E1859" i="6"/>
  <c r="E1860" i="6"/>
  <c r="E1861" i="6"/>
  <c r="E1862" i="6"/>
  <c r="E1863" i="6"/>
  <c r="E1864" i="6"/>
  <c r="E1865" i="6"/>
  <c r="E1866" i="6"/>
  <c r="E1867" i="6"/>
  <c r="E1868" i="6"/>
  <c r="E1869" i="6"/>
  <c r="E1870" i="6"/>
  <c r="E1871" i="6"/>
  <c r="E1872" i="6"/>
  <c r="E1873" i="6"/>
  <c r="E1874" i="6"/>
  <c r="E1875" i="6"/>
  <c r="E1876" i="6"/>
  <c r="E1877" i="6"/>
  <c r="E1878" i="6"/>
  <c r="E1879" i="6"/>
  <c r="E1880" i="6"/>
  <c r="E1881" i="6"/>
  <c r="E1882" i="6"/>
  <c r="E1883" i="6"/>
  <c r="E1884" i="6"/>
  <c r="E1885" i="6"/>
  <c r="E1886" i="6"/>
  <c r="E1887" i="6"/>
  <c r="E1888" i="6"/>
  <c r="E1889" i="6"/>
  <c r="E1890" i="6"/>
  <c r="E1891" i="6"/>
  <c r="E1892" i="6"/>
  <c r="E1893" i="6"/>
  <c r="E1894" i="6"/>
  <c r="E1895" i="6"/>
  <c r="E1896" i="6"/>
  <c r="E1897" i="6"/>
  <c r="E1898" i="6"/>
  <c r="E1899" i="6"/>
  <c r="E1900" i="6"/>
  <c r="E1901" i="6"/>
  <c r="E1902" i="6"/>
  <c r="E1903" i="6"/>
  <c r="E1904" i="6"/>
  <c r="E1905" i="6"/>
  <c r="E1906" i="6"/>
  <c r="E1907" i="6"/>
  <c r="E1908" i="6"/>
  <c r="E1909" i="6"/>
  <c r="E1910" i="6"/>
  <c r="E1911" i="6"/>
  <c r="E1912" i="6"/>
  <c r="E1913" i="6"/>
  <c r="E1914" i="6"/>
  <c r="E1915" i="6"/>
  <c r="E1916" i="6"/>
  <c r="E1917" i="6"/>
  <c r="E1918" i="6"/>
  <c r="E1919" i="6"/>
  <c r="E1920" i="6"/>
  <c r="E1921" i="6"/>
  <c r="E1922" i="6"/>
  <c r="E1923" i="6"/>
  <c r="E1924" i="6"/>
  <c r="E1925" i="6"/>
  <c r="E1926" i="6"/>
  <c r="E1927" i="6"/>
  <c r="E1928" i="6"/>
  <c r="E1929" i="6"/>
  <c r="E1930" i="6"/>
  <c r="E1931" i="6"/>
  <c r="E1932" i="6"/>
  <c r="E1933" i="6"/>
  <c r="E1934" i="6"/>
  <c r="E1935" i="6"/>
  <c r="E1936" i="6"/>
  <c r="E1937" i="6"/>
  <c r="E1938" i="6"/>
  <c r="E1939" i="6"/>
  <c r="E1940" i="6"/>
  <c r="E1941" i="6"/>
  <c r="E1942" i="6"/>
  <c r="E1943" i="6"/>
  <c r="E1944" i="6"/>
  <c r="E1945" i="6"/>
  <c r="E1946" i="6"/>
  <c r="E1947" i="6"/>
  <c r="E1948" i="6"/>
  <c r="E1949" i="6"/>
  <c r="E1950" i="6"/>
  <c r="E1951" i="6"/>
  <c r="E1952" i="6"/>
  <c r="E1953" i="6"/>
  <c r="E1954" i="6"/>
  <c r="E1955" i="6"/>
  <c r="E1956" i="6"/>
  <c r="E1957" i="6"/>
  <c r="E1958" i="6"/>
  <c r="E1959" i="6"/>
  <c r="E1960" i="6"/>
  <c r="E1961" i="6"/>
  <c r="E1962" i="6"/>
  <c r="E1963" i="6"/>
  <c r="E1964" i="6"/>
  <c r="E1965" i="6"/>
  <c r="E1966" i="6"/>
  <c r="E1967" i="6"/>
  <c r="E1968" i="6"/>
  <c r="E1969" i="6"/>
  <c r="E1970" i="6"/>
  <c r="E1971" i="6"/>
  <c r="E1972" i="6"/>
  <c r="E1973" i="6"/>
  <c r="E1974" i="6"/>
  <c r="E1975" i="6"/>
  <c r="E1976" i="6"/>
  <c r="E1977" i="6"/>
  <c r="E1978" i="6"/>
  <c r="E1979" i="6"/>
  <c r="E1980" i="6"/>
  <c r="E1981" i="6"/>
  <c r="E1982" i="6"/>
  <c r="E1983" i="6"/>
  <c r="E1984" i="6"/>
  <c r="E1985" i="6"/>
  <c r="E1986" i="6"/>
  <c r="E1987" i="6"/>
  <c r="E1988" i="6"/>
  <c r="E1989" i="6"/>
  <c r="E1990" i="6"/>
  <c r="E1991" i="6"/>
  <c r="E1992" i="6"/>
  <c r="E1993" i="6"/>
  <c r="E1994" i="6"/>
  <c r="E1995" i="6"/>
  <c r="E1996" i="6"/>
  <c r="E1997" i="6"/>
  <c r="E1998" i="6"/>
  <c r="E1999" i="6"/>
  <c r="E2000" i="6"/>
  <c r="E2001" i="6"/>
  <c r="F2" i="6"/>
  <c r="F3" i="6"/>
  <c r="F4" i="6"/>
  <c r="F5" i="6"/>
  <c r="F6" i="6"/>
  <c r="F7" i="6"/>
  <c r="F8" i="6"/>
  <c r="F9" i="6"/>
  <c r="F10" i="6"/>
  <c r="F11" i="6"/>
  <c r="F12" i="6"/>
  <c r="F13" i="6"/>
  <c r="F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F44" i="6"/>
  <c r="F45" i="6"/>
  <c r="F46" i="6"/>
  <c r="F47" i="6"/>
  <c r="F48" i="6"/>
  <c r="F49" i="6"/>
  <c r="F50" i="6"/>
  <c r="F51" i="6"/>
  <c r="F52" i="6"/>
  <c r="F53" i="6"/>
  <c r="F54" i="6"/>
  <c r="F55" i="6"/>
  <c r="F56" i="6"/>
  <c r="F57" i="6"/>
  <c r="F58" i="6"/>
  <c r="F59" i="6"/>
  <c r="F60" i="6"/>
  <c r="F61" i="6"/>
  <c r="F62" i="6"/>
  <c r="F63" i="6"/>
  <c r="F64" i="6"/>
  <c r="F65" i="6"/>
  <c r="F66" i="6"/>
  <c r="F67" i="6"/>
  <c r="F68" i="6"/>
  <c r="F69" i="6"/>
  <c r="F70" i="6"/>
  <c r="F71" i="6"/>
  <c r="F72" i="6"/>
  <c r="F73" i="6"/>
  <c r="F74" i="6"/>
  <c r="F75" i="6"/>
  <c r="F76" i="6"/>
  <c r="F77" i="6"/>
  <c r="F78" i="6"/>
  <c r="F79" i="6"/>
  <c r="F80" i="6"/>
  <c r="F81" i="6"/>
  <c r="F82" i="6"/>
  <c r="F83" i="6"/>
  <c r="F84" i="6"/>
  <c r="F85" i="6"/>
  <c r="F86" i="6"/>
  <c r="F87" i="6"/>
  <c r="F88" i="6"/>
  <c r="F89" i="6"/>
  <c r="F90" i="6"/>
  <c r="F91" i="6"/>
  <c r="F92" i="6"/>
  <c r="F93" i="6"/>
  <c r="F94" i="6"/>
  <c r="F95" i="6"/>
  <c r="F96" i="6"/>
  <c r="F97" i="6"/>
  <c r="F98" i="6"/>
  <c r="F99" i="6"/>
  <c r="F100" i="6"/>
  <c r="F101" i="6"/>
  <c r="F102" i="6"/>
  <c r="F103" i="6"/>
  <c r="F104" i="6"/>
  <c r="F105" i="6"/>
  <c r="F106" i="6"/>
  <c r="F107" i="6"/>
  <c r="F108" i="6"/>
  <c r="F109" i="6"/>
  <c r="F110" i="6"/>
  <c r="F111" i="6"/>
  <c r="F112" i="6"/>
  <c r="F113" i="6"/>
  <c r="F114" i="6"/>
  <c r="F115" i="6"/>
  <c r="F116" i="6"/>
  <c r="F117" i="6"/>
  <c r="F118" i="6"/>
  <c r="F119" i="6"/>
  <c r="F120" i="6"/>
  <c r="F121" i="6"/>
  <c r="F122" i="6"/>
  <c r="F123" i="6"/>
  <c r="F124" i="6"/>
  <c r="F125" i="6"/>
  <c r="F126" i="6"/>
  <c r="F127" i="6"/>
  <c r="F128" i="6"/>
  <c r="F129" i="6"/>
  <c r="F130" i="6"/>
  <c r="F131" i="6"/>
  <c r="F132" i="6"/>
  <c r="F133" i="6"/>
  <c r="F134" i="6"/>
  <c r="F135" i="6"/>
  <c r="F136" i="6"/>
  <c r="F137" i="6"/>
  <c r="F138" i="6"/>
  <c r="F139" i="6"/>
  <c r="F140" i="6"/>
  <c r="F141" i="6"/>
  <c r="F142" i="6"/>
  <c r="F143" i="6"/>
  <c r="F144" i="6"/>
  <c r="F145" i="6"/>
  <c r="F146" i="6"/>
  <c r="F147" i="6"/>
  <c r="F148" i="6"/>
  <c r="F149" i="6"/>
  <c r="F150" i="6"/>
  <c r="F151" i="6"/>
  <c r="F152" i="6"/>
  <c r="F153" i="6"/>
  <c r="F154" i="6"/>
  <c r="F155" i="6"/>
  <c r="F156" i="6"/>
  <c r="F157" i="6"/>
  <c r="F158" i="6"/>
  <c r="F159" i="6"/>
  <c r="F160" i="6"/>
  <c r="F161" i="6"/>
  <c r="F162" i="6"/>
  <c r="F163" i="6"/>
  <c r="F164" i="6"/>
  <c r="F165" i="6"/>
  <c r="F166" i="6"/>
  <c r="F167" i="6"/>
  <c r="F168" i="6"/>
  <c r="F169" i="6"/>
  <c r="F170" i="6"/>
  <c r="F171" i="6"/>
  <c r="F172" i="6"/>
  <c r="F173" i="6"/>
  <c r="F174" i="6"/>
  <c r="F175" i="6"/>
  <c r="F176" i="6"/>
  <c r="F177" i="6"/>
  <c r="F178" i="6"/>
  <c r="F179" i="6"/>
  <c r="F180" i="6"/>
  <c r="F181" i="6"/>
  <c r="F182" i="6"/>
  <c r="F183" i="6"/>
  <c r="F184" i="6"/>
  <c r="F185" i="6"/>
  <c r="F186" i="6"/>
  <c r="F187" i="6"/>
  <c r="F188" i="6"/>
  <c r="F189" i="6"/>
  <c r="F190" i="6"/>
  <c r="F191" i="6"/>
  <c r="F192" i="6"/>
  <c r="F193" i="6"/>
  <c r="F194" i="6"/>
  <c r="F195" i="6"/>
  <c r="F196" i="6"/>
  <c r="F197" i="6"/>
  <c r="F198" i="6"/>
  <c r="F199" i="6"/>
  <c r="F200" i="6"/>
  <c r="F201" i="6"/>
  <c r="F202" i="6"/>
  <c r="F203" i="6"/>
  <c r="F204" i="6"/>
  <c r="F205" i="6"/>
  <c r="F206" i="6"/>
  <c r="F207" i="6"/>
  <c r="F208" i="6"/>
  <c r="F209" i="6"/>
  <c r="F210" i="6"/>
  <c r="F211" i="6"/>
  <c r="F212" i="6"/>
  <c r="F213" i="6"/>
  <c r="F214" i="6"/>
  <c r="F215" i="6"/>
  <c r="F216" i="6"/>
  <c r="F217" i="6"/>
  <c r="F218" i="6"/>
  <c r="F219" i="6"/>
  <c r="F220" i="6"/>
  <c r="F221" i="6"/>
  <c r="F222" i="6"/>
  <c r="F223" i="6"/>
  <c r="F224" i="6"/>
  <c r="F225" i="6"/>
  <c r="F226" i="6"/>
  <c r="F227" i="6"/>
  <c r="F228" i="6"/>
  <c r="F229" i="6"/>
  <c r="F230" i="6"/>
  <c r="F231" i="6"/>
  <c r="F232" i="6"/>
  <c r="F233" i="6"/>
  <c r="F234" i="6"/>
  <c r="F235" i="6"/>
  <c r="F236" i="6"/>
  <c r="F237" i="6"/>
  <c r="F238" i="6"/>
  <c r="F239" i="6"/>
  <c r="F240" i="6"/>
  <c r="F241" i="6"/>
  <c r="F242" i="6"/>
  <c r="F243" i="6"/>
  <c r="F244" i="6"/>
  <c r="F245" i="6"/>
  <c r="F246" i="6"/>
  <c r="F247" i="6"/>
  <c r="F248" i="6"/>
  <c r="F249" i="6"/>
  <c r="F250" i="6"/>
  <c r="F251" i="6"/>
  <c r="F252" i="6"/>
  <c r="F253" i="6"/>
  <c r="F254" i="6"/>
  <c r="F255" i="6"/>
  <c r="F256" i="6"/>
  <c r="F257" i="6"/>
  <c r="F258" i="6"/>
  <c r="F259" i="6"/>
  <c r="F260" i="6"/>
  <c r="F261" i="6"/>
  <c r="F262" i="6"/>
  <c r="F263" i="6"/>
  <c r="F264" i="6"/>
  <c r="F265" i="6"/>
  <c r="F266" i="6"/>
  <c r="F267" i="6"/>
  <c r="F268" i="6"/>
  <c r="F269" i="6"/>
  <c r="F270" i="6"/>
  <c r="F271" i="6"/>
  <c r="F272" i="6"/>
  <c r="F273" i="6"/>
  <c r="F274" i="6"/>
  <c r="F275" i="6"/>
  <c r="F276" i="6"/>
  <c r="F277" i="6"/>
  <c r="F278" i="6"/>
  <c r="F279" i="6"/>
  <c r="F280" i="6"/>
  <c r="F281" i="6"/>
  <c r="F282" i="6"/>
  <c r="F283" i="6"/>
  <c r="F284" i="6"/>
  <c r="F285" i="6"/>
  <c r="F286" i="6"/>
  <c r="F287" i="6"/>
  <c r="F288" i="6"/>
  <c r="F289" i="6"/>
  <c r="F290" i="6"/>
  <c r="F291" i="6"/>
  <c r="F292" i="6"/>
  <c r="F293" i="6"/>
  <c r="F294" i="6"/>
  <c r="F295" i="6"/>
  <c r="F296" i="6"/>
  <c r="F297" i="6"/>
  <c r="F298" i="6"/>
  <c r="F299" i="6"/>
  <c r="F300" i="6"/>
  <c r="F301" i="6"/>
  <c r="F302" i="6"/>
  <c r="F303" i="6"/>
  <c r="F304" i="6"/>
  <c r="F305" i="6"/>
  <c r="F306" i="6"/>
  <c r="F307" i="6"/>
  <c r="F308" i="6"/>
  <c r="F309" i="6"/>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F523" i="6"/>
  <c r="F524" i="6"/>
  <c r="F525" i="6"/>
  <c r="F526" i="6"/>
  <c r="F527" i="6"/>
  <c r="F528" i="6"/>
  <c r="F529" i="6"/>
  <c r="F530" i="6"/>
  <c r="F531" i="6"/>
  <c r="F532" i="6"/>
  <c r="F533" i="6"/>
  <c r="F534" i="6"/>
  <c r="F535" i="6"/>
  <c r="F536" i="6"/>
  <c r="F537" i="6"/>
  <c r="F538" i="6"/>
  <c r="F539" i="6"/>
  <c r="F540" i="6"/>
  <c r="F541" i="6"/>
  <c r="F542" i="6"/>
  <c r="F543" i="6"/>
  <c r="F544" i="6"/>
  <c r="F545" i="6"/>
  <c r="F546" i="6"/>
  <c r="F547" i="6"/>
  <c r="F548" i="6"/>
  <c r="F549" i="6"/>
  <c r="F550" i="6"/>
  <c r="F551" i="6"/>
  <c r="F552" i="6"/>
  <c r="F553" i="6"/>
  <c r="F554" i="6"/>
  <c r="F555" i="6"/>
  <c r="F556" i="6"/>
  <c r="F557" i="6"/>
  <c r="F558" i="6"/>
  <c r="F559" i="6"/>
  <c r="F560" i="6"/>
  <c r="F561" i="6"/>
  <c r="F562" i="6"/>
  <c r="F563" i="6"/>
  <c r="F564" i="6"/>
  <c r="F565" i="6"/>
  <c r="F566" i="6"/>
  <c r="F567" i="6"/>
  <c r="F568" i="6"/>
  <c r="F569" i="6"/>
  <c r="F570" i="6"/>
  <c r="F571" i="6"/>
  <c r="F572" i="6"/>
  <c r="F573" i="6"/>
  <c r="F574" i="6"/>
  <c r="F575" i="6"/>
  <c r="F576" i="6"/>
  <c r="F577" i="6"/>
  <c r="F578" i="6"/>
  <c r="F579" i="6"/>
  <c r="F580" i="6"/>
  <c r="F581" i="6"/>
  <c r="F582" i="6"/>
  <c r="F583" i="6"/>
  <c r="F584" i="6"/>
  <c r="F585" i="6"/>
  <c r="F586" i="6"/>
  <c r="F587" i="6"/>
  <c r="F588" i="6"/>
  <c r="F589" i="6"/>
  <c r="F590" i="6"/>
  <c r="F591" i="6"/>
  <c r="F592" i="6"/>
  <c r="F593" i="6"/>
  <c r="F594" i="6"/>
  <c r="F595" i="6"/>
  <c r="F596" i="6"/>
  <c r="F597" i="6"/>
  <c r="F598" i="6"/>
  <c r="F599" i="6"/>
  <c r="F600" i="6"/>
  <c r="F601" i="6"/>
  <c r="F602" i="6"/>
  <c r="F603" i="6"/>
  <c r="F604" i="6"/>
  <c r="F605" i="6"/>
  <c r="F606" i="6"/>
  <c r="F607" i="6"/>
  <c r="F608" i="6"/>
  <c r="F609" i="6"/>
  <c r="F610" i="6"/>
  <c r="F611" i="6"/>
  <c r="F612" i="6"/>
  <c r="F613" i="6"/>
  <c r="F614" i="6"/>
  <c r="F615" i="6"/>
  <c r="F616" i="6"/>
  <c r="F617" i="6"/>
  <c r="F618" i="6"/>
  <c r="F619" i="6"/>
  <c r="F620" i="6"/>
  <c r="F621" i="6"/>
  <c r="F622" i="6"/>
  <c r="F623" i="6"/>
  <c r="F624" i="6"/>
  <c r="F625" i="6"/>
  <c r="F626" i="6"/>
  <c r="F627" i="6"/>
  <c r="F628" i="6"/>
  <c r="F629" i="6"/>
  <c r="F630" i="6"/>
  <c r="F631" i="6"/>
  <c r="F632" i="6"/>
  <c r="F633" i="6"/>
  <c r="F634" i="6"/>
  <c r="F635" i="6"/>
  <c r="F636" i="6"/>
  <c r="F637" i="6"/>
  <c r="F638" i="6"/>
  <c r="F639" i="6"/>
  <c r="F640" i="6"/>
  <c r="F641" i="6"/>
  <c r="F642" i="6"/>
  <c r="F643" i="6"/>
  <c r="F644" i="6"/>
  <c r="F645" i="6"/>
  <c r="F646" i="6"/>
  <c r="F647" i="6"/>
  <c r="F648" i="6"/>
  <c r="F649" i="6"/>
  <c r="F650" i="6"/>
  <c r="F651" i="6"/>
  <c r="F652" i="6"/>
  <c r="F653" i="6"/>
  <c r="F654" i="6"/>
  <c r="F655" i="6"/>
  <c r="F656" i="6"/>
  <c r="F657" i="6"/>
  <c r="F658" i="6"/>
  <c r="F659" i="6"/>
  <c r="F660" i="6"/>
  <c r="F661" i="6"/>
  <c r="F662" i="6"/>
  <c r="F663" i="6"/>
  <c r="F664" i="6"/>
  <c r="F665" i="6"/>
  <c r="F666" i="6"/>
  <c r="F667" i="6"/>
  <c r="F668" i="6"/>
  <c r="F669" i="6"/>
  <c r="F670" i="6"/>
  <c r="F671" i="6"/>
  <c r="F672" i="6"/>
  <c r="F673" i="6"/>
  <c r="F674" i="6"/>
  <c r="F675" i="6"/>
  <c r="F676" i="6"/>
  <c r="F677" i="6"/>
  <c r="F678" i="6"/>
  <c r="F679" i="6"/>
  <c r="F680" i="6"/>
  <c r="F681" i="6"/>
  <c r="F682" i="6"/>
  <c r="F683" i="6"/>
  <c r="F684" i="6"/>
  <c r="F685" i="6"/>
  <c r="F686" i="6"/>
  <c r="F687" i="6"/>
  <c r="F688" i="6"/>
  <c r="F689" i="6"/>
  <c r="F690" i="6"/>
  <c r="F691" i="6"/>
  <c r="F692" i="6"/>
  <c r="F693" i="6"/>
  <c r="F694" i="6"/>
  <c r="F695" i="6"/>
  <c r="F696" i="6"/>
  <c r="F697" i="6"/>
  <c r="F698" i="6"/>
  <c r="F699" i="6"/>
  <c r="F700" i="6"/>
  <c r="F701" i="6"/>
  <c r="F702" i="6"/>
  <c r="F703" i="6"/>
  <c r="F704" i="6"/>
  <c r="F705" i="6"/>
  <c r="F706" i="6"/>
  <c r="F707" i="6"/>
  <c r="F708" i="6"/>
  <c r="F709" i="6"/>
  <c r="F710" i="6"/>
  <c r="F711" i="6"/>
  <c r="F712" i="6"/>
  <c r="F713" i="6"/>
  <c r="F714" i="6"/>
  <c r="F715" i="6"/>
  <c r="F716" i="6"/>
  <c r="F717" i="6"/>
  <c r="F718" i="6"/>
  <c r="F719" i="6"/>
  <c r="F720" i="6"/>
  <c r="F721" i="6"/>
  <c r="F722" i="6"/>
  <c r="F723" i="6"/>
  <c r="F724" i="6"/>
  <c r="F725" i="6"/>
  <c r="F726" i="6"/>
  <c r="F727" i="6"/>
  <c r="F728" i="6"/>
  <c r="F729" i="6"/>
  <c r="F730" i="6"/>
  <c r="F731" i="6"/>
  <c r="F732" i="6"/>
  <c r="F733" i="6"/>
  <c r="F734" i="6"/>
  <c r="F735" i="6"/>
  <c r="F736" i="6"/>
  <c r="F737" i="6"/>
  <c r="F738" i="6"/>
  <c r="F739" i="6"/>
  <c r="F740" i="6"/>
  <c r="F741" i="6"/>
  <c r="F742" i="6"/>
  <c r="F743" i="6"/>
  <c r="F744" i="6"/>
  <c r="F745" i="6"/>
  <c r="F746" i="6"/>
  <c r="F747" i="6"/>
  <c r="F748" i="6"/>
  <c r="F749" i="6"/>
  <c r="F750" i="6"/>
  <c r="F751" i="6"/>
  <c r="F752" i="6"/>
  <c r="F753" i="6"/>
  <c r="F754" i="6"/>
  <c r="F755" i="6"/>
  <c r="F756" i="6"/>
  <c r="F757" i="6"/>
  <c r="F758" i="6"/>
  <c r="F759" i="6"/>
  <c r="F760" i="6"/>
  <c r="F761" i="6"/>
  <c r="F762" i="6"/>
  <c r="F763" i="6"/>
  <c r="F764" i="6"/>
  <c r="F765" i="6"/>
  <c r="F766" i="6"/>
  <c r="F767" i="6"/>
  <c r="F768" i="6"/>
  <c r="F769" i="6"/>
  <c r="F770" i="6"/>
  <c r="F771" i="6"/>
  <c r="F772" i="6"/>
  <c r="F773" i="6"/>
  <c r="F774" i="6"/>
  <c r="F775" i="6"/>
  <c r="F776" i="6"/>
  <c r="F777" i="6"/>
  <c r="F778" i="6"/>
  <c r="F779" i="6"/>
  <c r="F780" i="6"/>
  <c r="F781" i="6"/>
  <c r="F782" i="6"/>
  <c r="F783" i="6"/>
  <c r="F784" i="6"/>
  <c r="F785" i="6"/>
  <c r="F786" i="6"/>
  <c r="F787" i="6"/>
  <c r="F788" i="6"/>
  <c r="F789" i="6"/>
  <c r="F790" i="6"/>
  <c r="F791" i="6"/>
  <c r="F792" i="6"/>
  <c r="F793" i="6"/>
  <c r="F794" i="6"/>
  <c r="F795" i="6"/>
  <c r="F796" i="6"/>
  <c r="F797" i="6"/>
  <c r="F798" i="6"/>
  <c r="F799" i="6"/>
  <c r="F800" i="6"/>
  <c r="F801" i="6"/>
  <c r="F802" i="6"/>
  <c r="F803" i="6"/>
  <c r="F804" i="6"/>
  <c r="F805" i="6"/>
  <c r="F806" i="6"/>
  <c r="F807" i="6"/>
  <c r="F808" i="6"/>
  <c r="F809" i="6"/>
  <c r="F810" i="6"/>
  <c r="F811" i="6"/>
  <c r="F812" i="6"/>
  <c r="F813" i="6"/>
  <c r="F814" i="6"/>
  <c r="F815" i="6"/>
  <c r="F816" i="6"/>
  <c r="F817" i="6"/>
  <c r="F818" i="6"/>
  <c r="F819" i="6"/>
  <c r="F820" i="6"/>
  <c r="F821" i="6"/>
  <c r="F822" i="6"/>
  <c r="F823" i="6"/>
  <c r="F824" i="6"/>
  <c r="F825" i="6"/>
  <c r="F826" i="6"/>
  <c r="F827" i="6"/>
  <c r="F828" i="6"/>
  <c r="F829" i="6"/>
  <c r="F830" i="6"/>
  <c r="F831" i="6"/>
  <c r="F832" i="6"/>
  <c r="F833" i="6"/>
  <c r="F834" i="6"/>
  <c r="F835" i="6"/>
  <c r="F836" i="6"/>
  <c r="F837" i="6"/>
  <c r="F838" i="6"/>
  <c r="F839" i="6"/>
  <c r="F840" i="6"/>
  <c r="F841" i="6"/>
  <c r="F842" i="6"/>
  <c r="F843" i="6"/>
  <c r="F844" i="6"/>
  <c r="F845" i="6"/>
  <c r="F846" i="6"/>
  <c r="F847" i="6"/>
  <c r="F848" i="6"/>
  <c r="F849" i="6"/>
  <c r="F850" i="6"/>
  <c r="F851" i="6"/>
  <c r="F852" i="6"/>
  <c r="F853" i="6"/>
  <c r="F854" i="6"/>
  <c r="F855" i="6"/>
  <c r="F856" i="6"/>
  <c r="F857" i="6"/>
  <c r="F858" i="6"/>
  <c r="F859" i="6"/>
  <c r="F860" i="6"/>
  <c r="F861" i="6"/>
  <c r="F862" i="6"/>
  <c r="F863" i="6"/>
  <c r="F864" i="6"/>
  <c r="F865" i="6"/>
  <c r="F866" i="6"/>
  <c r="F867" i="6"/>
  <c r="F868" i="6"/>
  <c r="F869" i="6"/>
  <c r="F870" i="6"/>
  <c r="F871" i="6"/>
  <c r="F872" i="6"/>
  <c r="F873" i="6"/>
  <c r="F874" i="6"/>
  <c r="F875" i="6"/>
  <c r="F876" i="6"/>
  <c r="F877" i="6"/>
  <c r="F878" i="6"/>
  <c r="F879" i="6"/>
  <c r="F880" i="6"/>
  <c r="F881" i="6"/>
  <c r="F882" i="6"/>
  <c r="F883" i="6"/>
  <c r="F884" i="6"/>
  <c r="F885" i="6"/>
  <c r="F886" i="6"/>
  <c r="F887" i="6"/>
  <c r="F888" i="6"/>
  <c r="F889" i="6"/>
  <c r="F890" i="6"/>
  <c r="F891" i="6"/>
  <c r="F892" i="6"/>
  <c r="F893" i="6"/>
  <c r="F894" i="6"/>
  <c r="F895" i="6"/>
  <c r="F896" i="6"/>
  <c r="F897" i="6"/>
  <c r="F898" i="6"/>
  <c r="F899" i="6"/>
  <c r="F900" i="6"/>
  <c r="F901" i="6"/>
  <c r="F902" i="6"/>
  <c r="F903" i="6"/>
  <c r="F904" i="6"/>
  <c r="F905" i="6"/>
  <c r="F906" i="6"/>
  <c r="F907" i="6"/>
  <c r="F908" i="6"/>
  <c r="F909" i="6"/>
  <c r="F910" i="6"/>
  <c r="F911" i="6"/>
  <c r="F912" i="6"/>
  <c r="F913" i="6"/>
  <c r="F914" i="6"/>
  <c r="F915" i="6"/>
  <c r="F916" i="6"/>
  <c r="F917" i="6"/>
  <c r="F918" i="6"/>
  <c r="F919" i="6"/>
  <c r="F920" i="6"/>
  <c r="F921" i="6"/>
  <c r="F922" i="6"/>
  <c r="F923" i="6"/>
  <c r="F924" i="6"/>
  <c r="F925" i="6"/>
  <c r="F926" i="6"/>
  <c r="F927" i="6"/>
  <c r="F928" i="6"/>
  <c r="F929" i="6"/>
  <c r="F930" i="6"/>
  <c r="F931" i="6"/>
  <c r="F932" i="6"/>
  <c r="F933" i="6"/>
  <c r="F934" i="6"/>
  <c r="F935" i="6"/>
  <c r="F936" i="6"/>
  <c r="F937" i="6"/>
  <c r="F938" i="6"/>
  <c r="F939" i="6"/>
  <c r="F940" i="6"/>
  <c r="F941" i="6"/>
  <c r="F942" i="6"/>
  <c r="F943" i="6"/>
  <c r="F944" i="6"/>
  <c r="F945" i="6"/>
  <c r="F946" i="6"/>
  <c r="F947" i="6"/>
  <c r="F948" i="6"/>
  <c r="F949" i="6"/>
  <c r="F950" i="6"/>
  <c r="F951" i="6"/>
  <c r="F952" i="6"/>
  <c r="F953" i="6"/>
  <c r="F954" i="6"/>
  <c r="F955" i="6"/>
  <c r="F956" i="6"/>
  <c r="F957" i="6"/>
  <c r="F958" i="6"/>
  <c r="F959" i="6"/>
  <c r="F960" i="6"/>
  <c r="F961" i="6"/>
  <c r="F962" i="6"/>
  <c r="F963" i="6"/>
  <c r="F964" i="6"/>
  <c r="F965" i="6"/>
  <c r="F966" i="6"/>
  <c r="F967" i="6"/>
  <c r="F968" i="6"/>
  <c r="F969" i="6"/>
  <c r="F970" i="6"/>
  <c r="F971" i="6"/>
  <c r="F972" i="6"/>
  <c r="F973" i="6"/>
  <c r="F974" i="6"/>
  <c r="F975" i="6"/>
  <c r="F976" i="6"/>
  <c r="F977" i="6"/>
  <c r="F978" i="6"/>
  <c r="F979" i="6"/>
  <c r="F980" i="6"/>
  <c r="F981" i="6"/>
  <c r="F982" i="6"/>
  <c r="F983" i="6"/>
  <c r="F984" i="6"/>
  <c r="F985" i="6"/>
  <c r="F986" i="6"/>
  <c r="F987" i="6"/>
  <c r="F988" i="6"/>
  <c r="F989" i="6"/>
  <c r="F990" i="6"/>
  <c r="F991" i="6"/>
  <c r="F992" i="6"/>
  <c r="F993" i="6"/>
  <c r="F994" i="6"/>
  <c r="F995" i="6"/>
  <c r="F996" i="6"/>
  <c r="F997" i="6"/>
  <c r="F998" i="6"/>
  <c r="F999" i="6"/>
  <c r="F1000" i="6"/>
  <c r="F1001" i="6"/>
  <c r="F1002" i="6"/>
  <c r="F1003" i="6"/>
  <c r="F1004" i="6"/>
  <c r="F1005" i="6"/>
  <c r="F1006" i="6"/>
  <c r="F1007" i="6"/>
  <c r="F1008" i="6"/>
  <c r="F1009" i="6"/>
  <c r="F1010" i="6"/>
  <c r="F1011" i="6"/>
  <c r="F1012" i="6"/>
  <c r="F1013" i="6"/>
  <c r="F1014" i="6"/>
  <c r="F1015" i="6"/>
  <c r="F1016" i="6"/>
  <c r="F1017" i="6"/>
  <c r="F1018" i="6"/>
  <c r="F1019" i="6"/>
  <c r="F1020" i="6"/>
  <c r="F1021" i="6"/>
  <c r="F1022" i="6"/>
  <c r="F1023" i="6"/>
  <c r="F1024" i="6"/>
  <c r="F1025" i="6"/>
  <c r="F1026" i="6"/>
  <c r="F1027" i="6"/>
  <c r="F1028" i="6"/>
  <c r="F1029" i="6"/>
  <c r="F1030" i="6"/>
  <c r="F1031" i="6"/>
  <c r="F1032" i="6"/>
  <c r="F1033" i="6"/>
  <c r="F1034" i="6"/>
  <c r="F1035" i="6"/>
  <c r="F1036" i="6"/>
  <c r="F1037" i="6"/>
  <c r="F1038" i="6"/>
  <c r="F1039" i="6"/>
  <c r="F1040" i="6"/>
  <c r="F1041" i="6"/>
  <c r="F1042" i="6"/>
  <c r="F1043" i="6"/>
  <c r="F1044" i="6"/>
  <c r="F1045" i="6"/>
  <c r="F1046" i="6"/>
  <c r="F1047" i="6"/>
  <c r="F1048" i="6"/>
  <c r="F1049" i="6"/>
  <c r="F1050" i="6"/>
  <c r="F1051" i="6"/>
  <c r="F1052" i="6"/>
  <c r="F1053" i="6"/>
  <c r="F1054" i="6"/>
  <c r="F1055" i="6"/>
  <c r="F1056" i="6"/>
  <c r="F1057" i="6"/>
  <c r="F1058" i="6"/>
  <c r="F1059" i="6"/>
  <c r="F1060" i="6"/>
  <c r="F1061" i="6"/>
  <c r="F1062" i="6"/>
  <c r="F1063" i="6"/>
  <c r="F1064" i="6"/>
  <c r="F1065" i="6"/>
  <c r="F1066" i="6"/>
  <c r="F1067" i="6"/>
  <c r="F1068" i="6"/>
  <c r="F1069" i="6"/>
  <c r="F1070" i="6"/>
  <c r="F1071" i="6"/>
  <c r="F1072" i="6"/>
  <c r="F1073" i="6"/>
  <c r="F1074" i="6"/>
  <c r="F1075" i="6"/>
  <c r="F1076" i="6"/>
  <c r="F1077" i="6"/>
  <c r="F1078" i="6"/>
  <c r="F1079" i="6"/>
  <c r="F1080" i="6"/>
  <c r="F1081" i="6"/>
  <c r="F1082" i="6"/>
  <c r="F1083" i="6"/>
  <c r="F1084" i="6"/>
  <c r="F1085" i="6"/>
  <c r="F1086" i="6"/>
  <c r="F1087" i="6"/>
  <c r="F1088" i="6"/>
  <c r="F1089" i="6"/>
  <c r="F1090" i="6"/>
  <c r="F1091" i="6"/>
  <c r="F1092" i="6"/>
  <c r="F1093" i="6"/>
  <c r="F1094" i="6"/>
  <c r="F1095" i="6"/>
  <c r="F1096" i="6"/>
  <c r="F1097" i="6"/>
  <c r="F1098" i="6"/>
  <c r="F1099" i="6"/>
  <c r="F1100" i="6"/>
  <c r="F1101" i="6"/>
  <c r="F1102" i="6"/>
  <c r="F1103" i="6"/>
  <c r="F1104" i="6"/>
  <c r="F1105" i="6"/>
  <c r="F1106" i="6"/>
  <c r="F1107" i="6"/>
  <c r="F1108" i="6"/>
  <c r="F1109" i="6"/>
  <c r="F1110" i="6"/>
  <c r="F1111" i="6"/>
  <c r="F1112" i="6"/>
  <c r="F1113" i="6"/>
  <c r="F1114" i="6"/>
  <c r="F1115" i="6"/>
  <c r="F1116" i="6"/>
  <c r="F1117" i="6"/>
  <c r="F1118" i="6"/>
  <c r="F1119" i="6"/>
  <c r="F1120" i="6"/>
  <c r="F1121" i="6"/>
  <c r="F1122" i="6"/>
  <c r="F1123" i="6"/>
  <c r="F1124" i="6"/>
  <c r="F1125" i="6"/>
  <c r="F1126" i="6"/>
  <c r="F1127" i="6"/>
  <c r="F1128" i="6"/>
  <c r="F1129" i="6"/>
  <c r="F1130" i="6"/>
  <c r="F1131" i="6"/>
  <c r="F1132" i="6"/>
  <c r="F1133" i="6"/>
  <c r="F1134" i="6"/>
  <c r="F1135" i="6"/>
  <c r="F1136" i="6"/>
  <c r="F1137" i="6"/>
  <c r="F1138" i="6"/>
  <c r="F1139" i="6"/>
  <c r="F1140" i="6"/>
  <c r="F1141" i="6"/>
  <c r="F1142" i="6"/>
  <c r="F1143" i="6"/>
  <c r="F1144" i="6"/>
  <c r="F1145" i="6"/>
  <c r="F1146" i="6"/>
  <c r="F1147" i="6"/>
  <c r="F1148" i="6"/>
  <c r="F1149" i="6"/>
  <c r="F1150" i="6"/>
  <c r="F1151" i="6"/>
  <c r="F1152" i="6"/>
  <c r="F1153" i="6"/>
  <c r="F1154" i="6"/>
  <c r="F1155" i="6"/>
  <c r="F1156" i="6"/>
  <c r="F1157" i="6"/>
  <c r="F1158" i="6"/>
  <c r="F1159" i="6"/>
  <c r="F1160" i="6"/>
  <c r="F1161" i="6"/>
  <c r="F1162" i="6"/>
  <c r="F1163" i="6"/>
  <c r="F1164" i="6"/>
  <c r="F1165" i="6"/>
  <c r="F1166" i="6"/>
  <c r="F1167" i="6"/>
  <c r="F1168" i="6"/>
  <c r="F1169" i="6"/>
  <c r="F1170" i="6"/>
  <c r="F1171" i="6"/>
  <c r="F1172" i="6"/>
  <c r="F1173" i="6"/>
  <c r="F1174" i="6"/>
  <c r="F1175" i="6"/>
  <c r="F1176" i="6"/>
  <c r="F1177" i="6"/>
  <c r="F1178" i="6"/>
  <c r="F1179" i="6"/>
  <c r="F1180" i="6"/>
  <c r="F1181" i="6"/>
  <c r="F1182" i="6"/>
  <c r="F1183" i="6"/>
  <c r="F1184" i="6"/>
  <c r="F1185" i="6"/>
  <c r="F1186" i="6"/>
  <c r="F1187" i="6"/>
  <c r="F1188" i="6"/>
  <c r="F1189" i="6"/>
  <c r="F1190" i="6"/>
  <c r="F1191" i="6"/>
  <c r="F1192" i="6"/>
  <c r="F1193" i="6"/>
  <c r="F1194" i="6"/>
  <c r="F1195" i="6"/>
  <c r="F1196" i="6"/>
  <c r="F1197" i="6"/>
  <c r="F1198" i="6"/>
  <c r="F1199" i="6"/>
  <c r="F1200" i="6"/>
  <c r="F1201" i="6"/>
  <c r="F1202" i="6"/>
  <c r="F1203" i="6"/>
  <c r="F1204" i="6"/>
  <c r="F1205" i="6"/>
  <c r="F1206" i="6"/>
  <c r="F1207" i="6"/>
  <c r="F1208" i="6"/>
  <c r="F1209" i="6"/>
  <c r="F1210" i="6"/>
  <c r="F1211" i="6"/>
  <c r="F1212" i="6"/>
  <c r="F1213" i="6"/>
  <c r="F1214" i="6"/>
  <c r="F1215" i="6"/>
  <c r="F1216" i="6"/>
  <c r="F1217" i="6"/>
  <c r="F1218" i="6"/>
  <c r="F1219" i="6"/>
  <c r="F1220" i="6"/>
  <c r="F1221" i="6"/>
  <c r="F1222" i="6"/>
  <c r="F1223" i="6"/>
  <c r="F1224" i="6"/>
  <c r="F1225" i="6"/>
  <c r="F1226" i="6"/>
  <c r="F1227" i="6"/>
  <c r="F1228" i="6"/>
  <c r="F1229" i="6"/>
  <c r="F1230" i="6"/>
  <c r="F1231" i="6"/>
  <c r="F1232" i="6"/>
  <c r="F1233" i="6"/>
  <c r="F1234" i="6"/>
  <c r="F1235" i="6"/>
  <c r="F1236" i="6"/>
  <c r="F1237" i="6"/>
  <c r="F1238" i="6"/>
  <c r="F1239" i="6"/>
  <c r="F1240" i="6"/>
  <c r="F1241" i="6"/>
  <c r="F1242" i="6"/>
  <c r="F1243" i="6"/>
  <c r="F1244" i="6"/>
  <c r="F1245" i="6"/>
  <c r="F1246" i="6"/>
  <c r="F1247" i="6"/>
  <c r="F1248" i="6"/>
  <c r="F1249" i="6"/>
  <c r="F1250" i="6"/>
  <c r="F1251" i="6"/>
  <c r="F1252" i="6"/>
  <c r="F1253" i="6"/>
  <c r="F1254" i="6"/>
  <c r="F1255" i="6"/>
  <c r="F1256" i="6"/>
  <c r="F1257" i="6"/>
  <c r="F1258" i="6"/>
  <c r="F1259" i="6"/>
  <c r="F1260" i="6"/>
  <c r="F1261" i="6"/>
  <c r="F1262" i="6"/>
  <c r="F1263" i="6"/>
  <c r="F1264" i="6"/>
  <c r="F1265" i="6"/>
  <c r="F1266" i="6"/>
  <c r="F1267" i="6"/>
  <c r="F1268" i="6"/>
  <c r="F1269" i="6"/>
  <c r="F1270" i="6"/>
  <c r="F1271" i="6"/>
  <c r="F1272" i="6"/>
  <c r="F1273" i="6"/>
  <c r="F1274" i="6"/>
  <c r="F1275" i="6"/>
  <c r="F1276" i="6"/>
  <c r="F1277" i="6"/>
  <c r="F1278" i="6"/>
  <c r="F1279" i="6"/>
  <c r="F1280" i="6"/>
  <c r="F1281" i="6"/>
  <c r="F1282" i="6"/>
  <c r="F1283" i="6"/>
  <c r="F1284" i="6"/>
  <c r="F1285" i="6"/>
  <c r="F1286" i="6"/>
  <c r="F1287" i="6"/>
  <c r="F1288" i="6"/>
  <c r="F1289" i="6"/>
  <c r="F1290" i="6"/>
  <c r="F1291" i="6"/>
  <c r="F1292" i="6"/>
  <c r="F1293" i="6"/>
  <c r="F1294" i="6"/>
  <c r="F1295" i="6"/>
  <c r="F1296" i="6"/>
  <c r="F1297" i="6"/>
  <c r="F1298" i="6"/>
  <c r="F1299" i="6"/>
  <c r="F1300" i="6"/>
  <c r="F1301" i="6"/>
  <c r="F1302" i="6"/>
  <c r="F1303" i="6"/>
  <c r="F1304" i="6"/>
  <c r="F1305" i="6"/>
  <c r="F1306" i="6"/>
  <c r="F1307" i="6"/>
  <c r="F1308" i="6"/>
  <c r="F1309" i="6"/>
  <c r="F1310" i="6"/>
  <c r="F1311" i="6"/>
  <c r="F1312" i="6"/>
  <c r="F1313" i="6"/>
  <c r="F1314" i="6"/>
  <c r="F1315" i="6"/>
  <c r="F1316" i="6"/>
  <c r="F1317" i="6"/>
  <c r="F1318" i="6"/>
  <c r="F1319" i="6"/>
  <c r="F1320" i="6"/>
  <c r="F1321" i="6"/>
  <c r="F1322" i="6"/>
  <c r="F1323" i="6"/>
  <c r="F1324" i="6"/>
  <c r="F1325" i="6"/>
  <c r="F1326" i="6"/>
  <c r="F1327" i="6"/>
  <c r="F1328" i="6"/>
  <c r="F1329" i="6"/>
  <c r="F1330" i="6"/>
  <c r="F1331" i="6"/>
  <c r="F1332" i="6"/>
  <c r="F1333" i="6"/>
  <c r="F1334" i="6"/>
  <c r="F1335" i="6"/>
  <c r="F1336" i="6"/>
  <c r="F1337" i="6"/>
  <c r="F1338" i="6"/>
  <c r="F1339" i="6"/>
  <c r="F1340" i="6"/>
  <c r="F1341" i="6"/>
  <c r="F1342" i="6"/>
  <c r="F1343" i="6"/>
  <c r="F1344" i="6"/>
  <c r="F1345" i="6"/>
  <c r="F1346" i="6"/>
  <c r="F1347" i="6"/>
  <c r="F1348" i="6"/>
  <c r="F1349" i="6"/>
  <c r="F1350" i="6"/>
  <c r="F1351" i="6"/>
  <c r="F1352" i="6"/>
  <c r="F1353" i="6"/>
  <c r="F1354" i="6"/>
  <c r="F1355" i="6"/>
  <c r="F1356" i="6"/>
  <c r="F1357" i="6"/>
  <c r="F1358" i="6"/>
  <c r="F1359" i="6"/>
  <c r="F1360" i="6"/>
  <c r="F1361" i="6"/>
  <c r="F1362" i="6"/>
  <c r="F1363" i="6"/>
  <c r="F1364" i="6"/>
  <c r="F1365" i="6"/>
  <c r="F1366" i="6"/>
  <c r="F1367" i="6"/>
  <c r="F1368" i="6"/>
  <c r="F1369" i="6"/>
  <c r="F1370" i="6"/>
  <c r="F1371" i="6"/>
  <c r="F1372" i="6"/>
  <c r="F1373" i="6"/>
  <c r="F1374" i="6"/>
  <c r="F1375" i="6"/>
  <c r="F1376" i="6"/>
  <c r="F1377" i="6"/>
  <c r="F1378" i="6"/>
  <c r="F1379" i="6"/>
  <c r="F1380" i="6"/>
  <c r="F1381" i="6"/>
  <c r="F1382" i="6"/>
  <c r="F1383" i="6"/>
  <c r="F1384" i="6"/>
  <c r="F1385" i="6"/>
  <c r="F1386" i="6"/>
  <c r="F1387" i="6"/>
  <c r="F1388" i="6"/>
  <c r="F1389" i="6"/>
  <c r="F1390" i="6"/>
  <c r="F1391" i="6"/>
  <c r="F1392" i="6"/>
  <c r="F1393" i="6"/>
  <c r="F1394" i="6"/>
  <c r="F1395" i="6"/>
  <c r="F1396" i="6"/>
  <c r="F1397" i="6"/>
  <c r="F1398" i="6"/>
  <c r="F1399" i="6"/>
  <c r="F1400" i="6"/>
  <c r="F1401" i="6"/>
  <c r="F1402" i="6"/>
  <c r="F1403" i="6"/>
  <c r="F1404" i="6"/>
  <c r="F1405" i="6"/>
  <c r="F1406" i="6"/>
  <c r="F1407" i="6"/>
  <c r="F1408" i="6"/>
  <c r="F1409" i="6"/>
  <c r="F1410" i="6"/>
  <c r="F1411" i="6"/>
  <c r="F1412" i="6"/>
  <c r="F1413" i="6"/>
  <c r="F1414" i="6"/>
  <c r="F1415" i="6"/>
  <c r="F1416" i="6"/>
  <c r="F1417" i="6"/>
  <c r="F1418" i="6"/>
  <c r="F1419" i="6"/>
  <c r="F1420" i="6"/>
  <c r="F1421" i="6"/>
  <c r="F1422" i="6"/>
  <c r="F1423" i="6"/>
  <c r="F1424" i="6"/>
  <c r="F1425" i="6"/>
  <c r="F1426" i="6"/>
  <c r="F1427" i="6"/>
  <c r="F1428" i="6"/>
  <c r="F1429" i="6"/>
  <c r="F1430" i="6"/>
  <c r="F1431" i="6"/>
  <c r="F1432" i="6"/>
  <c r="F1433" i="6"/>
  <c r="F1434" i="6"/>
  <c r="F1435" i="6"/>
  <c r="F1436" i="6"/>
  <c r="F1437" i="6"/>
  <c r="F1438" i="6"/>
  <c r="F1439" i="6"/>
  <c r="F1440" i="6"/>
  <c r="F1441" i="6"/>
  <c r="F1442" i="6"/>
  <c r="F1443" i="6"/>
  <c r="F1444" i="6"/>
  <c r="F1445" i="6"/>
  <c r="F1446" i="6"/>
  <c r="F1447" i="6"/>
  <c r="F1448" i="6"/>
  <c r="F1449" i="6"/>
  <c r="F1450" i="6"/>
  <c r="F1451" i="6"/>
  <c r="F1452" i="6"/>
  <c r="F1453" i="6"/>
  <c r="F1454" i="6"/>
  <c r="F1455" i="6"/>
  <c r="F1456" i="6"/>
  <c r="F1457" i="6"/>
  <c r="F1458" i="6"/>
  <c r="F1459" i="6"/>
  <c r="F1460" i="6"/>
  <c r="F1461" i="6"/>
  <c r="F1462" i="6"/>
  <c r="F1463" i="6"/>
  <c r="F1464" i="6"/>
  <c r="F1465" i="6"/>
  <c r="F1466" i="6"/>
  <c r="F1467" i="6"/>
  <c r="F1468" i="6"/>
  <c r="F1469" i="6"/>
  <c r="F1470" i="6"/>
  <c r="F1471" i="6"/>
  <c r="F1472" i="6"/>
  <c r="F1473" i="6"/>
  <c r="F1474" i="6"/>
  <c r="F1475" i="6"/>
  <c r="F1476" i="6"/>
  <c r="F1477" i="6"/>
  <c r="F1478" i="6"/>
  <c r="F1479" i="6"/>
  <c r="F1480" i="6"/>
  <c r="F1481" i="6"/>
  <c r="F1482" i="6"/>
  <c r="F1483" i="6"/>
  <c r="F1484" i="6"/>
  <c r="F1485" i="6"/>
  <c r="F1486" i="6"/>
  <c r="F1487" i="6"/>
  <c r="F1488" i="6"/>
  <c r="F1489" i="6"/>
  <c r="F1490" i="6"/>
  <c r="F1491" i="6"/>
  <c r="F1492" i="6"/>
  <c r="F1493" i="6"/>
  <c r="F1494" i="6"/>
  <c r="F1495" i="6"/>
  <c r="F1496" i="6"/>
  <c r="F1497" i="6"/>
  <c r="F1498" i="6"/>
  <c r="F1499" i="6"/>
  <c r="F1500" i="6"/>
  <c r="F1501" i="6"/>
  <c r="F1502" i="6"/>
  <c r="F1503" i="6"/>
  <c r="F1504" i="6"/>
  <c r="F1505" i="6"/>
  <c r="F1506" i="6"/>
  <c r="F1507" i="6"/>
  <c r="F1508" i="6"/>
  <c r="F1509" i="6"/>
  <c r="F1510" i="6"/>
  <c r="F1511" i="6"/>
  <c r="F1512" i="6"/>
  <c r="F1513" i="6"/>
  <c r="F1514" i="6"/>
  <c r="F1515" i="6"/>
  <c r="F1516" i="6"/>
  <c r="F1517" i="6"/>
  <c r="F1518" i="6"/>
  <c r="F1519" i="6"/>
  <c r="F1520" i="6"/>
  <c r="F1521" i="6"/>
  <c r="F1522" i="6"/>
  <c r="F1523" i="6"/>
  <c r="F1524" i="6"/>
  <c r="F1525" i="6"/>
  <c r="F1526" i="6"/>
  <c r="F1527" i="6"/>
  <c r="F1528" i="6"/>
  <c r="F1529" i="6"/>
  <c r="F1530" i="6"/>
  <c r="F1531" i="6"/>
  <c r="F1532" i="6"/>
  <c r="F1533" i="6"/>
  <c r="F1534" i="6"/>
  <c r="F1535" i="6"/>
  <c r="F1536" i="6"/>
  <c r="F1537" i="6"/>
  <c r="F1538" i="6"/>
  <c r="F1539" i="6"/>
  <c r="F1540" i="6"/>
  <c r="F1541" i="6"/>
  <c r="F1542" i="6"/>
  <c r="F1543" i="6"/>
  <c r="F1544" i="6"/>
  <c r="F1545" i="6"/>
  <c r="F1546" i="6"/>
  <c r="F1547" i="6"/>
  <c r="F1548" i="6"/>
  <c r="F1549" i="6"/>
  <c r="F1550" i="6"/>
  <c r="F1551" i="6"/>
  <c r="F1552" i="6"/>
  <c r="F1553" i="6"/>
  <c r="F1554" i="6"/>
  <c r="F1555" i="6"/>
  <c r="F1556" i="6"/>
  <c r="F1557" i="6"/>
  <c r="F1558" i="6"/>
  <c r="F1559" i="6"/>
  <c r="F1560" i="6"/>
  <c r="F1561" i="6"/>
  <c r="F1562" i="6"/>
  <c r="F1563" i="6"/>
  <c r="F1564" i="6"/>
  <c r="F1565" i="6"/>
  <c r="F1566" i="6"/>
  <c r="F1567" i="6"/>
  <c r="F1568" i="6"/>
  <c r="F1569" i="6"/>
  <c r="F1570" i="6"/>
  <c r="F1571" i="6"/>
  <c r="F1572" i="6"/>
  <c r="F1573" i="6"/>
  <c r="F1574" i="6"/>
  <c r="F1575" i="6"/>
  <c r="F1576" i="6"/>
  <c r="F1577" i="6"/>
  <c r="F1578" i="6"/>
  <c r="F1579" i="6"/>
  <c r="F1580" i="6"/>
  <c r="F1581" i="6"/>
  <c r="F1582" i="6"/>
  <c r="F1583" i="6"/>
  <c r="F1584" i="6"/>
  <c r="F1585" i="6"/>
  <c r="F1586" i="6"/>
  <c r="F1587" i="6"/>
  <c r="F1588" i="6"/>
  <c r="F1589" i="6"/>
  <c r="F1590" i="6"/>
  <c r="F1591" i="6"/>
  <c r="F1592" i="6"/>
  <c r="F1593" i="6"/>
  <c r="F1594" i="6"/>
  <c r="F1595" i="6"/>
  <c r="F1596" i="6"/>
  <c r="F1597" i="6"/>
  <c r="F1598" i="6"/>
  <c r="F1599" i="6"/>
  <c r="F1600" i="6"/>
  <c r="F1601" i="6"/>
  <c r="F1602" i="6"/>
  <c r="F1603" i="6"/>
  <c r="F1604" i="6"/>
  <c r="F1605" i="6"/>
  <c r="F1606" i="6"/>
  <c r="F1607" i="6"/>
  <c r="F1608" i="6"/>
  <c r="F1609" i="6"/>
  <c r="F1610" i="6"/>
  <c r="F1611" i="6"/>
  <c r="F1612" i="6"/>
  <c r="F1613" i="6"/>
  <c r="F1614" i="6"/>
  <c r="F1615" i="6"/>
  <c r="F1616" i="6"/>
  <c r="F1617" i="6"/>
  <c r="F1618" i="6"/>
  <c r="F1619" i="6"/>
  <c r="F1620" i="6"/>
  <c r="F1621" i="6"/>
  <c r="F1622" i="6"/>
  <c r="F1623" i="6"/>
  <c r="F1624" i="6"/>
  <c r="F1625" i="6"/>
  <c r="F1626" i="6"/>
  <c r="F1627" i="6"/>
  <c r="F1628" i="6"/>
  <c r="F1629" i="6"/>
  <c r="F1630" i="6"/>
  <c r="F1631" i="6"/>
  <c r="F1632" i="6"/>
  <c r="F1633" i="6"/>
  <c r="F1634" i="6"/>
  <c r="F1635" i="6"/>
  <c r="F1636" i="6"/>
  <c r="F1637" i="6"/>
  <c r="F1638" i="6"/>
  <c r="F1639" i="6"/>
  <c r="F1640" i="6"/>
  <c r="F1641" i="6"/>
  <c r="F1642" i="6"/>
  <c r="F1643" i="6"/>
  <c r="F1644" i="6"/>
  <c r="F1645" i="6"/>
  <c r="F1646" i="6"/>
  <c r="F1647" i="6"/>
  <c r="F1648" i="6"/>
  <c r="F1649" i="6"/>
  <c r="F1650" i="6"/>
  <c r="F1651" i="6"/>
  <c r="F1652" i="6"/>
  <c r="F1653" i="6"/>
  <c r="F1654" i="6"/>
  <c r="F1655" i="6"/>
  <c r="F1656" i="6"/>
  <c r="F1657" i="6"/>
  <c r="F1658" i="6"/>
  <c r="F1659" i="6"/>
  <c r="F1660" i="6"/>
  <c r="F1661" i="6"/>
  <c r="F1662" i="6"/>
  <c r="F1663" i="6"/>
  <c r="F1664" i="6"/>
  <c r="F1665" i="6"/>
  <c r="F1666" i="6"/>
  <c r="F1667" i="6"/>
  <c r="F1668" i="6"/>
  <c r="F1669" i="6"/>
  <c r="F1670" i="6"/>
  <c r="F1671" i="6"/>
  <c r="F1672" i="6"/>
  <c r="F1673" i="6"/>
  <c r="F1674" i="6"/>
  <c r="F1675" i="6"/>
  <c r="F1676" i="6"/>
  <c r="F1677" i="6"/>
  <c r="F1678" i="6"/>
  <c r="F1679" i="6"/>
  <c r="F1680" i="6"/>
  <c r="F1681" i="6"/>
  <c r="F1682" i="6"/>
  <c r="F1683" i="6"/>
  <c r="F1684" i="6"/>
  <c r="F1685" i="6"/>
  <c r="F1686" i="6"/>
  <c r="F1687" i="6"/>
  <c r="F1688" i="6"/>
  <c r="F1689" i="6"/>
  <c r="F1690" i="6"/>
  <c r="F1691" i="6"/>
  <c r="F1692" i="6"/>
  <c r="F1693" i="6"/>
  <c r="F1694" i="6"/>
  <c r="F1695" i="6"/>
  <c r="F1696" i="6"/>
  <c r="F1697" i="6"/>
  <c r="F1698" i="6"/>
  <c r="F1699" i="6"/>
  <c r="F1700" i="6"/>
  <c r="F1701" i="6"/>
  <c r="F1702" i="6"/>
  <c r="F1703" i="6"/>
  <c r="F1704" i="6"/>
  <c r="F1705" i="6"/>
  <c r="F1706" i="6"/>
  <c r="F1707" i="6"/>
  <c r="F1708" i="6"/>
  <c r="F1709" i="6"/>
  <c r="F1710" i="6"/>
  <c r="F1711" i="6"/>
  <c r="F1712" i="6"/>
  <c r="F1713" i="6"/>
  <c r="F1714" i="6"/>
  <c r="F1715" i="6"/>
  <c r="F1716" i="6"/>
  <c r="F1717" i="6"/>
  <c r="F1718" i="6"/>
  <c r="F1719" i="6"/>
  <c r="F1720" i="6"/>
  <c r="F1721" i="6"/>
  <c r="F1722" i="6"/>
  <c r="F1723" i="6"/>
  <c r="F1724" i="6"/>
  <c r="F1725" i="6"/>
  <c r="F1726" i="6"/>
  <c r="F1727" i="6"/>
  <c r="F1728" i="6"/>
  <c r="F1729" i="6"/>
  <c r="F1730" i="6"/>
  <c r="F1731" i="6"/>
  <c r="F1732" i="6"/>
  <c r="F1733" i="6"/>
  <c r="F1734" i="6"/>
  <c r="F1735" i="6"/>
  <c r="F1736" i="6"/>
  <c r="F1737" i="6"/>
  <c r="F1738" i="6"/>
  <c r="F1739" i="6"/>
  <c r="F1740" i="6"/>
  <c r="F1741" i="6"/>
  <c r="F1742" i="6"/>
  <c r="F1743" i="6"/>
  <c r="F1744" i="6"/>
  <c r="F1745" i="6"/>
  <c r="F1746" i="6"/>
  <c r="F1747" i="6"/>
  <c r="F1748" i="6"/>
  <c r="F1749" i="6"/>
  <c r="F1750" i="6"/>
  <c r="F1751" i="6"/>
  <c r="F1752" i="6"/>
  <c r="F1753" i="6"/>
  <c r="F1754" i="6"/>
  <c r="F1755" i="6"/>
  <c r="F1756" i="6"/>
  <c r="F1757" i="6"/>
  <c r="F1758" i="6"/>
  <c r="F1759" i="6"/>
  <c r="F1760" i="6"/>
  <c r="F1761" i="6"/>
  <c r="F1762" i="6"/>
  <c r="F1763" i="6"/>
  <c r="F1764" i="6"/>
  <c r="F1765" i="6"/>
  <c r="F1766" i="6"/>
  <c r="F1767" i="6"/>
  <c r="F1768" i="6"/>
  <c r="F1769" i="6"/>
  <c r="F1770" i="6"/>
  <c r="F1771" i="6"/>
  <c r="F1772" i="6"/>
  <c r="F1773" i="6"/>
  <c r="F1774" i="6"/>
  <c r="F1775" i="6"/>
  <c r="F1776" i="6"/>
  <c r="F1777" i="6"/>
  <c r="F1778" i="6"/>
  <c r="F1779" i="6"/>
  <c r="F1780" i="6"/>
  <c r="F1781" i="6"/>
  <c r="F1782" i="6"/>
  <c r="F1783" i="6"/>
  <c r="F1784" i="6"/>
  <c r="F1785" i="6"/>
  <c r="F1786" i="6"/>
  <c r="F1787" i="6"/>
  <c r="F1788" i="6"/>
  <c r="F1789" i="6"/>
  <c r="F1790" i="6"/>
  <c r="F1791" i="6"/>
  <c r="F1792" i="6"/>
  <c r="F1793" i="6"/>
  <c r="F1794" i="6"/>
  <c r="F1795" i="6"/>
  <c r="F1796" i="6"/>
  <c r="F1797" i="6"/>
  <c r="F1798" i="6"/>
  <c r="F1799" i="6"/>
  <c r="F1800" i="6"/>
  <c r="F1801" i="6"/>
  <c r="F1802" i="6"/>
  <c r="F1803" i="6"/>
  <c r="F1804" i="6"/>
  <c r="F1805" i="6"/>
  <c r="F1806" i="6"/>
  <c r="F1807" i="6"/>
  <c r="F1808" i="6"/>
  <c r="F1809" i="6"/>
  <c r="F1810" i="6"/>
  <c r="F1811" i="6"/>
  <c r="F1812" i="6"/>
  <c r="F1813" i="6"/>
  <c r="F1814" i="6"/>
  <c r="F1815" i="6"/>
  <c r="F1816" i="6"/>
  <c r="F1817" i="6"/>
  <c r="F1818" i="6"/>
  <c r="F1819" i="6"/>
  <c r="F1820" i="6"/>
  <c r="F1821" i="6"/>
  <c r="F1822" i="6"/>
  <c r="F1823" i="6"/>
  <c r="F1824" i="6"/>
  <c r="F1825" i="6"/>
  <c r="F1826" i="6"/>
  <c r="F1827" i="6"/>
  <c r="F1828" i="6"/>
  <c r="F1829" i="6"/>
  <c r="F1830" i="6"/>
  <c r="F1831" i="6"/>
  <c r="F1832" i="6"/>
  <c r="F1833" i="6"/>
  <c r="F1834" i="6"/>
  <c r="F1835" i="6"/>
  <c r="F1836" i="6"/>
  <c r="F1837" i="6"/>
  <c r="F1838" i="6"/>
  <c r="F1839" i="6"/>
  <c r="F1840" i="6"/>
  <c r="F1841" i="6"/>
  <c r="F1842" i="6"/>
  <c r="F1843" i="6"/>
  <c r="F1844" i="6"/>
  <c r="F1845" i="6"/>
  <c r="F1846" i="6"/>
  <c r="F1847" i="6"/>
  <c r="F1848" i="6"/>
  <c r="F1849" i="6"/>
  <c r="F1850" i="6"/>
  <c r="F1851" i="6"/>
  <c r="F1852" i="6"/>
  <c r="F1853" i="6"/>
  <c r="F1854" i="6"/>
  <c r="F1855" i="6"/>
  <c r="F1856" i="6"/>
  <c r="F1857" i="6"/>
  <c r="F1858" i="6"/>
  <c r="F1859" i="6"/>
  <c r="F1860" i="6"/>
  <c r="F1861" i="6"/>
  <c r="F1862" i="6"/>
  <c r="F1863" i="6"/>
  <c r="F1864" i="6"/>
  <c r="F1865" i="6"/>
  <c r="F1866" i="6"/>
  <c r="F1867" i="6"/>
  <c r="F1868" i="6"/>
  <c r="F1869" i="6"/>
  <c r="F1870" i="6"/>
  <c r="F1871" i="6"/>
  <c r="F1872" i="6"/>
  <c r="F1873" i="6"/>
  <c r="F1874" i="6"/>
  <c r="F1875" i="6"/>
  <c r="F1876" i="6"/>
  <c r="F1877" i="6"/>
  <c r="F1878" i="6"/>
  <c r="F1879" i="6"/>
  <c r="F1880" i="6"/>
  <c r="F1881" i="6"/>
  <c r="F1882" i="6"/>
  <c r="F1883" i="6"/>
  <c r="F1884" i="6"/>
  <c r="F1885" i="6"/>
  <c r="F1886" i="6"/>
  <c r="F1887" i="6"/>
  <c r="F1888" i="6"/>
  <c r="F1889" i="6"/>
  <c r="F1890" i="6"/>
  <c r="F1891" i="6"/>
  <c r="F1892" i="6"/>
  <c r="F1893" i="6"/>
  <c r="F1894" i="6"/>
  <c r="F1895" i="6"/>
  <c r="F1896" i="6"/>
  <c r="F1897" i="6"/>
  <c r="F1898" i="6"/>
  <c r="F1899" i="6"/>
  <c r="F1900" i="6"/>
  <c r="F1901" i="6"/>
  <c r="F1902" i="6"/>
  <c r="F1903" i="6"/>
  <c r="F1904" i="6"/>
  <c r="F1905" i="6"/>
  <c r="F1906" i="6"/>
  <c r="F1907" i="6"/>
  <c r="F1908" i="6"/>
  <c r="F1909" i="6"/>
  <c r="F1910" i="6"/>
  <c r="F1911" i="6"/>
  <c r="F1912" i="6"/>
  <c r="F1913" i="6"/>
  <c r="F1914" i="6"/>
  <c r="F1915" i="6"/>
  <c r="F1916" i="6"/>
  <c r="F1917" i="6"/>
  <c r="F1918" i="6"/>
  <c r="F1919" i="6"/>
  <c r="F1920" i="6"/>
  <c r="F1921" i="6"/>
  <c r="F1922" i="6"/>
  <c r="F1923" i="6"/>
  <c r="F1924" i="6"/>
  <c r="F1925" i="6"/>
  <c r="F1926" i="6"/>
  <c r="F1927" i="6"/>
  <c r="F1928" i="6"/>
  <c r="F1929" i="6"/>
  <c r="F1930" i="6"/>
  <c r="F1931" i="6"/>
  <c r="F1932" i="6"/>
  <c r="F1933" i="6"/>
  <c r="F1934" i="6"/>
  <c r="F1935" i="6"/>
  <c r="F1936" i="6"/>
  <c r="F1937" i="6"/>
  <c r="F1938" i="6"/>
  <c r="F1939" i="6"/>
  <c r="F1940" i="6"/>
  <c r="F1941" i="6"/>
  <c r="F1942" i="6"/>
  <c r="F1943" i="6"/>
  <c r="F1944" i="6"/>
  <c r="F1945" i="6"/>
  <c r="F1946" i="6"/>
  <c r="F1947" i="6"/>
  <c r="F1948" i="6"/>
  <c r="F1949" i="6"/>
  <c r="F1950" i="6"/>
  <c r="F1951" i="6"/>
  <c r="F1952" i="6"/>
  <c r="F1953" i="6"/>
  <c r="F1954" i="6"/>
  <c r="F1955" i="6"/>
  <c r="F1956" i="6"/>
  <c r="F1957" i="6"/>
  <c r="F1958" i="6"/>
  <c r="F1959" i="6"/>
  <c r="F1960" i="6"/>
  <c r="F1961" i="6"/>
  <c r="F1962" i="6"/>
  <c r="F1963" i="6"/>
  <c r="F1964" i="6"/>
  <c r="F1965" i="6"/>
  <c r="F1966" i="6"/>
  <c r="F1967" i="6"/>
  <c r="F1968" i="6"/>
  <c r="F1969" i="6"/>
  <c r="F1970" i="6"/>
  <c r="F1971" i="6"/>
  <c r="F1972" i="6"/>
  <c r="F1973" i="6"/>
  <c r="F1974" i="6"/>
  <c r="F1975" i="6"/>
  <c r="F1976" i="6"/>
  <c r="F1977" i="6"/>
  <c r="F1978" i="6"/>
  <c r="F1979" i="6"/>
  <c r="F1980" i="6"/>
  <c r="F1981" i="6"/>
  <c r="F1982" i="6"/>
  <c r="F1983" i="6"/>
  <c r="F1984" i="6"/>
  <c r="F1985" i="6"/>
  <c r="F1986" i="6"/>
  <c r="F1987" i="6"/>
  <c r="F1988" i="6"/>
  <c r="F1989" i="6"/>
  <c r="F1990" i="6"/>
  <c r="F1991" i="6"/>
  <c r="F1992" i="6"/>
  <c r="F1993" i="6"/>
  <c r="F1994" i="6"/>
  <c r="F1995" i="6"/>
  <c r="F1996" i="6"/>
  <c r="F1997" i="6"/>
  <c r="F1998" i="6"/>
  <c r="F1999" i="6"/>
  <c r="F2000" i="6"/>
  <c r="F2001" i="6"/>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L37" i="6"/>
  <c r="L38" i="6"/>
  <c r="L39" i="6"/>
  <c r="L40" i="6"/>
  <c r="L41" i="6"/>
  <c r="L42" i="6"/>
  <c r="L43" i="6"/>
  <c r="L44" i="6"/>
  <c r="L45" i="6"/>
  <c r="L46" i="6"/>
  <c r="L47" i="6"/>
  <c r="L48" i="6"/>
  <c r="L49" i="6"/>
  <c r="L50" i="6"/>
  <c r="L51" i="6"/>
  <c r="L52" i="6"/>
  <c r="L53" i="6"/>
  <c r="L54" i="6"/>
  <c r="L55" i="6"/>
  <c r="L56" i="6"/>
  <c r="L57" i="6"/>
  <c r="L58" i="6"/>
  <c r="L59" i="6"/>
  <c r="L60" i="6"/>
  <c r="L61" i="6"/>
  <c r="L62" i="6"/>
  <c r="L63" i="6"/>
  <c r="L64" i="6"/>
  <c r="L65" i="6"/>
  <c r="L66" i="6"/>
  <c r="L67" i="6"/>
  <c r="L68" i="6"/>
  <c r="L69" i="6"/>
  <c r="L70" i="6"/>
  <c r="L71" i="6"/>
  <c r="L72" i="6"/>
  <c r="L73" i="6"/>
  <c r="L74" i="6"/>
  <c r="L75" i="6"/>
  <c r="L76" i="6"/>
  <c r="L77" i="6"/>
  <c r="L78" i="6"/>
  <c r="L79" i="6"/>
  <c r="L80" i="6"/>
  <c r="L81" i="6"/>
  <c r="L82" i="6"/>
  <c r="L83" i="6"/>
  <c r="L84" i="6"/>
  <c r="L85" i="6"/>
  <c r="L86" i="6"/>
  <c r="L87" i="6"/>
  <c r="L88" i="6"/>
  <c r="L89" i="6"/>
  <c r="L90" i="6"/>
  <c r="L91" i="6"/>
  <c r="L92" i="6"/>
  <c r="L93" i="6"/>
  <c r="L94" i="6"/>
  <c r="L95" i="6"/>
  <c r="L96" i="6"/>
  <c r="L97" i="6"/>
  <c r="L98" i="6"/>
  <c r="L99" i="6"/>
  <c r="L100" i="6"/>
  <c r="L101" i="6"/>
  <c r="L102" i="6"/>
  <c r="L103" i="6"/>
  <c r="L104" i="6"/>
  <c r="L105" i="6"/>
  <c r="L106" i="6"/>
  <c r="L107" i="6"/>
  <c r="L108" i="6"/>
  <c r="L109" i="6"/>
  <c r="L110" i="6"/>
  <c r="L111" i="6"/>
  <c r="L112" i="6"/>
  <c r="L113" i="6"/>
  <c r="L114" i="6"/>
  <c r="L115" i="6"/>
  <c r="L116" i="6"/>
  <c r="L117" i="6"/>
  <c r="L118" i="6"/>
  <c r="L119" i="6"/>
  <c r="L120" i="6"/>
  <c r="L121" i="6"/>
  <c r="L122" i="6"/>
  <c r="L123" i="6"/>
  <c r="L124" i="6"/>
  <c r="L125" i="6"/>
  <c r="L126" i="6"/>
  <c r="L127" i="6"/>
  <c r="L128" i="6"/>
  <c r="L129" i="6"/>
  <c r="L130" i="6"/>
  <c r="L131" i="6"/>
  <c r="L132" i="6"/>
  <c r="L133" i="6"/>
  <c r="L134" i="6"/>
  <c r="L135" i="6"/>
  <c r="L136" i="6"/>
  <c r="L137" i="6"/>
  <c r="L138" i="6"/>
  <c r="L139" i="6"/>
  <c r="L140" i="6"/>
  <c r="L141" i="6"/>
  <c r="L142" i="6"/>
  <c r="L143" i="6"/>
  <c r="L144" i="6"/>
  <c r="L145" i="6"/>
  <c r="L146" i="6"/>
  <c r="L147" i="6"/>
  <c r="L148" i="6"/>
  <c r="L149" i="6"/>
  <c r="L150" i="6"/>
  <c r="L151" i="6"/>
  <c r="L152" i="6"/>
  <c r="L153" i="6"/>
  <c r="L154" i="6"/>
  <c r="L155" i="6"/>
  <c r="L156" i="6"/>
  <c r="L157" i="6"/>
  <c r="L158" i="6"/>
  <c r="L159" i="6"/>
  <c r="L160" i="6"/>
  <c r="L161" i="6"/>
  <c r="L162" i="6"/>
  <c r="L163" i="6"/>
  <c r="L164" i="6"/>
  <c r="L165" i="6"/>
  <c r="L166" i="6"/>
  <c r="L167" i="6"/>
  <c r="L168" i="6"/>
  <c r="L169" i="6"/>
  <c r="L170" i="6"/>
  <c r="L171" i="6"/>
  <c r="L172" i="6"/>
  <c r="L173" i="6"/>
  <c r="L174" i="6"/>
  <c r="L175" i="6"/>
  <c r="L176" i="6"/>
  <c r="L177" i="6"/>
  <c r="L178" i="6"/>
  <c r="L179" i="6"/>
  <c r="L180" i="6"/>
  <c r="L181" i="6"/>
  <c r="L182" i="6"/>
  <c r="L183" i="6"/>
  <c r="L184" i="6"/>
  <c r="L185" i="6"/>
  <c r="L186" i="6"/>
  <c r="L187" i="6"/>
  <c r="L188" i="6"/>
  <c r="L189" i="6"/>
  <c r="L190" i="6"/>
  <c r="L191" i="6"/>
  <c r="L192" i="6"/>
  <c r="L193" i="6"/>
  <c r="L194" i="6"/>
  <c r="L195" i="6"/>
  <c r="L196" i="6"/>
  <c r="L197" i="6"/>
  <c r="L198" i="6"/>
  <c r="L199" i="6"/>
  <c r="L200" i="6"/>
  <c r="L201" i="6"/>
  <c r="L202" i="6"/>
  <c r="L203" i="6"/>
  <c r="L204" i="6"/>
  <c r="L205" i="6"/>
  <c r="L206" i="6"/>
  <c r="L207" i="6"/>
  <c r="L208" i="6"/>
  <c r="L209" i="6"/>
  <c r="L210" i="6"/>
  <c r="L211" i="6"/>
  <c r="L212" i="6"/>
  <c r="L213" i="6"/>
  <c r="L214" i="6"/>
  <c r="L215" i="6"/>
  <c r="L216" i="6"/>
  <c r="L217" i="6"/>
  <c r="L218" i="6"/>
  <c r="L219" i="6"/>
  <c r="L220" i="6"/>
  <c r="L221" i="6"/>
  <c r="L222" i="6"/>
  <c r="L223" i="6"/>
  <c r="L224" i="6"/>
  <c r="L225" i="6"/>
  <c r="L226" i="6"/>
  <c r="L227" i="6"/>
  <c r="L228" i="6"/>
  <c r="L229" i="6"/>
  <c r="L230" i="6"/>
  <c r="L231" i="6"/>
  <c r="L232" i="6"/>
  <c r="L233" i="6"/>
  <c r="L234" i="6"/>
  <c r="L235" i="6"/>
  <c r="L236" i="6"/>
  <c r="L237" i="6"/>
  <c r="L238" i="6"/>
  <c r="L239" i="6"/>
  <c r="L240" i="6"/>
  <c r="L241" i="6"/>
  <c r="L242" i="6"/>
  <c r="L243" i="6"/>
  <c r="L244" i="6"/>
  <c r="L245" i="6"/>
  <c r="L246" i="6"/>
  <c r="L247" i="6"/>
  <c r="L248" i="6"/>
  <c r="L249" i="6"/>
  <c r="L250" i="6"/>
  <c r="L251" i="6"/>
  <c r="L252" i="6"/>
  <c r="L253" i="6"/>
  <c r="L254" i="6"/>
  <c r="L255" i="6"/>
  <c r="L256" i="6"/>
  <c r="L257" i="6"/>
  <c r="L258" i="6"/>
  <c r="L259" i="6"/>
  <c r="L260" i="6"/>
  <c r="L261" i="6"/>
  <c r="L262" i="6"/>
  <c r="L263" i="6"/>
  <c r="L264" i="6"/>
  <c r="L265" i="6"/>
  <c r="L266" i="6"/>
  <c r="L267" i="6"/>
  <c r="L268" i="6"/>
  <c r="L269" i="6"/>
  <c r="L270" i="6"/>
  <c r="L271" i="6"/>
  <c r="L272" i="6"/>
  <c r="L273" i="6"/>
  <c r="L274" i="6"/>
  <c r="L275" i="6"/>
  <c r="L276" i="6"/>
  <c r="L277" i="6"/>
  <c r="L278" i="6"/>
  <c r="L279" i="6"/>
  <c r="L280" i="6"/>
  <c r="L281" i="6"/>
  <c r="L282" i="6"/>
  <c r="L283" i="6"/>
  <c r="L284" i="6"/>
  <c r="L285" i="6"/>
  <c r="L286" i="6"/>
  <c r="L287" i="6"/>
  <c r="L288" i="6"/>
  <c r="L289" i="6"/>
  <c r="L290" i="6"/>
  <c r="L291" i="6"/>
  <c r="L292" i="6"/>
  <c r="L293" i="6"/>
  <c r="L294" i="6"/>
  <c r="L295" i="6"/>
  <c r="L296" i="6"/>
  <c r="L297" i="6"/>
  <c r="L298" i="6"/>
  <c r="L299" i="6"/>
  <c r="L300" i="6"/>
  <c r="L301" i="6"/>
  <c r="L302" i="6"/>
  <c r="L303" i="6"/>
  <c r="L304" i="6"/>
  <c r="L305" i="6"/>
  <c r="L306" i="6"/>
  <c r="L307" i="6"/>
  <c r="L308" i="6"/>
  <c r="L309" i="6"/>
  <c r="L310" i="6"/>
  <c r="L311" i="6"/>
  <c r="L312" i="6"/>
  <c r="L313" i="6"/>
  <c r="L314" i="6"/>
  <c r="L315" i="6"/>
  <c r="L316" i="6"/>
  <c r="L317" i="6"/>
  <c r="L318" i="6"/>
  <c r="L319" i="6"/>
  <c r="L320" i="6"/>
  <c r="L321" i="6"/>
  <c r="L322" i="6"/>
  <c r="L323" i="6"/>
  <c r="L324" i="6"/>
  <c r="L325" i="6"/>
  <c r="L326" i="6"/>
  <c r="L327" i="6"/>
  <c r="L328" i="6"/>
  <c r="L329" i="6"/>
  <c r="L330" i="6"/>
  <c r="L331" i="6"/>
  <c r="L332" i="6"/>
  <c r="L333" i="6"/>
  <c r="L334" i="6"/>
  <c r="L335" i="6"/>
  <c r="L336" i="6"/>
  <c r="L337" i="6"/>
  <c r="L338" i="6"/>
  <c r="L339" i="6"/>
  <c r="L340" i="6"/>
  <c r="L341" i="6"/>
  <c r="L342" i="6"/>
  <c r="L343" i="6"/>
  <c r="L344" i="6"/>
  <c r="L345" i="6"/>
  <c r="L346" i="6"/>
  <c r="L347" i="6"/>
  <c r="L348" i="6"/>
  <c r="L349" i="6"/>
  <c r="L350" i="6"/>
  <c r="L351" i="6"/>
  <c r="L352" i="6"/>
  <c r="L353" i="6"/>
  <c r="L354" i="6"/>
  <c r="L355" i="6"/>
  <c r="L356" i="6"/>
  <c r="L357" i="6"/>
  <c r="L358" i="6"/>
  <c r="L359" i="6"/>
  <c r="L360" i="6"/>
  <c r="L361" i="6"/>
  <c r="L362" i="6"/>
  <c r="L363" i="6"/>
  <c r="L364" i="6"/>
  <c r="L365" i="6"/>
  <c r="L366" i="6"/>
  <c r="L367" i="6"/>
  <c r="L368" i="6"/>
  <c r="L369" i="6"/>
  <c r="L370" i="6"/>
  <c r="L371" i="6"/>
  <c r="L372" i="6"/>
  <c r="L373" i="6"/>
  <c r="L374" i="6"/>
  <c r="L375" i="6"/>
  <c r="L376" i="6"/>
  <c r="L377" i="6"/>
  <c r="L378" i="6"/>
  <c r="L379" i="6"/>
  <c r="L380" i="6"/>
  <c r="L381" i="6"/>
  <c r="L382" i="6"/>
  <c r="L383" i="6"/>
  <c r="L384" i="6"/>
  <c r="L385" i="6"/>
  <c r="L386" i="6"/>
  <c r="L387" i="6"/>
  <c r="L388" i="6"/>
  <c r="L389" i="6"/>
  <c r="L390" i="6"/>
  <c r="L391" i="6"/>
  <c r="L392" i="6"/>
  <c r="L393" i="6"/>
  <c r="L394" i="6"/>
  <c r="L395" i="6"/>
  <c r="L396" i="6"/>
  <c r="L397" i="6"/>
  <c r="L398" i="6"/>
  <c r="L399" i="6"/>
  <c r="L400" i="6"/>
  <c r="L401" i="6"/>
  <c r="L402" i="6"/>
  <c r="L403" i="6"/>
  <c r="L404" i="6"/>
  <c r="L405" i="6"/>
  <c r="L406" i="6"/>
  <c r="L407" i="6"/>
  <c r="L408" i="6"/>
  <c r="L409" i="6"/>
  <c r="L410" i="6"/>
  <c r="L411" i="6"/>
  <c r="L412" i="6"/>
  <c r="L413" i="6"/>
  <c r="L414" i="6"/>
  <c r="L415" i="6"/>
  <c r="L416" i="6"/>
  <c r="L417" i="6"/>
  <c r="L418" i="6"/>
  <c r="L419" i="6"/>
  <c r="L420" i="6"/>
  <c r="L421" i="6"/>
  <c r="L422" i="6"/>
  <c r="L423" i="6"/>
  <c r="L424" i="6"/>
  <c r="L425" i="6"/>
  <c r="L426" i="6"/>
  <c r="L427" i="6"/>
  <c r="L428" i="6"/>
  <c r="L429" i="6"/>
  <c r="L430" i="6"/>
  <c r="L431" i="6"/>
  <c r="L432" i="6"/>
  <c r="L433" i="6"/>
  <c r="L434" i="6"/>
  <c r="L435" i="6"/>
  <c r="L436" i="6"/>
  <c r="L437" i="6"/>
  <c r="L438" i="6"/>
  <c r="L439" i="6"/>
  <c r="L440" i="6"/>
  <c r="L441" i="6"/>
  <c r="L442" i="6"/>
  <c r="L443" i="6"/>
  <c r="L444" i="6"/>
  <c r="L445" i="6"/>
  <c r="L446" i="6"/>
  <c r="L447" i="6"/>
  <c r="L448" i="6"/>
  <c r="L449" i="6"/>
  <c r="L450" i="6"/>
  <c r="L451" i="6"/>
  <c r="L452" i="6"/>
  <c r="L453" i="6"/>
  <c r="L454" i="6"/>
  <c r="L455" i="6"/>
  <c r="L456" i="6"/>
  <c r="L457" i="6"/>
  <c r="L458" i="6"/>
  <c r="L459" i="6"/>
  <c r="L460" i="6"/>
  <c r="L461" i="6"/>
  <c r="L462" i="6"/>
  <c r="L463" i="6"/>
  <c r="L464" i="6"/>
  <c r="L465" i="6"/>
  <c r="L466" i="6"/>
  <c r="L467" i="6"/>
  <c r="L468" i="6"/>
  <c r="L469" i="6"/>
  <c r="L470" i="6"/>
  <c r="L471" i="6"/>
  <c r="L472" i="6"/>
  <c r="L473" i="6"/>
  <c r="L474" i="6"/>
  <c r="L475" i="6"/>
  <c r="L476" i="6"/>
  <c r="L477" i="6"/>
  <c r="L478" i="6"/>
  <c r="L479" i="6"/>
  <c r="L480" i="6"/>
  <c r="L481" i="6"/>
  <c r="L482" i="6"/>
  <c r="L483" i="6"/>
  <c r="L484" i="6"/>
  <c r="L485" i="6"/>
  <c r="L486" i="6"/>
  <c r="L487" i="6"/>
  <c r="L488" i="6"/>
  <c r="L489" i="6"/>
  <c r="L490" i="6"/>
  <c r="L491" i="6"/>
  <c r="L492" i="6"/>
  <c r="L493" i="6"/>
  <c r="L494" i="6"/>
  <c r="L495" i="6"/>
  <c r="L496" i="6"/>
  <c r="L497" i="6"/>
  <c r="L498" i="6"/>
  <c r="L499" i="6"/>
  <c r="L500" i="6"/>
  <c r="L501" i="6"/>
  <c r="L502" i="6"/>
  <c r="L503" i="6"/>
  <c r="L504" i="6"/>
  <c r="L505" i="6"/>
  <c r="L506" i="6"/>
  <c r="L507" i="6"/>
  <c r="L508" i="6"/>
  <c r="L509" i="6"/>
  <c r="L510" i="6"/>
  <c r="L511" i="6"/>
  <c r="L512" i="6"/>
  <c r="L513" i="6"/>
  <c r="L514" i="6"/>
  <c r="L515" i="6"/>
  <c r="L516" i="6"/>
  <c r="L517" i="6"/>
  <c r="L518" i="6"/>
  <c r="L519" i="6"/>
  <c r="L520" i="6"/>
  <c r="L521" i="6"/>
  <c r="L522" i="6"/>
  <c r="L523" i="6"/>
  <c r="L524" i="6"/>
  <c r="L525" i="6"/>
  <c r="L526" i="6"/>
  <c r="L527" i="6"/>
  <c r="L528" i="6"/>
  <c r="L529" i="6"/>
  <c r="L530" i="6"/>
  <c r="L531" i="6"/>
  <c r="L532" i="6"/>
  <c r="L533" i="6"/>
  <c r="L534" i="6"/>
  <c r="L535" i="6"/>
  <c r="L536" i="6"/>
  <c r="L537" i="6"/>
  <c r="L538" i="6"/>
  <c r="L539" i="6"/>
  <c r="L540" i="6"/>
  <c r="L541" i="6"/>
  <c r="L542" i="6"/>
  <c r="L543" i="6"/>
  <c r="L544" i="6"/>
  <c r="L545" i="6"/>
  <c r="L546" i="6"/>
  <c r="L547" i="6"/>
  <c r="L548" i="6"/>
  <c r="L549" i="6"/>
  <c r="L550" i="6"/>
  <c r="L551" i="6"/>
  <c r="L552" i="6"/>
  <c r="L553" i="6"/>
  <c r="L554" i="6"/>
  <c r="L555" i="6"/>
  <c r="L556" i="6"/>
  <c r="L557" i="6"/>
  <c r="L558" i="6"/>
  <c r="L559" i="6"/>
  <c r="L560" i="6"/>
  <c r="L561" i="6"/>
  <c r="L562" i="6"/>
  <c r="L563" i="6"/>
  <c r="L564" i="6"/>
  <c r="L565" i="6"/>
  <c r="L566" i="6"/>
  <c r="L567" i="6"/>
  <c r="L568" i="6"/>
  <c r="L569" i="6"/>
  <c r="L570" i="6"/>
  <c r="L571" i="6"/>
  <c r="L572" i="6"/>
  <c r="L573" i="6"/>
  <c r="L574" i="6"/>
  <c r="L575" i="6"/>
  <c r="L576" i="6"/>
  <c r="L577" i="6"/>
  <c r="L578" i="6"/>
  <c r="L579" i="6"/>
  <c r="L580" i="6"/>
  <c r="L581" i="6"/>
  <c r="L582" i="6"/>
  <c r="L583" i="6"/>
  <c r="L584" i="6"/>
  <c r="L585" i="6"/>
  <c r="L586" i="6"/>
  <c r="L587" i="6"/>
  <c r="L588" i="6"/>
  <c r="L589" i="6"/>
  <c r="L590" i="6"/>
  <c r="L591" i="6"/>
  <c r="L592" i="6"/>
  <c r="L593" i="6"/>
  <c r="L594" i="6"/>
  <c r="L595" i="6"/>
  <c r="L596" i="6"/>
  <c r="L597" i="6"/>
  <c r="L598" i="6"/>
  <c r="L599" i="6"/>
  <c r="L600" i="6"/>
  <c r="L601" i="6"/>
  <c r="L602" i="6"/>
  <c r="L603" i="6"/>
  <c r="L604" i="6"/>
  <c r="L605" i="6"/>
  <c r="L606" i="6"/>
  <c r="L607" i="6"/>
  <c r="L608" i="6"/>
  <c r="L609" i="6"/>
  <c r="L610" i="6"/>
  <c r="L611" i="6"/>
  <c r="L612" i="6"/>
  <c r="L613" i="6"/>
  <c r="L614" i="6"/>
  <c r="L615" i="6"/>
  <c r="L616" i="6"/>
  <c r="L617" i="6"/>
  <c r="L618" i="6"/>
  <c r="L619" i="6"/>
  <c r="L620" i="6"/>
  <c r="L621" i="6"/>
  <c r="L622" i="6"/>
  <c r="L623" i="6"/>
  <c r="L624" i="6"/>
  <c r="L625" i="6"/>
  <c r="L626" i="6"/>
  <c r="L627" i="6"/>
  <c r="L628" i="6"/>
  <c r="L629" i="6"/>
  <c r="L630" i="6"/>
  <c r="L631" i="6"/>
  <c r="L632" i="6"/>
  <c r="L633" i="6"/>
  <c r="L634" i="6"/>
  <c r="L635" i="6"/>
  <c r="L636" i="6"/>
  <c r="L637" i="6"/>
  <c r="L638" i="6"/>
  <c r="L639" i="6"/>
  <c r="L640" i="6"/>
  <c r="L641" i="6"/>
  <c r="L642" i="6"/>
  <c r="L643" i="6"/>
  <c r="L644" i="6"/>
  <c r="L645" i="6"/>
  <c r="L646" i="6"/>
  <c r="L647" i="6"/>
  <c r="L648" i="6"/>
  <c r="L649" i="6"/>
  <c r="L650" i="6"/>
  <c r="L651" i="6"/>
  <c r="L652" i="6"/>
  <c r="L653" i="6"/>
  <c r="L654" i="6"/>
  <c r="L655" i="6"/>
  <c r="L656" i="6"/>
  <c r="L657" i="6"/>
  <c r="L658" i="6"/>
  <c r="L659" i="6"/>
  <c r="L660" i="6"/>
  <c r="L661" i="6"/>
  <c r="L662" i="6"/>
  <c r="L663" i="6"/>
  <c r="L664" i="6"/>
  <c r="L665" i="6"/>
  <c r="L666" i="6"/>
  <c r="L667" i="6"/>
  <c r="L668" i="6"/>
  <c r="L669" i="6"/>
  <c r="L670" i="6"/>
  <c r="L671" i="6"/>
  <c r="L672" i="6"/>
  <c r="L673" i="6"/>
  <c r="L674" i="6"/>
  <c r="L675" i="6"/>
  <c r="L676" i="6"/>
  <c r="L677" i="6"/>
  <c r="L678" i="6"/>
  <c r="L679" i="6"/>
  <c r="L680" i="6"/>
  <c r="L681" i="6"/>
  <c r="L682" i="6"/>
  <c r="L683" i="6"/>
  <c r="L684" i="6"/>
  <c r="L685" i="6"/>
  <c r="L686" i="6"/>
  <c r="L687" i="6"/>
  <c r="L688" i="6"/>
  <c r="L689" i="6"/>
  <c r="L690" i="6"/>
  <c r="L691" i="6"/>
  <c r="L692" i="6"/>
  <c r="L693" i="6"/>
  <c r="L694" i="6"/>
  <c r="L695" i="6"/>
  <c r="L696" i="6"/>
  <c r="L697" i="6"/>
  <c r="L698" i="6"/>
  <c r="L699" i="6"/>
  <c r="L700" i="6"/>
  <c r="L701" i="6"/>
  <c r="L702" i="6"/>
  <c r="L703" i="6"/>
  <c r="L704" i="6"/>
  <c r="L705" i="6"/>
  <c r="L706" i="6"/>
  <c r="L707" i="6"/>
  <c r="L708" i="6"/>
  <c r="L709" i="6"/>
  <c r="L710" i="6"/>
  <c r="L711" i="6"/>
  <c r="L712" i="6"/>
  <c r="L713" i="6"/>
  <c r="L714" i="6"/>
  <c r="L715" i="6"/>
  <c r="L716" i="6"/>
  <c r="L717" i="6"/>
  <c r="L718" i="6"/>
  <c r="L719" i="6"/>
  <c r="L720" i="6"/>
  <c r="L721" i="6"/>
  <c r="L722" i="6"/>
  <c r="L723" i="6"/>
  <c r="L724" i="6"/>
  <c r="L725" i="6"/>
  <c r="L726" i="6"/>
  <c r="L727" i="6"/>
  <c r="L728" i="6"/>
  <c r="L729" i="6"/>
  <c r="L730" i="6"/>
  <c r="L731" i="6"/>
  <c r="L732" i="6"/>
  <c r="L733" i="6"/>
  <c r="L734" i="6"/>
  <c r="L735" i="6"/>
  <c r="L736" i="6"/>
  <c r="L737" i="6"/>
  <c r="L738" i="6"/>
  <c r="L739" i="6"/>
  <c r="L740" i="6"/>
  <c r="L741" i="6"/>
  <c r="L742" i="6"/>
  <c r="L743" i="6"/>
  <c r="L744" i="6"/>
  <c r="L745" i="6"/>
  <c r="L746" i="6"/>
  <c r="L747" i="6"/>
  <c r="L748" i="6"/>
  <c r="L749" i="6"/>
  <c r="L750" i="6"/>
  <c r="L751" i="6"/>
  <c r="L752" i="6"/>
  <c r="L753" i="6"/>
  <c r="L754" i="6"/>
  <c r="L755" i="6"/>
  <c r="L756" i="6"/>
  <c r="L757" i="6"/>
  <c r="L758" i="6"/>
  <c r="L759" i="6"/>
  <c r="L760" i="6"/>
  <c r="L761" i="6"/>
  <c r="L762" i="6"/>
  <c r="L763" i="6"/>
  <c r="L764" i="6"/>
  <c r="L765" i="6"/>
  <c r="L766" i="6"/>
  <c r="L767" i="6"/>
  <c r="L768" i="6"/>
  <c r="L769" i="6"/>
  <c r="L770" i="6"/>
  <c r="L771" i="6"/>
  <c r="L772" i="6"/>
  <c r="L773" i="6"/>
  <c r="L774" i="6"/>
  <c r="L775" i="6"/>
  <c r="L776" i="6"/>
  <c r="L777" i="6"/>
  <c r="L778" i="6"/>
  <c r="L779" i="6"/>
  <c r="L780" i="6"/>
  <c r="L781" i="6"/>
  <c r="L782" i="6"/>
  <c r="L783" i="6"/>
  <c r="L784" i="6"/>
  <c r="L785" i="6"/>
  <c r="L786" i="6"/>
  <c r="L787" i="6"/>
  <c r="L788" i="6"/>
  <c r="L789" i="6"/>
  <c r="L790" i="6"/>
  <c r="L791" i="6"/>
  <c r="L792" i="6"/>
  <c r="L793" i="6"/>
  <c r="L794" i="6"/>
  <c r="L795" i="6"/>
  <c r="L796" i="6"/>
  <c r="L797" i="6"/>
  <c r="L798" i="6"/>
  <c r="L799" i="6"/>
  <c r="L800" i="6"/>
  <c r="L801" i="6"/>
  <c r="L802" i="6"/>
  <c r="L803" i="6"/>
  <c r="L804" i="6"/>
  <c r="L805" i="6"/>
  <c r="L806" i="6"/>
  <c r="L807" i="6"/>
  <c r="L808" i="6"/>
  <c r="L809" i="6"/>
  <c r="L810" i="6"/>
  <c r="L811" i="6"/>
  <c r="L812" i="6"/>
  <c r="L813" i="6"/>
  <c r="L814" i="6"/>
  <c r="L815" i="6"/>
  <c r="L816" i="6"/>
  <c r="L817" i="6"/>
  <c r="L818" i="6"/>
  <c r="L819" i="6"/>
  <c r="L820" i="6"/>
  <c r="L821" i="6"/>
  <c r="L822" i="6"/>
  <c r="L823" i="6"/>
  <c r="L824" i="6"/>
  <c r="L825" i="6"/>
  <c r="L826" i="6"/>
  <c r="L827" i="6"/>
  <c r="L828" i="6"/>
  <c r="L829" i="6"/>
  <c r="L830" i="6"/>
  <c r="L831" i="6"/>
  <c r="L832" i="6"/>
  <c r="L833" i="6"/>
  <c r="L834" i="6"/>
  <c r="L835" i="6"/>
  <c r="L836" i="6"/>
  <c r="L837" i="6"/>
  <c r="L838" i="6"/>
  <c r="L839" i="6"/>
  <c r="L840" i="6"/>
  <c r="L841" i="6"/>
  <c r="L842" i="6"/>
  <c r="L843" i="6"/>
  <c r="L844" i="6"/>
  <c r="L845" i="6"/>
  <c r="L846" i="6"/>
  <c r="L847" i="6"/>
  <c r="L848" i="6"/>
  <c r="L849" i="6"/>
  <c r="L850" i="6"/>
  <c r="L851" i="6"/>
  <c r="L852" i="6"/>
  <c r="L853" i="6"/>
  <c r="L854" i="6"/>
  <c r="L855" i="6"/>
  <c r="L856" i="6"/>
  <c r="L857" i="6"/>
  <c r="L858" i="6"/>
  <c r="L859" i="6"/>
  <c r="L860" i="6"/>
  <c r="L861" i="6"/>
  <c r="L862" i="6"/>
  <c r="L863" i="6"/>
  <c r="L864" i="6"/>
  <c r="L865" i="6"/>
  <c r="L866" i="6"/>
  <c r="L867" i="6"/>
  <c r="L868" i="6"/>
  <c r="L869" i="6"/>
  <c r="L870" i="6"/>
  <c r="L871" i="6"/>
  <c r="L872" i="6"/>
  <c r="L873" i="6"/>
  <c r="L874" i="6"/>
  <c r="L875" i="6"/>
  <c r="L876" i="6"/>
  <c r="L877" i="6"/>
  <c r="L878" i="6"/>
  <c r="L879" i="6"/>
  <c r="L880" i="6"/>
  <c r="L881" i="6"/>
  <c r="L882" i="6"/>
  <c r="L883" i="6"/>
  <c r="L884" i="6"/>
  <c r="L885" i="6"/>
  <c r="L886" i="6"/>
  <c r="L887" i="6"/>
  <c r="L888" i="6"/>
  <c r="L889" i="6"/>
  <c r="L890" i="6"/>
  <c r="L891" i="6"/>
  <c r="L892" i="6"/>
  <c r="L893" i="6"/>
  <c r="L894" i="6"/>
  <c r="L895" i="6"/>
  <c r="L896" i="6"/>
  <c r="L897" i="6"/>
  <c r="L898" i="6"/>
  <c r="L899" i="6"/>
  <c r="L900" i="6"/>
  <c r="L901" i="6"/>
  <c r="L902" i="6"/>
  <c r="L903" i="6"/>
  <c r="L904" i="6"/>
  <c r="L905" i="6"/>
  <c r="L906" i="6"/>
  <c r="L907" i="6"/>
  <c r="L908" i="6"/>
  <c r="L909" i="6"/>
  <c r="L910" i="6"/>
  <c r="L911" i="6"/>
  <c r="L912" i="6"/>
  <c r="L913" i="6"/>
  <c r="L914" i="6"/>
  <c r="L915" i="6"/>
  <c r="L916" i="6"/>
  <c r="L917" i="6"/>
  <c r="L918" i="6"/>
  <c r="L919" i="6"/>
  <c r="L920" i="6"/>
  <c r="L921" i="6"/>
  <c r="L922" i="6"/>
  <c r="L923" i="6"/>
  <c r="L924" i="6"/>
  <c r="L925" i="6"/>
  <c r="L926" i="6"/>
  <c r="L927" i="6"/>
  <c r="L928" i="6"/>
  <c r="L929" i="6"/>
  <c r="L930" i="6"/>
  <c r="L931" i="6"/>
  <c r="L932" i="6"/>
  <c r="L933" i="6"/>
  <c r="L934" i="6"/>
  <c r="L935" i="6"/>
  <c r="L936" i="6"/>
  <c r="L937" i="6"/>
  <c r="L938" i="6"/>
  <c r="L939" i="6"/>
  <c r="L940" i="6"/>
  <c r="L941" i="6"/>
  <c r="L942" i="6"/>
  <c r="L943" i="6"/>
  <c r="L944" i="6"/>
  <c r="L945" i="6"/>
  <c r="L946" i="6"/>
  <c r="L947" i="6"/>
  <c r="L948" i="6"/>
  <c r="L949" i="6"/>
  <c r="L950" i="6"/>
  <c r="L951" i="6"/>
  <c r="L952" i="6"/>
  <c r="L953" i="6"/>
  <c r="L954" i="6"/>
  <c r="L955" i="6"/>
  <c r="L956" i="6"/>
  <c r="L957" i="6"/>
  <c r="L958" i="6"/>
  <c r="L959" i="6"/>
  <c r="L960" i="6"/>
  <c r="L961" i="6"/>
  <c r="L962" i="6"/>
  <c r="L963" i="6"/>
  <c r="L964" i="6"/>
  <c r="L965" i="6"/>
  <c r="L966" i="6"/>
  <c r="L967" i="6"/>
  <c r="L968" i="6"/>
  <c r="L969" i="6"/>
  <c r="L970" i="6"/>
  <c r="L971" i="6"/>
  <c r="L972" i="6"/>
  <c r="L973" i="6"/>
  <c r="L974" i="6"/>
  <c r="L975" i="6"/>
  <c r="L976" i="6"/>
  <c r="L977" i="6"/>
  <c r="L978" i="6"/>
  <c r="L979" i="6"/>
  <c r="L980" i="6"/>
  <c r="L981" i="6"/>
  <c r="L982" i="6"/>
  <c r="L983" i="6"/>
  <c r="L984" i="6"/>
  <c r="L985" i="6"/>
  <c r="L986" i="6"/>
  <c r="L987" i="6"/>
  <c r="L988" i="6"/>
  <c r="L989" i="6"/>
  <c r="L990" i="6"/>
  <c r="L991" i="6"/>
  <c r="L992" i="6"/>
  <c r="L993" i="6"/>
  <c r="L994" i="6"/>
  <c r="L995" i="6"/>
  <c r="L996" i="6"/>
  <c r="L997" i="6"/>
  <c r="L998" i="6"/>
  <c r="L999" i="6"/>
  <c r="L1000" i="6"/>
  <c r="L1001" i="6"/>
  <c r="L1002" i="6"/>
  <c r="L1003" i="6"/>
  <c r="L1004" i="6"/>
  <c r="L1005" i="6"/>
  <c r="L1006" i="6"/>
  <c r="L1007" i="6"/>
  <c r="L1008" i="6"/>
  <c r="L1009" i="6"/>
  <c r="L1010" i="6"/>
  <c r="L1011" i="6"/>
  <c r="L1012" i="6"/>
  <c r="L1013" i="6"/>
  <c r="L1014" i="6"/>
  <c r="L1015" i="6"/>
  <c r="L1016" i="6"/>
  <c r="L1017" i="6"/>
  <c r="L1018" i="6"/>
  <c r="L1019" i="6"/>
  <c r="L1020" i="6"/>
  <c r="L1021" i="6"/>
  <c r="L1022" i="6"/>
  <c r="L1023" i="6"/>
  <c r="L1024" i="6"/>
  <c r="L1025" i="6"/>
  <c r="L1026" i="6"/>
  <c r="L1027" i="6"/>
  <c r="L1028" i="6"/>
  <c r="L1029" i="6"/>
  <c r="L1030" i="6"/>
  <c r="L1031" i="6"/>
  <c r="L1032" i="6"/>
  <c r="L1033" i="6"/>
  <c r="L1034" i="6"/>
  <c r="L1035" i="6"/>
  <c r="L1036" i="6"/>
  <c r="L1037" i="6"/>
  <c r="L1038" i="6"/>
  <c r="L1039" i="6"/>
  <c r="L1040" i="6"/>
  <c r="L1041" i="6"/>
  <c r="L1042" i="6"/>
  <c r="L1043" i="6"/>
  <c r="L1044" i="6"/>
  <c r="L1045" i="6"/>
  <c r="L1046" i="6"/>
  <c r="L1047" i="6"/>
  <c r="L1048" i="6"/>
  <c r="L1049" i="6"/>
  <c r="L1050" i="6"/>
  <c r="L1051" i="6"/>
  <c r="L1052" i="6"/>
  <c r="L1053" i="6"/>
  <c r="L1054" i="6"/>
  <c r="L1055" i="6"/>
  <c r="L1056" i="6"/>
  <c r="L1057" i="6"/>
  <c r="L1058" i="6"/>
  <c r="L1059" i="6"/>
  <c r="L1060" i="6"/>
  <c r="L1061" i="6"/>
  <c r="L1062" i="6"/>
  <c r="L1063" i="6"/>
  <c r="L1064" i="6"/>
  <c r="L1065" i="6"/>
  <c r="L1066" i="6"/>
  <c r="L1067" i="6"/>
  <c r="L1068" i="6"/>
  <c r="L1069" i="6"/>
  <c r="L1070" i="6"/>
  <c r="L1071" i="6"/>
  <c r="L1072" i="6"/>
  <c r="L1073" i="6"/>
  <c r="L1074" i="6"/>
  <c r="L1075" i="6"/>
  <c r="L1076" i="6"/>
  <c r="L1077" i="6"/>
  <c r="L1078" i="6"/>
  <c r="L1079" i="6"/>
  <c r="L1080" i="6"/>
  <c r="L1081" i="6"/>
  <c r="L1082" i="6"/>
  <c r="L1083" i="6"/>
  <c r="L1084" i="6"/>
  <c r="L1085" i="6"/>
  <c r="L1086" i="6"/>
  <c r="L1087" i="6"/>
  <c r="L1088" i="6"/>
  <c r="L1089" i="6"/>
  <c r="L1090" i="6"/>
  <c r="L1091" i="6"/>
  <c r="L1092" i="6"/>
  <c r="L1093" i="6"/>
  <c r="L1094" i="6"/>
  <c r="L1095" i="6"/>
  <c r="L1096" i="6"/>
  <c r="L1097" i="6"/>
  <c r="L1098" i="6"/>
  <c r="L1099" i="6"/>
  <c r="L1100" i="6"/>
  <c r="L1101" i="6"/>
  <c r="L1102" i="6"/>
  <c r="L1103" i="6"/>
  <c r="L1104" i="6"/>
  <c r="L1105" i="6"/>
  <c r="L1106" i="6"/>
  <c r="L1107" i="6"/>
  <c r="L1108" i="6"/>
  <c r="L1109" i="6"/>
  <c r="L1110" i="6"/>
  <c r="L1111" i="6"/>
  <c r="L1112" i="6"/>
  <c r="L1113" i="6"/>
  <c r="L1114" i="6"/>
  <c r="L1115" i="6"/>
  <c r="L1116" i="6"/>
  <c r="L1117" i="6"/>
  <c r="L1118" i="6"/>
  <c r="L1119" i="6"/>
  <c r="L1120" i="6"/>
  <c r="L1121" i="6"/>
  <c r="L1122" i="6"/>
  <c r="L1123" i="6"/>
  <c r="L1124" i="6"/>
  <c r="L1125" i="6"/>
  <c r="L1126" i="6"/>
  <c r="L1127" i="6"/>
  <c r="L1128" i="6"/>
  <c r="L1129" i="6"/>
  <c r="L1130" i="6"/>
  <c r="L1131" i="6"/>
  <c r="L1132" i="6"/>
  <c r="L1133" i="6"/>
  <c r="L1134" i="6"/>
  <c r="L1135" i="6"/>
  <c r="L1136" i="6"/>
  <c r="L1137" i="6"/>
  <c r="L1138" i="6"/>
  <c r="L1139" i="6"/>
  <c r="L1140" i="6"/>
  <c r="L1141" i="6"/>
  <c r="L1142" i="6"/>
  <c r="L1143" i="6"/>
  <c r="L1144" i="6"/>
  <c r="L1145" i="6"/>
  <c r="L1146" i="6"/>
  <c r="L1147" i="6"/>
  <c r="L1148" i="6"/>
  <c r="L1149" i="6"/>
  <c r="L1150" i="6"/>
  <c r="L1151" i="6"/>
  <c r="L1152" i="6"/>
  <c r="L1153" i="6"/>
  <c r="L1154" i="6"/>
  <c r="L1155" i="6"/>
  <c r="L1156" i="6"/>
  <c r="L1157" i="6"/>
  <c r="L1158" i="6"/>
  <c r="L1159" i="6"/>
  <c r="L1160" i="6"/>
  <c r="L1161" i="6"/>
  <c r="L1162" i="6"/>
  <c r="L1163" i="6"/>
  <c r="L1164" i="6"/>
  <c r="L1165" i="6"/>
  <c r="L1166" i="6"/>
  <c r="L1167" i="6"/>
  <c r="L1168" i="6"/>
  <c r="L1169" i="6"/>
  <c r="L1170" i="6"/>
  <c r="L1171" i="6"/>
  <c r="L1172" i="6"/>
  <c r="L1173" i="6"/>
  <c r="L1174" i="6"/>
  <c r="L1175" i="6"/>
  <c r="L1176" i="6"/>
  <c r="L1177" i="6"/>
  <c r="L1178" i="6"/>
  <c r="L1179" i="6"/>
  <c r="L1180" i="6"/>
  <c r="L1181" i="6"/>
  <c r="L1182" i="6"/>
  <c r="L1183" i="6"/>
  <c r="L1184" i="6"/>
  <c r="L1185" i="6"/>
  <c r="L1186" i="6"/>
  <c r="L1187" i="6"/>
  <c r="L1188" i="6"/>
  <c r="L1189" i="6"/>
  <c r="L1190" i="6"/>
  <c r="L1191" i="6"/>
  <c r="L1192" i="6"/>
  <c r="L1193" i="6"/>
  <c r="L1194" i="6"/>
  <c r="L1195" i="6"/>
  <c r="L1196" i="6"/>
  <c r="L1197" i="6"/>
  <c r="L1198" i="6"/>
  <c r="L1199" i="6"/>
  <c r="L1200" i="6"/>
  <c r="L1201" i="6"/>
  <c r="L1202" i="6"/>
  <c r="L1203" i="6"/>
  <c r="L1204" i="6"/>
  <c r="L1205" i="6"/>
  <c r="L1206" i="6"/>
  <c r="L1207" i="6"/>
  <c r="L1208" i="6"/>
  <c r="L1209" i="6"/>
  <c r="L1210" i="6"/>
  <c r="L1211" i="6"/>
  <c r="L1212" i="6"/>
  <c r="L1213" i="6"/>
  <c r="L1214" i="6"/>
  <c r="L1215" i="6"/>
  <c r="L1216" i="6"/>
  <c r="L1217" i="6"/>
  <c r="L1218" i="6"/>
  <c r="L1219" i="6"/>
  <c r="L1220" i="6"/>
  <c r="L1221" i="6"/>
  <c r="L1222" i="6"/>
  <c r="L1223" i="6"/>
  <c r="L1224" i="6"/>
  <c r="L1225" i="6"/>
  <c r="L1226" i="6"/>
  <c r="L1227" i="6"/>
  <c r="L1228" i="6"/>
  <c r="L1229" i="6"/>
  <c r="L1230" i="6"/>
  <c r="L1231" i="6"/>
  <c r="L1232" i="6"/>
  <c r="L1233" i="6"/>
  <c r="L1234" i="6"/>
  <c r="L1235" i="6"/>
  <c r="L1236" i="6"/>
  <c r="L1237" i="6"/>
  <c r="L1238" i="6"/>
  <c r="L1239" i="6"/>
  <c r="L1240" i="6"/>
  <c r="L1241" i="6"/>
  <c r="L1242" i="6"/>
  <c r="L1243" i="6"/>
  <c r="L1244" i="6"/>
  <c r="L1245" i="6"/>
  <c r="L1246" i="6"/>
  <c r="L1247" i="6"/>
  <c r="L1248" i="6"/>
  <c r="L1249" i="6"/>
  <c r="L1250" i="6"/>
  <c r="L1251" i="6"/>
  <c r="L1252" i="6"/>
  <c r="L1253" i="6"/>
  <c r="L1254" i="6"/>
  <c r="L1255" i="6"/>
  <c r="L1256" i="6"/>
  <c r="L1257" i="6"/>
  <c r="L1258" i="6"/>
  <c r="L1259" i="6"/>
  <c r="L1260" i="6"/>
  <c r="L1261" i="6"/>
  <c r="L1262" i="6"/>
  <c r="L1263" i="6"/>
  <c r="L1264" i="6"/>
  <c r="L1265" i="6"/>
  <c r="L1266" i="6"/>
  <c r="L1267" i="6"/>
  <c r="L1268" i="6"/>
  <c r="L1269" i="6"/>
  <c r="L1270" i="6"/>
  <c r="L1271" i="6"/>
  <c r="L1272" i="6"/>
  <c r="L1273" i="6"/>
  <c r="L1274" i="6"/>
  <c r="L1275" i="6"/>
  <c r="L1276" i="6"/>
  <c r="L1277" i="6"/>
  <c r="L1278" i="6"/>
  <c r="L1279" i="6"/>
  <c r="L1280" i="6"/>
  <c r="L1281" i="6"/>
  <c r="L1282" i="6"/>
  <c r="L1283" i="6"/>
  <c r="L1284" i="6"/>
  <c r="L1285" i="6"/>
  <c r="L1286" i="6"/>
  <c r="L1287" i="6"/>
  <c r="L1288" i="6"/>
  <c r="L1289" i="6"/>
  <c r="L1290" i="6"/>
  <c r="L1291" i="6"/>
  <c r="L1292" i="6"/>
  <c r="L1293" i="6"/>
  <c r="L1294" i="6"/>
  <c r="L1295" i="6"/>
  <c r="L1296" i="6"/>
  <c r="L1297" i="6"/>
  <c r="L1298" i="6"/>
  <c r="L1299" i="6"/>
  <c r="L1300" i="6"/>
  <c r="L1301" i="6"/>
  <c r="L1302" i="6"/>
  <c r="L1303" i="6"/>
  <c r="L1304" i="6"/>
  <c r="L1305" i="6"/>
  <c r="L1306" i="6"/>
  <c r="L1307" i="6"/>
  <c r="L1308" i="6"/>
  <c r="L1309" i="6"/>
  <c r="L1310" i="6"/>
  <c r="L1311" i="6"/>
  <c r="L1312" i="6"/>
  <c r="L1313" i="6"/>
  <c r="L1314" i="6"/>
  <c r="L1315" i="6"/>
  <c r="L1316" i="6"/>
  <c r="L1317" i="6"/>
  <c r="L1318" i="6"/>
  <c r="L1319" i="6"/>
  <c r="L1320" i="6"/>
  <c r="L1321" i="6"/>
  <c r="L1322" i="6"/>
  <c r="L1323" i="6"/>
  <c r="L1324" i="6"/>
  <c r="L1325" i="6"/>
  <c r="L1326" i="6"/>
  <c r="L1327" i="6"/>
  <c r="L1328" i="6"/>
  <c r="L1329" i="6"/>
  <c r="L1330" i="6"/>
  <c r="L1331" i="6"/>
  <c r="L1332" i="6"/>
  <c r="L1333" i="6"/>
  <c r="L1334" i="6"/>
  <c r="L1335" i="6"/>
  <c r="L1336" i="6"/>
  <c r="L1337" i="6"/>
  <c r="L1338" i="6"/>
  <c r="L1339" i="6"/>
  <c r="L1340" i="6"/>
  <c r="L1341" i="6"/>
  <c r="L1342" i="6"/>
  <c r="L1343" i="6"/>
  <c r="L1344" i="6"/>
  <c r="L1345" i="6"/>
  <c r="L1346" i="6"/>
  <c r="L1347" i="6"/>
  <c r="L1348" i="6"/>
  <c r="L1349" i="6"/>
  <c r="L1350" i="6"/>
  <c r="L1351" i="6"/>
  <c r="L1352" i="6"/>
  <c r="L1353" i="6"/>
  <c r="L1354" i="6"/>
  <c r="L1355" i="6"/>
  <c r="L1356" i="6"/>
  <c r="L1357" i="6"/>
  <c r="L1358" i="6"/>
  <c r="L1359" i="6"/>
  <c r="L1360" i="6"/>
  <c r="L1361" i="6"/>
  <c r="L1362" i="6"/>
  <c r="L1363" i="6"/>
  <c r="L1364" i="6"/>
  <c r="L1365" i="6"/>
  <c r="L1366" i="6"/>
  <c r="L1367" i="6"/>
  <c r="L1368" i="6"/>
  <c r="L1369" i="6"/>
  <c r="L1370" i="6"/>
  <c r="L1371" i="6"/>
  <c r="L1372" i="6"/>
  <c r="L1373" i="6"/>
  <c r="L1374" i="6"/>
  <c r="L1375" i="6"/>
  <c r="L1376" i="6"/>
  <c r="L1377" i="6"/>
  <c r="L1378" i="6"/>
  <c r="L1379" i="6"/>
  <c r="L1380" i="6"/>
  <c r="L1381" i="6"/>
  <c r="L1382" i="6"/>
  <c r="L1383" i="6"/>
  <c r="L1384" i="6"/>
  <c r="L1385" i="6"/>
  <c r="L1386" i="6"/>
  <c r="L1387" i="6"/>
  <c r="L1388" i="6"/>
  <c r="L1389" i="6"/>
  <c r="L1390" i="6"/>
  <c r="L1391" i="6"/>
  <c r="L1392" i="6"/>
  <c r="L1393" i="6"/>
  <c r="L1394" i="6"/>
  <c r="L1395" i="6"/>
  <c r="L1396" i="6"/>
  <c r="L1397" i="6"/>
  <c r="L1398" i="6"/>
  <c r="L1399" i="6"/>
  <c r="L1400" i="6"/>
  <c r="L1401" i="6"/>
  <c r="L1402" i="6"/>
  <c r="L1403" i="6"/>
  <c r="L1404" i="6"/>
  <c r="L1405" i="6"/>
  <c r="L1406" i="6"/>
  <c r="L1407" i="6"/>
  <c r="L1408" i="6"/>
  <c r="L1409" i="6"/>
  <c r="L1410" i="6"/>
  <c r="L1411" i="6"/>
  <c r="L1412" i="6"/>
  <c r="L1413" i="6"/>
  <c r="L1414" i="6"/>
  <c r="L1415" i="6"/>
  <c r="L1416" i="6"/>
  <c r="L1417" i="6"/>
  <c r="L1418" i="6"/>
  <c r="L1419" i="6"/>
  <c r="L1420" i="6"/>
  <c r="L1421" i="6"/>
  <c r="L1422" i="6"/>
  <c r="L1423" i="6"/>
  <c r="L1424" i="6"/>
  <c r="L1425" i="6"/>
  <c r="L1426" i="6"/>
  <c r="L1427" i="6"/>
  <c r="L1428" i="6"/>
  <c r="L1429" i="6"/>
  <c r="L1430" i="6"/>
  <c r="L1431" i="6"/>
  <c r="L1432" i="6"/>
  <c r="L1433" i="6"/>
  <c r="L1434" i="6"/>
  <c r="L1435" i="6"/>
  <c r="L1436" i="6"/>
  <c r="L1437" i="6"/>
  <c r="L1438" i="6"/>
  <c r="L1439" i="6"/>
  <c r="L1440" i="6"/>
  <c r="L1441" i="6"/>
  <c r="L1442" i="6"/>
  <c r="L1443" i="6"/>
  <c r="L1444" i="6"/>
  <c r="L1445" i="6"/>
  <c r="L1446" i="6"/>
  <c r="L1447" i="6"/>
  <c r="L1448" i="6"/>
  <c r="L1449" i="6"/>
  <c r="L1450" i="6"/>
  <c r="L1451" i="6"/>
  <c r="L1452" i="6"/>
  <c r="L1453" i="6"/>
  <c r="L1454" i="6"/>
  <c r="L1455" i="6"/>
  <c r="L1456" i="6"/>
  <c r="L1457" i="6"/>
  <c r="L1458" i="6"/>
  <c r="L1459" i="6"/>
  <c r="L1460" i="6"/>
  <c r="L1461" i="6"/>
  <c r="L1462" i="6"/>
  <c r="L1463" i="6"/>
  <c r="L1464" i="6"/>
  <c r="L1465" i="6"/>
  <c r="L1466" i="6"/>
  <c r="L1467" i="6"/>
  <c r="L1468" i="6"/>
  <c r="L1469" i="6"/>
  <c r="L1470" i="6"/>
  <c r="L1471" i="6"/>
  <c r="L1472" i="6"/>
  <c r="L1473" i="6"/>
  <c r="L1474" i="6"/>
  <c r="L1475" i="6"/>
  <c r="L1476" i="6"/>
  <c r="L1477" i="6"/>
  <c r="L1478" i="6"/>
  <c r="L1479" i="6"/>
  <c r="L1480" i="6"/>
  <c r="L1481" i="6"/>
  <c r="L1482" i="6"/>
  <c r="L1483" i="6"/>
  <c r="L1484" i="6"/>
  <c r="L1485" i="6"/>
  <c r="L1486" i="6"/>
  <c r="L1487" i="6"/>
  <c r="L1488" i="6"/>
  <c r="L1489" i="6"/>
  <c r="L1490" i="6"/>
  <c r="L1491" i="6"/>
  <c r="L1492" i="6"/>
  <c r="L1493" i="6"/>
  <c r="L1494" i="6"/>
  <c r="L1495" i="6"/>
  <c r="L1496" i="6"/>
  <c r="L1497" i="6"/>
  <c r="L1498" i="6"/>
  <c r="L1499" i="6"/>
  <c r="L1500" i="6"/>
  <c r="L1501" i="6"/>
  <c r="L1502" i="6"/>
  <c r="L1503" i="6"/>
  <c r="L1504" i="6"/>
  <c r="L1505" i="6"/>
  <c r="L1506" i="6"/>
  <c r="L1507" i="6"/>
  <c r="L1508" i="6"/>
  <c r="L1509" i="6"/>
  <c r="L1510" i="6"/>
  <c r="L1511" i="6"/>
  <c r="L1512" i="6"/>
  <c r="L1513" i="6"/>
  <c r="L1514" i="6"/>
  <c r="L1515" i="6"/>
  <c r="L1516" i="6"/>
  <c r="L1517" i="6"/>
  <c r="L1518" i="6"/>
  <c r="L1519" i="6"/>
  <c r="L1520" i="6"/>
  <c r="L1521" i="6"/>
  <c r="L1522" i="6"/>
  <c r="L1523" i="6"/>
  <c r="L1524" i="6"/>
  <c r="L1525" i="6"/>
  <c r="L1526" i="6"/>
  <c r="L1527" i="6"/>
  <c r="L1528" i="6"/>
  <c r="L1529" i="6"/>
  <c r="L1530" i="6"/>
  <c r="L1531" i="6"/>
  <c r="L1532" i="6"/>
  <c r="L1533" i="6"/>
  <c r="L1534" i="6"/>
  <c r="L1535" i="6"/>
  <c r="L1536" i="6"/>
  <c r="L1537" i="6"/>
  <c r="L1538" i="6"/>
  <c r="L1539" i="6"/>
  <c r="L1540" i="6"/>
  <c r="L1541" i="6"/>
  <c r="L1542" i="6"/>
  <c r="L1543" i="6"/>
  <c r="L1544" i="6"/>
  <c r="L1545" i="6"/>
  <c r="L1546" i="6"/>
  <c r="L1547" i="6"/>
  <c r="L1548" i="6"/>
  <c r="L1549" i="6"/>
  <c r="L1550" i="6"/>
  <c r="L1551" i="6"/>
  <c r="L1552" i="6"/>
  <c r="L1553" i="6"/>
  <c r="L1554" i="6"/>
  <c r="L1555" i="6"/>
  <c r="L1556" i="6"/>
  <c r="L1557" i="6"/>
  <c r="L1558" i="6"/>
  <c r="L1559" i="6"/>
  <c r="L1560" i="6"/>
  <c r="L1561" i="6"/>
  <c r="L1562" i="6"/>
  <c r="L1563" i="6"/>
  <c r="L1564" i="6"/>
  <c r="L1565" i="6"/>
  <c r="L1566" i="6"/>
  <c r="L1567" i="6"/>
  <c r="L1568" i="6"/>
  <c r="L1569" i="6"/>
  <c r="L1570" i="6"/>
  <c r="L1571" i="6"/>
  <c r="L1572" i="6"/>
  <c r="L1573" i="6"/>
  <c r="L1574" i="6"/>
  <c r="L1575" i="6"/>
  <c r="L1576" i="6"/>
  <c r="L1577" i="6"/>
  <c r="L1578" i="6"/>
  <c r="L1579" i="6"/>
  <c r="L1580" i="6"/>
  <c r="L1581" i="6"/>
  <c r="L1582" i="6"/>
  <c r="L1583" i="6"/>
  <c r="L1584" i="6"/>
  <c r="L1585" i="6"/>
  <c r="L1586" i="6"/>
  <c r="L1587" i="6"/>
  <c r="L1588" i="6"/>
  <c r="L1589" i="6"/>
  <c r="L1590" i="6"/>
  <c r="L1591" i="6"/>
  <c r="L1592" i="6"/>
  <c r="L1593" i="6"/>
  <c r="L1594" i="6"/>
  <c r="L1595" i="6"/>
  <c r="L1596" i="6"/>
  <c r="L1597" i="6"/>
  <c r="L1598" i="6"/>
  <c r="L1599" i="6"/>
  <c r="L1600" i="6"/>
  <c r="L1601" i="6"/>
  <c r="L1602" i="6"/>
  <c r="L1603" i="6"/>
  <c r="L1604" i="6"/>
  <c r="L1605" i="6"/>
  <c r="L1606" i="6"/>
  <c r="L1607" i="6"/>
  <c r="L1608" i="6"/>
  <c r="L1609" i="6"/>
  <c r="L1610" i="6"/>
  <c r="L1611" i="6"/>
  <c r="L1612" i="6"/>
  <c r="L1613" i="6"/>
  <c r="L1614" i="6"/>
  <c r="L1615" i="6"/>
  <c r="L1616" i="6"/>
  <c r="L1617" i="6"/>
  <c r="L1618" i="6"/>
  <c r="L1619" i="6"/>
  <c r="L1620" i="6"/>
  <c r="L1621" i="6"/>
  <c r="L1622" i="6"/>
  <c r="L1623" i="6"/>
  <c r="L1624" i="6"/>
  <c r="L1625" i="6"/>
  <c r="L1626" i="6"/>
  <c r="L1627" i="6"/>
  <c r="L1628" i="6"/>
  <c r="L1629" i="6"/>
  <c r="L1630" i="6"/>
  <c r="L1631" i="6"/>
  <c r="L1632" i="6"/>
  <c r="L1633" i="6"/>
  <c r="L1634" i="6"/>
  <c r="L1635" i="6"/>
  <c r="L1636" i="6"/>
  <c r="L1637" i="6"/>
  <c r="L1638" i="6"/>
  <c r="L1639" i="6"/>
  <c r="L1640" i="6"/>
  <c r="L1641" i="6"/>
  <c r="L1642" i="6"/>
  <c r="L1643" i="6"/>
  <c r="L1644" i="6"/>
  <c r="L1645" i="6"/>
  <c r="L1646" i="6"/>
  <c r="L1647" i="6"/>
  <c r="L1648" i="6"/>
  <c r="L1649" i="6"/>
  <c r="L1650" i="6"/>
  <c r="L1651" i="6"/>
  <c r="L1652" i="6"/>
  <c r="L1653" i="6"/>
  <c r="L1654" i="6"/>
  <c r="L1655" i="6"/>
  <c r="L1656" i="6"/>
  <c r="L1657" i="6"/>
  <c r="L1658" i="6"/>
  <c r="L1659" i="6"/>
  <c r="L1660" i="6"/>
  <c r="L1661" i="6"/>
  <c r="L1662" i="6"/>
  <c r="L1663" i="6"/>
  <c r="L1664" i="6"/>
  <c r="L1665" i="6"/>
  <c r="L1666" i="6"/>
  <c r="L1667" i="6"/>
  <c r="L1668" i="6"/>
  <c r="L1669" i="6"/>
  <c r="L1670" i="6"/>
  <c r="L1671" i="6"/>
  <c r="L1672" i="6"/>
  <c r="L1673" i="6"/>
  <c r="L1674" i="6"/>
  <c r="L1675" i="6"/>
  <c r="L1676" i="6"/>
  <c r="L1677" i="6"/>
  <c r="L1678" i="6"/>
  <c r="L1679" i="6"/>
  <c r="L1680" i="6"/>
  <c r="L1681" i="6"/>
  <c r="L1682" i="6"/>
  <c r="L1683" i="6"/>
  <c r="L1684" i="6"/>
  <c r="L1685" i="6"/>
  <c r="L1686" i="6"/>
  <c r="L1687" i="6"/>
  <c r="L1688" i="6"/>
  <c r="L1689" i="6"/>
  <c r="L1690" i="6"/>
  <c r="L1691" i="6"/>
  <c r="L1692" i="6"/>
  <c r="L1693" i="6"/>
  <c r="L1694" i="6"/>
  <c r="L1695" i="6"/>
  <c r="L1696" i="6"/>
  <c r="L1697" i="6"/>
  <c r="L1698" i="6"/>
  <c r="L1699" i="6"/>
  <c r="L1700" i="6"/>
  <c r="L1701" i="6"/>
  <c r="L1702" i="6"/>
  <c r="L1703" i="6"/>
  <c r="L1704" i="6"/>
  <c r="L1705" i="6"/>
  <c r="L1706" i="6"/>
  <c r="L1707" i="6"/>
  <c r="L1708" i="6"/>
  <c r="L1709" i="6"/>
  <c r="L1710" i="6"/>
  <c r="L1711" i="6"/>
  <c r="L1712" i="6"/>
  <c r="L1713" i="6"/>
  <c r="L1714" i="6"/>
  <c r="L1715" i="6"/>
  <c r="L1716" i="6"/>
  <c r="L1717" i="6"/>
  <c r="L1718" i="6"/>
  <c r="L1719" i="6"/>
  <c r="L1720" i="6"/>
  <c r="L1721" i="6"/>
  <c r="L1722" i="6"/>
  <c r="L1723" i="6"/>
  <c r="L1724" i="6"/>
  <c r="L1725" i="6"/>
  <c r="L1726" i="6"/>
  <c r="L1727" i="6"/>
  <c r="L1728" i="6"/>
  <c r="L1729" i="6"/>
  <c r="L1730" i="6"/>
  <c r="L1731" i="6"/>
  <c r="L1732" i="6"/>
  <c r="L1733" i="6"/>
  <c r="L1734" i="6"/>
  <c r="L1735" i="6"/>
  <c r="L1736" i="6"/>
  <c r="L1737" i="6"/>
  <c r="L1738" i="6"/>
  <c r="L1739" i="6"/>
  <c r="L1740" i="6"/>
  <c r="L1741" i="6"/>
  <c r="L1742" i="6"/>
  <c r="L1743" i="6"/>
  <c r="L1744" i="6"/>
  <c r="L1745" i="6"/>
  <c r="L1746" i="6"/>
  <c r="L1747" i="6"/>
  <c r="L1748" i="6"/>
  <c r="L1749" i="6"/>
  <c r="L1750" i="6"/>
  <c r="L1751" i="6"/>
  <c r="L1752" i="6"/>
  <c r="L1753" i="6"/>
  <c r="L1754" i="6"/>
  <c r="L1755" i="6"/>
  <c r="L1756" i="6"/>
  <c r="L1757" i="6"/>
  <c r="L1758" i="6"/>
  <c r="L1759" i="6"/>
  <c r="L1760" i="6"/>
  <c r="L1761" i="6"/>
  <c r="L1762" i="6"/>
  <c r="L1763" i="6"/>
  <c r="L1764" i="6"/>
  <c r="L1765" i="6"/>
  <c r="L1766" i="6"/>
  <c r="L1767" i="6"/>
  <c r="L1768" i="6"/>
  <c r="L1769" i="6"/>
  <c r="L1770" i="6"/>
  <c r="L1771" i="6"/>
  <c r="L1772" i="6"/>
  <c r="L1773" i="6"/>
  <c r="L1774" i="6"/>
  <c r="L1775" i="6"/>
  <c r="L1776" i="6"/>
  <c r="L1777" i="6"/>
  <c r="L1778" i="6"/>
  <c r="L1779" i="6"/>
  <c r="L1780" i="6"/>
  <c r="L1781" i="6"/>
  <c r="L1782" i="6"/>
  <c r="L1783" i="6"/>
  <c r="L1784" i="6"/>
  <c r="L1785" i="6"/>
  <c r="L1786" i="6"/>
  <c r="L1787" i="6"/>
  <c r="L1788" i="6"/>
  <c r="L1789" i="6"/>
  <c r="L1790" i="6"/>
  <c r="L1791" i="6"/>
  <c r="L1792" i="6"/>
  <c r="L1793" i="6"/>
  <c r="L1794" i="6"/>
  <c r="L1795" i="6"/>
  <c r="L1796" i="6"/>
  <c r="L1797" i="6"/>
  <c r="L1798" i="6"/>
  <c r="L1799" i="6"/>
  <c r="L1800" i="6"/>
  <c r="L1801" i="6"/>
  <c r="L1802" i="6"/>
  <c r="L1803" i="6"/>
  <c r="L1804" i="6"/>
  <c r="L1805" i="6"/>
  <c r="L1806" i="6"/>
  <c r="L1807" i="6"/>
  <c r="L1808" i="6"/>
  <c r="L1809" i="6"/>
  <c r="L1810" i="6"/>
  <c r="L1811" i="6"/>
  <c r="L1812" i="6"/>
  <c r="L1813" i="6"/>
  <c r="L1814" i="6"/>
  <c r="L1815" i="6"/>
  <c r="L1816" i="6"/>
  <c r="L1817" i="6"/>
  <c r="L1818" i="6"/>
  <c r="L1819" i="6"/>
  <c r="L1820" i="6"/>
  <c r="L1821" i="6"/>
  <c r="L1822" i="6"/>
  <c r="L1823" i="6"/>
  <c r="L1824" i="6"/>
  <c r="L1825" i="6"/>
  <c r="L1826" i="6"/>
  <c r="L1827" i="6"/>
  <c r="L1828" i="6"/>
  <c r="L1829" i="6"/>
  <c r="L1830" i="6"/>
  <c r="L1831" i="6"/>
  <c r="L1832" i="6"/>
  <c r="L1833" i="6"/>
  <c r="L1834" i="6"/>
  <c r="L1835" i="6"/>
  <c r="L1836" i="6"/>
  <c r="L1837" i="6"/>
  <c r="L1838" i="6"/>
  <c r="L1839" i="6"/>
  <c r="L1840" i="6"/>
  <c r="L1841" i="6"/>
  <c r="L1842" i="6"/>
  <c r="L1843" i="6"/>
  <c r="L1844" i="6"/>
  <c r="L1845" i="6"/>
  <c r="L1846" i="6"/>
  <c r="L1847" i="6"/>
  <c r="L1848" i="6"/>
  <c r="L1849" i="6"/>
  <c r="L1850" i="6"/>
  <c r="L1851" i="6"/>
  <c r="L1852" i="6"/>
  <c r="L1853" i="6"/>
  <c r="L1854" i="6"/>
  <c r="L1855" i="6"/>
  <c r="L1856" i="6"/>
  <c r="L1857" i="6"/>
  <c r="L1858" i="6"/>
  <c r="L1859" i="6"/>
  <c r="L1860" i="6"/>
  <c r="L1861" i="6"/>
  <c r="L1862" i="6"/>
  <c r="L1863" i="6"/>
  <c r="L1864" i="6"/>
  <c r="L1865" i="6"/>
  <c r="L1866" i="6"/>
  <c r="L1867" i="6"/>
  <c r="L1868" i="6"/>
  <c r="L1869" i="6"/>
  <c r="L1870" i="6"/>
  <c r="L1871" i="6"/>
  <c r="L1872" i="6"/>
  <c r="L1873" i="6"/>
  <c r="L1874" i="6"/>
  <c r="L1875" i="6"/>
  <c r="L1876" i="6"/>
  <c r="L1877" i="6"/>
  <c r="L1878" i="6"/>
  <c r="L1879" i="6"/>
  <c r="L1880" i="6"/>
  <c r="L1881" i="6"/>
  <c r="L1882" i="6"/>
  <c r="L1883" i="6"/>
  <c r="L1884" i="6"/>
  <c r="L1885" i="6"/>
  <c r="L1886" i="6"/>
  <c r="L1887" i="6"/>
  <c r="L1888" i="6"/>
  <c r="L1889" i="6"/>
  <c r="L1890" i="6"/>
  <c r="L1891" i="6"/>
  <c r="L1892" i="6"/>
  <c r="L1893" i="6"/>
  <c r="L1894" i="6"/>
  <c r="L1895" i="6"/>
  <c r="L1896" i="6"/>
  <c r="L1897" i="6"/>
  <c r="L1898" i="6"/>
  <c r="L1899" i="6"/>
  <c r="L1900" i="6"/>
  <c r="L1901" i="6"/>
  <c r="L1902" i="6"/>
  <c r="L1903" i="6"/>
  <c r="L1904" i="6"/>
  <c r="L1905" i="6"/>
  <c r="L1906" i="6"/>
  <c r="L1907" i="6"/>
  <c r="L1908" i="6"/>
  <c r="L1909" i="6"/>
  <c r="L1910" i="6"/>
  <c r="L1911" i="6"/>
  <c r="L1912" i="6"/>
  <c r="L1913" i="6"/>
  <c r="L1914" i="6"/>
  <c r="L1915" i="6"/>
  <c r="L1916" i="6"/>
  <c r="L1917" i="6"/>
  <c r="L1918" i="6"/>
  <c r="L1919" i="6"/>
  <c r="L1920" i="6"/>
  <c r="L1921" i="6"/>
  <c r="L1922" i="6"/>
  <c r="L1923" i="6"/>
  <c r="L1924" i="6"/>
  <c r="L1925" i="6"/>
  <c r="L1926" i="6"/>
  <c r="L1927" i="6"/>
  <c r="L1928" i="6"/>
  <c r="L1929" i="6"/>
  <c r="L1930" i="6"/>
  <c r="L1931" i="6"/>
  <c r="L1932" i="6"/>
  <c r="L1933" i="6"/>
  <c r="L1934" i="6"/>
  <c r="L1935" i="6"/>
  <c r="L1936" i="6"/>
  <c r="L1937" i="6"/>
  <c r="L1938" i="6"/>
  <c r="L1939" i="6"/>
  <c r="L1940" i="6"/>
  <c r="L1941" i="6"/>
  <c r="L1942" i="6"/>
  <c r="L1943" i="6"/>
  <c r="L1944" i="6"/>
  <c r="L1945" i="6"/>
  <c r="L1946" i="6"/>
  <c r="L1947" i="6"/>
  <c r="L1948" i="6"/>
  <c r="L1949" i="6"/>
  <c r="L1950" i="6"/>
  <c r="L1951" i="6"/>
  <c r="L1952" i="6"/>
  <c r="L1953" i="6"/>
  <c r="L1954" i="6"/>
  <c r="L1955" i="6"/>
  <c r="L1956" i="6"/>
  <c r="L1957" i="6"/>
  <c r="L1958" i="6"/>
  <c r="L1959" i="6"/>
  <c r="L1960" i="6"/>
  <c r="L1961" i="6"/>
  <c r="L1962" i="6"/>
  <c r="L1963" i="6"/>
  <c r="L1964" i="6"/>
  <c r="L1965" i="6"/>
  <c r="L1966" i="6"/>
  <c r="L1967" i="6"/>
  <c r="L1968" i="6"/>
  <c r="L1969" i="6"/>
  <c r="L1970" i="6"/>
  <c r="L1971" i="6"/>
  <c r="L1972" i="6"/>
  <c r="L1973" i="6"/>
  <c r="L1974" i="6"/>
  <c r="L1975" i="6"/>
  <c r="L1976" i="6"/>
  <c r="L1977" i="6"/>
  <c r="L1978" i="6"/>
  <c r="L1979" i="6"/>
  <c r="L1980" i="6"/>
  <c r="L1981" i="6"/>
  <c r="L1982" i="6"/>
  <c r="L1983" i="6"/>
  <c r="L1984" i="6"/>
  <c r="L1985" i="6"/>
  <c r="L1986" i="6"/>
  <c r="L1987" i="6"/>
  <c r="L1988" i="6"/>
  <c r="L1989" i="6"/>
  <c r="L1990" i="6"/>
  <c r="L1991" i="6"/>
  <c r="L1992" i="6"/>
  <c r="L1993" i="6"/>
  <c r="L1994" i="6"/>
  <c r="L1995" i="6"/>
  <c r="L1996" i="6"/>
  <c r="L1997" i="6"/>
  <c r="L1998" i="6"/>
  <c r="L1999" i="6"/>
  <c r="L2000" i="6"/>
  <c r="L2001"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J105" i="6"/>
  <c r="J106" i="6"/>
  <c r="J107" i="6"/>
  <c r="J108" i="6"/>
  <c r="J109" i="6"/>
  <c r="J110" i="6"/>
  <c r="J111" i="6"/>
  <c r="J112" i="6"/>
  <c r="J113" i="6"/>
  <c r="J114" i="6"/>
  <c r="J115" i="6"/>
  <c r="J116" i="6"/>
  <c r="J117" i="6"/>
  <c r="J118" i="6"/>
  <c r="J119" i="6"/>
  <c r="J120" i="6"/>
  <c r="J121" i="6"/>
  <c r="J122" i="6"/>
  <c r="J123" i="6"/>
  <c r="J124" i="6"/>
  <c r="J125" i="6"/>
  <c r="J126" i="6"/>
  <c r="J127" i="6"/>
  <c r="J128" i="6"/>
  <c r="J129" i="6"/>
  <c r="J130" i="6"/>
  <c r="J131" i="6"/>
  <c r="J132" i="6"/>
  <c r="J133" i="6"/>
  <c r="J134" i="6"/>
  <c r="J135" i="6"/>
  <c r="J136" i="6"/>
  <c r="J137" i="6"/>
  <c r="J138" i="6"/>
  <c r="J139" i="6"/>
  <c r="J140" i="6"/>
  <c r="J141" i="6"/>
  <c r="J142" i="6"/>
  <c r="J143" i="6"/>
  <c r="J144" i="6"/>
  <c r="J145" i="6"/>
  <c r="J146" i="6"/>
  <c r="J147" i="6"/>
  <c r="J148" i="6"/>
  <c r="J149" i="6"/>
  <c r="J150" i="6"/>
  <c r="J151" i="6"/>
  <c r="J152" i="6"/>
  <c r="J153" i="6"/>
  <c r="J154" i="6"/>
  <c r="J155" i="6"/>
  <c r="J156" i="6"/>
  <c r="J157" i="6"/>
  <c r="J158" i="6"/>
  <c r="J159" i="6"/>
  <c r="J160" i="6"/>
  <c r="J161" i="6"/>
  <c r="J162" i="6"/>
  <c r="J163" i="6"/>
  <c r="J164" i="6"/>
  <c r="J165" i="6"/>
  <c r="J166" i="6"/>
  <c r="J167" i="6"/>
  <c r="J168" i="6"/>
  <c r="J169" i="6"/>
  <c r="J170" i="6"/>
  <c r="J171" i="6"/>
  <c r="J172" i="6"/>
  <c r="J173" i="6"/>
  <c r="J174" i="6"/>
  <c r="J175" i="6"/>
  <c r="J176" i="6"/>
  <c r="J177" i="6"/>
  <c r="J178" i="6"/>
  <c r="J179" i="6"/>
  <c r="J180" i="6"/>
  <c r="J181" i="6"/>
  <c r="J182" i="6"/>
  <c r="J183" i="6"/>
  <c r="J184" i="6"/>
  <c r="J185" i="6"/>
  <c r="J186" i="6"/>
  <c r="J187" i="6"/>
  <c r="J188" i="6"/>
  <c r="J189" i="6"/>
  <c r="J190" i="6"/>
  <c r="J191" i="6"/>
  <c r="J192" i="6"/>
  <c r="J193" i="6"/>
  <c r="J194" i="6"/>
  <c r="J195" i="6"/>
  <c r="J196" i="6"/>
  <c r="J197" i="6"/>
  <c r="J198" i="6"/>
  <c r="J199" i="6"/>
  <c r="J200" i="6"/>
  <c r="J201" i="6"/>
  <c r="J202" i="6"/>
  <c r="J203" i="6"/>
  <c r="J204" i="6"/>
  <c r="J205" i="6"/>
  <c r="J206" i="6"/>
  <c r="J207" i="6"/>
  <c r="J208" i="6"/>
  <c r="J209" i="6"/>
  <c r="J210" i="6"/>
  <c r="J211" i="6"/>
  <c r="J212" i="6"/>
  <c r="J213" i="6"/>
  <c r="J214" i="6"/>
  <c r="J215" i="6"/>
  <c r="J216" i="6"/>
  <c r="J217" i="6"/>
  <c r="J218" i="6"/>
  <c r="J219" i="6"/>
  <c r="J220" i="6"/>
  <c r="J221" i="6"/>
  <c r="J222" i="6"/>
  <c r="J223" i="6"/>
  <c r="J224" i="6"/>
  <c r="J225" i="6"/>
  <c r="J226" i="6"/>
  <c r="J227" i="6"/>
  <c r="J228" i="6"/>
  <c r="J229" i="6"/>
  <c r="J230" i="6"/>
  <c r="J231" i="6"/>
  <c r="J232" i="6"/>
  <c r="J233" i="6"/>
  <c r="J234" i="6"/>
  <c r="J235" i="6"/>
  <c r="J236" i="6"/>
  <c r="J237" i="6"/>
  <c r="J238" i="6"/>
  <c r="J239" i="6"/>
  <c r="J240" i="6"/>
  <c r="J241" i="6"/>
  <c r="J242" i="6"/>
  <c r="J243" i="6"/>
  <c r="J244" i="6"/>
  <c r="J245" i="6"/>
  <c r="J246" i="6"/>
  <c r="J247" i="6"/>
  <c r="J248" i="6"/>
  <c r="J249" i="6"/>
  <c r="J250" i="6"/>
  <c r="J251" i="6"/>
  <c r="J252" i="6"/>
  <c r="J253" i="6"/>
  <c r="J254" i="6"/>
  <c r="J255" i="6"/>
  <c r="J256" i="6"/>
  <c r="J257" i="6"/>
  <c r="J258" i="6"/>
  <c r="J259" i="6"/>
  <c r="J260" i="6"/>
  <c r="J261" i="6"/>
  <c r="J262" i="6"/>
  <c r="J263" i="6"/>
  <c r="J264" i="6"/>
  <c r="J265" i="6"/>
  <c r="J266" i="6"/>
  <c r="J267" i="6"/>
  <c r="J268" i="6"/>
  <c r="J269" i="6"/>
  <c r="J270" i="6"/>
  <c r="J271" i="6"/>
  <c r="J272" i="6"/>
  <c r="J273" i="6"/>
  <c r="J274" i="6"/>
  <c r="J275" i="6"/>
  <c r="J276" i="6"/>
  <c r="J277" i="6"/>
  <c r="J278" i="6"/>
  <c r="J279" i="6"/>
  <c r="J280" i="6"/>
  <c r="J281" i="6"/>
  <c r="J282" i="6"/>
  <c r="J283" i="6"/>
  <c r="J284" i="6"/>
  <c r="J285" i="6"/>
  <c r="J286" i="6"/>
  <c r="J287" i="6"/>
  <c r="J288" i="6"/>
  <c r="J289" i="6"/>
  <c r="J290" i="6"/>
  <c r="J291" i="6"/>
  <c r="J292" i="6"/>
  <c r="J293" i="6"/>
  <c r="J294" i="6"/>
  <c r="J295" i="6"/>
  <c r="J296" i="6"/>
  <c r="J297" i="6"/>
  <c r="J298" i="6"/>
  <c r="J299" i="6"/>
  <c r="J300" i="6"/>
  <c r="J301" i="6"/>
  <c r="J302" i="6"/>
  <c r="J303" i="6"/>
  <c r="J304" i="6"/>
  <c r="J305" i="6"/>
  <c r="J306" i="6"/>
  <c r="J307" i="6"/>
  <c r="J308" i="6"/>
  <c r="J309" i="6"/>
  <c r="J310" i="6"/>
  <c r="J311" i="6"/>
  <c r="J312" i="6"/>
  <c r="J313" i="6"/>
  <c r="J314" i="6"/>
  <c r="J315" i="6"/>
  <c r="J316" i="6"/>
  <c r="J317" i="6"/>
  <c r="J318" i="6"/>
  <c r="J319" i="6"/>
  <c r="J320" i="6"/>
  <c r="J321" i="6"/>
  <c r="J322" i="6"/>
  <c r="J323" i="6"/>
  <c r="J324" i="6"/>
  <c r="J325" i="6"/>
  <c r="J326" i="6"/>
  <c r="J327" i="6"/>
  <c r="J328" i="6"/>
  <c r="J329" i="6"/>
  <c r="J330" i="6"/>
  <c r="J331" i="6"/>
  <c r="J332" i="6"/>
  <c r="J333" i="6"/>
  <c r="J334" i="6"/>
  <c r="J335" i="6"/>
  <c r="J336" i="6"/>
  <c r="J337" i="6"/>
  <c r="J338" i="6"/>
  <c r="J339" i="6"/>
  <c r="J340" i="6"/>
  <c r="J341" i="6"/>
  <c r="J342" i="6"/>
  <c r="J343" i="6"/>
  <c r="J344" i="6"/>
  <c r="J345" i="6"/>
  <c r="J346" i="6"/>
  <c r="J347" i="6"/>
  <c r="J348" i="6"/>
  <c r="J349" i="6"/>
  <c r="J350" i="6"/>
  <c r="J351" i="6"/>
  <c r="J352" i="6"/>
  <c r="J353" i="6"/>
  <c r="J354" i="6"/>
  <c r="J355" i="6"/>
  <c r="J356" i="6"/>
  <c r="J357" i="6"/>
  <c r="J358" i="6"/>
  <c r="J359" i="6"/>
  <c r="J360" i="6"/>
  <c r="J361" i="6"/>
  <c r="J362" i="6"/>
  <c r="J363" i="6"/>
  <c r="J364" i="6"/>
  <c r="J365" i="6"/>
  <c r="J366" i="6"/>
  <c r="J367" i="6"/>
  <c r="J368" i="6"/>
  <c r="J369" i="6"/>
  <c r="J370" i="6"/>
  <c r="J371" i="6"/>
  <c r="J372" i="6"/>
  <c r="J373" i="6"/>
  <c r="J374" i="6"/>
  <c r="J375" i="6"/>
  <c r="J376" i="6"/>
  <c r="J377" i="6"/>
  <c r="J378" i="6"/>
  <c r="J379" i="6"/>
  <c r="J380" i="6"/>
  <c r="J381" i="6"/>
  <c r="J382" i="6"/>
  <c r="J383" i="6"/>
  <c r="J384" i="6"/>
  <c r="J385" i="6"/>
  <c r="J386" i="6"/>
  <c r="J387" i="6"/>
  <c r="J388" i="6"/>
  <c r="J389" i="6"/>
  <c r="J390" i="6"/>
  <c r="J391" i="6"/>
  <c r="J392" i="6"/>
  <c r="J393" i="6"/>
  <c r="J394" i="6"/>
  <c r="J395" i="6"/>
  <c r="J396" i="6"/>
  <c r="J397" i="6"/>
  <c r="J398" i="6"/>
  <c r="J399" i="6"/>
  <c r="J400" i="6"/>
  <c r="J401" i="6"/>
  <c r="J402" i="6"/>
  <c r="J403" i="6"/>
  <c r="J404" i="6"/>
  <c r="J405" i="6"/>
  <c r="J406" i="6"/>
  <c r="J407" i="6"/>
  <c r="J408" i="6"/>
  <c r="J409" i="6"/>
  <c r="J410" i="6"/>
  <c r="J411" i="6"/>
  <c r="J412" i="6"/>
  <c r="J413" i="6"/>
  <c r="J414" i="6"/>
  <c r="J415" i="6"/>
  <c r="J416" i="6"/>
  <c r="J417" i="6"/>
  <c r="J418" i="6"/>
  <c r="J419" i="6"/>
  <c r="J420" i="6"/>
  <c r="J421" i="6"/>
  <c r="J422" i="6"/>
  <c r="J423" i="6"/>
  <c r="J424" i="6"/>
  <c r="J425" i="6"/>
  <c r="J426" i="6"/>
  <c r="J427" i="6"/>
  <c r="J428" i="6"/>
  <c r="J429" i="6"/>
  <c r="J430" i="6"/>
  <c r="J431" i="6"/>
  <c r="J432" i="6"/>
  <c r="J433" i="6"/>
  <c r="J434" i="6"/>
  <c r="J435" i="6"/>
  <c r="J436" i="6"/>
  <c r="J437" i="6"/>
  <c r="J438" i="6"/>
  <c r="J439" i="6"/>
  <c r="J440" i="6"/>
  <c r="J441" i="6"/>
  <c r="J442" i="6"/>
  <c r="J443" i="6"/>
  <c r="J444" i="6"/>
  <c r="J445" i="6"/>
  <c r="J446" i="6"/>
  <c r="J447" i="6"/>
  <c r="J448" i="6"/>
  <c r="J449" i="6"/>
  <c r="J450" i="6"/>
  <c r="J451" i="6"/>
  <c r="J452" i="6"/>
  <c r="J453" i="6"/>
  <c r="J454" i="6"/>
  <c r="J455" i="6"/>
  <c r="J456" i="6"/>
  <c r="J457" i="6"/>
  <c r="J458" i="6"/>
  <c r="J459" i="6"/>
  <c r="J460" i="6"/>
  <c r="J461" i="6"/>
  <c r="J462" i="6"/>
  <c r="J463" i="6"/>
  <c r="J464" i="6"/>
  <c r="J465" i="6"/>
  <c r="J466" i="6"/>
  <c r="J467" i="6"/>
  <c r="J468" i="6"/>
  <c r="J469" i="6"/>
  <c r="J470" i="6"/>
  <c r="J471" i="6"/>
  <c r="J472" i="6"/>
  <c r="J473" i="6"/>
  <c r="J474" i="6"/>
  <c r="J475" i="6"/>
  <c r="J476" i="6"/>
  <c r="J477" i="6"/>
  <c r="J478" i="6"/>
  <c r="J479" i="6"/>
  <c r="J480" i="6"/>
  <c r="J481" i="6"/>
  <c r="J482" i="6"/>
  <c r="J483" i="6"/>
  <c r="J484" i="6"/>
  <c r="J485" i="6"/>
  <c r="J486" i="6"/>
  <c r="J487" i="6"/>
  <c r="J488" i="6"/>
  <c r="J489" i="6"/>
  <c r="J490" i="6"/>
  <c r="J491" i="6"/>
  <c r="J492" i="6"/>
  <c r="J493" i="6"/>
  <c r="J494" i="6"/>
  <c r="J495" i="6"/>
  <c r="J496" i="6"/>
  <c r="J497" i="6"/>
  <c r="J498" i="6"/>
  <c r="J499" i="6"/>
  <c r="J500" i="6"/>
  <c r="J501" i="6"/>
  <c r="J502" i="6"/>
  <c r="J503" i="6"/>
  <c r="J504" i="6"/>
  <c r="J505" i="6"/>
  <c r="J506" i="6"/>
  <c r="J507" i="6"/>
  <c r="J508" i="6"/>
  <c r="J509" i="6"/>
  <c r="J510" i="6"/>
  <c r="J511" i="6"/>
  <c r="J512" i="6"/>
  <c r="J513" i="6"/>
  <c r="J514" i="6"/>
  <c r="J515" i="6"/>
  <c r="J516" i="6"/>
  <c r="J517" i="6"/>
  <c r="J518" i="6"/>
  <c r="J519" i="6"/>
  <c r="J520" i="6"/>
  <c r="J521" i="6"/>
  <c r="J522" i="6"/>
  <c r="J523" i="6"/>
  <c r="J524" i="6"/>
  <c r="J525" i="6"/>
  <c r="J526" i="6"/>
  <c r="J527" i="6"/>
  <c r="J528" i="6"/>
  <c r="J529" i="6"/>
  <c r="J530" i="6"/>
  <c r="J531" i="6"/>
  <c r="J532" i="6"/>
  <c r="J533" i="6"/>
  <c r="J534" i="6"/>
  <c r="J535" i="6"/>
  <c r="J536" i="6"/>
  <c r="J537" i="6"/>
  <c r="J538" i="6"/>
  <c r="J539" i="6"/>
  <c r="J540" i="6"/>
  <c r="J541" i="6"/>
  <c r="J542" i="6"/>
  <c r="J543" i="6"/>
  <c r="J544" i="6"/>
  <c r="J545" i="6"/>
  <c r="J546" i="6"/>
  <c r="J547" i="6"/>
  <c r="J548" i="6"/>
  <c r="J549" i="6"/>
  <c r="J550" i="6"/>
  <c r="J551" i="6"/>
  <c r="J552" i="6"/>
  <c r="J553" i="6"/>
  <c r="J554" i="6"/>
  <c r="J555" i="6"/>
  <c r="J556" i="6"/>
  <c r="J557" i="6"/>
  <c r="J558" i="6"/>
  <c r="J559" i="6"/>
  <c r="J560" i="6"/>
  <c r="J561" i="6"/>
  <c r="J562" i="6"/>
  <c r="J563" i="6"/>
  <c r="J564" i="6"/>
  <c r="J565" i="6"/>
  <c r="J566" i="6"/>
  <c r="J567" i="6"/>
  <c r="J568" i="6"/>
  <c r="J569" i="6"/>
  <c r="J570" i="6"/>
  <c r="J571" i="6"/>
  <c r="J572" i="6"/>
  <c r="J573" i="6"/>
  <c r="J574" i="6"/>
  <c r="J575" i="6"/>
  <c r="J576" i="6"/>
  <c r="J577" i="6"/>
  <c r="J578" i="6"/>
  <c r="J579" i="6"/>
  <c r="J580" i="6"/>
  <c r="J581" i="6"/>
  <c r="J582" i="6"/>
  <c r="J583" i="6"/>
  <c r="J584" i="6"/>
  <c r="J585" i="6"/>
  <c r="J586" i="6"/>
  <c r="J587" i="6"/>
  <c r="J588" i="6"/>
  <c r="J589" i="6"/>
  <c r="J590" i="6"/>
  <c r="J591" i="6"/>
  <c r="J592" i="6"/>
  <c r="J593" i="6"/>
  <c r="J594" i="6"/>
  <c r="J595" i="6"/>
  <c r="J596" i="6"/>
  <c r="J597" i="6"/>
  <c r="J598" i="6"/>
  <c r="J599" i="6"/>
  <c r="J600" i="6"/>
  <c r="J601" i="6"/>
  <c r="J602" i="6"/>
  <c r="J603" i="6"/>
  <c r="J604" i="6"/>
  <c r="J605" i="6"/>
  <c r="J606" i="6"/>
  <c r="J607" i="6"/>
  <c r="J608" i="6"/>
  <c r="J609" i="6"/>
  <c r="J610" i="6"/>
  <c r="J611" i="6"/>
  <c r="J612" i="6"/>
  <c r="J613" i="6"/>
  <c r="J614" i="6"/>
  <c r="J615" i="6"/>
  <c r="J616" i="6"/>
  <c r="J617" i="6"/>
  <c r="J618" i="6"/>
  <c r="J619" i="6"/>
  <c r="J620" i="6"/>
  <c r="J621" i="6"/>
  <c r="J622" i="6"/>
  <c r="J623" i="6"/>
  <c r="J624" i="6"/>
  <c r="J625" i="6"/>
  <c r="J626" i="6"/>
  <c r="J627" i="6"/>
  <c r="J628" i="6"/>
  <c r="J629" i="6"/>
  <c r="J630" i="6"/>
  <c r="J631" i="6"/>
  <c r="J632" i="6"/>
  <c r="J633" i="6"/>
  <c r="J634" i="6"/>
  <c r="J635" i="6"/>
  <c r="J636" i="6"/>
  <c r="J637" i="6"/>
  <c r="J638" i="6"/>
  <c r="J639" i="6"/>
  <c r="J640" i="6"/>
  <c r="J641" i="6"/>
  <c r="J642" i="6"/>
  <c r="J643" i="6"/>
  <c r="J644" i="6"/>
  <c r="J645" i="6"/>
  <c r="J646" i="6"/>
  <c r="J647" i="6"/>
  <c r="J648" i="6"/>
  <c r="J649" i="6"/>
  <c r="J650" i="6"/>
  <c r="J651" i="6"/>
  <c r="J652" i="6"/>
  <c r="J653" i="6"/>
  <c r="J654" i="6"/>
  <c r="J655" i="6"/>
  <c r="J656" i="6"/>
  <c r="J657" i="6"/>
  <c r="J658" i="6"/>
  <c r="J659" i="6"/>
  <c r="J660" i="6"/>
  <c r="J661" i="6"/>
  <c r="J662" i="6"/>
  <c r="J663" i="6"/>
  <c r="J664" i="6"/>
  <c r="J665" i="6"/>
  <c r="J666" i="6"/>
  <c r="J667" i="6"/>
  <c r="J668" i="6"/>
  <c r="J669" i="6"/>
  <c r="J670" i="6"/>
  <c r="J671" i="6"/>
  <c r="J672" i="6"/>
  <c r="J673" i="6"/>
  <c r="J674" i="6"/>
  <c r="J675" i="6"/>
  <c r="J676" i="6"/>
  <c r="J677" i="6"/>
  <c r="J678" i="6"/>
  <c r="J679" i="6"/>
  <c r="J680" i="6"/>
  <c r="J681" i="6"/>
  <c r="J682" i="6"/>
  <c r="J683" i="6"/>
  <c r="J684" i="6"/>
  <c r="J685" i="6"/>
  <c r="J686" i="6"/>
  <c r="J687" i="6"/>
  <c r="J688" i="6"/>
  <c r="J689" i="6"/>
  <c r="J690" i="6"/>
  <c r="J691" i="6"/>
  <c r="J692" i="6"/>
  <c r="J693" i="6"/>
  <c r="J694" i="6"/>
  <c r="J695" i="6"/>
  <c r="J696" i="6"/>
  <c r="J697" i="6"/>
  <c r="J698" i="6"/>
  <c r="J699" i="6"/>
  <c r="J700" i="6"/>
  <c r="J701" i="6"/>
  <c r="J702" i="6"/>
  <c r="J703" i="6"/>
  <c r="J704" i="6"/>
  <c r="J705" i="6"/>
  <c r="J706" i="6"/>
  <c r="J707" i="6"/>
  <c r="J708" i="6"/>
  <c r="J709" i="6"/>
  <c r="J710" i="6"/>
  <c r="J711" i="6"/>
  <c r="J712" i="6"/>
  <c r="J713" i="6"/>
  <c r="J714" i="6"/>
  <c r="J715" i="6"/>
  <c r="J716" i="6"/>
  <c r="J717" i="6"/>
  <c r="J718" i="6"/>
  <c r="J719" i="6"/>
  <c r="J720" i="6"/>
  <c r="J721" i="6"/>
  <c r="J722" i="6"/>
  <c r="J723" i="6"/>
  <c r="J724" i="6"/>
  <c r="J725" i="6"/>
  <c r="J726" i="6"/>
  <c r="J727" i="6"/>
  <c r="J728" i="6"/>
  <c r="J729" i="6"/>
  <c r="J730" i="6"/>
  <c r="J731" i="6"/>
  <c r="J732" i="6"/>
  <c r="J733" i="6"/>
  <c r="J734" i="6"/>
  <c r="J735" i="6"/>
  <c r="J736" i="6"/>
  <c r="J737" i="6"/>
  <c r="J738" i="6"/>
  <c r="J739" i="6"/>
  <c r="J740" i="6"/>
  <c r="J741" i="6"/>
  <c r="J742" i="6"/>
  <c r="J743" i="6"/>
  <c r="J744" i="6"/>
  <c r="J745" i="6"/>
  <c r="J746" i="6"/>
  <c r="J747" i="6"/>
  <c r="J748" i="6"/>
  <c r="J749" i="6"/>
  <c r="J750" i="6"/>
  <c r="J751" i="6"/>
  <c r="J752" i="6"/>
  <c r="J753" i="6"/>
  <c r="J754" i="6"/>
  <c r="J755" i="6"/>
  <c r="J756" i="6"/>
  <c r="J757" i="6"/>
  <c r="J758" i="6"/>
  <c r="J759" i="6"/>
  <c r="J760" i="6"/>
  <c r="J761" i="6"/>
  <c r="J762" i="6"/>
  <c r="J763" i="6"/>
  <c r="J764" i="6"/>
  <c r="J765" i="6"/>
  <c r="J766" i="6"/>
  <c r="J767" i="6"/>
  <c r="J768" i="6"/>
  <c r="J769" i="6"/>
  <c r="J770" i="6"/>
  <c r="J771" i="6"/>
  <c r="J772" i="6"/>
  <c r="J773" i="6"/>
  <c r="J774" i="6"/>
  <c r="J775" i="6"/>
  <c r="J776" i="6"/>
  <c r="J777" i="6"/>
  <c r="J778" i="6"/>
  <c r="J779" i="6"/>
  <c r="J780" i="6"/>
  <c r="J781" i="6"/>
  <c r="J782" i="6"/>
  <c r="J783" i="6"/>
  <c r="J784" i="6"/>
  <c r="J785" i="6"/>
  <c r="J786" i="6"/>
  <c r="J787" i="6"/>
  <c r="J788" i="6"/>
  <c r="J789" i="6"/>
  <c r="J790" i="6"/>
  <c r="J791" i="6"/>
  <c r="J792" i="6"/>
  <c r="J793" i="6"/>
  <c r="J794" i="6"/>
  <c r="J795" i="6"/>
  <c r="J796" i="6"/>
  <c r="J797" i="6"/>
  <c r="J798" i="6"/>
  <c r="J799" i="6"/>
  <c r="J800" i="6"/>
  <c r="J801" i="6"/>
  <c r="J802" i="6"/>
  <c r="J803" i="6"/>
  <c r="J804" i="6"/>
  <c r="J805" i="6"/>
  <c r="J806" i="6"/>
  <c r="J807" i="6"/>
  <c r="J808" i="6"/>
  <c r="J809" i="6"/>
  <c r="J810" i="6"/>
  <c r="J811" i="6"/>
  <c r="J812" i="6"/>
  <c r="J813" i="6"/>
  <c r="J814" i="6"/>
  <c r="J815" i="6"/>
  <c r="J816" i="6"/>
  <c r="J817" i="6"/>
  <c r="J818" i="6"/>
  <c r="J819" i="6"/>
  <c r="J820" i="6"/>
  <c r="J821" i="6"/>
  <c r="J822" i="6"/>
  <c r="J823" i="6"/>
  <c r="J824" i="6"/>
  <c r="J825" i="6"/>
  <c r="J826" i="6"/>
  <c r="J827" i="6"/>
  <c r="J828" i="6"/>
  <c r="J829" i="6"/>
  <c r="J830" i="6"/>
  <c r="J831" i="6"/>
  <c r="J832" i="6"/>
  <c r="J833" i="6"/>
  <c r="J834" i="6"/>
  <c r="J835" i="6"/>
  <c r="J836" i="6"/>
  <c r="J837" i="6"/>
  <c r="J838" i="6"/>
  <c r="J839" i="6"/>
  <c r="J840" i="6"/>
  <c r="J841" i="6"/>
  <c r="J842" i="6"/>
  <c r="J843" i="6"/>
  <c r="J844" i="6"/>
  <c r="J845" i="6"/>
  <c r="J846" i="6"/>
  <c r="J847" i="6"/>
  <c r="J848" i="6"/>
  <c r="J849" i="6"/>
  <c r="J850" i="6"/>
  <c r="J851" i="6"/>
  <c r="J852" i="6"/>
  <c r="J853" i="6"/>
  <c r="J854" i="6"/>
  <c r="J855" i="6"/>
  <c r="J856" i="6"/>
  <c r="J857" i="6"/>
  <c r="J858" i="6"/>
  <c r="J859" i="6"/>
  <c r="J860" i="6"/>
  <c r="J861" i="6"/>
  <c r="J862" i="6"/>
  <c r="J863" i="6"/>
  <c r="J864" i="6"/>
  <c r="J865" i="6"/>
  <c r="J866" i="6"/>
  <c r="J867" i="6"/>
  <c r="J868" i="6"/>
  <c r="J869" i="6"/>
  <c r="J870" i="6"/>
  <c r="J871" i="6"/>
  <c r="J872" i="6"/>
  <c r="J873" i="6"/>
  <c r="J874" i="6"/>
  <c r="J875" i="6"/>
  <c r="J876" i="6"/>
  <c r="J877" i="6"/>
  <c r="J878" i="6"/>
  <c r="J879" i="6"/>
  <c r="J880" i="6"/>
  <c r="J881" i="6"/>
  <c r="J882" i="6"/>
  <c r="J883" i="6"/>
  <c r="J884" i="6"/>
  <c r="J885" i="6"/>
  <c r="J886" i="6"/>
  <c r="J887" i="6"/>
  <c r="J888" i="6"/>
  <c r="J889" i="6"/>
  <c r="J890" i="6"/>
  <c r="J891" i="6"/>
  <c r="J892" i="6"/>
  <c r="J893" i="6"/>
  <c r="J894" i="6"/>
  <c r="J895" i="6"/>
  <c r="J896" i="6"/>
  <c r="J897" i="6"/>
  <c r="J898" i="6"/>
  <c r="J899" i="6"/>
  <c r="J900" i="6"/>
  <c r="J901" i="6"/>
  <c r="J902" i="6"/>
  <c r="J903" i="6"/>
  <c r="J904" i="6"/>
  <c r="J905" i="6"/>
  <c r="J906" i="6"/>
  <c r="J907" i="6"/>
  <c r="J908" i="6"/>
  <c r="J909" i="6"/>
  <c r="J910" i="6"/>
  <c r="J911" i="6"/>
  <c r="J912" i="6"/>
  <c r="J913" i="6"/>
  <c r="J914" i="6"/>
  <c r="J915" i="6"/>
  <c r="J916" i="6"/>
  <c r="J917" i="6"/>
  <c r="J918" i="6"/>
  <c r="J919" i="6"/>
  <c r="J920" i="6"/>
  <c r="J921" i="6"/>
  <c r="J922" i="6"/>
  <c r="J923" i="6"/>
  <c r="J924" i="6"/>
  <c r="J925" i="6"/>
  <c r="J926" i="6"/>
  <c r="J927" i="6"/>
  <c r="J928" i="6"/>
  <c r="J929" i="6"/>
  <c r="J930" i="6"/>
  <c r="J931" i="6"/>
  <c r="J932" i="6"/>
  <c r="J933" i="6"/>
  <c r="J934" i="6"/>
  <c r="J935" i="6"/>
  <c r="J936" i="6"/>
  <c r="J937" i="6"/>
  <c r="J938" i="6"/>
  <c r="J939" i="6"/>
  <c r="J940" i="6"/>
  <c r="J941" i="6"/>
  <c r="J942" i="6"/>
  <c r="J943" i="6"/>
  <c r="J944" i="6"/>
  <c r="J945" i="6"/>
  <c r="J946" i="6"/>
  <c r="J947" i="6"/>
  <c r="J948" i="6"/>
  <c r="J949" i="6"/>
  <c r="J950" i="6"/>
  <c r="J951" i="6"/>
  <c r="J952" i="6"/>
  <c r="J953" i="6"/>
  <c r="J954" i="6"/>
  <c r="J955" i="6"/>
  <c r="J956" i="6"/>
  <c r="J957" i="6"/>
  <c r="J958" i="6"/>
  <c r="J959" i="6"/>
  <c r="J960" i="6"/>
  <c r="J961" i="6"/>
  <c r="J962" i="6"/>
  <c r="J963" i="6"/>
  <c r="J964" i="6"/>
  <c r="J965" i="6"/>
  <c r="J966" i="6"/>
  <c r="J967" i="6"/>
  <c r="J968" i="6"/>
  <c r="J969" i="6"/>
  <c r="J970" i="6"/>
  <c r="J971" i="6"/>
  <c r="J972" i="6"/>
  <c r="J973" i="6"/>
  <c r="J974" i="6"/>
  <c r="J975" i="6"/>
  <c r="J976" i="6"/>
  <c r="J977" i="6"/>
  <c r="J978" i="6"/>
  <c r="J979" i="6"/>
  <c r="J980" i="6"/>
  <c r="J981" i="6"/>
  <c r="J982" i="6"/>
  <c r="J983" i="6"/>
  <c r="J984" i="6"/>
  <c r="J985" i="6"/>
  <c r="J986" i="6"/>
  <c r="J987" i="6"/>
  <c r="J988" i="6"/>
  <c r="J989" i="6"/>
  <c r="J990" i="6"/>
  <c r="J991" i="6"/>
  <c r="J992" i="6"/>
  <c r="J993" i="6"/>
  <c r="J994" i="6"/>
  <c r="J995" i="6"/>
  <c r="J996" i="6"/>
  <c r="J997" i="6"/>
  <c r="J998" i="6"/>
  <c r="J999" i="6"/>
  <c r="J1000" i="6"/>
  <c r="J1001" i="6"/>
  <c r="J1002" i="6"/>
  <c r="J1003" i="6"/>
  <c r="J1004" i="6"/>
  <c r="J1005" i="6"/>
  <c r="J1006" i="6"/>
  <c r="J1007" i="6"/>
  <c r="J1008" i="6"/>
  <c r="J1009" i="6"/>
  <c r="J1010" i="6"/>
  <c r="J1011" i="6"/>
  <c r="J1012" i="6"/>
  <c r="J1013" i="6"/>
  <c r="J1014" i="6"/>
  <c r="J1015" i="6"/>
  <c r="J1016" i="6"/>
  <c r="J1017" i="6"/>
  <c r="J1018" i="6"/>
  <c r="J1019" i="6"/>
  <c r="J1020" i="6"/>
  <c r="J1021" i="6"/>
  <c r="J1022" i="6"/>
  <c r="J1023" i="6"/>
  <c r="J1024" i="6"/>
  <c r="J1025" i="6"/>
  <c r="J1026" i="6"/>
  <c r="J1027" i="6"/>
  <c r="J1028" i="6"/>
  <c r="J1029" i="6"/>
  <c r="J1030" i="6"/>
  <c r="J1031" i="6"/>
  <c r="J1032" i="6"/>
  <c r="J1033" i="6"/>
  <c r="J1034" i="6"/>
  <c r="J1035" i="6"/>
  <c r="J1036" i="6"/>
  <c r="J1037" i="6"/>
  <c r="J1038" i="6"/>
  <c r="J1039" i="6"/>
  <c r="J1040" i="6"/>
  <c r="J1041" i="6"/>
  <c r="J1042" i="6"/>
  <c r="J1043" i="6"/>
  <c r="J1044" i="6"/>
  <c r="J1045" i="6"/>
  <c r="J1046" i="6"/>
  <c r="J1047" i="6"/>
  <c r="J1048" i="6"/>
  <c r="J1049" i="6"/>
  <c r="J1050" i="6"/>
  <c r="J1051" i="6"/>
  <c r="J1052" i="6"/>
  <c r="J1053" i="6"/>
  <c r="J1054" i="6"/>
  <c r="J1055" i="6"/>
  <c r="J1056" i="6"/>
  <c r="J1057" i="6"/>
  <c r="J1058" i="6"/>
  <c r="J1059" i="6"/>
  <c r="J1060" i="6"/>
  <c r="J1061" i="6"/>
  <c r="J1062" i="6"/>
  <c r="J1063" i="6"/>
  <c r="J1064" i="6"/>
  <c r="J1065" i="6"/>
  <c r="J1066" i="6"/>
  <c r="J1067" i="6"/>
  <c r="J1068" i="6"/>
  <c r="J1069" i="6"/>
  <c r="J1070" i="6"/>
  <c r="J1071" i="6"/>
  <c r="J1072" i="6"/>
  <c r="J1073" i="6"/>
  <c r="J1074" i="6"/>
  <c r="J1075" i="6"/>
  <c r="J1076" i="6"/>
  <c r="J1077" i="6"/>
  <c r="J1078" i="6"/>
  <c r="J1079" i="6"/>
  <c r="J1080" i="6"/>
  <c r="J1081" i="6"/>
  <c r="J1082" i="6"/>
  <c r="J1083" i="6"/>
  <c r="J1084" i="6"/>
  <c r="J1085" i="6"/>
  <c r="J1086" i="6"/>
  <c r="J1087" i="6"/>
  <c r="J1088" i="6"/>
  <c r="J1089" i="6"/>
  <c r="J1090" i="6"/>
  <c r="J1091" i="6"/>
  <c r="J1092" i="6"/>
  <c r="J1093" i="6"/>
  <c r="J1094" i="6"/>
  <c r="J1095" i="6"/>
  <c r="J1096" i="6"/>
  <c r="J1097" i="6"/>
  <c r="J1098" i="6"/>
  <c r="J1099" i="6"/>
  <c r="J1100" i="6"/>
  <c r="J1101" i="6"/>
  <c r="J1102" i="6"/>
  <c r="J1103" i="6"/>
  <c r="J1104" i="6"/>
  <c r="J1105" i="6"/>
  <c r="J1106" i="6"/>
  <c r="J1107" i="6"/>
  <c r="J1108" i="6"/>
  <c r="J1109" i="6"/>
  <c r="J1110" i="6"/>
  <c r="J1111" i="6"/>
  <c r="J1112" i="6"/>
  <c r="J1113" i="6"/>
  <c r="J1114" i="6"/>
  <c r="J1115" i="6"/>
  <c r="J1116" i="6"/>
  <c r="J1117" i="6"/>
  <c r="J1118" i="6"/>
  <c r="J1119" i="6"/>
  <c r="J1120" i="6"/>
  <c r="J1121" i="6"/>
  <c r="J1122" i="6"/>
  <c r="J1123" i="6"/>
  <c r="J1124" i="6"/>
  <c r="J1125" i="6"/>
  <c r="J1126" i="6"/>
  <c r="J1127" i="6"/>
  <c r="J1128" i="6"/>
  <c r="J1129" i="6"/>
  <c r="J1130" i="6"/>
  <c r="J1131" i="6"/>
  <c r="J1132" i="6"/>
  <c r="J1133" i="6"/>
  <c r="J1134" i="6"/>
  <c r="J1135" i="6"/>
  <c r="J1136" i="6"/>
  <c r="J1137" i="6"/>
  <c r="J1138" i="6"/>
  <c r="J1139" i="6"/>
  <c r="J1140" i="6"/>
  <c r="J1141" i="6"/>
  <c r="J1142" i="6"/>
  <c r="J1143" i="6"/>
  <c r="J1144" i="6"/>
  <c r="J1145" i="6"/>
  <c r="J1146" i="6"/>
  <c r="J1147" i="6"/>
  <c r="J1148" i="6"/>
  <c r="J1149" i="6"/>
  <c r="J1150" i="6"/>
  <c r="J1151" i="6"/>
  <c r="J1152" i="6"/>
  <c r="J1153" i="6"/>
  <c r="J1154" i="6"/>
  <c r="J1155" i="6"/>
  <c r="J1156" i="6"/>
  <c r="J1157" i="6"/>
  <c r="J1158" i="6"/>
  <c r="J1159" i="6"/>
  <c r="J1160" i="6"/>
  <c r="J1161" i="6"/>
  <c r="J1162" i="6"/>
  <c r="J1163" i="6"/>
  <c r="J1164" i="6"/>
  <c r="J1165" i="6"/>
  <c r="J1166" i="6"/>
  <c r="J1167" i="6"/>
  <c r="J1168" i="6"/>
  <c r="J1169" i="6"/>
  <c r="J1170" i="6"/>
  <c r="J1171" i="6"/>
  <c r="J1172" i="6"/>
  <c r="J1173" i="6"/>
  <c r="J1174" i="6"/>
  <c r="J1175" i="6"/>
  <c r="J1176" i="6"/>
  <c r="J1177" i="6"/>
  <c r="J1178" i="6"/>
  <c r="J1179" i="6"/>
  <c r="J1180" i="6"/>
  <c r="J1181" i="6"/>
  <c r="J1182" i="6"/>
  <c r="J1183" i="6"/>
  <c r="J1184" i="6"/>
  <c r="J1185" i="6"/>
  <c r="J1186" i="6"/>
  <c r="J1187" i="6"/>
  <c r="J1188" i="6"/>
  <c r="J1189" i="6"/>
  <c r="J1190" i="6"/>
  <c r="J1191" i="6"/>
  <c r="J1192" i="6"/>
  <c r="J1193" i="6"/>
  <c r="J1194" i="6"/>
  <c r="J1195" i="6"/>
  <c r="J1196" i="6"/>
  <c r="J1197" i="6"/>
  <c r="J1198" i="6"/>
  <c r="J1199" i="6"/>
  <c r="J1200" i="6"/>
  <c r="J1201" i="6"/>
  <c r="J1202" i="6"/>
  <c r="J1203" i="6"/>
  <c r="J1204" i="6"/>
  <c r="J1205" i="6"/>
  <c r="J1206" i="6"/>
  <c r="J1207" i="6"/>
  <c r="J1208" i="6"/>
  <c r="J1209" i="6"/>
  <c r="J1210" i="6"/>
  <c r="J1211" i="6"/>
  <c r="J1212" i="6"/>
  <c r="J1213" i="6"/>
  <c r="J1214" i="6"/>
  <c r="J1215" i="6"/>
  <c r="J1216" i="6"/>
  <c r="J1217" i="6"/>
  <c r="J1218" i="6"/>
  <c r="J1219" i="6"/>
  <c r="J1220" i="6"/>
  <c r="J1221" i="6"/>
  <c r="J1222" i="6"/>
  <c r="J1223" i="6"/>
  <c r="J1224" i="6"/>
  <c r="J1225" i="6"/>
  <c r="J1226" i="6"/>
  <c r="J1227" i="6"/>
  <c r="J1228" i="6"/>
  <c r="J1229" i="6"/>
  <c r="J1230" i="6"/>
  <c r="J1231" i="6"/>
  <c r="J1232" i="6"/>
  <c r="J1233" i="6"/>
  <c r="J1234" i="6"/>
  <c r="J1235" i="6"/>
  <c r="J1236" i="6"/>
  <c r="J1237" i="6"/>
  <c r="J1238" i="6"/>
  <c r="J1239" i="6"/>
  <c r="J1240" i="6"/>
  <c r="J1241" i="6"/>
  <c r="J1242" i="6"/>
  <c r="J1243" i="6"/>
  <c r="J1244" i="6"/>
  <c r="J1245" i="6"/>
  <c r="J1246" i="6"/>
  <c r="J1247" i="6"/>
  <c r="J1248" i="6"/>
  <c r="J1249" i="6"/>
  <c r="J1250" i="6"/>
  <c r="J1251" i="6"/>
  <c r="J1252" i="6"/>
  <c r="J1253" i="6"/>
  <c r="J1254" i="6"/>
  <c r="J1255" i="6"/>
  <c r="J1256" i="6"/>
  <c r="J1257" i="6"/>
  <c r="J1258" i="6"/>
  <c r="J1259" i="6"/>
  <c r="J1260" i="6"/>
  <c r="J1261" i="6"/>
  <c r="J1262" i="6"/>
  <c r="J1263" i="6"/>
  <c r="J1264" i="6"/>
  <c r="J1265" i="6"/>
  <c r="J1266" i="6"/>
  <c r="J1267" i="6"/>
  <c r="J1268" i="6"/>
  <c r="J1269" i="6"/>
  <c r="J1270" i="6"/>
  <c r="J1271" i="6"/>
  <c r="J1272" i="6"/>
  <c r="J1273" i="6"/>
  <c r="J1274" i="6"/>
  <c r="J1275" i="6"/>
  <c r="J1276" i="6"/>
  <c r="J1277" i="6"/>
  <c r="J1278" i="6"/>
  <c r="J1279" i="6"/>
  <c r="J1280" i="6"/>
  <c r="J1281" i="6"/>
  <c r="J1282" i="6"/>
  <c r="J1283" i="6"/>
  <c r="J1284" i="6"/>
  <c r="J1285" i="6"/>
  <c r="J1286" i="6"/>
  <c r="J1287" i="6"/>
  <c r="J1288" i="6"/>
  <c r="J1289" i="6"/>
  <c r="J1290" i="6"/>
  <c r="J1291" i="6"/>
  <c r="J1292" i="6"/>
  <c r="J1293" i="6"/>
  <c r="J1294" i="6"/>
  <c r="J1295" i="6"/>
  <c r="J1296" i="6"/>
  <c r="J1297" i="6"/>
  <c r="J1298" i="6"/>
  <c r="J1299" i="6"/>
  <c r="J1300" i="6"/>
  <c r="J1301" i="6"/>
  <c r="J1302" i="6"/>
  <c r="J1303" i="6"/>
  <c r="J1304" i="6"/>
  <c r="J1305" i="6"/>
  <c r="J1306" i="6"/>
  <c r="J1307" i="6"/>
  <c r="J1308" i="6"/>
  <c r="J1309" i="6"/>
  <c r="J1310" i="6"/>
  <c r="J1311" i="6"/>
  <c r="J1312" i="6"/>
  <c r="J1313" i="6"/>
  <c r="J1314" i="6"/>
  <c r="J1315" i="6"/>
  <c r="J1316" i="6"/>
  <c r="J1317" i="6"/>
  <c r="J1318" i="6"/>
  <c r="J1319" i="6"/>
  <c r="J1320" i="6"/>
  <c r="J1321" i="6"/>
  <c r="J1322" i="6"/>
  <c r="J1323" i="6"/>
  <c r="J1324" i="6"/>
  <c r="J1325" i="6"/>
  <c r="J1326" i="6"/>
  <c r="J1327" i="6"/>
  <c r="J1328" i="6"/>
  <c r="J1329" i="6"/>
  <c r="J1330" i="6"/>
  <c r="J1331" i="6"/>
  <c r="J1332" i="6"/>
  <c r="J1333" i="6"/>
  <c r="J1334" i="6"/>
  <c r="J1335" i="6"/>
  <c r="J1336" i="6"/>
  <c r="J1337" i="6"/>
  <c r="J1338" i="6"/>
  <c r="J1339" i="6"/>
  <c r="J1340" i="6"/>
  <c r="J1341" i="6"/>
  <c r="J1342" i="6"/>
  <c r="J1343" i="6"/>
  <c r="J1344" i="6"/>
  <c r="J1345" i="6"/>
  <c r="J1346" i="6"/>
  <c r="J1347" i="6"/>
  <c r="J1348" i="6"/>
  <c r="J1349" i="6"/>
  <c r="J1350" i="6"/>
  <c r="J1351" i="6"/>
  <c r="J1352" i="6"/>
  <c r="J1353" i="6"/>
  <c r="J1354" i="6"/>
  <c r="J1355" i="6"/>
  <c r="J1356" i="6"/>
  <c r="J1357" i="6"/>
  <c r="J1358" i="6"/>
  <c r="J1359" i="6"/>
  <c r="J1360" i="6"/>
  <c r="J1361" i="6"/>
  <c r="J1362" i="6"/>
  <c r="J1363" i="6"/>
  <c r="J1364" i="6"/>
  <c r="J1365" i="6"/>
  <c r="J1366" i="6"/>
  <c r="J1367" i="6"/>
  <c r="J1368" i="6"/>
  <c r="J1369" i="6"/>
  <c r="J1370" i="6"/>
  <c r="J1371" i="6"/>
  <c r="J1372" i="6"/>
  <c r="J1373" i="6"/>
  <c r="J1374" i="6"/>
  <c r="J1375" i="6"/>
  <c r="J1376" i="6"/>
  <c r="J1377" i="6"/>
  <c r="J1378" i="6"/>
  <c r="J1379" i="6"/>
  <c r="J1380" i="6"/>
  <c r="J1381" i="6"/>
  <c r="J1382" i="6"/>
  <c r="J1383" i="6"/>
  <c r="J1384" i="6"/>
  <c r="J1385" i="6"/>
  <c r="J1386" i="6"/>
  <c r="J1387" i="6"/>
  <c r="J1388" i="6"/>
  <c r="J1389" i="6"/>
  <c r="J1390" i="6"/>
  <c r="J1391" i="6"/>
  <c r="J1392" i="6"/>
  <c r="J1393" i="6"/>
  <c r="J1394" i="6"/>
  <c r="J1395" i="6"/>
  <c r="J1396" i="6"/>
  <c r="J1397" i="6"/>
  <c r="J1398" i="6"/>
  <c r="J1399" i="6"/>
  <c r="J1400" i="6"/>
  <c r="J1401" i="6"/>
  <c r="J1402" i="6"/>
  <c r="J1403" i="6"/>
  <c r="J1404" i="6"/>
  <c r="J1405" i="6"/>
  <c r="J1406" i="6"/>
  <c r="J1407" i="6"/>
  <c r="J1408" i="6"/>
  <c r="J1409" i="6"/>
  <c r="J1410" i="6"/>
  <c r="J1411" i="6"/>
  <c r="J1412" i="6"/>
  <c r="J1413" i="6"/>
  <c r="J1414" i="6"/>
  <c r="J1415" i="6"/>
  <c r="J1416" i="6"/>
  <c r="J1417" i="6"/>
  <c r="J1418" i="6"/>
  <c r="J1419" i="6"/>
  <c r="J1420" i="6"/>
  <c r="J1421" i="6"/>
  <c r="J1422" i="6"/>
  <c r="J1423" i="6"/>
  <c r="J1424" i="6"/>
  <c r="J1425" i="6"/>
  <c r="J1426" i="6"/>
  <c r="J1427" i="6"/>
  <c r="J1428" i="6"/>
  <c r="J1429" i="6"/>
  <c r="J1430" i="6"/>
  <c r="J1431" i="6"/>
  <c r="J1432" i="6"/>
  <c r="J1433" i="6"/>
  <c r="J1434" i="6"/>
  <c r="J1435" i="6"/>
  <c r="J1436" i="6"/>
  <c r="J1437" i="6"/>
  <c r="J1438" i="6"/>
  <c r="J1439" i="6"/>
  <c r="J1440" i="6"/>
  <c r="J1441" i="6"/>
  <c r="J1442" i="6"/>
  <c r="J1443" i="6"/>
  <c r="J1444" i="6"/>
  <c r="J1445" i="6"/>
  <c r="J1446" i="6"/>
  <c r="J1447" i="6"/>
  <c r="J1448" i="6"/>
  <c r="J1449" i="6"/>
  <c r="J1450" i="6"/>
  <c r="J1451" i="6"/>
  <c r="J1452" i="6"/>
  <c r="J1453" i="6"/>
  <c r="J1454" i="6"/>
  <c r="J1455" i="6"/>
  <c r="J1456" i="6"/>
  <c r="J1457" i="6"/>
  <c r="J1458" i="6"/>
  <c r="J1459" i="6"/>
  <c r="J1460" i="6"/>
  <c r="J1461" i="6"/>
  <c r="J1462" i="6"/>
  <c r="J1463" i="6"/>
  <c r="J1464" i="6"/>
  <c r="J1465" i="6"/>
  <c r="J1466" i="6"/>
  <c r="J1467" i="6"/>
  <c r="J1468" i="6"/>
  <c r="J1469" i="6"/>
  <c r="J1470" i="6"/>
  <c r="J1471" i="6"/>
  <c r="J1472" i="6"/>
  <c r="J1473" i="6"/>
  <c r="J1474" i="6"/>
  <c r="J1475" i="6"/>
  <c r="J1476" i="6"/>
  <c r="J1477" i="6"/>
  <c r="J1478" i="6"/>
  <c r="J1479" i="6"/>
  <c r="J1480" i="6"/>
  <c r="J1481" i="6"/>
  <c r="J1482" i="6"/>
  <c r="J1483" i="6"/>
  <c r="J1484" i="6"/>
  <c r="J1485" i="6"/>
  <c r="J1486" i="6"/>
  <c r="J1487" i="6"/>
  <c r="J1488" i="6"/>
  <c r="J1489" i="6"/>
  <c r="J1490" i="6"/>
  <c r="J1491" i="6"/>
  <c r="J1492" i="6"/>
  <c r="J1493" i="6"/>
  <c r="J1494" i="6"/>
  <c r="J1495" i="6"/>
  <c r="J1496" i="6"/>
  <c r="J1497" i="6"/>
  <c r="J1498" i="6"/>
  <c r="J1499" i="6"/>
  <c r="J1500" i="6"/>
  <c r="J1501" i="6"/>
  <c r="J1502" i="6"/>
  <c r="J1503" i="6"/>
  <c r="J1504" i="6"/>
  <c r="J1505" i="6"/>
  <c r="J1506" i="6"/>
  <c r="J1507" i="6"/>
  <c r="J1508" i="6"/>
  <c r="J1509" i="6"/>
  <c r="J1510" i="6"/>
  <c r="J1511" i="6"/>
  <c r="J1512" i="6"/>
  <c r="J1513" i="6"/>
  <c r="J1514" i="6"/>
  <c r="J1515" i="6"/>
  <c r="J1516" i="6"/>
  <c r="J1517" i="6"/>
  <c r="J1518" i="6"/>
  <c r="J1519" i="6"/>
  <c r="J1520" i="6"/>
  <c r="J1521" i="6"/>
  <c r="J1522" i="6"/>
  <c r="J1523" i="6"/>
  <c r="J1524" i="6"/>
  <c r="J1525" i="6"/>
  <c r="J1526" i="6"/>
  <c r="J1527" i="6"/>
  <c r="J1528" i="6"/>
  <c r="J1529" i="6"/>
  <c r="J1530" i="6"/>
  <c r="J1531" i="6"/>
  <c r="J1532" i="6"/>
  <c r="J1533" i="6"/>
  <c r="J1534" i="6"/>
  <c r="J1535" i="6"/>
  <c r="J1536" i="6"/>
  <c r="J1537" i="6"/>
  <c r="J1538" i="6"/>
  <c r="J1539" i="6"/>
  <c r="J1540" i="6"/>
  <c r="J1541" i="6"/>
  <c r="J1542" i="6"/>
  <c r="J1543" i="6"/>
  <c r="J1544" i="6"/>
  <c r="J1545" i="6"/>
  <c r="J1546" i="6"/>
  <c r="J1547" i="6"/>
  <c r="J1548" i="6"/>
  <c r="J1549" i="6"/>
  <c r="J1550" i="6"/>
  <c r="J1551" i="6"/>
  <c r="J1552" i="6"/>
  <c r="J1553" i="6"/>
  <c r="J1554" i="6"/>
  <c r="J1555" i="6"/>
  <c r="J1556" i="6"/>
  <c r="J1557" i="6"/>
  <c r="J1558" i="6"/>
  <c r="J1559" i="6"/>
  <c r="J1560" i="6"/>
  <c r="J1561" i="6"/>
  <c r="J1562" i="6"/>
  <c r="J1563" i="6"/>
  <c r="J1564" i="6"/>
  <c r="J1565" i="6"/>
  <c r="J1566" i="6"/>
  <c r="J1567" i="6"/>
  <c r="J1568" i="6"/>
  <c r="J1569" i="6"/>
  <c r="J1570" i="6"/>
  <c r="J1571" i="6"/>
  <c r="J1572" i="6"/>
  <c r="J1573" i="6"/>
  <c r="J1574" i="6"/>
  <c r="J1575" i="6"/>
  <c r="J1576" i="6"/>
  <c r="J1577" i="6"/>
  <c r="J1578" i="6"/>
  <c r="J1579" i="6"/>
  <c r="J1580" i="6"/>
  <c r="J1581" i="6"/>
  <c r="J1582" i="6"/>
  <c r="J1583" i="6"/>
  <c r="J1584" i="6"/>
  <c r="J1585" i="6"/>
  <c r="J1586" i="6"/>
  <c r="J1587" i="6"/>
  <c r="J1588" i="6"/>
  <c r="J1589" i="6"/>
  <c r="J1590" i="6"/>
  <c r="J1591" i="6"/>
  <c r="J1592" i="6"/>
  <c r="J1593" i="6"/>
  <c r="J1594" i="6"/>
  <c r="J1595" i="6"/>
  <c r="J1596" i="6"/>
  <c r="J1597" i="6"/>
  <c r="J1598" i="6"/>
  <c r="J1599" i="6"/>
  <c r="J1600" i="6"/>
  <c r="J1601" i="6"/>
  <c r="J1602" i="6"/>
  <c r="J1603" i="6"/>
  <c r="J1604" i="6"/>
  <c r="J1605" i="6"/>
  <c r="J1606" i="6"/>
  <c r="J1607" i="6"/>
  <c r="J1608" i="6"/>
  <c r="J1609" i="6"/>
  <c r="J1610" i="6"/>
  <c r="J1611" i="6"/>
  <c r="J1612" i="6"/>
  <c r="J1613" i="6"/>
  <c r="J1614" i="6"/>
  <c r="J1615" i="6"/>
  <c r="J1616" i="6"/>
  <c r="J1617" i="6"/>
  <c r="J1618" i="6"/>
  <c r="J1619" i="6"/>
  <c r="J1620" i="6"/>
  <c r="J1621" i="6"/>
  <c r="J1622" i="6"/>
  <c r="J1623" i="6"/>
  <c r="J1624" i="6"/>
  <c r="J1625" i="6"/>
  <c r="J1626" i="6"/>
  <c r="J1627" i="6"/>
  <c r="J1628" i="6"/>
  <c r="J1629" i="6"/>
  <c r="J1630" i="6"/>
  <c r="J1631" i="6"/>
  <c r="J1632" i="6"/>
  <c r="J1633" i="6"/>
  <c r="J1634" i="6"/>
  <c r="J1635" i="6"/>
  <c r="J1636" i="6"/>
  <c r="J1637" i="6"/>
  <c r="J1638" i="6"/>
  <c r="J1639" i="6"/>
  <c r="J1640" i="6"/>
  <c r="J1641" i="6"/>
  <c r="J1642" i="6"/>
  <c r="J1643" i="6"/>
  <c r="J1644" i="6"/>
  <c r="J1645" i="6"/>
  <c r="J1646" i="6"/>
  <c r="J1647" i="6"/>
  <c r="J1648" i="6"/>
  <c r="J1649" i="6"/>
  <c r="J1650" i="6"/>
  <c r="J1651" i="6"/>
  <c r="J1652" i="6"/>
  <c r="J1653" i="6"/>
  <c r="J1654" i="6"/>
  <c r="J1655" i="6"/>
  <c r="J1656" i="6"/>
  <c r="J1657" i="6"/>
  <c r="J1658" i="6"/>
  <c r="J1659" i="6"/>
  <c r="J1660" i="6"/>
  <c r="J1661" i="6"/>
  <c r="J1662" i="6"/>
  <c r="J1663" i="6"/>
  <c r="J1664" i="6"/>
  <c r="J1665" i="6"/>
  <c r="J1666" i="6"/>
  <c r="J1667" i="6"/>
  <c r="J1668" i="6"/>
  <c r="J1669" i="6"/>
  <c r="J1670" i="6"/>
  <c r="J1671" i="6"/>
  <c r="J1672" i="6"/>
  <c r="J1673" i="6"/>
  <c r="J1674" i="6"/>
  <c r="J1675" i="6"/>
  <c r="J1676" i="6"/>
  <c r="J1677" i="6"/>
  <c r="J1678" i="6"/>
  <c r="J1679" i="6"/>
  <c r="J1680" i="6"/>
  <c r="J1681" i="6"/>
  <c r="J1682" i="6"/>
  <c r="J1683" i="6"/>
  <c r="J1684" i="6"/>
  <c r="J1685" i="6"/>
  <c r="J1686" i="6"/>
  <c r="J1687" i="6"/>
  <c r="J1688" i="6"/>
  <c r="J1689" i="6"/>
  <c r="J1690" i="6"/>
  <c r="J1691" i="6"/>
  <c r="J1692" i="6"/>
  <c r="J1693" i="6"/>
  <c r="J1694" i="6"/>
  <c r="J1695" i="6"/>
  <c r="J1696" i="6"/>
  <c r="J1697" i="6"/>
  <c r="J1698" i="6"/>
  <c r="J1699" i="6"/>
  <c r="J1700" i="6"/>
  <c r="J1701" i="6"/>
  <c r="J1702" i="6"/>
  <c r="J1703" i="6"/>
  <c r="J1704" i="6"/>
  <c r="J1705" i="6"/>
  <c r="J1706" i="6"/>
  <c r="J1707" i="6"/>
  <c r="J1708" i="6"/>
  <c r="J1709" i="6"/>
  <c r="J1710" i="6"/>
  <c r="J1711" i="6"/>
  <c r="J1712" i="6"/>
  <c r="J1713" i="6"/>
  <c r="J1714" i="6"/>
  <c r="J1715" i="6"/>
  <c r="J1716" i="6"/>
  <c r="J1717" i="6"/>
  <c r="J1718" i="6"/>
  <c r="J1719" i="6"/>
  <c r="J1720" i="6"/>
  <c r="J1721" i="6"/>
  <c r="J1722" i="6"/>
  <c r="J1723" i="6"/>
  <c r="J1724" i="6"/>
  <c r="J1725" i="6"/>
  <c r="J1726" i="6"/>
  <c r="J1727" i="6"/>
  <c r="J1728" i="6"/>
  <c r="J1729" i="6"/>
  <c r="J1730" i="6"/>
  <c r="J1731" i="6"/>
  <c r="J1732" i="6"/>
  <c r="J1733" i="6"/>
  <c r="J1734" i="6"/>
  <c r="J1735" i="6"/>
  <c r="J1736" i="6"/>
  <c r="J1737" i="6"/>
  <c r="J1738" i="6"/>
  <c r="J1739" i="6"/>
  <c r="J1740" i="6"/>
  <c r="J1741" i="6"/>
  <c r="J1742" i="6"/>
  <c r="J1743" i="6"/>
  <c r="J1744" i="6"/>
  <c r="J1745" i="6"/>
  <c r="J1746" i="6"/>
  <c r="J1747" i="6"/>
  <c r="J1748" i="6"/>
  <c r="J1749" i="6"/>
  <c r="J1750" i="6"/>
  <c r="J1751" i="6"/>
  <c r="J1752" i="6"/>
  <c r="J1753" i="6"/>
  <c r="J1754" i="6"/>
  <c r="J1755" i="6"/>
  <c r="J1756" i="6"/>
  <c r="J1757" i="6"/>
  <c r="J1758" i="6"/>
  <c r="J1759" i="6"/>
  <c r="J1760" i="6"/>
  <c r="J1761" i="6"/>
  <c r="J1762" i="6"/>
  <c r="J1763" i="6"/>
  <c r="J1764" i="6"/>
  <c r="J1765" i="6"/>
  <c r="J1766" i="6"/>
  <c r="J1767" i="6"/>
  <c r="J1768" i="6"/>
  <c r="J1769" i="6"/>
  <c r="J1770" i="6"/>
  <c r="J1771" i="6"/>
  <c r="J1772" i="6"/>
  <c r="J1773" i="6"/>
  <c r="J1774" i="6"/>
  <c r="J1775" i="6"/>
  <c r="J1776" i="6"/>
  <c r="J1777" i="6"/>
  <c r="J1778" i="6"/>
  <c r="J1779" i="6"/>
  <c r="J1780" i="6"/>
  <c r="J1781" i="6"/>
  <c r="J1782" i="6"/>
  <c r="J1783" i="6"/>
  <c r="J1784" i="6"/>
  <c r="J1785" i="6"/>
  <c r="J1786" i="6"/>
  <c r="J1787" i="6"/>
  <c r="J1788" i="6"/>
  <c r="J1789" i="6"/>
  <c r="J1790" i="6"/>
  <c r="J1791" i="6"/>
  <c r="J1792" i="6"/>
  <c r="J1793" i="6"/>
  <c r="J1794" i="6"/>
  <c r="J1795" i="6"/>
  <c r="J1796" i="6"/>
  <c r="J1797" i="6"/>
  <c r="J1798" i="6"/>
  <c r="J1799" i="6"/>
  <c r="J1800" i="6"/>
  <c r="J1801" i="6"/>
  <c r="J1802" i="6"/>
  <c r="J1803" i="6"/>
  <c r="J1804" i="6"/>
  <c r="J1805" i="6"/>
  <c r="J1806" i="6"/>
  <c r="J1807" i="6"/>
  <c r="J1808" i="6"/>
  <c r="J1809" i="6"/>
  <c r="J1810" i="6"/>
  <c r="J1811" i="6"/>
  <c r="J1812" i="6"/>
  <c r="J1813" i="6"/>
  <c r="J1814" i="6"/>
  <c r="J1815" i="6"/>
  <c r="J1816" i="6"/>
  <c r="J1817" i="6"/>
  <c r="J1818" i="6"/>
  <c r="J1819" i="6"/>
  <c r="J1820" i="6"/>
  <c r="J1821" i="6"/>
  <c r="J1822" i="6"/>
  <c r="J1823" i="6"/>
  <c r="J1824" i="6"/>
  <c r="J1825" i="6"/>
  <c r="J1826" i="6"/>
  <c r="J1827" i="6"/>
  <c r="J1828" i="6"/>
  <c r="J1829" i="6"/>
  <c r="J1830" i="6"/>
  <c r="J1831" i="6"/>
  <c r="J1832" i="6"/>
  <c r="J1833" i="6"/>
  <c r="J1834" i="6"/>
  <c r="J1835" i="6"/>
  <c r="J1836" i="6"/>
  <c r="J1837" i="6"/>
  <c r="J1838" i="6"/>
  <c r="J1839" i="6"/>
  <c r="J1840" i="6"/>
  <c r="J1841" i="6"/>
  <c r="J1842" i="6"/>
  <c r="J1843" i="6"/>
  <c r="J1844" i="6"/>
  <c r="J1845" i="6"/>
  <c r="J1846" i="6"/>
  <c r="J1847" i="6"/>
  <c r="J1848" i="6"/>
  <c r="J1849" i="6"/>
  <c r="J1850" i="6"/>
  <c r="J1851" i="6"/>
  <c r="J1852" i="6"/>
  <c r="J1853" i="6"/>
  <c r="J1854" i="6"/>
  <c r="J1855" i="6"/>
  <c r="J1856" i="6"/>
  <c r="J1857" i="6"/>
  <c r="J1858" i="6"/>
  <c r="J1859" i="6"/>
  <c r="J1860" i="6"/>
  <c r="J1861" i="6"/>
  <c r="J1862" i="6"/>
  <c r="J1863" i="6"/>
  <c r="J1864" i="6"/>
  <c r="J1865" i="6"/>
  <c r="J1866" i="6"/>
  <c r="J1867" i="6"/>
  <c r="J1868" i="6"/>
  <c r="J1869" i="6"/>
  <c r="J1870" i="6"/>
  <c r="J1871" i="6"/>
  <c r="J1872" i="6"/>
  <c r="J1873" i="6"/>
  <c r="J1874" i="6"/>
  <c r="J1875" i="6"/>
  <c r="J1876" i="6"/>
  <c r="J1877" i="6"/>
  <c r="J1878" i="6"/>
  <c r="J1879" i="6"/>
  <c r="J1880" i="6"/>
  <c r="J1881" i="6"/>
  <c r="J1882" i="6"/>
  <c r="J1883" i="6"/>
  <c r="J1884" i="6"/>
  <c r="J1885" i="6"/>
  <c r="J1886" i="6"/>
  <c r="J1887" i="6"/>
  <c r="J1888" i="6"/>
  <c r="J1889" i="6"/>
  <c r="J1890" i="6"/>
  <c r="J1891" i="6"/>
  <c r="J1892" i="6"/>
  <c r="J1893" i="6"/>
  <c r="J1894" i="6"/>
  <c r="J1895" i="6"/>
  <c r="J1896" i="6"/>
  <c r="J1897" i="6"/>
  <c r="J1898" i="6"/>
  <c r="J1899" i="6"/>
  <c r="J1900" i="6"/>
  <c r="J1901" i="6"/>
  <c r="J1902" i="6"/>
  <c r="J1903" i="6"/>
  <c r="J1904" i="6"/>
  <c r="J1905" i="6"/>
  <c r="J1906" i="6"/>
  <c r="J1907" i="6"/>
  <c r="J1908" i="6"/>
  <c r="J1909" i="6"/>
  <c r="J1910" i="6"/>
  <c r="J1911" i="6"/>
  <c r="J1912" i="6"/>
  <c r="J1913" i="6"/>
  <c r="J1914" i="6"/>
  <c r="J1915" i="6"/>
  <c r="J1916" i="6"/>
  <c r="J1917" i="6"/>
  <c r="J1918" i="6"/>
  <c r="J1919" i="6"/>
  <c r="J1920" i="6"/>
  <c r="J1921" i="6"/>
  <c r="J1922" i="6"/>
  <c r="J1923" i="6"/>
  <c r="J1924" i="6"/>
  <c r="J1925" i="6"/>
  <c r="J1926" i="6"/>
  <c r="J1927" i="6"/>
  <c r="J1928" i="6"/>
  <c r="J1929" i="6"/>
  <c r="J1930" i="6"/>
  <c r="J1931" i="6"/>
  <c r="J1932" i="6"/>
  <c r="J1933" i="6"/>
  <c r="J1934" i="6"/>
  <c r="J1935" i="6"/>
  <c r="J1936" i="6"/>
  <c r="J1937" i="6"/>
  <c r="J1938" i="6"/>
  <c r="J1939" i="6"/>
  <c r="J1940" i="6"/>
  <c r="J1941" i="6"/>
  <c r="J1942" i="6"/>
  <c r="J1943" i="6"/>
  <c r="J1944" i="6"/>
  <c r="J1945" i="6"/>
  <c r="J1946" i="6"/>
  <c r="J1947" i="6"/>
  <c r="J1948" i="6"/>
  <c r="J1949" i="6"/>
  <c r="J1950" i="6"/>
  <c r="J1951" i="6"/>
  <c r="J1952" i="6"/>
  <c r="J1953" i="6"/>
  <c r="J1954" i="6"/>
  <c r="J1955" i="6"/>
  <c r="J1956" i="6"/>
  <c r="J1957" i="6"/>
  <c r="J1958" i="6"/>
  <c r="J1959" i="6"/>
  <c r="J1960" i="6"/>
  <c r="J1961" i="6"/>
  <c r="J1962" i="6"/>
  <c r="J1963" i="6"/>
  <c r="J1964" i="6"/>
  <c r="J1965" i="6"/>
  <c r="J1966" i="6"/>
  <c r="J1967" i="6"/>
  <c r="J1968" i="6"/>
  <c r="J1969" i="6"/>
  <c r="J1970" i="6"/>
  <c r="J1971" i="6"/>
  <c r="J1972" i="6"/>
  <c r="J1973" i="6"/>
  <c r="J1974" i="6"/>
  <c r="J1975" i="6"/>
  <c r="J1976" i="6"/>
  <c r="J1977" i="6"/>
  <c r="J1978" i="6"/>
  <c r="J1979" i="6"/>
  <c r="J1980" i="6"/>
  <c r="J1981" i="6"/>
  <c r="J1982" i="6"/>
  <c r="J1983" i="6"/>
  <c r="J1984" i="6"/>
  <c r="J1985" i="6"/>
  <c r="J1986" i="6"/>
  <c r="J1987" i="6"/>
  <c r="J1988" i="6"/>
  <c r="J1989" i="6"/>
  <c r="J1990" i="6"/>
  <c r="J1991" i="6"/>
  <c r="J1992" i="6"/>
  <c r="J1993" i="6"/>
  <c r="J1994" i="6"/>
  <c r="J1995" i="6"/>
  <c r="J1996" i="6"/>
  <c r="J1997" i="6"/>
  <c r="J1998" i="6"/>
  <c r="J1999" i="6"/>
  <c r="J2000" i="6"/>
  <c r="J2001"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I33" i="6"/>
  <c r="I34" i="6"/>
  <c r="I35" i="6"/>
  <c r="I36" i="6"/>
  <c r="I37" i="6"/>
  <c r="I38" i="6"/>
  <c r="I39" i="6"/>
  <c r="I40" i="6"/>
  <c r="I41" i="6"/>
  <c r="I42" i="6"/>
  <c r="I43" i="6"/>
  <c r="I44" i="6"/>
  <c r="I45" i="6"/>
  <c r="I46" i="6"/>
  <c r="I47" i="6"/>
  <c r="I48" i="6"/>
  <c r="I49" i="6"/>
  <c r="I50" i="6"/>
  <c r="I51" i="6"/>
  <c r="I52" i="6"/>
  <c r="I53" i="6"/>
  <c r="I54" i="6"/>
  <c r="I55" i="6"/>
  <c r="I56" i="6"/>
  <c r="I57" i="6"/>
  <c r="I58" i="6"/>
  <c r="I59" i="6"/>
  <c r="I60" i="6"/>
  <c r="I61" i="6"/>
  <c r="I62" i="6"/>
  <c r="I63" i="6"/>
  <c r="I6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I123" i="6"/>
  <c r="I124" i="6"/>
  <c r="I125" i="6"/>
  <c r="I126" i="6"/>
  <c r="I127" i="6"/>
  <c r="I128" i="6"/>
  <c r="I129" i="6"/>
  <c r="I130" i="6"/>
  <c r="I131" i="6"/>
  <c r="I132" i="6"/>
  <c r="I133" i="6"/>
  <c r="I134" i="6"/>
  <c r="I135" i="6"/>
  <c r="I136" i="6"/>
  <c r="I137" i="6"/>
  <c r="I138" i="6"/>
  <c r="I139" i="6"/>
  <c r="I140" i="6"/>
  <c r="I141" i="6"/>
  <c r="I142" i="6"/>
  <c r="I143" i="6"/>
  <c r="I144" i="6"/>
  <c r="I145" i="6"/>
  <c r="I146" i="6"/>
  <c r="I147" i="6"/>
  <c r="I148" i="6"/>
  <c r="I149" i="6"/>
  <c r="I150" i="6"/>
  <c r="I151" i="6"/>
  <c r="I152" i="6"/>
  <c r="I153" i="6"/>
  <c r="I154" i="6"/>
  <c r="I155" i="6"/>
  <c r="I156" i="6"/>
  <c r="I157" i="6"/>
  <c r="I158" i="6"/>
  <c r="I159" i="6"/>
  <c r="I160" i="6"/>
  <c r="I161" i="6"/>
  <c r="I162" i="6"/>
  <c r="I163" i="6"/>
  <c r="I164" i="6"/>
  <c r="I165" i="6"/>
  <c r="I166" i="6"/>
  <c r="I167" i="6"/>
  <c r="I168" i="6"/>
  <c r="I169" i="6"/>
  <c r="I170" i="6"/>
  <c r="I171" i="6"/>
  <c r="I172" i="6"/>
  <c r="I173" i="6"/>
  <c r="I174" i="6"/>
  <c r="I175" i="6"/>
  <c r="I176" i="6"/>
  <c r="I177" i="6"/>
  <c r="I178" i="6"/>
  <c r="I179" i="6"/>
  <c r="I180" i="6"/>
  <c r="I181" i="6"/>
  <c r="I182" i="6"/>
  <c r="I183" i="6"/>
  <c r="I184" i="6"/>
  <c r="I185" i="6"/>
  <c r="I186" i="6"/>
  <c r="I187" i="6"/>
  <c r="I188" i="6"/>
  <c r="I189" i="6"/>
  <c r="I190" i="6"/>
  <c r="I191" i="6"/>
  <c r="I192" i="6"/>
  <c r="I193" i="6"/>
  <c r="I194" i="6"/>
  <c r="I195" i="6"/>
  <c r="I196" i="6"/>
  <c r="I197" i="6"/>
  <c r="I198" i="6"/>
  <c r="I199" i="6"/>
  <c r="I200" i="6"/>
  <c r="I201" i="6"/>
  <c r="I202" i="6"/>
  <c r="I203" i="6"/>
  <c r="I204" i="6"/>
  <c r="I205" i="6"/>
  <c r="I206" i="6"/>
  <c r="I207" i="6"/>
  <c r="I208" i="6"/>
  <c r="I209" i="6"/>
  <c r="I210" i="6"/>
  <c r="I211" i="6"/>
  <c r="I212" i="6"/>
  <c r="I213" i="6"/>
  <c r="I214" i="6"/>
  <c r="I215" i="6"/>
  <c r="I216" i="6"/>
  <c r="I217" i="6"/>
  <c r="I218" i="6"/>
  <c r="I219" i="6"/>
  <c r="I220" i="6"/>
  <c r="I221" i="6"/>
  <c r="I222" i="6"/>
  <c r="I223" i="6"/>
  <c r="I224" i="6"/>
  <c r="I225" i="6"/>
  <c r="I226" i="6"/>
  <c r="I227" i="6"/>
  <c r="I228" i="6"/>
  <c r="I229" i="6"/>
  <c r="I230" i="6"/>
  <c r="I231" i="6"/>
  <c r="I232" i="6"/>
  <c r="I233" i="6"/>
  <c r="I234" i="6"/>
  <c r="I235" i="6"/>
  <c r="I236" i="6"/>
  <c r="I237" i="6"/>
  <c r="I238" i="6"/>
  <c r="I239" i="6"/>
  <c r="I240" i="6"/>
  <c r="I241" i="6"/>
  <c r="I242" i="6"/>
  <c r="I243" i="6"/>
  <c r="I244" i="6"/>
  <c r="I245" i="6"/>
  <c r="I246" i="6"/>
  <c r="I247" i="6"/>
  <c r="I248" i="6"/>
  <c r="I249" i="6"/>
  <c r="I250" i="6"/>
  <c r="I251" i="6"/>
  <c r="I252" i="6"/>
  <c r="I253" i="6"/>
  <c r="I254" i="6"/>
  <c r="I255" i="6"/>
  <c r="I256" i="6"/>
  <c r="I257" i="6"/>
  <c r="I258" i="6"/>
  <c r="I259" i="6"/>
  <c r="I260" i="6"/>
  <c r="I261" i="6"/>
  <c r="I262" i="6"/>
  <c r="I263" i="6"/>
  <c r="I264" i="6"/>
  <c r="I265" i="6"/>
  <c r="I266" i="6"/>
  <c r="I267" i="6"/>
  <c r="I268" i="6"/>
  <c r="I269" i="6"/>
  <c r="I270" i="6"/>
  <c r="I271" i="6"/>
  <c r="I272" i="6"/>
  <c r="I273" i="6"/>
  <c r="I274" i="6"/>
  <c r="I275" i="6"/>
  <c r="I276" i="6"/>
  <c r="I277" i="6"/>
  <c r="I278" i="6"/>
  <c r="I279" i="6"/>
  <c r="I280" i="6"/>
  <c r="I281" i="6"/>
  <c r="I282" i="6"/>
  <c r="I283" i="6"/>
  <c r="I284" i="6"/>
  <c r="I285" i="6"/>
  <c r="I286" i="6"/>
  <c r="I287" i="6"/>
  <c r="I288" i="6"/>
  <c r="I289" i="6"/>
  <c r="I290" i="6"/>
  <c r="I291" i="6"/>
  <c r="I292" i="6"/>
  <c r="I293" i="6"/>
  <c r="I294" i="6"/>
  <c r="I295" i="6"/>
  <c r="I296" i="6"/>
  <c r="I297" i="6"/>
  <c r="I298" i="6"/>
  <c r="I299" i="6"/>
  <c r="I300" i="6"/>
  <c r="I301" i="6"/>
  <c r="I302" i="6"/>
  <c r="I303" i="6"/>
  <c r="I304" i="6"/>
  <c r="I305" i="6"/>
  <c r="I306" i="6"/>
  <c r="I307" i="6"/>
  <c r="I308" i="6"/>
  <c r="I309" i="6"/>
  <c r="I310" i="6"/>
  <c r="I311" i="6"/>
  <c r="I312" i="6"/>
  <c r="I313" i="6"/>
  <c r="I314" i="6"/>
  <c r="I315" i="6"/>
  <c r="I316" i="6"/>
  <c r="I317" i="6"/>
  <c r="I318" i="6"/>
  <c r="I319" i="6"/>
  <c r="I320" i="6"/>
  <c r="I321" i="6"/>
  <c r="I322" i="6"/>
  <c r="I323" i="6"/>
  <c r="I324" i="6"/>
  <c r="I325" i="6"/>
  <c r="I326" i="6"/>
  <c r="I327" i="6"/>
  <c r="I328" i="6"/>
  <c r="I329" i="6"/>
  <c r="I330" i="6"/>
  <c r="I331" i="6"/>
  <c r="I332" i="6"/>
  <c r="I333" i="6"/>
  <c r="I334" i="6"/>
  <c r="I335" i="6"/>
  <c r="I336" i="6"/>
  <c r="I337" i="6"/>
  <c r="I338" i="6"/>
  <c r="I339" i="6"/>
  <c r="I340" i="6"/>
  <c r="I341" i="6"/>
  <c r="I342" i="6"/>
  <c r="I343" i="6"/>
  <c r="I344" i="6"/>
  <c r="I345" i="6"/>
  <c r="I346" i="6"/>
  <c r="I347" i="6"/>
  <c r="I348" i="6"/>
  <c r="I349" i="6"/>
  <c r="I350" i="6"/>
  <c r="I351" i="6"/>
  <c r="I352" i="6"/>
  <c r="I353" i="6"/>
  <c r="I354" i="6"/>
  <c r="I355" i="6"/>
  <c r="I356" i="6"/>
  <c r="I357" i="6"/>
  <c r="I358" i="6"/>
  <c r="I359" i="6"/>
  <c r="I360" i="6"/>
  <c r="I361" i="6"/>
  <c r="I362" i="6"/>
  <c r="I363" i="6"/>
  <c r="I364" i="6"/>
  <c r="I365" i="6"/>
  <c r="I366" i="6"/>
  <c r="I367" i="6"/>
  <c r="I368" i="6"/>
  <c r="I369" i="6"/>
  <c r="I370" i="6"/>
  <c r="I371" i="6"/>
  <c r="I372" i="6"/>
  <c r="I373" i="6"/>
  <c r="I374" i="6"/>
  <c r="I375" i="6"/>
  <c r="I376" i="6"/>
  <c r="I377" i="6"/>
  <c r="I378" i="6"/>
  <c r="I379" i="6"/>
  <c r="I380" i="6"/>
  <c r="I381" i="6"/>
  <c r="I382" i="6"/>
  <c r="I383" i="6"/>
  <c r="I384" i="6"/>
  <c r="I385" i="6"/>
  <c r="I386" i="6"/>
  <c r="I387" i="6"/>
  <c r="I388" i="6"/>
  <c r="I389" i="6"/>
  <c r="I390" i="6"/>
  <c r="I391" i="6"/>
  <c r="I392" i="6"/>
  <c r="I393" i="6"/>
  <c r="I394" i="6"/>
  <c r="I395" i="6"/>
  <c r="I396" i="6"/>
  <c r="I397" i="6"/>
  <c r="I398" i="6"/>
  <c r="I399" i="6"/>
  <c r="I400" i="6"/>
  <c r="I401" i="6"/>
  <c r="I402" i="6"/>
  <c r="I403" i="6"/>
  <c r="I404" i="6"/>
  <c r="I405" i="6"/>
  <c r="I406" i="6"/>
  <c r="I407" i="6"/>
  <c r="I408" i="6"/>
  <c r="I409" i="6"/>
  <c r="I410" i="6"/>
  <c r="I411" i="6"/>
  <c r="I412" i="6"/>
  <c r="I413" i="6"/>
  <c r="I414" i="6"/>
  <c r="I415" i="6"/>
  <c r="I416" i="6"/>
  <c r="I417" i="6"/>
  <c r="I418" i="6"/>
  <c r="I419" i="6"/>
  <c r="I420" i="6"/>
  <c r="I421" i="6"/>
  <c r="I422" i="6"/>
  <c r="I423" i="6"/>
  <c r="I424" i="6"/>
  <c r="I425" i="6"/>
  <c r="I426" i="6"/>
  <c r="I427" i="6"/>
  <c r="I428" i="6"/>
  <c r="I429" i="6"/>
  <c r="I430" i="6"/>
  <c r="I431" i="6"/>
  <c r="I432" i="6"/>
  <c r="I433" i="6"/>
  <c r="I434" i="6"/>
  <c r="I435" i="6"/>
  <c r="I436" i="6"/>
  <c r="I437" i="6"/>
  <c r="I438" i="6"/>
  <c r="I439" i="6"/>
  <c r="I440" i="6"/>
  <c r="I441" i="6"/>
  <c r="I442" i="6"/>
  <c r="I443" i="6"/>
  <c r="I444" i="6"/>
  <c r="I445" i="6"/>
  <c r="I446" i="6"/>
  <c r="I447" i="6"/>
  <c r="I448" i="6"/>
  <c r="I449" i="6"/>
  <c r="I450" i="6"/>
  <c r="I451" i="6"/>
  <c r="I452" i="6"/>
  <c r="I453" i="6"/>
  <c r="I454" i="6"/>
  <c r="I455" i="6"/>
  <c r="I456" i="6"/>
  <c r="I457" i="6"/>
  <c r="I458" i="6"/>
  <c r="I459" i="6"/>
  <c r="I460" i="6"/>
  <c r="I461" i="6"/>
  <c r="I462" i="6"/>
  <c r="I463" i="6"/>
  <c r="I464" i="6"/>
  <c r="I465" i="6"/>
  <c r="I466" i="6"/>
  <c r="I467" i="6"/>
  <c r="I468" i="6"/>
  <c r="I469" i="6"/>
  <c r="I470" i="6"/>
  <c r="I471" i="6"/>
  <c r="I472" i="6"/>
  <c r="I473" i="6"/>
  <c r="I474" i="6"/>
  <c r="I475" i="6"/>
  <c r="I476" i="6"/>
  <c r="I477" i="6"/>
  <c r="I478" i="6"/>
  <c r="I479" i="6"/>
  <c r="I480" i="6"/>
  <c r="I481" i="6"/>
  <c r="I482" i="6"/>
  <c r="I483" i="6"/>
  <c r="I484" i="6"/>
  <c r="I485" i="6"/>
  <c r="I486" i="6"/>
  <c r="I487" i="6"/>
  <c r="I488" i="6"/>
  <c r="I489" i="6"/>
  <c r="I490" i="6"/>
  <c r="I491" i="6"/>
  <c r="I492" i="6"/>
  <c r="I493" i="6"/>
  <c r="I494" i="6"/>
  <c r="I495" i="6"/>
  <c r="I496" i="6"/>
  <c r="I497" i="6"/>
  <c r="I498" i="6"/>
  <c r="I499" i="6"/>
  <c r="I500" i="6"/>
  <c r="I501" i="6"/>
  <c r="I502" i="6"/>
  <c r="I503" i="6"/>
  <c r="I504" i="6"/>
  <c r="I505" i="6"/>
  <c r="I506" i="6"/>
  <c r="I507" i="6"/>
  <c r="I508" i="6"/>
  <c r="I509" i="6"/>
  <c r="I510" i="6"/>
  <c r="I511" i="6"/>
  <c r="I512" i="6"/>
  <c r="I513" i="6"/>
  <c r="I514" i="6"/>
  <c r="I515" i="6"/>
  <c r="I516" i="6"/>
  <c r="I517" i="6"/>
  <c r="I518" i="6"/>
  <c r="I519" i="6"/>
  <c r="I520" i="6"/>
  <c r="I521" i="6"/>
  <c r="I522" i="6"/>
  <c r="I523" i="6"/>
  <c r="I524" i="6"/>
  <c r="I525" i="6"/>
  <c r="I526" i="6"/>
  <c r="I527" i="6"/>
  <c r="I528" i="6"/>
  <c r="I529" i="6"/>
  <c r="I530" i="6"/>
  <c r="I531" i="6"/>
  <c r="I532" i="6"/>
  <c r="I533" i="6"/>
  <c r="I534" i="6"/>
  <c r="I535" i="6"/>
  <c r="I536" i="6"/>
  <c r="I537" i="6"/>
  <c r="I538" i="6"/>
  <c r="I539" i="6"/>
  <c r="I540" i="6"/>
  <c r="I541" i="6"/>
  <c r="I542" i="6"/>
  <c r="I543" i="6"/>
  <c r="I544" i="6"/>
  <c r="I545" i="6"/>
  <c r="I546" i="6"/>
  <c r="I547" i="6"/>
  <c r="I548" i="6"/>
  <c r="I549" i="6"/>
  <c r="I550" i="6"/>
  <c r="I551" i="6"/>
  <c r="I552" i="6"/>
  <c r="I553" i="6"/>
  <c r="I554" i="6"/>
  <c r="I555" i="6"/>
  <c r="I556" i="6"/>
  <c r="I557" i="6"/>
  <c r="I558" i="6"/>
  <c r="I559" i="6"/>
  <c r="I560" i="6"/>
  <c r="I561" i="6"/>
  <c r="I562" i="6"/>
  <c r="I563" i="6"/>
  <c r="I564" i="6"/>
  <c r="I565" i="6"/>
  <c r="I566" i="6"/>
  <c r="I567" i="6"/>
  <c r="I568" i="6"/>
  <c r="I569" i="6"/>
  <c r="I570" i="6"/>
  <c r="I571" i="6"/>
  <c r="I572" i="6"/>
  <c r="I573" i="6"/>
  <c r="I574" i="6"/>
  <c r="I575" i="6"/>
  <c r="I576" i="6"/>
  <c r="I577" i="6"/>
  <c r="I578" i="6"/>
  <c r="I579" i="6"/>
  <c r="I580" i="6"/>
  <c r="I581" i="6"/>
  <c r="I582" i="6"/>
  <c r="I583" i="6"/>
  <c r="I584" i="6"/>
  <c r="I585" i="6"/>
  <c r="I586" i="6"/>
  <c r="I587" i="6"/>
  <c r="I588" i="6"/>
  <c r="I589" i="6"/>
  <c r="I590" i="6"/>
  <c r="I591" i="6"/>
  <c r="I592" i="6"/>
  <c r="I593" i="6"/>
  <c r="I594" i="6"/>
  <c r="I595" i="6"/>
  <c r="I596" i="6"/>
  <c r="I597" i="6"/>
  <c r="I598" i="6"/>
  <c r="I599" i="6"/>
  <c r="I600" i="6"/>
  <c r="I601" i="6"/>
  <c r="I602" i="6"/>
  <c r="I603" i="6"/>
  <c r="I604" i="6"/>
  <c r="I605" i="6"/>
  <c r="I606" i="6"/>
  <c r="I607" i="6"/>
  <c r="I608" i="6"/>
  <c r="I609" i="6"/>
  <c r="I610" i="6"/>
  <c r="I611" i="6"/>
  <c r="I612" i="6"/>
  <c r="I613" i="6"/>
  <c r="I614" i="6"/>
  <c r="I615" i="6"/>
  <c r="I616" i="6"/>
  <c r="I617" i="6"/>
  <c r="I618" i="6"/>
  <c r="I619" i="6"/>
  <c r="I620" i="6"/>
  <c r="I621" i="6"/>
  <c r="I622" i="6"/>
  <c r="I623" i="6"/>
  <c r="I624" i="6"/>
  <c r="I625" i="6"/>
  <c r="I626" i="6"/>
  <c r="I627" i="6"/>
  <c r="I628" i="6"/>
  <c r="I629" i="6"/>
  <c r="I630" i="6"/>
  <c r="I631" i="6"/>
  <c r="I632" i="6"/>
  <c r="I633" i="6"/>
  <c r="I634" i="6"/>
  <c r="I635" i="6"/>
  <c r="I636" i="6"/>
  <c r="I637" i="6"/>
  <c r="I638" i="6"/>
  <c r="I639" i="6"/>
  <c r="I640" i="6"/>
  <c r="I641" i="6"/>
  <c r="I642" i="6"/>
  <c r="I643" i="6"/>
  <c r="I644" i="6"/>
  <c r="I645" i="6"/>
  <c r="I646" i="6"/>
  <c r="I647" i="6"/>
  <c r="I648" i="6"/>
  <c r="I649" i="6"/>
  <c r="I650" i="6"/>
  <c r="I651" i="6"/>
  <c r="I652" i="6"/>
  <c r="I653" i="6"/>
  <c r="I654" i="6"/>
  <c r="I655" i="6"/>
  <c r="I656" i="6"/>
  <c r="I657" i="6"/>
  <c r="I658" i="6"/>
  <c r="I659" i="6"/>
  <c r="I660" i="6"/>
  <c r="I661" i="6"/>
  <c r="I662" i="6"/>
  <c r="I663" i="6"/>
  <c r="I664" i="6"/>
  <c r="I665" i="6"/>
  <c r="I666" i="6"/>
  <c r="I667" i="6"/>
  <c r="I668" i="6"/>
  <c r="I669" i="6"/>
  <c r="I670" i="6"/>
  <c r="I671" i="6"/>
  <c r="I672" i="6"/>
  <c r="I673" i="6"/>
  <c r="I674" i="6"/>
  <c r="I675" i="6"/>
  <c r="I676" i="6"/>
  <c r="I677" i="6"/>
  <c r="I678" i="6"/>
  <c r="I679" i="6"/>
  <c r="I680" i="6"/>
  <c r="I681" i="6"/>
  <c r="I682" i="6"/>
  <c r="I683" i="6"/>
  <c r="I684" i="6"/>
  <c r="I685" i="6"/>
  <c r="I686" i="6"/>
  <c r="I687" i="6"/>
  <c r="I688" i="6"/>
  <c r="I689" i="6"/>
  <c r="I690" i="6"/>
  <c r="I691" i="6"/>
  <c r="I692" i="6"/>
  <c r="I693" i="6"/>
  <c r="I694" i="6"/>
  <c r="I695" i="6"/>
  <c r="I696" i="6"/>
  <c r="I697" i="6"/>
  <c r="I698" i="6"/>
  <c r="I699" i="6"/>
  <c r="I700" i="6"/>
  <c r="I701" i="6"/>
  <c r="I702" i="6"/>
  <c r="I703" i="6"/>
  <c r="I704" i="6"/>
  <c r="I705" i="6"/>
  <c r="I706" i="6"/>
  <c r="I707" i="6"/>
  <c r="I708" i="6"/>
  <c r="I709" i="6"/>
  <c r="I710" i="6"/>
  <c r="I711" i="6"/>
  <c r="I712" i="6"/>
  <c r="I713" i="6"/>
  <c r="I714" i="6"/>
  <c r="I715" i="6"/>
  <c r="I716" i="6"/>
  <c r="I717" i="6"/>
  <c r="I718" i="6"/>
  <c r="I719" i="6"/>
  <c r="I720" i="6"/>
  <c r="I721" i="6"/>
  <c r="I722" i="6"/>
  <c r="I723" i="6"/>
  <c r="I724" i="6"/>
  <c r="I725" i="6"/>
  <c r="I726" i="6"/>
  <c r="I727" i="6"/>
  <c r="I728" i="6"/>
  <c r="I729" i="6"/>
  <c r="I730" i="6"/>
  <c r="I731" i="6"/>
  <c r="I732" i="6"/>
  <c r="I733" i="6"/>
  <c r="I734" i="6"/>
  <c r="I735" i="6"/>
  <c r="I736" i="6"/>
  <c r="I737" i="6"/>
  <c r="I738" i="6"/>
  <c r="I739" i="6"/>
  <c r="I740" i="6"/>
  <c r="I741" i="6"/>
  <c r="I742" i="6"/>
  <c r="I743" i="6"/>
  <c r="I744" i="6"/>
  <c r="I745" i="6"/>
  <c r="I746" i="6"/>
  <c r="I747" i="6"/>
  <c r="I748" i="6"/>
  <c r="I749" i="6"/>
  <c r="I750" i="6"/>
  <c r="I751" i="6"/>
  <c r="I752" i="6"/>
  <c r="I753" i="6"/>
  <c r="I754" i="6"/>
  <c r="I755" i="6"/>
  <c r="I756" i="6"/>
  <c r="I757" i="6"/>
  <c r="I758" i="6"/>
  <c r="I759" i="6"/>
  <c r="I760" i="6"/>
  <c r="I761" i="6"/>
  <c r="I762" i="6"/>
  <c r="I763" i="6"/>
  <c r="I764" i="6"/>
  <c r="I765" i="6"/>
  <c r="I766" i="6"/>
  <c r="I767" i="6"/>
  <c r="I768" i="6"/>
  <c r="I769" i="6"/>
  <c r="I770" i="6"/>
  <c r="I771" i="6"/>
  <c r="I772" i="6"/>
  <c r="I773" i="6"/>
  <c r="I774" i="6"/>
  <c r="I775" i="6"/>
  <c r="I776" i="6"/>
  <c r="I777" i="6"/>
  <c r="I778" i="6"/>
  <c r="I779" i="6"/>
  <c r="I780" i="6"/>
  <c r="I781" i="6"/>
  <c r="I782" i="6"/>
  <c r="I783" i="6"/>
  <c r="I784" i="6"/>
  <c r="I785" i="6"/>
  <c r="I786" i="6"/>
  <c r="I787" i="6"/>
  <c r="I788" i="6"/>
  <c r="I789" i="6"/>
  <c r="I790" i="6"/>
  <c r="I791" i="6"/>
  <c r="I792" i="6"/>
  <c r="I793" i="6"/>
  <c r="I794" i="6"/>
  <c r="I795" i="6"/>
  <c r="I796" i="6"/>
  <c r="I797" i="6"/>
  <c r="I798" i="6"/>
  <c r="I799" i="6"/>
  <c r="I800" i="6"/>
  <c r="I801" i="6"/>
  <c r="I802" i="6"/>
  <c r="I803" i="6"/>
  <c r="I804" i="6"/>
  <c r="I805" i="6"/>
  <c r="I806" i="6"/>
  <c r="I807" i="6"/>
  <c r="I808" i="6"/>
  <c r="I809" i="6"/>
  <c r="I810" i="6"/>
  <c r="I811" i="6"/>
  <c r="I812" i="6"/>
  <c r="I813" i="6"/>
  <c r="I814" i="6"/>
  <c r="I815" i="6"/>
  <c r="I816" i="6"/>
  <c r="I817" i="6"/>
  <c r="I818" i="6"/>
  <c r="I819" i="6"/>
  <c r="I820" i="6"/>
  <c r="I821" i="6"/>
  <c r="I822" i="6"/>
  <c r="I823" i="6"/>
  <c r="I824" i="6"/>
  <c r="I825" i="6"/>
  <c r="I826" i="6"/>
  <c r="I827" i="6"/>
  <c r="I828" i="6"/>
  <c r="I829" i="6"/>
  <c r="I830" i="6"/>
  <c r="I831" i="6"/>
  <c r="I832" i="6"/>
  <c r="I833" i="6"/>
  <c r="I834" i="6"/>
  <c r="I835" i="6"/>
  <c r="I836" i="6"/>
  <c r="I837" i="6"/>
  <c r="I838" i="6"/>
  <c r="I839" i="6"/>
  <c r="I840" i="6"/>
  <c r="I841" i="6"/>
  <c r="I842" i="6"/>
  <c r="I843" i="6"/>
  <c r="I844" i="6"/>
  <c r="I845" i="6"/>
  <c r="I846" i="6"/>
  <c r="I847" i="6"/>
  <c r="I848" i="6"/>
  <c r="I849" i="6"/>
  <c r="I850" i="6"/>
  <c r="I851" i="6"/>
  <c r="I852" i="6"/>
  <c r="I853" i="6"/>
  <c r="I854" i="6"/>
  <c r="I855" i="6"/>
  <c r="I856" i="6"/>
  <c r="I857" i="6"/>
  <c r="I858" i="6"/>
  <c r="I859" i="6"/>
  <c r="I860" i="6"/>
  <c r="I861" i="6"/>
  <c r="I862" i="6"/>
  <c r="I863" i="6"/>
  <c r="I864" i="6"/>
  <c r="I865" i="6"/>
  <c r="I866" i="6"/>
  <c r="I867" i="6"/>
  <c r="I868" i="6"/>
  <c r="I869" i="6"/>
  <c r="I870" i="6"/>
  <c r="I871" i="6"/>
  <c r="I872" i="6"/>
  <c r="I873" i="6"/>
  <c r="I874" i="6"/>
  <c r="I875" i="6"/>
  <c r="I876" i="6"/>
  <c r="I877" i="6"/>
  <c r="I878" i="6"/>
  <c r="I879" i="6"/>
  <c r="I880" i="6"/>
  <c r="I881" i="6"/>
  <c r="I882" i="6"/>
  <c r="I883" i="6"/>
  <c r="I884" i="6"/>
  <c r="I885" i="6"/>
  <c r="I886" i="6"/>
  <c r="I887" i="6"/>
  <c r="I888" i="6"/>
  <c r="I889" i="6"/>
  <c r="I890" i="6"/>
  <c r="I891" i="6"/>
  <c r="I892" i="6"/>
  <c r="I893" i="6"/>
  <c r="I894" i="6"/>
  <c r="I895" i="6"/>
  <c r="I896" i="6"/>
  <c r="I897" i="6"/>
  <c r="I898" i="6"/>
  <c r="I899" i="6"/>
  <c r="I900" i="6"/>
  <c r="I901" i="6"/>
  <c r="I902" i="6"/>
  <c r="I903" i="6"/>
  <c r="I904" i="6"/>
  <c r="I905" i="6"/>
  <c r="I906" i="6"/>
  <c r="I907" i="6"/>
  <c r="I908" i="6"/>
  <c r="I909" i="6"/>
  <c r="I910" i="6"/>
  <c r="I911" i="6"/>
  <c r="I912" i="6"/>
  <c r="I913" i="6"/>
  <c r="I914" i="6"/>
  <c r="I915" i="6"/>
  <c r="I916" i="6"/>
  <c r="I917" i="6"/>
  <c r="I918" i="6"/>
  <c r="I919" i="6"/>
  <c r="I920" i="6"/>
  <c r="I921" i="6"/>
  <c r="I922" i="6"/>
  <c r="I923" i="6"/>
  <c r="I924" i="6"/>
  <c r="I925" i="6"/>
  <c r="I926" i="6"/>
  <c r="I927" i="6"/>
  <c r="I928" i="6"/>
  <c r="I929" i="6"/>
  <c r="I930" i="6"/>
  <c r="I931" i="6"/>
  <c r="I932" i="6"/>
  <c r="I933" i="6"/>
  <c r="I934" i="6"/>
  <c r="I935" i="6"/>
  <c r="I936" i="6"/>
  <c r="I937" i="6"/>
  <c r="I938" i="6"/>
  <c r="I939" i="6"/>
  <c r="I940" i="6"/>
  <c r="I941" i="6"/>
  <c r="I942" i="6"/>
  <c r="I943" i="6"/>
  <c r="I944" i="6"/>
  <c r="I945" i="6"/>
  <c r="I946" i="6"/>
  <c r="I947" i="6"/>
  <c r="I948" i="6"/>
  <c r="I949" i="6"/>
  <c r="I950" i="6"/>
  <c r="I951" i="6"/>
  <c r="I952" i="6"/>
  <c r="I953" i="6"/>
  <c r="I954" i="6"/>
  <c r="I955" i="6"/>
  <c r="I956" i="6"/>
  <c r="I957" i="6"/>
  <c r="I958" i="6"/>
  <c r="I959" i="6"/>
  <c r="I960" i="6"/>
  <c r="I961" i="6"/>
  <c r="I962" i="6"/>
  <c r="I963" i="6"/>
  <c r="I964" i="6"/>
  <c r="I965" i="6"/>
  <c r="I966" i="6"/>
  <c r="I967" i="6"/>
  <c r="I968" i="6"/>
  <c r="I969" i="6"/>
  <c r="I970" i="6"/>
  <c r="I971" i="6"/>
  <c r="I972" i="6"/>
  <c r="I973" i="6"/>
  <c r="I974" i="6"/>
  <c r="I975" i="6"/>
  <c r="I976" i="6"/>
  <c r="I977" i="6"/>
  <c r="I978" i="6"/>
  <c r="I979" i="6"/>
  <c r="I980" i="6"/>
  <c r="I981" i="6"/>
  <c r="I982" i="6"/>
  <c r="I983" i="6"/>
  <c r="I984" i="6"/>
  <c r="I985" i="6"/>
  <c r="I986" i="6"/>
  <c r="I987" i="6"/>
  <c r="I988" i="6"/>
  <c r="I989" i="6"/>
  <c r="I990" i="6"/>
  <c r="I991" i="6"/>
  <c r="I992" i="6"/>
  <c r="I993" i="6"/>
  <c r="I994" i="6"/>
  <c r="I995" i="6"/>
  <c r="I996" i="6"/>
  <c r="I997" i="6"/>
  <c r="I998" i="6"/>
  <c r="I999" i="6"/>
  <c r="I1000" i="6"/>
  <c r="I1001" i="6"/>
  <c r="I1002" i="6"/>
  <c r="I1003" i="6"/>
  <c r="I1004" i="6"/>
  <c r="I1005" i="6"/>
  <c r="I1006" i="6"/>
  <c r="I1007" i="6"/>
  <c r="I1008" i="6"/>
  <c r="I1009" i="6"/>
  <c r="I1010" i="6"/>
  <c r="I1011" i="6"/>
  <c r="I1012" i="6"/>
  <c r="I1013" i="6"/>
  <c r="I1014" i="6"/>
  <c r="I1015" i="6"/>
  <c r="I1016" i="6"/>
  <c r="I1017" i="6"/>
  <c r="I1018" i="6"/>
  <c r="I1019" i="6"/>
  <c r="I1020" i="6"/>
  <c r="I1021" i="6"/>
  <c r="I1022" i="6"/>
  <c r="I1023" i="6"/>
  <c r="I1024" i="6"/>
  <c r="I1025" i="6"/>
  <c r="I1026" i="6"/>
  <c r="I1027" i="6"/>
  <c r="I1028" i="6"/>
  <c r="I1029" i="6"/>
  <c r="I1030" i="6"/>
  <c r="I1031" i="6"/>
  <c r="I1032" i="6"/>
  <c r="I1033" i="6"/>
  <c r="I1034" i="6"/>
  <c r="I1035" i="6"/>
  <c r="I1036" i="6"/>
  <c r="I1037" i="6"/>
  <c r="I1038" i="6"/>
  <c r="I1039" i="6"/>
  <c r="I1040" i="6"/>
  <c r="I1041" i="6"/>
  <c r="I1042" i="6"/>
  <c r="I1043" i="6"/>
  <c r="I1044" i="6"/>
  <c r="I1045" i="6"/>
  <c r="I1046" i="6"/>
  <c r="I1047" i="6"/>
  <c r="I1048" i="6"/>
  <c r="I1049" i="6"/>
  <c r="I1050" i="6"/>
  <c r="I1051" i="6"/>
  <c r="I1052" i="6"/>
  <c r="I1053" i="6"/>
  <c r="I1054" i="6"/>
  <c r="I1055" i="6"/>
  <c r="I1056" i="6"/>
  <c r="I1057" i="6"/>
  <c r="I1058" i="6"/>
  <c r="I1059" i="6"/>
  <c r="I1060" i="6"/>
  <c r="I1061" i="6"/>
  <c r="I1062" i="6"/>
  <c r="I1063" i="6"/>
  <c r="I1064" i="6"/>
  <c r="I1065" i="6"/>
  <c r="I1066" i="6"/>
  <c r="I1067" i="6"/>
  <c r="I1068" i="6"/>
  <c r="I1069" i="6"/>
  <c r="I1070" i="6"/>
  <c r="I1071" i="6"/>
  <c r="I1072" i="6"/>
  <c r="I1073" i="6"/>
  <c r="I1074" i="6"/>
  <c r="I1075" i="6"/>
  <c r="I1076" i="6"/>
  <c r="I1077" i="6"/>
  <c r="I1078" i="6"/>
  <c r="I1079" i="6"/>
  <c r="I1080" i="6"/>
  <c r="I1081" i="6"/>
  <c r="I1082" i="6"/>
  <c r="I1083" i="6"/>
  <c r="I1084" i="6"/>
  <c r="I1085" i="6"/>
  <c r="I1086" i="6"/>
  <c r="I1087" i="6"/>
  <c r="I1088" i="6"/>
  <c r="I1089" i="6"/>
  <c r="I1090" i="6"/>
  <c r="I1091" i="6"/>
  <c r="I1092" i="6"/>
  <c r="I1093" i="6"/>
  <c r="I1094" i="6"/>
  <c r="I1095" i="6"/>
  <c r="I1096" i="6"/>
  <c r="I1097" i="6"/>
  <c r="I1098" i="6"/>
  <c r="I1099" i="6"/>
  <c r="I1100" i="6"/>
  <c r="I1101" i="6"/>
  <c r="I1102" i="6"/>
  <c r="I1103" i="6"/>
  <c r="I1104" i="6"/>
  <c r="I1105" i="6"/>
  <c r="I1106" i="6"/>
  <c r="I1107" i="6"/>
  <c r="I1108" i="6"/>
  <c r="I1109" i="6"/>
  <c r="I1110" i="6"/>
  <c r="I1111" i="6"/>
  <c r="I1112" i="6"/>
  <c r="I1113" i="6"/>
  <c r="I1114" i="6"/>
  <c r="I1115" i="6"/>
  <c r="I1116" i="6"/>
  <c r="I1117" i="6"/>
  <c r="I1118" i="6"/>
  <c r="I1119" i="6"/>
  <c r="I1120" i="6"/>
  <c r="I1121" i="6"/>
  <c r="I1122" i="6"/>
  <c r="I1123" i="6"/>
  <c r="I1124" i="6"/>
  <c r="I1125" i="6"/>
  <c r="I1126" i="6"/>
  <c r="I1127" i="6"/>
  <c r="I1128" i="6"/>
  <c r="I1129" i="6"/>
  <c r="I1130" i="6"/>
  <c r="I1131" i="6"/>
  <c r="I1132" i="6"/>
  <c r="I1133" i="6"/>
  <c r="I1134" i="6"/>
  <c r="I1135" i="6"/>
  <c r="I1136" i="6"/>
  <c r="I1137" i="6"/>
  <c r="I1138" i="6"/>
  <c r="I1139" i="6"/>
  <c r="I1140" i="6"/>
  <c r="I1141" i="6"/>
  <c r="I1142" i="6"/>
  <c r="I1143" i="6"/>
  <c r="I1144" i="6"/>
  <c r="I1145" i="6"/>
  <c r="I1146" i="6"/>
  <c r="I1147" i="6"/>
  <c r="I1148" i="6"/>
  <c r="I1149" i="6"/>
  <c r="I1150" i="6"/>
  <c r="I1151" i="6"/>
  <c r="I1152" i="6"/>
  <c r="I1153" i="6"/>
  <c r="I1154" i="6"/>
  <c r="I1155" i="6"/>
  <c r="I1156" i="6"/>
  <c r="I1157" i="6"/>
  <c r="I1158" i="6"/>
  <c r="I1159" i="6"/>
  <c r="I1160" i="6"/>
  <c r="I1161" i="6"/>
  <c r="I1162" i="6"/>
  <c r="I1163" i="6"/>
  <c r="I1164" i="6"/>
  <c r="I1165" i="6"/>
  <c r="I1166" i="6"/>
  <c r="I1167" i="6"/>
  <c r="I1168" i="6"/>
  <c r="I1169" i="6"/>
  <c r="I1170" i="6"/>
  <c r="I1171" i="6"/>
  <c r="I1172" i="6"/>
  <c r="I1173" i="6"/>
  <c r="I1174" i="6"/>
  <c r="I1175" i="6"/>
  <c r="I1176" i="6"/>
  <c r="I1177" i="6"/>
  <c r="I1178" i="6"/>
  <c r="I1179" i="6"/>
  <c r="I1180" i="6"/>
  <c r="I1181" i="6"/>
  <c r="I1182" i="6"/>
  <c r="I1183" i="6"/>
  <c r="I1184" i="6"/>
  <c r="I1185" i="6"/>
  <c r="I1186" i="6"/>
  <c r="I1187" i="6"/>
  <c r="I1188" i="6"/>
  <c r="I1189" i="6"/>
  <c r="I1190" i="6"/>
  <c r="I1191" i="6"/>
  <c r="I1192" i="6"/>
  <c r="I1193" i="6"/>
  <c r="I1194" i="6"/>
  <c r="I1195" i="6"/>
  <c r="I1196" i="6"/>
  <c r="I1197" i="6"/>
  <c r="I1198" i="6"/>
  <c r="I1199" i="6"/>
  <c r="I1200" i="6"/>
  <c r="I1201" i="6"/>
  <c r="I1202" i="6"/>
  <c r="I1203" i="6"/>
  <c r="I1204" i="6"/>
  <c r="I1205" i="6"/>
  <c r="I1206" i="6"/>
  <c r="I1207" i="6"/>
  <c r="I1208" i="6"/>
  <c r="I1209" i="6"/>
  <c r="I1210" i="6"/>
  <c r="I1211" i="6"/>
  <c r="I1212" i="6"/>
  <c r="I1213" i="6"/>
  <c r="I1214" i="6"/>
  <c r="I1215" i="6"/>
  <c r="I1216" i="6"/>
  <c r="I1217" i="6"/>
  <c r="I1218" i="6"/>
  <c r="I1219" i="6"/>
  <c r="I1220" i="6"/>
  <c r="I1221" i="6"/>
  <c r="I1222" i="6"/>
  <c r="I1223" i="6"/>
  <c r="I1224" i="6"/>
  <c r="I1225" i="6"/>
  <c r="I1226" i="6"/>
  <c r="I1227" i="6"/>
  <c r="I1228" i="6"/>
  <c r="I1229" i="6"/>
  <c r="I1230" i="6"/>
  <c r="I1231" i="6"/>
  <c r="I1232" i="6"/>
  <c r="I1233" i="6"/>
  <c r="I1234" i="6"/>
  <c r="I1235" i="6"/>
  <c r="I1236" i="6"/>
  <c r="I1237" i="6"/>
  <c r="I1238" i="6"/>
  <c r="I1239" i="6"/>
  <c r="I1240" i="6"/>
  <c r="I1241" i="6"/>
  <c r="I1242" i="6"/>
  <c r="I1243" i="6"/>
  <c r="I1244" i="6"/>
  <c r="I1245" i="6"/>
  <c r="I1246" i="6"/>
  <c r="I1247" i="6"/>
  <c r="I1248" i="6"/>
  <c r="I1249" i="6"/>
  <c r="I1250" i="6"/>
  <c r="I1251" i="6"/>
  <c r="I1252" i="6"/>
  <c r="I1253" i="6"/>
  <c r="I1254" i="6"/>
  <c r="I1255" i="6"/>
  <c r="I1256" i="6"/>
  <c r="I1257" i="6"/>
  <c r="I1258" i="6"/>
  <c r="I1259" i="6"/>
  <c r="I1260" i="6"/>
  <c r="I1261" i="6"/>
  <c r="I1262" i="6"/>
  <c r="I1263" i="6"/>
  <c r="I1264" i="6"/>
  <c r="I1265" i="6"/>
  <c r="I1266" i="6"/>
  <c r="I1267" i="6"/>
  <c r="I1268" i="6"/>
  <c r="I1269" i="6"/>
  <c r="I1270" i="6"/>
  <c r="I1271" i="6"/>
  <c r="I1272" i="6"/>
  <c r="I1273" i="6"/>
  <c r="I1274" i="6"/>
  <c r="I1275" i="6"/>
  <c r="I1276" i="6"/>
  <c r="I1277" i="6"/>
  <c r="I1278" i="6"/>
  <c r="I1279" i="6"/>
  <c r="I1280" i="6"/>
  <c r="I1281" i="6"/>
  <c r="I1282" i="6"/>
  <c r="I1283" i="6"/>
  <c r="I1284" i="6"/>
  <c r="I1285" i="6"/>
  <c r="I1286" i="6"/>
  <c r="I1287" i="6"/>
  <c r="I1288" i="6"/>
  <c r="I1289" i="6"/>
  <c r="I1290" i="6"/>
  <c r="I1291" i="6"/>
  <c r="I1292" i="6"/>
  <c r="I1293" i="6"/>
  <c r="I1294" i="6"/>
  <c r="I1295" i="6"/>
  <c r="I1296" i="6"/>
  <c r="I1297" i="6"/>
  <c r="I1298" i="6"/>
  <c r="I1299" i="6"/>
  <c r="I1300" i="6"/>
  <c r="I1301" i="6"/>
  <c r="I1302" i="6"/>
  <c r="I1303" i="6"/>
  <c r="I1304" i="6"/>
  <c r="I1305" i="6"/>
  <c r="I1306" i="6"/>
  <c r="I1307" i="6"/>
  <c r="I1308" i="6"/>
  <c r="I1309" i="6"/>
  <c r="I1310" i="6"/>
  <c r="I1311" i="6"/>
  <c r="I1312" i="6"/>
  <c r="I1313" i="6"/>
  <c r="I1314" i="6"/>
  <c r="I1315" i="6"/>
  <c r="I1316" i="6"/>
  <c r="I1317" i="6"/>
  <c r="I1318" i="6"/>
  <c r="I1319" i="6"/>
  <c r="I1320" i="6"/>
  <c r="I1321" i="6"/>
  <c r="I1322" i="6"/>
  <c r="I1323" i="6"/>
  <c r="I1324" i="6"/>
  <c r="I1325" i="6"/>
  <c r="I1326" i="6"/>
  <c r="I1327" i="6"/>
  <c r="I1328" i="6"/>
  <c r="I1329" i="6"/>
  <c r="I1330" i="6"/>
  <c r="I1331" i="6"/>
  <c r="I1332" i="6"/>
  <c r="I1333" i="6"/>
  <c r="I1334" i="6"/>
  <c r="I1335" i="6"/>
  <c r="I1336" i="6"/>
  <c r="I1337" i="6"/>
  <c r="I1338" i="6"/>
  <c r="I1339" i="6"/>
  <c r="I1340" i="6"/>
  <c r="I1341" i="6"/>
  <c r="I1342" i="6"/>
  <c r="I1343" i="6"/>
  <c r="I1344" i="6"/>
  <c r="I1345" i="6"/>
  <c r="I1346" i="6"/>
  <c r="I1347" i="6"/>
  <c r="I1348" i="6"/>
  <c r="I1349" i="6"/>
  <c r="I1350" i="6"/>
  <c r="I1351" i="6"/>
  <c r="I1352" i="6"/>
  <c r="I1353" i="6"/>
  <c r="I1354" i="6"/>
  <c r="I1355" i="6"/>
  <c r="I1356" i="6"/>
  <c r="I1357" i="6"/>
  <c r="I1358" i="6"/>
  <c r="I1359" i="6"/>
  <c r="I1360" i="6"/>
  <c r="I1361" i="6"/>
  <c r="I1362" i="6"/>
  <c r="I1363" i="6"/>
  <c r="I1364" i="6"/>
  <c r="I1365" i="6"/>
  <c r="I1366" i="6"/>
  <c r="I1367" i="6"/>
  <c r="I1368" i="6"/>
  <c r="I1369" i="6"/>
  <c r="I1370" i="6"/>
  <c r="I1371" i="6"/>
  <c r="I1372" i="6"/>
  <c r="I1373" i="6"/>
  <c r="I1374" i="6"/>
  <c r="I1375" i="6"/>
  <c r="I1376" i="6"/>
  <c r="I1377" i="6"/>
  <c r="I1378" i="6"/>
  <c r="I1379" i="6"/>
  <c r="I1380" i="6"/>
  <c r="I1381" i="6"/>
  <c r="I1382" i="6"/>
  <c r="I1383" i="6"/>
  <c r="I1384" i="6"/>
  <c r="I1385" i="6"/>
  <c r="I1386" i="6"/>
  <c r="I1387" i="6"/>
  <c r="I1388" i="6"/>
  <c r="I1389" i="6"/>
  <c r="I1390" i="6"/>
  <c r="I1391" i="6"/>
  <c r="I1392" i="6"/>
  <c r="I1393" i="6"/>
  <c r="I1394" i="6"/>
  <c r="I1395" i="6"/>
  <c r="I1396" i="6"/>
  <c r="I1397" i="6"/>
  <c r="I1398" i="6"/>
  <c r="I1399" i="6"/>
  <c r="I1400" i="6"/>
  <c r="I1401" i="6"/>
  <c r="I1402" i="6"/>
  <c r="I1403" i="6"/>
  <c r="I1404" i="6"/>
  <c r="I1405" i="6"/>
  <c r="I1406" i="6"/>
  <c r="I1407" i="6"/>
  <c r="I1408" i="6"/>
  <c r="I1409" i="6"/>
  <c r="I1410" i="6"/>
  <c r="I1411" i="6"/>
  <c r="I1412" i="6"/>
  <c r="I1413" i="6"/>
  <c r="I1414" i="6"/>
  <c r="I1415" i="6"/>
  <c r="I1416" i="6"/>
  <c r="I1417" i="6"/>
  <c r="I1418" i="6"/>
  <c r="I1419" i="6"/>
  <c r="I1420" i="6"/>
  <c r="I1421" i="6"/>
  <c r="I1422" i="6"/>
  <c r="I1423" i="6"/>
  <c r="I1424" i="6"/>
  <c r="I1425" i="6"/>
  <c r="I1426" i="6"/>
  <c r="I1427" i="6"/>
  <c r="I1428" i="6"/>
  <c r="I1429" i="6"/>
  <c r="I1430" i="6"/>
  <c r="I1431" i="6"/>
  <c r="I1432" i="6"/>
  <c r="I1433" i="6"/>
  <c r="I1434" i="6"/>
  <c r="I1435" i="6"/>
  <c r="I1436" i="6"/>
  <c r="I1437" i="6"/>
  <c r="I1438" i="6"/>
  <c r="I1439" i="6"/>
  <c r="I1440" i="6"/>
  <c r="I1441" i="6"/>
  <c r="I1442" i="6"/>
  <c r="I1443" i="6"/>
  <c r="I1444" i="6"/>
  <c r="I1445" i="6"/>
  <c r="I1446" i="6"/>
  <c r="I1447" i="6"/>
  <c r="I1448" i="6"/>
  <c r="I1449" i="6"/>
  <c r="I1450" i="6"/>
  <c r="I1451" i="6"/>
  <c r="I1452" i="6"/>
  <c r="I1453" i="6"/>
  <c r="I1454" i="6"/>
  <c r="I1455" i="6"/>
  <c r="I1456" i="6"/>
  <c r="I1457" i="6"/>
  <c r="I1458" i="6"/>
  <c r="I1459" i="6"/>
  <c r="I1460" i="6"/>
  <c r="I1461" i="6"/>
  <c r="I1462" i="6"/>
  <c r="I1463" i="6"/>
  <c r="I1464" i="6"/>
  <c r="I1465" i="6"/>
  <c r="I1466" i="6"/>
  <c r="I1467" i="6"/>
  <c r="I1468" i="6"/>
  <c r="I1469" i="6"/>
  <c r="I1470" i="6"/>
  <c r="I1471" i="6"/>
  <c r="I1472" i="6"/>
  <c r="I1473" i="6"/>
  <c r="I1474" i="6"/>
  <c r="I1475" i="6"/>
  <c r="I1476" i="6"/>
  <c r="I1477" i="6"/>
  <c r="I1478" i="6"/>
  <c r="I1479" i="6"/>
  <c r="I1480" i="6"/>
  <c r="I1481" i="6"/>
  <c r="I1482" i="6"/>
  <c r="I1483" i="6"/>
  <c r="I1484" i="6"/>
  <c r="I1485" i="6"/>
  <c r="I1486" i="6"/>
  <c r="I1487" i="6"/>
  <c r="I1488" i="6"/>
  <c r="I1489" i="6"/>
  <c r="I1490" i="6"/>
  <c r="I1491" i="6"/>
  <c r="I1492" i="6"/>
  <c r="I1493" i="6"/>
  <c r="I1494" i="6"/>
  <c r="I1495" i="6"/>
  <c r="I1496" i="6"/>
  <c r="I1497" i="6"/>
  <c r="I1498" i="6"/>
  <c r="I1499" i="6"/>
  <c r="I1500" i="6"/>
  <c r="I1501" i="6"/>
  <c r="I1502" i="6"/>
  <c r="I1503" i="6"/>
  <c r="I1504" i="6"/>
  <c r="I1505" i="6"/>
  <c r="I1506" i="6"/>
  <c r="I1507" i="6"/>
  <c r="I1508" i="6"/>
  <c r="I1509" i="6"/>
  <c r="I1510" i="6"/>
  <c r="I1511" i="6"/>
  <c r="I1512" i="6"/>
  <c r="I1513" i="6"/>
  <c r="I1514" i="6"/>
  <c r="I1515" i="6"/>
  <c r="I1516" i="6"/>
  <c r="I1517" i="6"/>
  <c r="I1518" i="6"/>
  <c r="I1519" i="6"/>
  <c r="I1520" i="6"/>
  <c r="I1521" i="6"/>
  <c r="I1522" i="6"/>
  <c r="I1523" i="6"/>
  <c r="I1524" i="6"/>
  <c r="I1525" i="6"/>
  <c r="I1526" i="6"/>
  <c r="I1527" i="6"/>
  <c r="I1528" i="6"/>
  <c r="I1529" i="6"/>
  <c r="I1530" i="6"/>
  <c r="I1531" i="6"/>
  <c r="I1532" i="6"/>
  <c r="I1533" i="6"/>
  <c r="I1534" i="6"/>
  <c r="I1535" i="6"/>
  <c r="I1536" i="6"/>
  <c r="I1537" i="6"/>
  <c r="I1538" i="6"/>
  <c r="I1539" i="6"/>
  <c r="I1540" i="6"/>
  <c r="I1541" i="6"/>
  <c r="I1542" i="6"/>
  <c r="I1543" i="6"/>
  <c r="I1544" i="6"/>
  <c r="I1545" i="6"/>
  <c r="I1546" i="6"/>
  <c r="I1547" i="6"/>
  <c r="I1548" i="6"/>
  <c r="I1549" i="6"/>
  <c r="I1550" i="6"/>
  <c r="I1551" i="6"/>
  <c r="I1552" i="6"/>
  <c r="I1553" i="6"/>
  <c r="I1554" i="6"/>
  <c r="I1555" i="6"/>
  <c r="I1556" i="6"/>
  <c r="I1557" i="6"/>
  <c r="I1558" i="6"/>
  <c r="I1559" i="6"/>
  <c r="I1560" i="6"/>
  <c r="I1561" i="6"/>
  <c r="I1562" i="6"/>
  <c r="I1563" i="6"/>
  <c r="I1564" i="6"/>
  <c r="I1565" i="6"/>
  <c r="I1566" i="6"/>
  <c r="I1567" i="6"/>
  <c r="I1568" i="6"/>
  <c r="I1569" i="6"/>
  <c r="I1570" i="6"/>
  <c r="I1571" i="6"/>
  <c r="I1572" i="6"/>
  <c r="I1573" i="6"/>
  <c r="I1574" i="6"/>
  <c r="I1575" i="6"/>
  <c r="I1576" i="6"/>
  <c r="I1577" i="6"/>
  <c r="I1578" i="6"/>
  <c r="I1579" i="6"/>
  <c r="I1580" i="6"/>
  <c r="I1581" i="6"/>
  <c r="I1582" i="6"/>
  <c r="I1583" i="6"/>
  <c r="I1584" i="6"/>
  <c r="I1585" i="6"/>
  <c r="I1586" i="6"/>
  <c r="I1587" i="6"/>
  <c r="I1588" i="6"/>
  <c r="I1589" i="6"/>
  <c r="I1590" i="6"/>
  <c r="I1591" i="6"/>
  <c r="I1592" i="6"/>
  <c r="I1593" i="6"/>
  <c r="I1594" i="6"/>
  <c r="I1595" i="6"/>
  <c r="I1596" i="6"/>
  <c r="I1597" i="6"/>
  <c r="I1598" i="6"/>
  <c r="I1599" i="6"/>
  <c r="I1600" i="6"/>
  <c r="I1601" i="6"/>
  <c r="I1602" i="6"/>
  <c r="I1603" i="6"/>
  <c r="I1604" i="6"/>
  <c r="I1605" i="6"/>
  <c r="I1606" i="6"/>
  <c r="I1607" i="6"/>
  <c r="I1608" i="6"/>
  <c r="I1609" i="6"/>
  <c r="I1610" i="6"/>
  <c r="I1611" i="6"/>
  <c r="I1612" i="6"/>
  <c r="I1613" i="6"/>
  <c r="I1614" i="6"/>
  <c r="I1615" i="6"/>
  <c r="I1616" i="6"/>
  <c r="I1617" i="6"/>
  <c r="I1618" i="6"/>
  <c r="I1619" i="6"/>
  <c r="I1620" i="6"/>
  <c r="I1621" i="6"/>
  <c r="I1622" i="6"/>
  <c r="I1623" i="6"/>
  <c r="I1624" i="6"/>
  <c r="I1625" i="6"/>
  <c r="I1626" i="6"/>
  <c r="I1627" i="6"/>
  <c r="I1628" i="6"/>
  <c r="I1629" i="6"/>
  <c r="I1630" i="6"/>
  <c r="I1631" i="6"/>
  <c r="I1632" i="6"/>
  <c r="I1633" i="6"/>
  <c r="I1634" i="6"/>
  <c r="I1635" i="6"/>
  <c r="I1636" i="6"/>
  <c r="I1637" i="6"/>
  <c r="I1638" i="6"/>
  <c r="I1639" i="6"/>
  <c r="I1640" i="6"/>
  <c r="I1641" i="6"/>
  <c r="I1642" i="6"/>
  <c r="I1643" i="6"/>
  <c r="I1644" i="6"/>
  <c r="I1645" i="6"/>
  <c r="I1646" i="6"/>
  <c r="I1647" i="6"/>
  <c r="I1648" i="6"/>
  <c r="I1649" i="6"/>
  <c r="I1650" i="6"/>
  <c r="I1651" i="6"/>
  <c r="I1652" i="6"/>
  <c r="I1653" i="6"/>
  <c r="I1654" i="6"/>
  <c r="I1655" i="6"/>
  <c r="I1656" i="6"/>
  <c r="I1657" i="6"/>
  <c r="I1658" i="6"/>
  <c r="I1659" i="6"/>
  <c r="I1660" i="6"/>
  <c r="I1661" i="6"/>
  <c r="I1662" i="6"/>
  <c r="I1663" i="6"/>
  <c r="I1664" i="6"/>
  <c r="I1665" i="6"/>
  <c r="I1666" i="6"/>
  <c r="I1667" i="6"/>
  <c r="I1668" i="6"/>
  <c r="I1669" i="6"/>
  <c r="I1670" i="6"/>
  <c r="I1671" i="6"/>
  <c r="I1672" i="6"/>
  <c r="I1673" i="6"/>
  <c r="I1674" i="6"/>
  <c r="I1675" i="6"/>
  <c r="I1676" i="6"/>
  <c r="I1677" i="6"/>
  <c r="I1678" i="6"/>
  <c r="I1679" i="6"/>
  <c r="I1680" i="6"/>
  <c r="I1681" i="6"/>
  <c r="I1682" i="6"/>
  <c r="I1683" i="6"/>
  <c r="I1684" i="6"/>
  <c r="I1685" i="6"/>
  <c r="I1686" i="6"/>
  <c r="I1687" i="6"/>
  <c r="I1688" i="6"/>
  <c r="I1689" i="6"/>
  <c r="I1690" i="6"/>
  <c r="I1691" i="6"/>
  <c r="I1692" i="6"/>
  <c r="I1693" i="6"/>
  <c r="I1694" i="6"/>
  <c r="I1695" i="6"/>
  <c r="I1696" i="6"/>
  <c r="I1697" i="6"/>
  <c r="I1698" i="6"/>
  <c r="I1699" i="6"/>
  <c r="I1700" i="6"/>
  <c r="I1701" i="6"/>
  <c r="I1702" i="6"/>
  <c r="I1703" i="6"/>
  <c r="I1704" i="6"/>
  <c r="I1705" i="6"/>
  <c r="I1706" i="6"/>
  <c r="I1707" i="6"/>
  <c r="I1708" i="6"/>
  <c r="I1709" i="6"/>
  <c r="I1710" i="6"/>
  <c r="I1711" i="6"/>
  <c r="I1712" i="6"/>
  <c r="I1713" i="6"/>
  <c r="I1714" i="6"/>
  <c r="I1715" i="6"/>
  <c r="I1716" i="6"/>
  <c r="I1717" i="6"/>
  <c r="I1718" i="6"/>
  <c r="I1719" i="6"/>
  <c r="I1720" i="6"/>
  <c r="I1721" i="6"/>
  <c r="I1722" i="6"/>
  <c r="I1723" i="6"/>
  <c r="I1724" i="6"/>
  <c r="I1725" i="6"/>
  <c r="I1726" i="6"/>
  <c r="I1727" i="6"/>
  <c r="I1728" i="6"/>
  <c r="I1729" i="6"/>
  <c r="I1730" i="6"/>
  <c r="I1731" i="6"/>
  <c r="I1732" i="6"/>
  <c r="I1733" i="6"/>
  <c r="I1734" i="6"/>
  <c r="I1735" i="6"/>
  <c r="I1736" i="6"/>
  <c r="I1737" i="6"/>
  <c r="I1738" i="6"/>
  <c r="I1739" i="6"/>
  <c r="I1740" i="6"/>
  <c r="I1741" i="6"/>
  <c r="I1742" i="6"/>
  <c r="I1743" i="6"/>
  <c r="I1744" i="6"/>
  <c r="I1745" i="6"/>
  <c r="I1746" i="6"/>
  <c r="I1747" i="6"/>
  <c r="I1748" i="6"/>
  <c r="I1749" i="6"/>
  <c r="I1750" i="6"/>
  <c r="I1751" i="6"/>
  <c r="I1752" i="6"/>
  <c r="I1753" i="6"/>
  <c r="I1754" i="6"/>
  <c r="I1755" i="6"/>
  <c r="I1756" i="6"/>
  <c r="I1757" i="6"/>
  <c r="I1758" i="6"/>
  <c r="I1759" i="6"/>
  <c r="I1760" i="6"/>
  <c r="I1761" i="6"/>
  <c r="I1762" i="6"/>
  <c r="I1763" i="6"/>
  <c r="I1764" i="6"/>
  <c r="I1765" i="6"/>
  <c r="I1766" i="6"/>
  <c r="I1767" i="6"/>
  <c r="I1768" i="6"/>
  <c r="I1769" i="6"/>
  <c r="I1770" i="6"/>
  <c r="I1771" i="6"/>
  <c r="I1772" i="6"/>
  <c r="I1773" i="6"/>
  <c r="I1774" i="6"/>
  <c r="I1775" i="6"/>
  <c r="I1776" i="6"/>
  <c r="I1777" i="6"/>
  <c r="I1778" i="6"/>
  <c r="I1779" i="6"/>
  <c r="I1780" i="6"/>
  <c r="I1781" i="6"/>
  <c r="I1782" i="6"/>
  <c r="I1783" i="6"/>
  <c r="I1784" i="6"/>
  <c r="I1785" i="6"/>
  <c r="I1786" i="6"/>
  <c r="I1787" i="6"/>
  <c r="I1788" i="6"/>
  <c r="I1789" i="6"/>
  <c r="I1790" i="6"/>
  <c r="I1791" i="6"/>
  <c r="I1792" i="6"/>
  <c r="I1793" i="6"/>
  <c r="I1794" i="6"/>
  <c r="I1795" i="6"/>
  <c r="I1796" i="6"/>
  <c r="I1797" i="6"/>
  <c r="I1798" i="6"/>
  <c r="I1799" i="6"/>
  <c r="I1800" i="6"/>
  <c r="I1801" i="6"/>
  <c r="I1802" i="6"/>
  <c r="I1803" i="6"/>
  <c r="I1804" i="6"/>
  <c r="I1805" i="6"/>
  <c r="I1806" i="6"/>
  <c r="I1807" i="6"/>
  <c r="I1808" i="6"/>
  <c r="I1809" i="6"/>
  <c r="I1810" i="6"/>
  <c r="I1811" i="6"/>
  <c r="I1812" i="6"/>
  <c r="I1813" i="6"/>
  <c r="I1814" i="6"/>
  <c r="I1815" i="6"/>
  <c r="I1816" i="6"/>
  <c r="I1817" i="6"/>
  <c r="I1818" i="6"/>
  <c r="I1819" i="6"/>
  <c r="I1820" i="6"/>
  <c r="I1821" i="6"/>
  <c r="I1822" i="6"/>
  <c r="I1823" i="6"/>
  <c r="I1824" i="6"/>
  <c r="I1825" i="6"/>
  <c r="I1826" i="6"/>
  <c r="I1827" i="6"/>
  <c r="I1828" i="6"/>
  <c r="I1829" i="6"/>
  <c r="I1830" i="6"/>
  <c r="I1831" i="6"/>
  <c r="I1832" i="6"/>
  <c r="I1833" i="6"/>
  <c r="I1834" i="6"/>
  <c r="I1835" i="6"/>
  <c r="I1836" i="6"/>
  <c r="I1837" i="6"/>
  <c r="I1838" i="6"/>
  <c r="I1839" i="6"/>
  <c r="I1840" i="6"/>
  <c r="I1841" i="6"/>
  <c r="I1842" i="6"/>
  <c r="I1843" i="6"/>
  <c r="I1844" i="6"/>
  <c r="I1845" i="6"/>
  <c r="I1846" i="6"/>
  <c r="I1847" i="6"/>
  <c r="I1848" i="6"/>
  <c r="I1849" i="6"/>
  <c r="I1850" i="6"/>
  <c r="I1851" i="6"/>
  <c r="I1852" i="6"/>
  <c r="I1853" i="6"/>
  <c r="I1854" i="6"/>
  <c r="I1855" i="6"/>
  <c r="I1856" i="6"/>
  <c r="I1857" i="6"/>
  <c r="I1858" i="6"/>
  <c r="I1859" i="6"/>
  <c r="I1860" i="6"/>
  <c r="I1861" i="6"/>
  <c r="I1862" i="6"/>
  <c r="I1863" i="6"/>
  <c r="I1864" i="6"/>
  <c r="I1865" i="6"/>
  <c r="I1866" i="6"/>
  <c r="I1867" i="6"/>
  <c r="I1868" i="6"/>
  <c r="I1869" i="6"/>
  <c r="I1870" i="6"/>
  <c r="I1871" i="6"/>
  <c r="I1872" i="6"/>
  <c r="I1873" i="6"/>
  <c r="I1874" i="6"/>
  <c r="I1875" i="6"/>
  <c r="I1876" i="6"/>
  <c r="I1877" i="6"/>
  <c r="I1878" i="6"/>
  <c r="I1879" i="6"/>
  <c r="I1880" i="6"/>
  <c r="I1881" i="6"/>
  <c r="I1882" i="6"/>
  <c r="I1883" i="6"/>
  <c r="I1884" i="6"/>
  <c r="I1885" i="6"/>
  <c r="I1886" i="6"/>
  <c r="I1887" i="6"/>
  <c r="I1888" i="6"/>
  <c r="I1889" i="6"/>
  <c r="I1890" i="6"/>
  <c r="I1891" i="6"/>
  <c r="I1892" i="6"/>
  <c r="I1893" i="6"/>
  <c r="I1894" i="6"/>
  <c r="I1895" i="6"/>
  <c r="I1896" i="6"/>
  <c r="I1897" i="6"/>
  <c r="I1898" i="6"/>
  <c r="I1899" i="6"/>
  <c r="I1900" i="6"/>
  <c r="I1901" i="6"/>
  <c r="I1902" i="6"/>
  <c r="I1903" i="6"/>
  <c r="I1904" i="6"/>
  <c r="I1905" i="6"/>
  <c r="I1906" i="6"/>
  <c r="I1907" i="6"/>
  <c r="I1908" i="6"/>
  <c r="I1909" i="6"/>
  <c r="I1910" i="6"/>
  <c r="I1911" i="6"/>
  <c r="I1912" i="6"/>
  <c r="I1913" i="6"/>
  <c r="I1914" i="6"/>
  <c r="I1915" i="6"/>
  <c r="I1916" i="6"/>
  <c r="I1917" i="6"/>
  <c r="I1918" i="6"/>
  <c r="I1919" i="6"/>
  <c r="I1920" i="6"/>
  <c r="I1921" i="6"/>
  <c r="I1922" i="6"/>
  <c r="I1923" i="6"/>
  <c r="I1924" i="6"/>
  <c r="I1925" i="6"/>
  <c r="I1926" i="6"/>
  <c r="I1927" i="6"/>
  <c r="I1928" i="6"/>
  <c r="I1929" i="6"/>
  <c r="I1930" i="6"/>
  <c r="I1931" i="6"/>
  <c r="I1932" i="6"/>
  <c r="I1933" i="6"/>
  <c r="I1934" i="6"/>
  <c r="I1935" i="6"/>
  <c r="I1936" i="6"/>
  <c r="I1937" i="6"/>
  <c r="I1938" i="6"/>
  <c r="I1939" i="6"/>
  <c r="I1940" i="6"/>
  <c r="I1941" i="6"/>
  <c r="I1942" i="6"/>
  <c r="I1943" i="6"/>
  <c r="I1944" i="6"/>
  <c r="I1945" i="6"/>
  <c r="I1946" i="6"/>
  <c r="I1947" i="6"/>
  <c r="I1948" i="6"/>
  <c r="I1949" i="6"/>
  <c r="I1950" i="6"/>
  <c r="I1951" i="6"/>
  <c r="I1952" i="6"/>
  <c r="I1953" i="6"/>
  <c r="I1954" i="6"/>
  <c r="I1955" i="6"/>
  <c r="I1956" i="6"/>
  <c r="I1957" i="6"/>
  <c r="I1958" i="6"/>
  <c r="I1959" i="6"/>
  <c r="I1960" i="6"/>
  <c r="I1961" i="6"/>
  <c r="I1962" i="6"/>
  <c r="I1963" i="6"/>
  <c r="I1964" i="6"/>
  <c r="I1965" i="6"/>
  <c r="I1966" i="6"/>
  <c r="I1967" i="6"/>
  <c r="I1968" i="6"/>
  <c r="I1969" i="6"/>
  <c r="I1970" i="6"/>
  <c r="I1971" i="6"/>
  <c r="I1972" i="6"/>
  <c r="I1973" i="6"/>
  <c r="I1974" i="6"/>
  <c r="I1975" i="6"/>
  <c r="I1976" i="6"/>
  <c r="I1977" i="6"/>
  <c r="I1978" i="6"/>
  <c r="I1979" i="6"/>
  <c r="I1980" i="6"/>
  <c r="I1981" i="6"/>
  <c r="I1982" i="6"/>
  <c r="I1983" i="6"/>
  <c r="I1984" i="6"/>
  <c r="I1985" i="6"/>
  <c r="I1986" i="6"/>
  <c r="I1987" i="6"/>
  <c r="I1988" i="6"/>
  <c r="I1989" i="6"/>
  <c r="I1990" i="6"/>
  <c r="I1991" i="6"/>
  <c r="I1992" i="6"/>
  <c r="I1993" i="6"/>
  <c r="I1994" i="6"/>
  <c r="I1995" i="6"/>
  <c r="I1996" i="6"/>
  <c r="I1997" i="6"/>
  <c r="I1998" i="6"/>
  <c r="I1999" i="6"/>
  <c r="I2000" i="6"/>
  <c r="I2001" i="6"/>
  <c r="D2"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alcChain>
</file>

<file path=xl/sharedStrings.xml><?xml version="1.0" encoding="utf-8"?>
<sst xmlns="http://schemas.openxmlformats.org/spreadsheetml/2006/main" count="14228" uniqueCount="3999">
  <si>
    <t>Customer_ID</t>
  </si>
  <si>
    <t>Name</t>
  </si>
  <si>
    <t>Age</t>
  </si>
  <si>
    <t>Gender</t>
  </si>
  <si>
    <t>City</t>
  </si>
  <si>
    <t>State</t>
  </si>
  <si>
    <t>Country</t>
  </si>
  <si>
    <t>Loyalty_Level</t>
  </si>
  <si>
    <t>CUST1000</t>
  </si>
  <si>
    <t>Male</t>
  </si>
  <si>
    <t>Donaldton</t>
  </si>
  <si>
    <t>North Carolina</t>
  </si>
  <si>
    <t>USA</t>
  </si>
  <si>
    <t>Gold</t>
  </si>
  <si>
    <t>CUST1001</t>
  </si>
  <si>
    <t>Eugene Nelson</t>
  </si>
  <si>
    <t>Female</t>
  </si>
  <si>
    <t>Phillipsmouth</t>
  </si>
  <si>
    <t>North Dakota</t>
  </si>
  <si>
    <t>Platinum</t>
  </si>
  <si>
    <t>CUST1002</t>
  </si>
  <si>
    <t>Kylebury</t>
  </si>
  <si>
    <t>Alabama</t>
  </si>
  <si>
    <t>CUST1003</t>
  </si>
  <si>
    <t>Thomastown</t>
  </si>
  <si>
    <t>Ohio</t>
  </si>
  <si>
    <t>Bronze</t>
  </si>
  <si>
    <t>CUST1004</t>
  </si>
  <si>
    <t>Caroline Collins</t>
  </si>
  <si>
    <t>Nicholasshire</t>
  </si>
  <si>
    <t>California</t>
  </si>
  <si>
    <t>Silver</t>
  </si>
  <si>
    <t>CUST1005</t>
  </si>
  <si>
    <t>Christine Vaughn</t>
  </si>
  <si>
    <t>East Amandamouth</t>
  </si>
  <si>
    <t>Oregon</t>
  </si>
  <si>
    <t>CUST1006</t>
  </si>
  <si>
    <t>Amber Jackson</t>
  </si>
  <si>
    <t>Deborahborough</t>
  </si>
  <si>
    <t>South Dakota</t>
  </si>
  <si>
    <t>CUST1007</t>
  </si>
  <si>
    <t>Daniel Boyd</t>
  </si>
  <si>
    <t>West Pamelafurt</t>
  </si>
  <si>
    <t>West Virginia</t>
  </si>
  <si>
    <t>CUST1008</t>
  </si>
  <si>
    <t>Melissa Howard</t>
  </si>
  <si>
    <t>Maynardton</t>
  </si>
  <si>
    <t>New Hampshire</t>
  </si>
  <si>
    <t>CUST1009</t>
  </si>
  <si>
    <t>Ms. Maria Leach</t>
  </si>
  <si>
    <t>Melissashire</t>
  </si>
  <si>
    <t>Pennsylvania</t>
  </si>
  <si>
    <t>CUST1010</t>
  </si>
  <si>
    <t>Dominic Page</t>
  </si>
  <si>
    <t>Port Michaelburgh</t>
  </si>
  <si>
    <t>CUST1011</t>
  </si>
  <si>
    <t>Brian Lopez</t>
  </si>
  <si>
    <t>East Krista</t>
  </si>
  <si>
    <t>New York</t>
  </si>
  <si>
    <t>CUST1012</t>
  </si>
  <si>
    <t>Kenneth Lambert</t>
  </si>
  <si>
    <t>North Kathryn</t>
  </si>
  <si>
    <t>Kansas</t>
  </si>
  <si>
    <t>CUST1013</t>
  </si>
  <si>
    <t>Nathan Hernandez</t>
  </si>
  <si>
    <t>New Becky</t>
  </si>
  <si>
    <t>Montana</t>
  </si>
  <si>
    <t>CUST1014</t>
  </si>
  <si>
    <t>Ashley Cohen</t>
  </si>
  <si>
    <t>Lake Kristamouth</t>
  </si>
  <si>
    <t>Nebraska</t>
  </si>
  <si>
    <t>CUST1015</t>
  </si>
  <si>
    <t>Laura Alvarez</t>
  </si>
  <si>
    <t>Lawsonhaven</t>
  </si>
  <si>
    <t>Washington</t>
  </si>
  <si>
    <t>CUST1016</t>
  </si>
  <si>
    <t>John Scott</t>
  </si>
  <si>
    <t>South Christopher</t>
  </si>
  <si>
    <t>CUST1017</t>
  </si>
  <si>
    <t>Adam Cruz</t>
  </si>
  <si>
    <t>Brandonville</t>
  </si>
  <si>
    <t>Georgia</t>
  </si>
  <si>
    <t>CUST1018</t>
  </si>
  <si>
    <t>Rhonda Moss</t>
  </si>
  <si>
    <t>South William</t>
  </si>
  <si>
    <t>CUST1019</t>
  </si>
  <si>
    <t>Michael Torres</t>
  </si>
  <si>
    <t>Gonzalezfort</t>
  </si>
  <si>
    <t>New Jersey</t>
  </si>
  <si>
    <t>CUST1020</t>
  </si>
  <si>
    <t>Bridget Allen</t>
  </si>
  <si>
    <t>Lake Shaneburgh</t>
  </si>
  <si>
    <t>Delaware</t>
  </si>
  <si>
    <t>CUST1021</t>
  </si>
  <si>
    <t>Jeff Martinez</t>
  </si>
  <si>
    <t>Smithburgh</t>
  </si>
  <si>
    <t>Oklahoma</t>
  </si>
  <si>
    <t>CUST1022</t>
  </si>
  <si>
    <t>Michaelton</t>
  </si>
  <si>
    <t>Hawaii</t>
  </si>
  <si>
    <t>CUST1023</t>
  </si>
  <si>
    <t>Jonathan Steele</t>
  </si>
  <si>
    <t>Molinabury</t>
  </si>
  <si>
    <t>CUST1024</t>
  </si>
  <si>
    <t>Heather Collins</t>
  </si>
  <si>
    <t>Rogerschester</t>
  </si>
  <si>
    <t>Idaho</t>
  </si>
  <si>
    <t>CUST1025</t>
  </si>
  <si>
    <t>Diana Taylor</t>
  </si>
  <si>
    <t>Vasqueztown</t>
  </si>
  <si>
    <t>CUST1026</t>
  </si>
  <si>
    <t>Amber Carlson</t>
  </si>
  <si>
    <t>East Michellemouth</t>
  </si>
  <si>
    <t>Missouri</t>
  </si>
  <si>
    <t>CUST1027</t>
  </si>
  <si>
    <t>Leslie Johnson</t>
  </si>
  <si>
    <t>Mollyshire</t>
  </si>
  <si>
    <t>Utah</t>
  </si>
  <si>
    <t>CUST1028</t>
  </si>
  <si>
    <t>Joshua Ryan</t>
  </si>
  <si>
    <t>New David</t>
  </si>
  <si>
    <t>CUST1029</t>
  </si>
  <si>
    <t>David Arnold</t>
  </si>
  <si>
    <t>East Jennifer</t>
  </si>
  <si>
    <t>CUST1030</t>
  </si>
  <si>
    <t>Jessica Acevedo</t>
  </si>
  <si>
    <t>Amybury</t>
  </si>
  <si>
    <t>CUST1031</t>
  </si>
  <si>
    <t>Sarah Vance</t>
  </si>
  <si>
    <t>Johnsonville</t>
  </si>
  <si>
    <t>CUST1032</t>
  </si>
  <si>
    <t>Mike Jennings</t>
  </si>
  <si>
    <t>Fostermouth</t>
  </si>
  <si>
    <t>Arizona</t>
  </si>
  <si>
    <t>CUST1033</t>
  </si>
  <si>
    <t>Tristanton</t>
  </si>
  <si>
    <t>CUST1034</t>
  </si>
  <si>
    <t>Christopher Olson</t>
  </si>
  <si>
    <t>West Richard</t>
  </si>
  <si>
    <t>Maryland</t>
  </si>
  <si>
    <t>CUST1035</t>
  </si>
  <si>
    <t>Rachel Myers</t>
  </si>
  <si>
    <t>Robertberg</t>
  </si>
  <si>
    <t>CUST1036</t>
  </si>
  <si>
    <t>Thomas Phillips</t>
  </si>
  <si>
    <t>Luisfurt</t>
  </si>
  <si>
    <t>CUST1037</t>
  </si>
  <si>
    <t>Christopher Carter</t>
  </si>
  <si>
    <t>Brendastad</t>
  </si>
  <si>
    <t>CUST1038</t>
  </si>
  <si>
    <t>Deanna Simpson</t>
  </si>
  <si>
    <t>Brownport</t>
  </si>
  <si>
    <t>CUST1039</t>
  </si>
  <si>
    <t>Tonya Reynolds</t>
  </si>
  <si>
    <t>Darleneton</t>
  </si>
  <si>
    <t>Michigan</t>
  </si>
  <si>
    <t>CUST1040</t>
  </si>
  <si>
    <t>Eric Vega</t>
  </si>
  <si>
    <t>Williamsonland</t>
  </si>
  <si>
    <t>CUST1041</t>
  </si>
  <si>
    <t>James Gibbs</t>
  </si>
  <si>
    <t>Mooneyshire</t>
  </si>
  <si>
    <t>Alaska</t>
  </si>
  <si>
    <t>CUST1042</t>
  </si>
  <si>
    <t>William Martin</t>
  </si>
  <si>
    <t>Ryanburgh</t>
  </si>
  <si>
    <t>Connecticut</t>
  </si>
  <si>
    <t>CUST1043</t>
  </si>
  <si>
    <t>Joseph Snow</t>
  </si>
  <si>
    <t>South Michaelfort</t>
  </si>
  <si>
    <t>Vermont</t>
  </si>
  <si>
    <t>CUST1044</t>
  </si>
  <si>
    <t>Denise Williams</t>
  </si>
  <si>
    <t>Christianstad</t>
  </si>
  <si>
    <t>CUST1045</t>
  </si>
  <si>
    <t>North Johnview</t>
  </si>
  <si>
    <t>CUST1046</t>
  </si>
  <si>
    <t>Perezbury</t>
  </si>
  <si>
    <t>CUST1047</t>
  </si>
  <si>
    <t>Gina Knight</t>
  </si>
  <si>
    <t>Lake Roberthaven</t>
  </si>
  <si>
    <t>Nevada</t>
  </si>
  <si>
    <t>CUST1048</t>
  </si>
  <si>
    <t>April Mullins</t>
  </si>
  <si>
    <t>Dawsonbury</t>
  </si>
  <si>
    <t>CUST1049</t>
  </si>
  <si>
    <t>Timothy Weaver</t>
  </si>
  <si>
    <t>New Amy</t>
  </si>
  <si>
    <t>CUST1050</t>
  </si>
  <si>
    <t>Matthew Hunter Jr.</t>
  </si>
  <si>
    <t>Gregoryview</t>
  </si>
  <si>
    <t>Illinois</t>
  </si>
  <si>
    <t>CUST1051</t>
  </si>
  <si>
    <t>Sarah Rodgers</t>
  </si>
  <si>
    <t>New Julia</t>
  </si>
  <si>
    <t>CUST1052</t>
  </si>
  <si>
    <t>Debra Liu</t>
  </si>
  <si>
    <t>South Timtown</t>
  </si>
  <si>
    <t>Minnesota</t>
  </si>
  <si>
    <t>CUST1053</t>
  </si>
  <si>
    <t>Sharon Brown</t>
  </si>
  <si>
    <t>East Andrea</t>
  </si>
  <si>
    <t>CUST1054</t>
  </si>
  <si>
    <t>Katherine Dorsey</t>
  </si>
  <si>
    <t>Christopherland</t>
  </si>
  <si>
    <t>CUST1055</t>
  </si>
  <si>
    <t>Wayne Mcpherson</t>
  </si>
  <si>
    <t>Edwardsfort</t>
  </si>
  <si>
    <t>CUST1056</t>
  </si>
  <si>
    <t>Christopher Sutton</t>
  </si>
  <si>
    <t>Deborahberg</t>
  </si>
  <si>
    <t>CUST1057</t>
  </si>
  <si>
    <t>Jay Patel</t>
  </si>
  <si>
    <t>Morrisbury</t>
  </si>
  <si>
    <t>Rhode Island</t>
  </si>
  <si>
    <t>CUST1058</t>
  </si>
  <si>
    <t>Cheryl Copeland</t>
  </si>
  <si>
    <t>Snowmouth</t>
  </si>
  <si>
    <t>CUST1059</t>
  </si>
  <si>
    <t>Alyssa Vargas</t>
  </si>
  <si>
    <t>New Kathrynland</t>
  </si>
  <si>
    <t>CUST1060</t>
  </si>
  <si>
    <t>Dr. David Smith</t>
  </si>
  <si>
    <t>Schmidtchester</t>
  </si>
  <si>
    <t>CUST1061</t>
  </si>
  <si>
    <t>Kristin Stein</t>
  </si>
  <si>
    <t>Jennifermouth</t>
  </si>
  <si>
    <t>CUST1062</t>
  </si>
  <si>
    <t>James Bean</t>
  </si>
  <si>
    <t>Stevensonton</t>
  </si>
  <si>
    <t>New Mexico</t>
  </si>
  <si>
    <t>CUST1063</t>
  </si>
  <si>
    <t>Michael Daniel</t>
  </si>
  <si>
    <t>New Jesse</t>
  </si>
  <si>
    <t>Tennessee</t>
  </si>
  <si>
    <t>CUST1064</t>
  </si>
  <si>
    <t>Mr. Mason Butler</t>
  </si>
  <si>
    <t>Port Kathrynhaven</t>
  </si>
  <si>
    <t>CUST1065</t>
  </si>
  <si>
    <t>Michael Thomas</t>
  </si>
  <si>
    <t>Woodmouth</t>
  </si>
  <si>
    <t>CUST1066</t>
  </si>
  <si>
    <t>Cody Diaz</t>
  </si>
  <si>
    <t>South Aaronside</t>
  </si>
  <si>
    <t>CUST1067</t>
  </si>
  <si>
    <t>Amber Mcclain</t>
  </si>
  <si>
    <t>Brendaburgh</t>
  </si>
  <si>
    <t>Florida</t>
  </si>
  <si>
    <t>CUST1068</t>
  </si>
  <si>
    <t>Mr. Mark Beasley</t>
  </si>
  <si>
    <t>West Johnchester</t>
  </si>
  <si>
    <t>Indiana</t>
  </si>
  <si>
    <t>CUST1069</t>
  </si>
  <si>
    <t>Roy Cole</t>
  </si>
  <si>
    <t>North Cynthiatown</t>
  </si>
  <si>
    <t>CUST1070</t>
  </si>
  <si>
    <t>Eric Singh</t>
  </si>
  <si>
    <t>Port Lisa</t>
  </si>
  <si>
    <t>CUST1071</t>
  </si>
  <si>
    <t>Andrea Perez</t>
  </si>
  <si>
    <t>South Shaun</t>
  </si>
  <si>
    <t>CUST1072</t>
  </si>
  <si>
    <t>Tonya Burch</t>
  </si>
  <si>
    <t>Olsonhaven</t>
  </si>
  <si>
    <t>Iowa</t>
  </si>
  <si>
    <t>CUST1073</t>
  </si>
  <si>
    <t>Christopher Brown</t>
  </si>
  <si>
    <t>Sandrastad</t>
  </si>
  <si>
    <t>CUST1074</t>
  </si>
  <si>
    <t>John Mayer</t>
  </si>
  <si>
    <t>Longport</t>
  </si>
  <si>
    <t>Colorado</t>
  </si>
  <si>
    <t>CUST1075</t>
  </si>
  <si>
    <t>Rhonda Morales</t>
  </si>
  <si>
    <t>Lake Barryfurt</t>
  </si>
  <si>
    <t>CUST1076</t>
  </si>
  <si>
    <t>Nathan Campbell</t>
  </si>
  <si>
    <t>Rodrigueztown</t>
  </si>
  <si>
    <t>CUST1077</t>
  </si>
  <si>
    <t>Katherine Young</t>
  </si>
  <si>
    <t>North Valeriemouth</t>
  </si>
  <si>
    <t>CUST1078</t>
  </si>
  <si>
    <t>Cody Blake</t>
  </si>
  <si>
    <t>North Scottport</t>
  </si>
  <si>
    <t>Virginia</t>
  </si>
  <si>
    <t>CUST1079</t>
  </si>
  <si>
    <t>Molly Gardner</t>
  </si>
  <si>
    <t>Nicoleborough</t>
  </si>
  <si>
    <t>Arkansas</t>
  </si>
  <si>
    <t>CUST1080</t>
  </si>
  <si>
    <t>Jennifer Garcia</t>
  </si>
  <si>
    <t>New Sean</t>
  </si>
  <si>
    <t>CUST1081</t>
  </si>
  <si>
    <t>Krystal Ford</t>
  </si>
  <si>
    <t>South David</t>
  </si>
  <si>
    <t>CUST1082</t>
  </si>
  <si>
    <t>George Rosario</t>
  </si>
  <si>
    <t>Leburgh</t>
  </si>
  <si>
    <t>CUST1083</t>
  </si>
  <si>
    <t>Thomas Robinson</t>
  </si>
  <si>
    <t>Nicholastown</t>
  </si>
  <si>
    <t>CUST1084</t>
  </si>
  <si>
    <t>Christy Hoffman</t>
  </si>
  <si>
    <t>Garyberg</t>
  </si>
  <si>
    <t>CUST1085</t>
  </si>
  <si>
    <t>Richard Delgado</t>
  </si>
  <si>
    <t>West Theodorechester</t>
  </si>
  <si>
    <t>CUST1086</t>
  </si>
  <si>
    <t>Austinfurt</t>
  </si>
  <si>
    <t>Mississippi</t>
  </si>
  <si>
    <t>CUST1087</t>
  </si>
  <si>
    <t>East Jenna</t>
  </si>
  <si>
    <t>South Carolina</t>
  </si>
  <si>
    <t>CUST1088</t>
  </si>
  <si>
    <t>Timothy Wright</t>
  </si>
  <si>
    <t>Ashleystad</t>
  </si>
  <si>
    <t>CUST1089</t>
  </si>
  <si>
    <t>Jamie Yoder</t>
  </si>
  <si>
    <t>New Gabrielleville</t>
  </si>
  <si>
    <t>Wisconsin</t>
  </si>
  <si>
    <t>CUST1090</t>
  </si>
  <si>
    <t>Oscar Moon</t>
  </si>
  <si>
    <t>West Cody</t>
  </si>
  <si>
    <t>Louisiana</t>
  </si>
  <si>
    <t>CUST1091</t>
  </si>
  <si>
    <t>Donna Gregory</t>
  </si>
  <si>
    <t>South Amandahaven</t>
  </si>
  <si>
    <t>CUST1092</t>
  </si>
  <si>
    <t>Robert Jackson</t>
  </si>
  <si>
    <t>Lake Brandy</t>
  </si>
  <si>
    <t>CUST1093</t>
  </si>
  <si>
    <t>Christy Vasquez</t>
  </si>
  <si>
    <t>Port Travisstad</t>
  </si>
  <si>
    <t>CUST1094</t>
  </si>
  <si>
    <t>David Patterson</t>
  </si>
  <si>
    <t>New Amyport</t>
  </si>
  <si>
    <t>CUST1095</t>
  </si>
  <si>
    <t>Amy Fowler</t>
  </si>
  <si>
    <t>West Bobbyshire</t>
  </si>
  <si>
    <t>CUST1096</t>
  </si>
  <si>
    <t>Samantha Walker</t>
  </si>
  <si>
    <t>Timothyburgh</t>
  </si>
  <si>
    <t>CUST1097</t>
  </si>
  <si>
    <t>David Cobb</t>
  </si>
  <si>
    <t>Lake Thomas</t>
  </si>
  <si>
    <t>CUST1098</t>
  </si>
  <si>
    <t>Brittney Morgan</t>
  </si>
  <si>
    <t>Lake Kaylahaven</t>
  </si>
  <si>
    <t>CUST1099</t>
  </si>
  <si>
    <t>Sheila Wilson</t>
  </si>
  <si>
    <t>South Dustin</t>
  </si>
  <si>
    <t>CUST1100</t>
  </si>
  <si>
    <t>Diane Watson</t>
  </si>
  <si>
    <t>North Codyport</t>
  </si>
  <si>
    <t>Texas</t>
  </si>
  <si>
    <t>CUST1101</t>
  </si>
  <si>
    <t>Colleen Maynard</t>
  </si>
  <si>
    <t>Singletonmouth</t>
  </si>
  <si>
    <t>CUST1102</t>
  </si>
  <si>
    <t>Sarah Schneider</t>
  </si>
  <si>
    <t>Port Joshuachester</t>
  </si>
  <si>
    <t>CUST1103</t>
  </si>
  <si>
    <t>Steven Stein</t>
  </si>
  <si>
    <t>West Lauren</t>
  </si>
  <si>
    <t>CUST1104</t>
  </si>
  <si>
    <t>Christopher Lester</t>
  </si>
  <si>
    <t>South Jenniferville</t>
  </si>
  <si>
    <t>CUST1105</t>
  </si>
  <si>
    <t>Lance Baker</t>
  </si>
  <si>
    <t>Port Victoria</t>
  </si>
  <si>
    <t>CUST1106</t>
  </si>
  <si>
    <t>Howard Summers</t>
  </si>
  <si>
    <t>East Linda</t>
  </si>
  <si>
    <t>CUST1107</t>
  </si>
  <si>
    <t>Erica Carney</t>
  </si>
  <si>
    <t>North Justin</t>
  </si>
  <si>
    <t>CUST1108</t>
  </si>
  <si>
    <t>Travis Holland</t>
  </si>
  <si>
    <t>Webstermouth</t>
  </si>
  <si>
    <t>CUST1109</t>
  </si>
  <si>
    <t>Amy Walker</t>
  </si>
  <si>
    <t>Smithland</t>
  </si>
  <si>
    <t>CUST1110</t>
  </si>
  <si>
    <t>Ashley Griffin</t>
  </si>
  <si>
    <t>New Dawnton</t>
  </si>
  <si>
    <t>CUST1111</t>
  </si>
  <si>
    <t>Julie Farmer</t>
  </si>
  <si>
    <t>Rodriguezmouth</t>
  </si>
  <si>
    <t>CUST1112</t>
  </si>
  <si>
    <t>David Cole</t>
  </si>
  <si>
    <t>Lake Michael</t>
  </si>
  <si>
    <t>CUST1113</t>
  </si>
  <si>
    <t>Edward Hall</t>
  </si>
  <si>
    <t>New William</t>
  </si>
  <si>
    <t>CUST1114</t>
  </si>
  <si>
    <t>Ryan Hernandez</t>
  </si>
  <si>
    <t>East Donna</t>
  </si>
  <si>
    <t>CUST1115</t>
  </si>
  <si>
    <t>Tyler Conrad</t>
  </si>
  <si>
    <t>North Curtischester</t>
  </si>
  <si>
    <t>CUST1116</t>
  </si>
  <si>
    <t>Anthony Phillips</t>
  </si>
  <si>
    <t>North Davidport</t>
  </si>
  <si>
    <t>CUST1117</t>
  </si>
  <si>
    <t>Colleen Mccarthy</t>
  </si>
  <si>
    <t>North Katherine</t>
  </si>
  <si>
    <t>CUST1118</t>
  </si>
  <si>
    <t>Earl Allen</t>
  </si>
  <si>
    <t>New Jenniferburgh</t>
  </si>
  <si>
    <t>CUST1119</t>
  </si>
  <si>
    <t>Michael Jones</t>
  </si>
  <si>
    <t>North Edwardton</t>
  </si>
  <si>
    <t>CUST1120</t>
  </si>
  <si>
    <t>Jacob Hopkins</t>
  </si>
  <si>
    <t>CUST1121</t>
  </si>
  <si>
    <t>Joel Robinson</t>
  </si>
  <si>
    <t>Lake Danielport</t>
  </si>
  <si>
    <t>CUST1122</t>
  </si>
  <si>
    <t>Michael Chang</t>
  </si>
  <si>
    <t>Kathrynport</t>
  </si>
  <si>
    <t>CUST1123</t>
  </si>
  <si>
    <t>Erin Hopkins</t>
  </si>
  <si>
    <t>North Sabrina</t>
  </si>
  <si>
    <t>CUST1124</t>
  </si>
  <si>
    <t>Donald Lee</t>
  </si>
  <si>
    <t>Wongberg</t>
  </si>
  <si>
    <t>CUST1125</t>
  </si>
  <si>
    <t>Keith Miller</t>
  </si>
  <si>
    <t>West Jameston</t>
  </si>
  <si>
    <t>Maine</t>
  </si>
  <si>
    <t>CUST1126</t>
  </si>
  <si>
    <t>James Wolfe</t>
  </si>
  <si>
    <t>Benjaminton</t>
  </si>
  <si>
    <t>CUST1127</t>
  </si>
  <si>
    <t>John Mcknight</t>
  </si>
  <si>
    <t>South Nathan</t>
  </si>
  <si>
    <t>CUST1128</t>
  </si>
  <si>
    <t>Susan Mcdonald</t>
  </si>
  <si>
    <t>East Ellen</t>
  </si>
  <si>
    <t>CUST1129</t>
  </si>
  <si>
    <t>Jessica Mitchell</t>
  </si>
  <si>
    <t>Matthewbury</t>
  </si>
  <si>
    <t>CUST1130</t>
  </si>
  <si>
    <t>Jamie Reyes</t>
  </si>
  <si>
    <t>CUST1131</t>
  </si>
  <si>
    <t>Joseph Richards</t>
  </si>
  <si>
    <t>Wigginsville</t>
  </si>
  <si>
    <t>CUST1132</t>
  </si>
  <si>
    <t>Miguel Reynolds</t>
  </si>
  <si>
    <t>Taylorberg</t>
  </si>
  <si>
    <t>CUST1133</t>
  </si>
  <si>
    <t>Hayley Pope</t>
  </si>
  <si>
    <t>West Stephenville</t>
  </si>
  <si>
    <t>CUST1134</t>
  </si>
  <si>
    <t>Morgan Bowen</t>
  </si>
  <si>
    <t>Parksfort</t>
  </si>
  <si>
    <t>CUST1135</t>
  </si>
  <si>
    <t>Matthew Hanna</t>
  </si>
  <si>
    <t>Gonzalezbury</t>
  </si>
  <si>
    <t>CUST1136</t>
  </si>
  <si>
    <t>Patrick Coleman</t>
  </si>
  <si>
    <t>New Jeffrey</t>
  </si>
  <si>
    <t>CUST1137</t>
  </si>
  <si>
    <t>Rick Dominguez</t>
  </si>
  <si>
    <t>North Johnbury</t>
  </si>
  <si>
    <t>CUST1138</t>
  </si>
  <si>
    <t>Sean Roth</t>
  </si>
  <si>
    <t>CUST1139</t>
  </si>
  <si>
    <t>Brian Holder</t>
  </si>
  <si>
    <t>Port Travis</t>
  </si>
  <si>
    <t>CUST1140</t>
  </si>
  <si>
    <t>Patty Francis</t>
  </si>
  <si>
    <t>South Brooke</t>
  </si>
  <si>
    <t>CUST1141</t>
  </si>
  <si>
    <t>Cristian Wright</t>
  </si>
  <si>
    <t>Port Denise</t>
  </si>
  <si>
    <t>CUST1142</t>
  </si>
  <si>
    <t>Maria Ramirez</t>
  </si>
  <si>
    <t>West Brandon</t>
  </si>
  <si>
    <t>CUST1143</t>
  </si>
  <si>
    <t>Carlos Skinner</t>
  </si>
  <si>
    <t>Dwaynemouth</t>
  </si>
  <si>
    <t>CUST1144</t>
  </si>
  <si>
    <t>Justin Cross</t>
  </si>
  <si>
    <t>North Anthonychester</t>
  </si>
  <si>
    <t>CUST1145</t>
  </si>
  <si>
    <t>Cameron Simpson</t>
  </si>
  <si>
    <t>Michaelfort</t>
  </si>
  <si>
    <t>CUST1146</t>
  </si>
  <si>
    <t>Edward Rivera</t>
  </si>
  <si>
    <t>Chungmouth</t>
  </si>
  <si>
    <t>CUST1147</t>
  </si>
  <si>
    <t>Rhonda Young</t>
  </si>
  <si>
    <t>Lake Nathanfort</t>
  </si>
  <si>
    <t>CUST1148</t>
  </si>
  <si>
    <t>Theresa Campbell</t>
  </si>
  <si>
    <t>New Brian</t>
  </si>
  <si>
    <t>CUST1149</t>
  </si>
  <si>
    <t>Denise Griffin</t>
  </si>
  <si>
    <t>West Markhaven</t>
  </si>
  <si>
    <t>CUST1150</t>
  </si>
  <si>
    <t>Stephanie Conway</t>
  </si>
  <si>
    <t>Port Frankmouth</t>
  </si>
  <si>
    <t>CUST1151</t>
  </si>
  <si>
    <t>Michael Davies</t>
  </si>
  <si>
    <t>Lake Stevenfort</t>
  </si>
  <si>
    <t>CUST1152</t>
  </si>
  <si>
    <t>Patrick Roberts</t>
  </si>
  <si>
    <t>Jaredville</t>
  </si>
  <si>
    <t>CUST1153</t>
  </si>
  <si>
    <t>Joseph Faulkner</t>
  </si>
  <si>
    <t>New Leahfurt</t>
  </si>
  <si>
    <t>CUST1154</t>
  </si>
  <si>
    <t>Julie Hale</t>
  </si>
  <si>
    <t>Owensview</t>
  </si>
  <si>
    <t>CUST1155</t>
  </si>
  <si>
    <t>Curtis Haynes</t>
  </si>
  <si>
    <t>Estradaside</t>
  </si>
  <si>
    <t>CUST1156</t>
  </si>
  <si>
    <t>Maria Sanchez</t>
  </si>
  <si>
    <t>East Peterbury</t>
  </si>
  <si>
    <t>CUST1157</t>
  </si>
  <si>
    <t>Paul Zamora</t>
  </si>
  <si>
    <t>North Larryfurt</t>
  </si>
  <si>
    <t>CUST1158</t>
  </si>
  <si>
    <t>Sean Powell</t>
  </si>
  <si>
    <t>South Kevin</t>
  </si>
  <si>
    <t>CUST1159</t>
  </si>
  <si>
    <t>Brian Choi</t>
  </si>
  <si>
    <t>Floydton</t>
  </si>
  <si>
    <t>CUST1160</t>
  </si>
  <si>
    <t>John Lawson</t>
  </si>
  <si>
    <t>New Juliemouth</t>
  </si>
  <si>
    <t>CUST1161</t>
  </si>
  <si>
    <t>Cynthia Morris</t>
  </si>
  <si>
    <t>Hessmouth</t>
  </si>
  <si>
    <t>CUST1162</t>
  </si>
  <si>
    <t>Mariah Brown</t>
  </si>
  <si>
    <t>Palmerbury</t>
  </si>
  <si>
    <t>CUST1163</t>
  </si>
  <si>
    <t>Joseph Jones</t>
  </si>
  <si>
    <t>North Matthew</t>
  </si>
  <si>
    <t>CUST1164</t>
  </si>
  <si>
    <t>Daniel Rivas</t>
  </si>
  <si>
    <t>Dominiquefort</t>
  </si>
  <si>
    <t>CUST1165</t>
  </si>
  <si>
    <t>Jason Wheeler</t>
  </si>
  <si>
    <t>Carolview</t>
  </si>
  <si>
    <t>CUST1166</t>
  </si>
  <si>
    <t>Patricia Gardner</t>
  </si>
  <si>
    <t>South Ashleyton</t>
  </si>
  <si>
    <t>CUST1167</t>
  </si>
  <si>
    <t>Antonio Wade</t>
  </si>
  <si>
    <t>New Jasonmouth</t>
  </si>
  <si>
    <t>CUST1168</t>
  </si>
  <si>
    <t>Daniel Contreras</t>
  </si>
  <si>
    <t>Robertview</t>
  </si>
  <si>
    <t>CUST1169</t>
  </si>
  <si>
    <t>Steve Mclaughlin</t>
  </si>
  <si>
    <t>Josephmouth</t>
  </si>
  <si>
    <t>CUST1170</t>
  </si>
  <si>
    <t>New Joseph</t>
  </si>
  <si>
    <t>CUST1171</t>
  </si>
  <si>
    <t>Amy Wilson</t>
  </si>
  <si>
    <t>Morrisburgh</t>
  </si>
  <si>
    <t>CUST1172</t>
  </si>
  <si>
    <t>Thomas Rhodes</t>
  </si>
  <si>
    <t>Port Richard</t>
  </si>
  <si>
    <t>CUST1173</t>
  </si>
  <si>
    <t>Teresa Stokes</t>
  </si>
  <si>
    <t>CUST1174</t>
  </si>
  <si>
    <t>Maria Davis</t>
  </si>
  <si>
    <t>Avilahaven</t>
  </si>
  <si>
    <t>CUST1175</t>
  </si>
  <si>
    <t>Michelle Rogers</t>
  </si>
  <si>
    <t>East Jessicaborough</t>
  </si>
  <si>
    <t>CUST1176</t>
  </si>
  <si>
    <t>John Bradford</t>
  </si>
  <si>
    <t>Anabury</t>
  </si>
  <si>
    <t>CUST1177</t>
  </si>
  <si>
    <t>Curtis Lam</t>
  </si>
  <si>
    <t>Butlerberg</t>
  </si>
  <si>
    <t>Kentucky</t>
  </si>
  <si>
    <t>CUST1178</t>
  </si>
  <si>
    <t>Michelle Myers</t>
  </si>
  <si>
    <t>West Daniel</t>
  </si>
  <si>
    <t>CUST1179</t>
  </si>
  <si>
    <t>Nicholas Bradshaw</t>
  </si>
  <si>
    <t>Murphyfurt</t>
  </si>
  <si>
    <t>CUST1180</t>
  </si>
  <si>
    <t>Wesley Thompson</t>
  </si>
  <si>
    <t>East Davidmouth</t>
  </si>
  <si>
    <t>CUST1181</t>
  </si>
  <si>
    <t>Erin Ward</t>
  </si>
  <si>
    <t>New Brianchester</t>
  </si>
  <si>
    <t>CUST1182</t>
  </si>
  <si>
    <t>Melissa Hamilton</t>
  </si>
  <si>
    <t>Hutchinsonville</t>
  </si>
  <si>
    <t>CUST1183</t>
  </si>
  <si>
    <t>Mario Jacobs</t>
  </si>
  <si>
    <t>Port James</t>
  </si>
  <si>
    <t>CUST1184</t>
  </si>
  <si>
    <t>Leonard Cochran</t>
  </si>
  <si>
    <t>Port Sherryview</t>
  </si>
  <si>
    <t>CUST1185</t>
  </si>
  <si>
    <t>Brent Rivas</t>
  </si>
  <si>
    <t>North Kellyberg</t>
  </si>
  <si>
    <t>CUST1186</t>
  </si>
  <si>
    <t>Jennifer Pruitt</t>
  </si>
  <si>
    <t>East Justin</t>
  </si>
  <si>
    <t>CUST1187</t>
  </si>
  <si>
    <t>Dr. Suzanne Bullock</t>
  </si>
  <si>
    <t>Lake Blaketon</t>
  </si>
  <si>
    <t>CUST1188</t>
  </si>
  <si>
    <t>Kimberly Brooks</t>
  </si>
  <si>
    <t>Kingfort</t>
  </si>
  <si>
    <t>CUST1189</t>
  </si>
  <si>
    <t>Daniel Austin</t>
  </si>
  <si>
    <t>Lake Howardberg</t>
  </si>
  <si>
    <t>CUST1190</t>
  </si>
  <si>
    <t>Christopher Stewart</t>
  </si>
  <si>
    <t>Amandaside</t>
  </si>
  <si>
    <t>CUST1191</t>
  </si>
  <si>
    <t>Todd Poole</t>
  </si>
  <si>
    <t>Johnsonshire</t>
  </si>
  <si>
    <t>CUST1192</t>
  </si>
  <si>
    <t>Jacob Wood</t>
  </si>
  <si>
    <t>Lake Samanthafort</t>
  </si>
  <si>
    <t>CUST1193</t>
  </si>
  <si>
    <t>David Roberts</t>
  </si>
  <si>
    <t>Port Amanda</t>
  </si>
  <si>
    <t>CUST1194</t>
  </si>
  <si>
    <t>Ashley Ferguson</t>
  </si>
  <si>
    <t>Sarahmouth</t>
  </si>
  <si>
    <t>CUST1195</t>
  </si>
  <si>
    <t>Anthony Garcia</t>
  </si>
  <si>
    <t>Taraberg</t>
  </si>
  <si>
    <t>CUST1196</t>
  </si>
  <si>
    <t>Megan Greer</t>
  </si>
  <si>
    <t>West John</t>
  </si>
  <si>
    <t>CUST1197</t>
  </si>
  <si>
    <t>Andrea Jacobs</t>
  </si>
  <si>
    <t>CUST1198</t>
  </si>
  <si>
    <t>Wanda Snyder</t>
  </si>
  <si>
    <t>Frostmouth</t>
  </si>
  <si>
    <t>CUST1199</t>
  </si>
  <si>
    <t>Carmen Price</t>
  </si>
  <si>
    <t>North Briannamouth</t>
  </si>
  <si>
    <t>CUST1200</t>
  </si>
  <si>
    <t>Anna Perez</t>
  </si>
  <si>
    <t>South Jerry</t>
  </si>
  <si>
    <t>CUST1201</t>
  </si>
  <si>
    <t>Mary Boyd</t>
  </si>
  <si>
    <t>New Logan</t>
  </si>
  <si>
    <t>CUST1202</t>
  </si>
  <si>
    <t>Christina Garcia</t>
  </si>
  <si>
    <t>Clarkeside</t>
  </si>
  <si>
    <t>CUST1203</t>
  </si>
  <si>
    <t>Sarah Brady</t>
  </si>
  <si>
    <t>Johnsonland</t>
  </si>
  <si>
    <t>CUST1204</t>
  </si>
  <si>
    <t>Tiffany Herrera</t>
  </si>
  <si>
    <t>New Dianebury</t>
  </si>
  <si>
    <t>CUST1205</t>
  </si>
  <si>
    <t>Michelle Carpenter</t>
  </si>
  <si>
    <t>Lake Danielleton</t>
  </si>
  <si>
    <t>CUST1206</t>
  </si>
  <si>
    <t>Ronald Jones</t>
  </si>
  <si>
    <t>Brownshire</t>
  </si>
  <si>
    <t>CUST1207</t>
  </si>
  <si>
    <t>Jacqueline Pacheco</t>
  </si>
  <si>
    <t>South Emily</t>
  </si>
  <si>
    <t>CUST1208</t>
  </si>
  <si>
    <t>John Perez</t>
  </si>
  <si>
    <t>Kathrynview</t>
  </si>
  <si>
    <t>CUST1209</t>
  </si>
  <si>
    <t>Joan Johnson</t>
  </si>
  <si>
    <t>Lake Josephport</t>
  </si>
  <si>
    <t>CUST1210</t>
  </si>
  <si>
    <t>Antonio Jones</t>
  </si>
  <si>
    <t>Matthewborough</t>
  </si>
  <si>
    <t>CUST1211</t>
  </si>
  <si>
    <t>Rodney Huffman</t>
  </si>
  <si>
    <t>Garzafort</t>
  </si>
  <si>
    <t>CUST1212</t>
  </si>
  <si>
    <t>Blake Harrison</t>
  </si>
  <si>
    <t>Lyonsfort</t>
  </si>
  <si>
    <t>CUST1213</t>
  </si>
  <si>
    <t>Stuart Johnson</t>
  </si>
  <si>
    <t>West Markport</t>
  </si>
  <si>
    <t>CUST1214</t>
  </si>
  <si>
    <t>Eric Todd</t>
  </si>
  <si>
    <t>Danielstad</t>
  </si>
  <si>
    <t>CUST1215</t>
  </si>
  <si>
    <t>Steve Medina</t>
  </si>
  <si>
    <t>East Josephside</t>
  </si>
  <si>
    <t>CUST1216</t>
  </si>
  <si>
    <t>Kathryn Garcia</t>
  </si>
  <si>
    <t>Morrismouth</t>
  </si>
  <si>
    <t>CUST1217</t>
  </si>
  <si>
    <t>Kathy Copeland</t>
  </si>
  <si>
    <t>North Christinemouth</t>
  </si>
  <si>
    <t>CUST1218</t>
  </si>
  <si>
    <t>Julia Jackson</t>
  </si>
  <si>
    <t>Edwardland</t>
  </si>
  <si>
    <t>CUST1219</t>
  </si>
  <si>
    <t>Jordan Wells</t>
  </si>
  <si>
    <t>CUST1220</t>
  </si>
  <si>
    <t>George Davis</t>
  </si>
  <si>
    <t>Massachusetts</t>
  </si>
  <si>
    <t>CUST1221</t>
  </si>
  <si>
    <t>Lisa Young</t>
  </si>
  <si>
    <t>Maybury</t>
  </si>
  <si>
    <t>CUST1222</t>
  </si>
  <si>
    <t>Alejandro Doyle</t>
  </si>
  <si>
    <t>East Crystalton</t>
  </si>
  <si>
    <t>CUST1223</t>
  </si>
  <si>
    <t>Robert Harris</t>
  </si>
  <si>
    <t>CUST1224</t>
  </si>
  <si>
    <t>Anthony Morgan</t>
  </si>
  <si>
    <t>New Anthonyfurt</t>
  </si>
  <si>
    <t>CUST1225</t>
  </si>
  <si>
    <t>Elizabeth Stanley</t>
  </si>
  <si>
    <t>Bethanyton</t>
  </si>
  <si>
    <t>CUST1226</t>
  </si>
  <si>
    <t>Alexis Castaneda</t>
  </si>
  <si>
    <t>CUST1227</t>
  </si>
  <si>
    <t>Gregory Pham</t>
  </si>
  <si>
    <t>Pollardton</t>
  </si>
  <si>
    <t>CUST1228</t>
  </si>
  <si>
    <t>Casey Flores</t>
  </si>
  <si>
    <t>CUST1229</t>
  </si>
  <si>
    <t>Tanner Thompson</t>
  </si>
  <si>
    <t>Port Lisashire</t>
  </si>
  <si>
    <t>CUST1230</t>
  </si>
  <si>
    <t>Timothy Sanders</t>
  </si>
  <si>
    <t>Aaronmouth</t>
  </si>
  <si>
    <t>CUST1231</t>
  </si>
  <si>
    <t>Timothy Juarez</t>
  </si>
  <si>
    <t>Grahamstad</t>
  </si>
  <si>
    <t>CUST1232</t>
  </si>
  <si>
    <t>Christy Hill</t>
  </si>
  <si>
    <t>Tammyton</t>
  </si>
  <si>
    <t>CUST1233</t>
  </si>
  <si>
    <t>Michelle Gonzalez</t>
  </si>
  <si>
    <t>Clarkport</t>
  </si>
  <si>
    <t>CUST1234</t>
  </si>
  <si>
    <t>Nathaniel Hill</t>
  </si>
  <si>
    <t>Lake Mark</t>
  </si>
  <si>
    <t>CUST1235</t>
  </si>
  <si>
    <t>Jon Ortiz</t>
  </si>
  <si>
    <t>South Angelaport</t>
  </si>
  <si>
    <t>CUST1236</t>
  </si>
  <si>
    <t>Joshua Wilson</t>
  </si>
  <si>
    <t>North Larryport</t>
  </si>
  <si>
    <t>CUST1237</t>
  </si>
  <si>
    <t>Wesley Short</t>
  </si>
  <si>
    <t>Susanstad</t>
  </si>
  <si>
    <t>CUST1238</t>
  </si>
  <si>
    <t>Steven Smith</t>
  </si>
  <si>
    <t>Port Krista</t>
  </si>
  <si>
    <t>CUST1239</t>
  </si>
  <si>
    <t>Maria Hill</t>
  </si>
  <si>
    <t>Zamoraborough</t>
  </si>
  <si>
    <t>CUST1240</t>
  </si>
  <si>
    <t>William Hull</t>
  </si>
  <si>
    <t>Heathfort</t>
  </si>
  <si>
    <t>CUST1241</t>
  </si>
  <si>
    <t>Mr. William Horton</t>
  </si>
  <si>
    <t>Dawsonchester</t>
  </si>
  <si>
    <t>CUST1242</t>
  </si>
  <si>
    <t>William Jackson</t>
  </si>
  <si>
    <t>New Tina</t>
  </si>
  <si>
    <t>CUST1243</t>
  </si>
  <si>
    <t>Brian Hammond</t>
  </si>
  <si>
    <t>North Nicholas</t>
  </si>
  <si>
    <t>CUST1244</t>
  </si>
  <si>
    <t>Nancy Page</t>
  </si>
  <si>
    <t>West Julia</t>
  </si>
  <si>
    <t>CUST1245</t>
  </si>
  <si>
    <t>Laura Soto</t>
  </si>
  <si>
    <t>Rodriguezton</t>
  </si>
  <si>
    <t>CUST1246</t>
  </si>
  <si>
    <t>Mary Russell</t>
  </si>
  <si>
    <t>South Regina</t>
  </si>
  <si>
    <t>CUST1247</t>
  </si>
  <si>
    <t>Douglas Rhodes</t>
  </si>
  <si>
    <t>Mikehaven</t>
  </si>
  <si>
    <t>CUST1248</t>
  </si>
  <si>
    <t>Nicholas Webb</t>
  </si>
  <si>
    <t>Lake Timothy</t>
  </si>
  <si>
    <t>CUST1249</t>
  </si>
  <si>
    <t>Lauren George</t>
  </si>
  <si>
    <t>Garciamouth</t>
  </si>
  <si>
    <t>CUST1250</t>
  </si>
  <si>
    <t>Veronica Newman</t>
  </si>
  <si>
    <t>New Daniel</t>
  </si>
  <si>
    <t>CUST1251</t>
  </si>
  <si>
    <t>Tyler Garner</t>
  </si>
  <si>
    <t>Port Coreyfort</t>
  </si>
  <si>
    <t>CUST1252</t>
  </si>
  <si>
    <t>John Mccoy</t>
  </si>
  <si>
    <t>Robinborough</t>
  </si>
  <si>
    <t>CUST1253</t>
  </si>
  <si>
    <t>New Maria</t>
  </si>
  <si>
    <t>CUST1254</t>
  </si>
  <si>
    <t>Linda Kline</t>
  </si>
  <si>
    <t>Masseyland</t>
  </si>
  <si>
    <t>CUST1255</t>
  </si>
  <si>
    <t>Damon Perez</t>
  </si>
  <si>
    <t>Jasonton</t>
  </si>
  <si>
    <t>CUST1256</t>
  </si>
  <si>
    <t>Kristen Fischer</t>
  </si>
  <si>
    <t>Lake Christopher</t>
  </si>
  <si>
    <t>CUST1257</t>
  </si>
  <si>
    <t>Christopher David</t>
  </si>
  <si>
    <t>Karenmouth</t>
  </si>
  <si>
    <t>CUST1258</t>
  </si>
  <si>
    <t>Sarah Stewart</t>
  </si>
  <si>
    <t>East Richard</t>
  </si>
  <si>
    <t>CUST1259</t>
  </si>
  <si>
    <t>Beth Allen</t>
  </si>
  <si>
    <t>South Kathrynmouth</t>
  </si>
  <si>
    <t>CUST1260</t>
  </si>
  <si>
    <t>Russell Lamb</t>
  </si>
  <si>
    <t>North Jonathon</t>
  </si>
  <si>
    <t>CUST1261</t>
  </si>
  <si>
    <t>Carol Bishop</t>
  </si>
  <si>
    <t>Lake Saramouth</t>
  </si>
  <si>
    <t>CUST1262</t>
  </si>
  <si>
    <t>Katherine Cowan</t>
  </si>
  <si>
    <t>New Ana</t>
  </si>
  <si>
    <t>CUST1263</t>
  </si>
  <si>
    <t>Crystal Davis</t>
  </si>
  <si>
    <t>Sallymouth</t>
  </si>
  <si>
    <t>CUST1264</t>
  </si>
  <si>
    <t>Matthew Payne</t>
  </si>
  <si>
    <t>Grahamfurt</t>
  </si>
  <si>
    <t>Wyoming</t>
  </si>
  <si>
    <t>CUST1265</t>
  </si>
  <si>
    <t>Tracy Kelly</t>
  </si>
  <si>
    <t>West Jamieport</t>
  </si>
  <si>
    <t>CUST1266</t>
  </si>
  <si>
    <t>Cynthia Payne</t>
  </si>
  <si>
    <t>South Gina</t>
  </si>
  <si>
    <t>CUST1267</t>
  </si>
  <si>
    <t>Zachary Shelton</t>
  </si>
  <si>
    <t>CUST1268</t>
  </si>
  <si>
    <t>Kevin Orr</t>
  </si>
  <si>
    <t>Ryanberg</t>
  </si>
  <si>
    <t>CUST1269</t>
  </si>
  <si>
    <t>Tyrone Olson</t>
  </si>
  <si>
    <t>Emilytown</t>
  </si>
  <si>
    <t>CUST1270</t>
  </si>
  <si>
    <t>Brian Garcia</t>
  </si>
  <si>
    <t>Ramosmouth</t>
  </si>
  <si>
    <t>CUST1271</t>
  </si>
  <si>
    <t>North Stephanie</t>
  </si>
  <si>
    <t>CUST1272</t>
  </si>
  <si>
    <t>Adam Rowland</t>
  </si>
  <si>
    <t>Welchview</t>
  </si>
  <si>
    <t>CUST1273</t>
  </si>
  <si>
    <t>Samantha Robinson</t>
  </si>
  <si>
    <t>North Roy</t>
  </si>
  <si>
    <t>CUST1274</t>
  </si>
  <si>
    <t>Sarah Lane</t>
  </si>
  <si>
    <t>Edwardborough</t>
  </si>
  <si>
    <t>CUST1275</t>
  </si>
  <si>
    <t>Shannon Miller</t>
  </si>
  <si>
    <t>North Austinport</t>
  </si>
  <si>
    <t>CUST1276</t>
  </si>
  <si>
    <t>Arthur Warren</t>
  </si>
  <si>
    <t>Ericshire</t>
  </si>
  <si>
    <t>CUST1277</t>
  </si>
  <si>
    <t>Jeffrey Gomez</t>
  </si>
  <si>
    <t>Lake Nicole</t>
  </si>
  <si>
    <t>CUST1278</t>
  </si>
  <si>
    <t>Stephen Fowler</t>
  </si>
  <si>
    <t>Port Mariastad</t>
  </si>
  <si>
    <t>CUST1279</t>
  </si>
  <si>
    <t>Aaron Luna</t>
  </si>
  <si>
    <t>Gilltown</t>
  </si>
  <si>
    <t>CUST1280</t>
  </si>
  <si>
    <t>Antonio Leon</t>
  </si>
  <si>
    <t>Morrisville</t>
  </si>
  <si>
    <t>CUST1281</t>
  </si>
  <si>
    <t>Brittany Watson</t>
  </si>
  <si>
    <t>North Joshualand</t>
  </si>
  <si>
    <t>CUST1282</t>
  </si>
  <si>
    <t>Kristi Lopez</t>
  </si>
  <si>
    <t>Spencermouth</t>
  </si>
  <si>
    <t>CUST1283</t>
  </si>
  <si>
    <t>Bryan Garcia</t>
  </si>
  <si>
    <t>Garciaborough</t>
  </si>
  <si>
    <t>CUST1284</t>
  </si>
  <si>
    <t>Hunter Sutton</t>
  </si>
  <si>
    <t>Patrickshire</t>
  </si>
  <si>
    <t>CUST1285</t>
  </si>
  <si>
    <t>Donna Guerra</t>
  </si>
  <si>
    <t>North Robert</t>
  </si>
  <si>
    <t>CUST1286</t>
  </si>
  <si>
    <t>Tommy Roberts</t>
  </si>
  <si>
    <t>Port Tonyfort</t>
  </si>
  <si>
    <t>CUST1287</t>
  </si>
  <si>
    <t>Cynthia Roberts</t>
  </si>
  <si>
    <t>Millerfort</t>
  </si>
  <si>
    <t>CUST1288</t>
  </si>
  <si>
    <t>Misty Ferguson</t>
  </si>
  <si>
    <t>North Joseside</t>
  </si>
  <si>
    <t>CUST1289</t>
  </si>
  <si>
    <t>Jennifer Figueroa</t>
  </si>
  <si>
    <t>North Brookestad</t>
  </si>
  <si>
    <t>CUST1290</t>
  </si>
  <si>
    <t>Sherimouth</t>
  </si>
  <si>
    <t>CUST1291</t>
  </si>
  <si>
    <t>James Powell</t>
  </si>
  <si>
    <t>West Beverlymouth</t>
  </si>
  <si>
    <t>CUST1292</t>
  </si>
  <si>
    <t>Ricardo Jones</t>
  </si>
  <si>
    <t>Danielland</t>
  </si>
  <si>
    <t>CUST1293</t>
  </si>
  <si>
    <t>Gloria Taylor</t>
  </si>
  <si>
    <t>North Daniel</t>
  </si>
  <si>
    <t>CUST1294</t>
  </si>
  <si>
    <t>Lisa Chandler</t>
  </si>
  <si>
    <t>CUST1295</t>
  </si>
  <si>
    <t>Crystal Waters</t>
  </si>
  <si>
    <t>North Michelleport</t>
  </si>
  <si>
    <t>CUST1296</t>
  </si>
  <si>
    <t>Jared Moran</t>
  </si>
  <si>
    <t>CUST1297</t>
  </si>
  <si>
    <t>Jennifer Carr</t>
  </si>
  <si>
    <t>Lake Brett</t>
  </si>
  <si>
    <t>CUST1298</t>
  </si>
  <si>
    <t>Tracy Stephens</t>
  </si>
  <si>
    <t>New Joshuatown</t>
  </si>
  <si>
    <t>CUST1299</t>
  </si>
  <si>
    <t>Stephanie Jacobs</t>
  </si>
  <si>
    <t>West Robinmouth</t>
  </si>
  <si>
    <t>CUST1300</t>
  </si>
  <si>
    <t>Matthew Avery</t>
  </si>
  <si>
    <t>Lake Melissashire</t>
  </si>
  <si>
    <t>CUST1301</t>
  </si>
  <si>
    <t>Ryan Kane</t>
  </si>
  <si>
    <t>West Bruceburgh</t>
  </si>
  <si>
    <t>CUST1302</t>
  </si>
  <si>
    <t>Edward Cole</t>
  </si>
  <si>
    <t>Lake Charlotte</t>
  </si>
  <si>
    <t>CUST1303</t>
  </si>
  <si>
    <t>John Sloan</t>
  </si>
  <si>
    <t>East Johntown</t>
  </si>
  <si>
    <t>CUST1304</t>
  </si>
  <si>
    <t>Port Jenniferton</t>
  </si>
  <si>
    <t>CUST1305</t>
  </si>
  <si>
    <t>Roberta Green</t>
  </si>
  <si>
    <t>West Joseph</t>
  </si>
  <si>
    <t>CUST1306</t>
  </si>
  <si>
    <t>Angela Robinson</t>
  </si>
  <si>
    <t>New Nicholasstad</t>
  </si>
  <si>
    <t>CUST1307</t>
  </si>
  <si>
    <t>Brandy Thompson</t>
  </si>
  <si>
    <t>West Patriciaview</t>
  </si>
  <si>
    <t>CUST1308</t>
  </si>
  <si>
    <t>Jennifer Zamora</t>
  </si>
  <si>
    <t>Sarahland</t>
  </si>
  <si>
    <t>CUST1309</t>
  </si>
  <si>
    <t>Stacy Collins</t>
  </si>
  <si>
    <t>Randychester</t>
  </si>
  <si>
    <t>CUST1310</t>
  </si>
  <si>
    <t>Kara Dodson</t>
  </si>
  <si>
    <t>Joelside</t>
  </si>
  <si>
    <t>CUST1311</t>
  </si>
  <si>
    <t>Kevin Larson</t>
  </si>
  <si>
    <t>Port Edwardmouth</t>
  </si>
  <si>
    <t>CUST1312</t>
  </si>
  <si>
    <t>Jason Mullins</t>
  </si>
  <si>
    <t>Brianchester</t>
  </si>
  <si>
    <t>CUST1313</t>
  </si>
  <si>
    <t>Elizabeth Jones</t>
  </si>
  <si>
    <t>Brownburgh</t>
  </si>
  <si>
    <t>CUST1314</t>
  </si>
  <si>
    <t>Elizabeth Johnson</t>
  </si>
  <si>
    <t>Anitaland</t>
  </si>
  <si>
    <t>CUST1315</t>
  </si>
  <si>
    <t>William Rodriguez</t>
  </si>
  <si>
    <t>Port Chad</t>
  </si>
  <si>
    <t>CUST1316</t>
  </si>
  <si>
    <t>Robert House</t>
  </si>
  <si>
    <t>Lake James</t>
  </si>
  <si>
    <t>CUST1317</t>
  </si>
  <si>
    <t>Tiffany Williams</t>
  </si>
  <si>
    <t>Richardsport</t>
  </si>
  <si>
    <t>CUST1318</t>
  </si>
  <si>
    <t>Madison Wright</t>
  </si>
  <si>
    <t>Monicaview</t>
  </si>
  <si>
    <t>CUST1319</t>
  </si>
  <si>
    <t>Casey Simpson</t>
  </si>
  <si>
    <t>West Mathewside</t>
  </si>
  <si>
    <t>CUST1320</t>
  </si>
  <si>
    <t>Jessica Gonzalez</t>
  </si>
  <si>
    <t>South Darrenland</t>
  </si>
  <si>
    <t>CUST1321</t>
  </si>
  <si>
    <t>Darren Burton</t>
  </si>
  <si>
    <t>Lake Alice</t>
  </si>
  <si>
    <t>CUST1322</t>
  </si>
  <si>
    <t>Samuel Arias</t>
  </si>
  <si>
    <t>North Nicole</t>
  </si>
  <si>
    <t>CUST1323</t>
  </si>
  <si>
    <t>Kristy Dunlap</t>
  </si>
  <si>
    <t>Whiteport</t>
  </si>
  <si>
    <t>CUST1324</t>
  </si>
  <si>
    <t>South Zacharychester</t>
  </si>
  <si>
    <t>CUST1325</t>
  </si>
  <si>
    <t>Andrew Smith</t>
  </si>
  <si>
    <t>East Matthew</t>
  </si>
  <si>
    <t>CUST1326</t>
  </si>
  <si>
    <t>Robert King</t>
  </si>
  <si>
    <t>Cindyton</t>
  </si>
  <si>
    <t>CUST1327</t>
  </si>
  <si>
    <t>Reginald Willis</t>
  </si>
  <si>
    <t>Kellybury</t>
  </si>
  <si>
    <t>CUST1328</t>
  </si>
  <si>
    <t>Mario Harvey Jr.</t>
  </si>
  <si>
    <t>Jessicaport</t>
  </si>
  <si>
    <t>CUST1329</t>
  </si>
  <si>
    <t>Victor Mcintosh</t>
  </si>
  <si>
    <t>Tiffanyshire</t>
  </si>
  <si>
    <t>CUST1330</t>
  </si>
  <si>
    <t>Pamela Mcguire</t>
  </si>
  <si>
    <t>South Jasontown</t>
  </si>
  <si>
    <t>CUST1331</t>
  </si>
  <si>
    <t>Maria Phillips</t>
  </si>
  <si>
    <t>North Kathytown</t>
  </si>
  <si>
    <t>CUST1332</t>
  </si>
  <si>
    <t>Dr. Lindsay Hanna</t>
  </si>
  <si>
    <t>New Paulstad</t>
  </si>
  <si>
    <t>CUST1333</t>
  </si>
  <si>
    <t>Teresa Johnson</t>
  </si>
  <si>
    <t>Johnsonbury</t>
  </si>
  <si>
    <t>CUST1334</t>
  </si>
  <si>
    <t>Mr. Christopher Sims</t>
  </si>
  <si>
    <t>Donaldsontown</t>
  </si>
  <si>
    <t>CUST1335</t>
  </si>
  <si>
    <t>Jennifer Woods</t>
  </si>
  <si>
    <t>West Brendamouth</t>
  </si>
  <si>
    <t>CUST1336</t>
  </si>
  <si>
    <t>John Jones</t>
  </si>
  <si>
    <t>North Michaelborough</t>
  </si>
  <si>
    <t>CUST1337</t>
  </si>
  <si>
    <t>Carol Lewis</t>
  </si>
  <si>
    <t>Ryanport</t>
  </si>
  <si>
    <t>CUST1338</t>
  </si>
  <si>
    <t>Jasmine Snyder</t>
  </si>
  <si>
    <t>Hudsonfort</t>
  </si>
  <si>
    <t>CUST1339</t>
  </si>
  <si>
    <t>Mrs. Susan Buckley</t>
  </si>
  <si>
    <t>Stevensbury</t>
  </si>
  <si>
    <t>CUST1340</t>
  </si>
  <si>
    <t>Eric Davis</t>
  </si>
  <si>
    <t>Johntown</t>
  </si>
  <si>
    <t>CUST1341</t>
  </si>
  <si>
    <t>Angela Williams</t>
  </si>
  <si>
    <t>Lake Alyssaburgh</t>
  </si>
  <si>
    <t>CUST1342</t>
  </si>
  <si>
    <t>Michelle Cunningham</t>
  </si>
  <si>
    <t>Amandaborough</t>
  </si>
  <si>
    <t>CUST1343</t>
  </si>
  <si>
    <t>Ryan Moore</t>
  </si>
  <si>
    <t>Cartershire</t>
  </si>
  <si>
    <t>CUST1344</t>
  </si>
  <si>
    <t>Evelyn Brown</t>
  </si>
  <si>
    <t>West Victoriaborough</t>
  </si>
  <si>
    <t>CUST1345</t>
  </si>
  <si>
    <t>Daniel Nelson</t>
  </si>
  <si>
    <t>North Jonathan</t>
  </si>
  <si>
    <t>CUST1346</t>
  </si>
  <si>
    <t>John Jordan</t>
  </si>
  <si>
    <t>Port Crystalberg</t>
  </si>
  <si>
    <t>CUST1347</t>
  </si>
  <si>
    <t>Peggystad</t>
  </si>
  <si>
    <t>CUST1348</t>
  </si>
  <si>
    <t>Sherry Cabrera</t>
  </si>
  <si>
    <t>Shannonview</t>
  </si>
  <si>
    <t>CUST1349</t>
  </si>
  <si>
    <t>Heather Valenzuela</t>
  </si>
  <si>
    <t>New Angiefurt</t>
  </si>
  <si>
    <t>CUST1350</t>
  </si>
  <si>
    <t>Charles Miller</t>
  </si>
  <si>
    <t>Lake Allisonborough</t>
  </si>
  <si>
    <t>CUST1351</t>
  </si>
  <si>
    <t>Jeffrey Mccarthy</t>
  </si>
  <si>
    <t>North Samuel</t>
  </si>
  <si>
    <t>CUST1352</t>
  </si>
  <si>
    <t>Michael Greene</t>
  </si>
  <si>
    <t>Port Saramouth</t>
  </si>
  <si>
    <t>CUST1353</t>
  </si>
  <si>
    <t>Westbury</t>
  </si>
  <si>
    <t>CUST1354</t>
  </si>
  <si>
    <t>Ryan Torres</t>
  </si>
  <si>
    <t>Guerreroport</t>
  </si>
  <si>
    <t>CUST1355</t>
  </si>
  <si>
    <t>Carlos Flores</t>
  </si>
  <si>
    <t>North Johnfurt</t>
  </si>
  <si>
    <t>CUST1356</t>
  </si>
  <si>
    <t>Steve Hunt</t>
  </si>
  <si>
    <t>North Richard</t>
  </si>
  <si>
    <t>CUST1357</t>
  </si>
  <si>
    <t>Manuel Castillo</t>
  </si>
  <si>
    <t>Nealview</t>
  </si>
  <si>
    <t>CUST1358</t>
  </si>
  <si>
    <t>Ashley Anderson</t>
  </si>
  <si>
    <t>West Johnmouth</t>
  </si>
  <si>
    <t>CUST1359</t>
  </si>
  <si>
    <t>Melanie Lam</t>
  </si>
  <si>
    <t>East Michaelton</t>
  </si>
  <si>
    <t>CUST1360</t>
  </si>
  <si>
    <t>Denise Tate</t>
  </si>
  <si>
    <t>Andersonside</t>
  </si>
  <si>
    <t>CUST1361</t>
  </si>
  <si>
    <t>Natalie Johnson</t>
  </si>
  <si>
    <t>New Jessechester</t>
  </si>
  <si>
    <t>CUST1362</t>
  </si>
  <si>
    <t>Melvinton</t>
  </si>
  <si>
    <t>CUST1363</t>
  </si>
  <si>
    <t>Elizabeth Smith</t>
  </si>
  <si>
    <t>Murphytown</t>
  </si>
  <si>
    <t>CUST1364</t>
  </si>
  <si>
    <t>Chloe Aguilar</t>
  </si>
  <si>
    <t>Lake Johnside</t>
  </si>
  <si>
    <t>CUST1365</t>
  </si>
  <si>
    <t>Brandon Mcbride</t>
  </si>
  <si>
    <t>Kellyside</t>
  </si>
  <si>
    <t>CUST1366</t>
  </si>
  <si>
    <t>Mallory Allen</t>
  </si>
  <si>
    <t>North Theresa</t>
  </si>
  <si>
    <t>CUST1367</t>
  </si>
  <si>
    <t>Melinda Johnson</t>
  </si>
  <si>
    <t>Kaufmanfurt</t>
  </si>
  <si>
    <t>CUST1368</t>
  </si>
  <si>
    <t>Miranda King</t>
  </si>
  <si>
    <t>West Mathew</t>
  </si>
  <si>
    <t>CUST1369</t>
  </si>
  <si>
    <t>Gregory Allen</t>
  </si>
  <si>
    <t>West Bruce</t>
  </si>
  <si>
    <t>CUST1370</t>
  </si>
  <si>
    <t>James Holloway Jr.</t>
  </si>
  <si>
    <t>Millston</t>
  </si>
  <si>
    <t>CUST1371</t>
  </si>
  <si>
    <t>Michael Garner</t>
  </si>
  <si>
    <t>Port Crystal</t>
  </si>
  <si>
    <t>CUST1372</t>
  </si>
  <si>
    <t>Jacqueline Anthony</t>
  </si>
  <si>
    <t>Vincentside</t>
  </si>
  <si>
    <t>CUST1373</t>
  </si>
  <si>
    <t>James Orozco</t>
  </si>
  <si>
    <t>Simpsonfort</t>
  </si>
  <si>
    <t>CUST1374</t>
  </si>
  <si>
    <t>Emma Wilson</t>
  </si>
  <si>
    <t>Andersonburgh</t>
  </si>
  <si>
    <t>CUST1375</t>
  </si>
  <si>
    <t>Joshua Bell</t>
  </si>
  <si>
    <t>Port Richardshire</t>
  </si>
  <si>
    <t>CUST1376</t>
  </si>
  <si>
    <t>Michele Burke</t>
  </si>
  <si>
    <t>Chambersberg</t>
  </si>
  <si>
    <t>CUST1377</t>
  </si>
  <si>
    <t>Charles Conley</t>
  </si>
  <si>
    <t>Nathanshire</t>
  </si>
  <si>
    <t>CUST1378</t>
  </si>
  <si>
    <t>Frank Stewart</t>
  </si>
  <si>
    <t>Fischerborough</t>
  </si>
  <si>
    <t>CUST1379</t>
  </si>
  <si>
    <t>Tanya Lopez</t>
  </si>
  <si>
    <t>West Jeffreyburgh</t>
  </si>
  <si>
    <t>CUST1380</t>
  </si>
  <si>
    <t>Shelley Ponce</t>
  </si>
  <si>
    <t>South Cassandrachester</t>
  </si>
  <si>
    <t>CUST1381</t>
  </si>
  <si>
    <t>Erika Padilla</t>
  </si>
  <si>
    <t>Andrewsland</t>
  </si>
  <si>
    <t>CUST1382</t>
  </si>
  <si>
    <t>Martha Brown</t>
  </si>
  <si>
    <t>Novakstad</t>
  </si>
  <si>
    <t>CUST1383</t>
  </si>
  <si>
    <t>Kristine Higgins</t>
  </si>
  <si>
    <t>Jennifertown</t>
  </si>
  <si>
    <t>CUST1384</t>
  </si>
  <si>
    <t>Andrew Mason</t>
  </si>
  <si>
    <t>North Michael</t>
  </si>
  <si>
    <t>CUST1385</t>
  </si>
  <si>
    <t>Tammy Brennan</t>
  </si>
  <si>
    <t>Lake Brandontown</t>
  </si>
  <si>
    <t>CUST1386</t>
  </si>
  <si>
    <t>Melanie Mitchell</t>
  </si>
  <si>
    <t>West Laura</t>
  </si>
  <si>
    <t>CUST1387</t>
  </si>
  <si>
    <t>Timothy Gardner</t>
  </si>
  <si>
    <t>New Dawn</t>
  </si>
  <si>
    <t>CUST1388</t>
  </si>
  <si>
    <t>Timothy Valenzuela</t>
  </si>
  <si>
    <t>Stevensshire</t>
  </si>
  <si>
    <t>CUST1389</t>
  </si>
  <si>
    <t>Cynthia Lopez</t>
  </si>
  <si>
    <t>Joseland</t>
  </si>
  <si>
    <t>CUST1390</t>
  </si>
  <si>
    <t>Daniel Bell</t>
  </si>
  <si>
    <t>Deniseberg</t>
  </si>
  <si>
    <t>CUST1391</t>
  </si>
  <si>
    <t>Heidi Tyler</t>
  </si>
  <si>
    <t>Dawnstad</t>
  </si>
  <si>
    <t>CUST1392</t>
  </si>
  <si>
    <t>Jacqueline Payne</t>
  </si>
  <si>
    <t>Gutierrezstad</t>
  </si>
  <si>
    <t>CUST1393</t>
  </si>
  <si>
    <t>Michael Mcneil</t>
  </si>
  <si>
    <t>Stewartchester</t>
  </si>
  <si>
    <t>CUST1394</t>
  </si>
  <si>
    <t>Alejandro Evans</t>
  </si>
  <si>
    <t>Cannonberg</t>
  </si>
  <si>
    <t>CUST1395</t>
  </si>
  <si>
    <t>Brandon Mcguire</t>
  </si>
  <si>
    <t>Lake Morganland</t>
  </si>
  <si>
    <t>CUST1396</t>
  </si>
  <si>
    <t>Alexander Byrd</t>
  </si>
  <si>
    <t>Parkerview</t>
  </si>
  <si>
    <t>CUST1397</t>
  </si>
  <si>
    <t>CUST1398</t>
  </si>
  <si>
    <t>Jennifer Johnson</t>
  </si>
  <si>
    <t>Cheyenneborough</t>
  </si>
  <si>
    <t>CUST1399</t>
  </si>
  <si>
    <t>John Donaldson</t>
  </si>
  <si>
    <t>New Edward</t>
  </si>
  <si>
    <t>CUST1400</t>
  </si>
  <si>
    <t>Mark Rogers</t>
  </si>
  <si>
    <t>Bookertown</t>
  </si>
  <si>
    <t>CUST1401</t>
  </si>
  <si>
    <t>Terry Moses</t>
  </si>
  <si>
    <t>Leahmouth</t>
  </si>
  <si>
    <t>CUST1402</t>
  </si>
  <si>
    <t>Cassandra Perez</t>
  </si>
  <si>
    <t>CUST1403</t>
  </si>
  <si>
    <t>Justin Ingram</t>
  </si>
  <si>
    <t>Lake Lisaland</t>
  </si>
  <si>
    <t>CUST1404</t>
  </si>
  <si>
    <t>David Ross</t>
  </si>
  <si>
    <t>South Angela</t>
  </si>
  <si>
    <t>CUST1405</t>
  </si>
  <si>
    <t>Eric Wolfe</t>
  </si>
  <si>
    <t>Garciaview</t>
  </si>
  <si>
    <t>CUST1406</t>
  </si>
  <si>
    <t>David Lozano</t>
  </si>
  <si>
    <t>North Michaelfurt</t>
  </si>
  <si>
    <t>CUST1407</t>
  </si>
  <si>
    <t>Joseph Mendoza</t>
  </si>
  <si>
    <t>Ashleymouth</t>
  </si>
  <si>
    <t>CUST1408</t>
  </si>
  <si>
    <t>Isabel Foster</t>
  </si>
  <si>
    <t>Port Joshuaville</t>
  </si>
  <si>
    <t>CUST1409</t>
  </si>
  <si>
    <t>Sarah Smith</t>
  </si>
  <si>
    <t>Kathleenport</t>
  </si>
  <si>
    <t>CUST1410</t>
  </si>
  <si>
    <t>Jackie Thompson</t>
  </si>
  <si>
    <t>South Edwin</t>
  </si>
  <si>
    <t>CUST1411</t>
  </si>
  <si>
    <t>Katrina Perez</t>
  </si>
  <si>
    <t>West Rebecca</t>
  </si>
  <si>
    <t>CUST1412</t>
  </si>
  <si>
    <t>Shane Brown</t>
  </si>
  <si>
    <t>CUST1413</t>
  </si>
  <si>
    <t>Megan Ryan</t>
  </si>
  <si>
    <t>Andrewsfurt</t>
  </si>
  <si>
    <t>CUST1414</t>
  </si>
  <si>
    <t>Melissa Valentine</t>
  </si>
  <si>
    <t>East Patriciafort</t>
  </si>
  <si>
    <t>CUST1415</t>
  </si>
  <si>
    <t>Tyler Cook</t>
  </si>
  <si>
    <t>Kramerview</t>
  </si>
  <si>
    <t>CUST1416</t>
  </si>
  <si>
    <t>Jennifer Myers</t>
  </si>
  <si>
    <t>Marthaborough</t>
  </si>
  <si>
    <t>CUST1417</t>
  </si>
  <si>
    <t>Karen King</t>
  </si>
  <si>
    <t>Kimburgh</t>
  </si>
  <si>
    <t>CUST1418</t>
  </si>
  <si>
    <t>Luke Parks</t>
  </si>
  <si>
    <t>West Mario</t>
  </si>
  <si>
    <t>CUST1419</t>
  </si>
  <si>
    <t>Monica Miller</t>
  </si>
  <si>
    <t>Lake David</t>
  </si>
  <si>
    <t>CUST1420</t>
  </si>
  <si>
    <t>New Benjamin</t>
  </si>
  <si>
    <t>CUST1421</t>
  </si>
  <si>
    <t>Holly Robinson</t>
  </si>
  <si>
    <t>East Amy</t>
  </si>
  <si>
    <t>CUST1422</t>
  </si>
  <si>
    <t>Aliciahaven</t>
  </si>
  <si>
    <t>CUST1423</t>
  </si>
  <si>
    <t>Rebecca Baker</t>
  </si>
  <si>
    <t>New Katherine</t>
  </si>
  <si>
    <t>CUST1424</t>
  </si>
  <si>
    <t>Edwin Barnes</t>
  </si>
  <si>
    <t>Lake Alexandra</t>
  </si>
  <si>
    <t>CUST1425</t>
  </si>
  <si>
    <t>Bryce Hawkins</t>
  </si>
  <si>
    <t>Lake Monique</t>
  </si>
  <si>
    <t>CUST1426</t>
  </si>
  <si>
    <t>Jeanette Nichols</t>
  </si>
  <si>
    <t>Aguilarland</t>
  </si>
  <si>
    <t>CUST1427</t>
  </si>
  <si>
    <t>Jose Stewart</t>
  </si>
  <si>
    <t>South Robert</t>
  </si>
  <si>
    <t>CUST1428</t>
  </si>
  <si>
    <t>Samuel Mullins</t>
  </si>
  <si>
    <t>Hartmouth</t>
  </si>
  <si>
    <t>CUST1429</t>
  </si>
  <si>
    <t>Sean Vang</t>
  </si>
  <si>
    <t>Davidchester</t>
  </si>
  <si>
    <t>CUST1430</t>
  </si>
  <si>
    <t>Kimberly Roberts</t>
  </si>
  <si>
    <t>Josephchester</t>
  </si>
  <si>
    <t>CUST1431</t>
  </si>
  <si>
    <t>John Smith</t>
  </si>
  <si>
    <t>South Andrewport</t>
  </si>
  <si>
    <t>CUST1432</t>
  </si>
  <si>
    <t>Summer Weiss</t>
  </si>
  <si>
    <t>Phyllisport</t>
  </si>
  <si>
    <t>CUST1433</t>
  </si>
  <si>
    <t>Thomas Moore</t>
  </si>
  <si>
    <t>Williamsberg</t>
  </si>
  <si>
    <t>CUST1434</t>
  </si>
  <si>
    <t>Monique Castro</t>
  </si>
  <si>
    <t>New Sarah</t>
  </si>
  <si>
    <t>CUST1435</t>
  </si>
  <si>
    <t>Lindsay Beasley</t>
  </si>
  <si>
    <t>Wesleyhaven</t>
  </si>
  <si>
    <t>CUST1436</t>
  </si>
  <si>
    <t>Sharon Simpson</t>
  </si>
  <si>
    <t>South Michellebury</t>
  </si>
  <si>
    <t>CUST1437</t>
  </si>
  <si>
    <t>Melinda Rivera</t>
  </si>
  <si>
    <t>CUST1438</t>
  </si>
  <si>
    <t>Monica Flynn</t>
  </si>
  <si>
    <t>Amberburgh</t>
  </si>
  <si>
    <t>CUST1439</t>
  </si>
  <si>
    <t>John Compton</t>
  </si>
  <si>
    <t>CUST1440</t>
  </si>
  <si>
    <t>Tammy Trevino</t>
  </si>
  <si>
    <t>Justinberg</t>
  </si>
  <si>
    <t>CUST1441</t>
  </si>
  <si>
    <t>Dalton Walters</t>
  </si>
  <si>
    <t>Jonesstad</t>
  </si>
  <si>
    <t>CUST1442</t>
  </si>
  <si>
    <t>Kelli Smith</t>
  </si>
  <si>
    <t>North Maryfort</t>
  </si>
  <si>
    <t>CUST1443</t>
  </si>
  <si>
    <t>Adam Castro</t>
  </si>
  <si>
    <t>New Donnabury</t>
  </si>
  <si>
    <t>CUST1444</t>
  </si>
  <si>
    <t>Cheryl Carr</t>
  </si>
  <si>
    <t>Jessicaland</t>
  </si>
  <si>
    <t>CUST1445</t>
  </si>
  <si>
    <t>Gene Lee</t>
  </si>
  <si>
    <t>Mcfarlandmouth</t>
  </si>
  <si>
    <t>CUST1446</t>
  </si>
  <si>
    <t>Shannon Turner</t>
  </si>
  <si>
    <t>West Jorge</t>
  </si>
  <si>
    <t>CUST1447</t>
  </si>
  <si>
    <t>Monica Wright</t>
  </si>
  <si>
    <t>Paulside</t>
  </si>
  <si>
    <t>CUST1448</t>
  </si>
  <si>
    <t>Eric Holmes</t>
  </si>
  <si>
    <t>Smithville</t>
  </si>
  <si>
    <t>CUST1449</t>
  </si>
  <si>
    <t>William Cortez</t>
  </si>
  <si>
    <t>Port Hannahport</t>
  </si>
  <si>
    <t>CUST1450</t>
  </si>
  <si>
    <t>Shane Mills</t>
  </si>
  <si>
    <t>Lake Meganstad</t>
  </si>
  <si>
    <t>CUST1451</t>
  </si>
  <si>
    <t>Ashley Roberts</t>
  </si>
  <si>
    <t>CUST1452</t>
  </si>
  <si>
    <t>Jeffery Wolf</t>
  </si>
  <si>
    <t>New Laura</t>
  </si>
  <si>
    <t>CUST1453</t>
  </si>
  <si>
    <t>April Phillips</t>
  </si>
  <si>
    <t>Lake Carolyn</t>
  </si>
  <si>
    <t>CUST1454</t>
  </si>
  <si>
    <t>John Berg</t>
  </si>
  <si>
    <t>CUST1455</t>
  </si>
  <si>
    <t>Tyler Weber</t>
  </si>
  <si>
    <t>East Yvette</t>
  </si>
  <si>
    <t>CUST1456</t>
  </si>
  <si>
    <t>Julie Powell</t>
  </si>
  <si>
    <t>South Barbara</t>
  </si>
  <si>
    <t>CUST1457</t>
  </si>
  <si>
    <t>Christina Robertson</t>
  </si>
  <si>
    <t>Hubbardborough</t>
  </si>
  <si>
    <t>CUST1458</t>
  </si>
  <si>
    <t>Kelly Garrett</t>
  </si>
  <si>
    <t>Port Taylorberg</t>
  </si>
  <si>
    <t>CUST1459</t>
  </si>
  <si>
    <t>Brandontown</t>
  </si>
  <si>
    <t>CUST1460</t>
  </si>
  <si>
    <t>Justin Johnson</t>
  </si>
  <si>
    <t>Hughesview</t>
  </si>
  <si>
    <t>CUST1461</t>
  </si>
  <si>
    <t>Paul Cox</t>
  </si>
  <si>
    <t>East Julie</t>
  </si>
  <si>
    <t>CUST1462</t>
  </si>
  <si>
    <t>Beth Martin</t>
  </si>
  <si>
    <t>Burkefurt</t>
  </si>
  <si>
    <t>CUST1463</t>
  </si>
  <si>
    <t>Samantha Lee</t>
  </si>
  <si>
    <t>Port Anthony</t>
  </si>
  <si>
    <t>CUST1464</t>
  </si>
  <si>
    <t>David Pierce</t>
  </si>
  <si>
    <t>Grayland</t>
  </si>
  <si>
    <t>CUST1465</t>
  </si>
  <si>
    <t>Ronald Ross</t>
  </si>
  <si>
    <t>Hartmanside</t>
  </si>
  <si>
    <t>CUST1466</t>
  </si>
  <si>
    <t>Cynthia Parrish</t>
  </si>
  <si>
    <t>Espinozaberg</t>
  </si>
  <si>
    <t>CUST1467</t>
  </si>
  <si>
    <t>Michael Foley</t>
  </si>
  <si>
    <t>Oneillfurt</t>
  </si>
  <si>
    <t>CUST1468</t>
  </si>
  <si>
    <t>Gregory Curtis</t>
  </si>
  <si>
    <t>Bergermouth</t>
  </si>
  <si>
    <t>CUST1469</t>
  </si>
  <si>
    <t>James Foster</t>
  </si>
  <si>
    <t>East Audrey</t>
  </si>
  <si>
    <t>CUST1470</t>
  </si>
  <si>
    <t>Manuel Fisher</t>
  </si>
  <si>
    <t>Kanebury</t>
  </si>
  <si>
    <t>CUST1471</t>
  </si>
  <si>
    <t>Debra Mccullough</t>
  </si>
  <si>
    <t>Mcdanielfurt</t>
  </si>
  <si>
    <t>CUST1472</t>
  </si>
  <si>
    <t>Philip Mendoza</t>
  </si>
  <si>
    <t>Tylermouth</t>
  </si>
  <si>
    <t>CUST1473</t>
  </si>
  <si>
    <t>Laura Mathews</t>
  </si>
  <si>
    <t>Chambersfurt</t>
  </si>
  <si>
    <t>CUST1474</t>
  </si>
  <si>
    <t>Joshua Howard</t>
  </si>
  <si>
    <t>East Christopherhaven</t>
  </si>
  <si>
    <t>CUST1475</t>
  </si>
  <si>
    <t>Barbara Berry</t>
  </si>
  <si>
    <t>CUST1476</t>
  </si>
  <si>
    <t>Elizabeth Foster</t>
  </si>
  <si>
    <t>Anthonymouth</t>
  </si>
  <si>
    <t>CUST1477</t>
  </si>
  <si>
    <t>Andrea Harris</t>
  </si>
  <si>
    <t>West Kelseyberg</t>
  </si>
  <si>
    <t>CUST1478</t>
  </si>
  <si>
    <t>West Sarah</t>
  </si>
  <si>
    <t>CUST1479</t>
  </si>
  <si>
    <t>Dylan Gutierrez</t>
  </si>
  <si>
    <t>New Jamesview</t>
  </si>
  <si>
    <t>CUST1480</t>
  </si>
  <si>
    <t>Jordan Medina</t>
  </si>
  <si>
    <t>Robinchester</t>
  </si>
  <si>
    <t>CUST1481</t>
  </si>
  <si>
    <t>Bryan Tran</t>
  </si>
  <si>
    <t>Kelseybury</t>
  </si>
  <si>
    <t>CUST1482</t>
  </si>
  <si>
    <t>Sheri Joyce</t>
  </si>
  <si>
    <t>West Tylerfort</t>
  </si>
  <si>
    <t>CUST1483</t>
  </si>
  <si>
    <t>East Rodney</t>
  </si>
  <si>
    <t>CUST1484</t>
  </si>
  <si>
    <t>Jessica Castro</t>
  </si>
  <si>
    <t>West Markton</t>
  </si>
  <si>
    <t>CUST1485</t>
  </si>
  <si>
    <t>Sara Ingram</t>
  </si>
  <si>
    <t>East Dillonview</t>
  </si>
  <si>
    <t>CUST1486</t>
  </si>
  <si>
    <t>Eric Lee</t>
  </si>
  <si>
    <t>Lake April</t>
  </si>
  <si>
    <t>CUST1487</t>
  </si>
  <si>
    <t>Amanda Medina</t>
  </si>
  <si>
    <t>East Patriciastad</t>
  </si>
  <si>
    <t>CUST1488</t>
  </si>
  <si>
    <t>Zachary Andrade</t>
  </si>
  <si>
    <t>South Davidport</t>
  </si>
  <si>
    <t>CUST1489</t>
  </si>
  <si>
    <t>Melinda Thomas</t>
  </si>
  <si>
    <t>Lake Elizabethside</t>
  </si>
  <si>
    <t>CUST1490</t>
  </si>
  <si>
    <t>Scott Harris</t>
  </si>
  <si>
    <t>North Nataliemouth</t>
  </si>
  <si>
    <t>CUST1491</t>
  </si>
  <si>
    <t>Kaitlin Brown</t>
  </si>
  <si>
    <t>Kellyberg</t>
  </si>
  <si>
    <t>CUST1492</t>
  </si>
  <si>
    <t>Darrell Miller</t>
  </si>
  <si>
    <t>Port Carol</t>
  </si>
  <si>
    <t>CUST1493</t>
  </si>
  <si>
    <t>Amanda Powell</t>
  </si>
  <si>
    <t>CUST1494</t>
  </si>
  <si>
    <t>Justin Lopez</t>
  </si>
  <si>
    <t>Port Cheryl</t>
  </si>
  <si>
    <t>CUST1495</t>
  </si>
  <si>
    <t>James Berger</t>
  </si>
  <si>
    <t>Bryanmouth</t>
  </si>
  <si>
    <t>CUST1496</t>
  </si>
  <si>
    <t>Christopher Ford</t>
  </si>
  <si>
    <t>North Seanfurt</t>
  </si>
  <si>
    <t>CUST1497</t>
  </si>
  <si>
    <t>Sarah Marsh</t>
  </si>
  <si>
    <t>Port William</t>
  </si>
  <si>
    <t>CUST1498</t>
  </si>
  <si>
    <t>Traci Gonzalez</t>
  </si>
  <si>
    <t>Snyderfurt</t>
  </si>
  <si>
    <t>CUST1499</t>
  </si>
  <si>
    <t>Philip Pennington</t>
  </si>
  <si>
    <t>East Valerieview</t>
  </si>
  <si>
    <t>Product_ID</t>
  </si>
  <si>
    <t>Product_Name</t>
  </si>
  <si>
    <t>Category</t>
  </si>
  <si>
    <t>Sub_Category</t>
  </si>
  <si>
    <t>Brand</t>
  </si>
  <si>
    <t>Cost</t>
  </si>
  <si>
    <t>Stock</t>
  </si>
  <si>
    <t>PROD0</t>
  </si>
  <si>
    <t>Home</t>
  </si>
  <si>
    <t>Hunt Inc</t>
  </si>
  <si>
    <t>PROD1</t>
  </si>
  <si>
    <t>Clothing</t>
  </si>
  <si>
    <t>Terry-Moore</t>
  </si>
  <si>
    <t>PROD2</t>
  </si>
  <si>
    <t>Sims Inc</t>
  </si>
  <si>
    <t>PROD3</t>
  </si>
  <si>
    <t>Pineda Ltd</t>
  </si>
  <si>
    <t>PROD4</t>
  </si>
  <si>
    <t>Gonzales-Davis</t>
  </si>
  <si>
    <t>PROD5</t>
  </si>
  <si>
    <t>Baldwin, Garza and Gonzalez</t>
  </si>
  <si>
    <t>PROD6</t>
  </si>
  <si>
    <t>Beauty</t>
  </si>
  <si>
    <t>Davidson PLC</t>
  </si>
  <si>
    <t>PROD7</t>
  </si>
  <si>
    <t>Harrell LLC</t>
  </si>
  <si>
    <t>PROD8</t>
  </si>
  <si>
    <t>Electronics</t>
  </si>
  <si>
    <t>Perez-Johnston</t>
  </si>
  <si>
    <t>PROD9</t>
  </si>
  <si>
    <t>Sports</t>
  </si>
  <si>
    <t>Hill PLC</t>
  </si>
  <si>
    <t>PROD10</t>
  </si>
  <si>
    <t>Hamilton Group</t>
  </si>
  <si>
    <t>PROD11</t>
  </si>
  <si>
    <t>Gibson, Hobbs and Weaver</t>
  </si>
  <si>
    <t>PROD12</t>
  </si>
  <si>
    <t>Rice LLC</t>
  </si>
  <si>
    <t>PROD13</t>
  </si>
  <si>
    <t>Dawson-Perkins</t>
  </si>
  <si>
    <t>PROD14</t>
  </si>
  <si>
    <t>Luna, Anderson and Bowman</t>
  </si>
  <si>
    <t>PROD15</t>
  </si>
  <si>
    <t>Thomas LLC</t>
  </si>
  <si>
    <t>PROD16</t>
  </si>
  <si>
    <t>Erickson-Green</t>
  </si>
  <si>
    <t>PROD17</t>
  </si>
  <si>
    <t>Ford, Murphy and Wilson</t>
  </si>
  <si>
    <t>PROD18</t>
  </si>
  <si>
    <t>Guerra-Hendrix</t>
  </si>
  <si>
    <t>PROD19</t>
  </si>
  <si>
    <t>May-Reese</t>
  </si>
  <si>
    <t>PROD20</t>
  </si>
  <si>
    <t>Soto-Ellis</t>
  </si>
  <si>
    <t>PROD21</t>
  </si>
  <si>
    <t>Gardner-Montes</t>
  </si>
  <si>
    <t>PROD22</t>
  </si>
  <si>
    <t>Flores, Pineda and Rodriguez</t>
  </si>
  <si>
    <t>PROD23</t>
  </si>
  <si>
    <t>Moon, Mora and Santos</t>
  </si>
  <si>
    <t>PROD24</t>
  </si>
  <si>
    <t>Cook Ltd</t>
  </si>
  <si>
    <t>PROD25</t>
  </si>
  <si>
    <t>Brown and Sons</t>
  </si>
  <si>
    <t>PROD26</t>
  </si>
  <si>
    <t>Reed-Schmidt</t>
  </si>
  <si>
    <t>PROD27</t>
  </si>
  <si>
    <t>Khan, Jones and Paul</t>
  </si>
  <si>
    <t>PROD28</t>
  </si>
  <si>
    <t>Burns-Hansen</t>
  </si>
  <si>
    <t>PROD29</t>
  </si>
  <si>
    <t>Hoffman Group</t>
  </si>
  <si>
    <t>PROD30</t>
  </si>
  <si>
    <t>Stevens, Fernandez and Martin</t>
  </si>
  <si>
    <t>PROD31</t>
  </si>
  <si>
    <t>Nolan-Snow</t>
  </si>
  <si>
    <t>PROD32</t>
  </si>
  <si>
    <t>Griffin Ltd</t>
  </si>
  <si>
    <t>PROD33</t>
  </si>
  <si>
    <t>Weiss-Watson</t>
  </si>
  <si>
    <t>PROD34</t>
  </si>
  <si>
    <t>Lucero LLC</t>
  </si>
  <si>
    <t>PROD35</t>
  </si>
  <si>
    <t>Jones LLC</t>
  </si>
  <si>
    <t>PROD36</t>
  </si>
  <si>
    <t>Smith-Mills</t>
  </si>
  <si>
    <t>PROD37</t>
  </si>
  <si>
    <t>Hogan-Lee</t>
  </si>
  <si>
    <t>PROD38</t>
  </si>
  <si>
    <t>Sims-Smith</t>
  </si>
  <si>
    <t>PROD39</t>
  </si>
  <si>
    <t>Cummings and Sons</t>
  </si>
  <si>
    <t>PROD40</t>
  </si>
  <si>
    <t>Taylor-Hart</t>
  </si>
  <si>
    <t>PROD41</t>
  </si>
  <si>
    <t>Carroll, Long and Mendoza</t>
  </si>
  <si>
    <t>PROD42</t>
  </si>
  <si>
    <t>Holmes LLC</t>
  </si>
  <si>
    <t>PROD43</t>
  </si>
  <si>
    <t>Robinson Inc</t>
  </si>
  <si>
    <t>PROD44</t>
  </si>
  <si>
    <t>Cox Inc</t>
  </si>
  <si>
    <t>PROD45</t>
  </si>
  <si>
    <t>Bridges, Banks and Cummings</t>
  </si>
  <si>
    <t>PROD46</t>
  </si>
  <si>
    <t>Kelly, Smith and Perez</t>
  </si>
  <si>
    <t>PROD47</t>
  </si>
  <si>
    <t>Cook Inc</t>
  </si>
  <si>
    <t>PROD48</t>
  </si>
  <si>
    <t>Byrd, Stewart and Valdez</t>
  </si>
  <si>
    <t>PROD49</t>
  </si>
  <si>
    <t>Sullivan and Sons</t>
  </si>
  <si>
    <t>PROD50</t>
  </si>
  <si>
    <t>Smith-King</t>
  </si>
  <si>
    <t>PROD51</t>
  </si>
  <si>
    <t>Bautista, Green and Hale</t>
  </si>
  <si>
    <t>PROD52</t>
  </si>
  <si>
    <t>Harris Inc</t>
  </si>
  <si>
    <t>PROD53</t>
  </si>
  <si>
    <t>Hamilton, Woods and Walker</t>
  </si>
  <si>
    <t>PROD54</t>
  </si>
  <si>
    <t>Thompson-French</t>
  </si>
  <si>
    <t>PROD55</t>
  </si>
  <si>
    <t>Hatfield, Baird and Torres</t>
  </si>
  <si>
    <t>PROD56</t>
  </si>
  <si>
    <t>Hernandez, Kennedy and Porter</t>
  </si>
  <si>
    <t>PROD57</t>
  </si>
  <si>
    <t>Atkinson, Camacho and Oliver</t>
  </si>
  <si>
    <t>PROD58</t>
  </si>
  <si>
    <t>Shepherd-Gould</t>
  </si>
  <si>
    <t>PROD59</t>
  </si>
  <si>
    <t>Cline-Mccarthy</t>
  </si>
  <si>
    <t>PROD60</t>
  </si>
  <si>
    <t>Gibson, Green and Lopez</t>
  </si>
  <si>
    <t>PROD61</t>
  </si>
  <si>
    <t>Lopez LLC</t>
  </si>
  <si>
    <t>PROD62</t>
  </si>
  <si>
    <t>Murray, Gould and Ware</t>
  </si>
  <si>
    <t>PROD63</t>
  </si>
  <si>
    <t>Anderson-Riley</t>
  </si>
  <si>
    <t>PROD64</t>
  </si>
  <si>
    <t>Zhang Inc</t>
  </si>
  <si>
    <t>PROD65</t>
  </si>
  <si>
    <t>Montgomery, Benton and Miller</t>
  </si>
  <si>
    <t>PROD66</t>
  </si>
  <si>
    <t>Torres, Spencer and Potter</t>
  </si>
  <si>
    <t>PROD67</t>
  </si>
  <si>
    <t>Flores-Davis</t>
  </si>
  <si>
    <t>PROD68</t>
  </si>
  <si>
    <t>Wolfe, Ross and Hester</t>
  </si>
  <si>
    <t>PROD69</t>
  </si>
  <si>
    <t>Fitzpatrick Ltd</t>
  </si>
  <si>
    <t>PROD70</t>
  </si>
  <si>
    <t>Duran Group</t>
  </si>
  <si>
    <t>PROD71</t>
  </si>
  <si>
    <t>Hopkins Ltd</t>
  </si>
  <si>
    <t>PROD72</t>
  </si>
  <si>
    <t>Davis PLC</t>
  </si>
  <si>
    <t>PROD73</t>
  </si>
  <si>
    <t>French Ltd</t>
  </si>
  <si>
    <t>PROD74</t>
  </si>
  <si>
    <t>Bruce-Bowen</t>
  </si>
  <si>
    <t>PROD75</t>
  </si>
  <si>
    <t>Poole PLC</t>
  </si>
  <si>
    <t>PROD76</t>
  </si>
  <si>
    <t>Larson Ltd</t>
  </si>
  <si>
    <t>PROD77</t>
  </si>
  <si>
    <t>White, Reeves and Woods</t>
  </si>
  <si>
    <t>PROD78</t>
  </si>
  <si>
    <t>Hernandez Inc</t>
  </si>
  <si>
    <t>PROD79</t>
  </si>
  <si>
    <t>Ramirez-Hanson</t>
  </si>
  <si>
    <t>PROD80</t>
  </si>
  <si>
    <t>Allison Ltd</t>
  </si>
  <si>
    <t>PROD81</t>
  </si>
  <si>
    <t>Robinson-Brown</t>
  </si>
  <si>
    <t>PROD82</t>
  </si>
  <si>
    <t>Reese-Watson</t>
  </si>
  <si>
    <t>PROD83</t>
  </si>
  <si>
    <t>Butler Group</t>
  </si>
  <si>
    <t>PROD84</t>
  </si>
  <si>
    <t>Collins-Stephenson</t>
  </si>
  <si>
    <t>PROD85</t>
  </si>
  <si>
    <t>Richardson-Carrillo</t>
  </si>
  <si>
    <t>PROD86</t>
  </si>
  <si>
    <t>Taylor, Dodson and Johnston</t>
  </si>
  <si>
    <t>PROD87</t>
  </si>
  <si>
    <t>Aguilar, Horton and Lewis</t>
  </si>
  <si>
    <t>PROD88</t>
  </si>
  <si>
    <t>Olsen-Daniels</t>
  </si>
  <si>
    <t>PROD89</t>
  </si>
  <si>
    <t>Taylor-Elliott</t>
  </si>
  <si>
    <t>PROD90</t>
  </si>
  <si>
    <t>Sharp, Taylor and Rodriguez</t>
  </si>
  <si>
    <t>PROD91</t>
  </si>
  <si>
    <t>Smith-Charles</t>
  </si>
  <si>
    <t>PROD92</t>
  </si>
  <si>
    <t>Green, Powell and Palmer</t>
  </si>
  <si>
    <t>PROD93</t>
  </si>
  <si>
    <t>Martin LLC</t>
  </si>
  <si>
    <t>PROD94</t>
  </si>
  <si>
    <t>Hoffman-Williams</t>
  </si>
  <si>
    <t>PROD95</t>
  </si>
  <si>
    <t>Wilson Group</t>
  </si>
  <si>
    <t>PROD96</t>
  </si>
  <si>
    <t>Phillips and Sons</t>
  </si>
  <si>
    <t>PROD97</t>
  </si>
  <si>
    <t>Khan LLC</t>
  </si>
  <si>
    <t>PROD98</t>
  </si>
  <si>
    <t>Flores-King</t>
  </si>
  <si>
    <t>PROD99</t>
  </si>
  <si>
    <t>Campbell Ltd</t>
  </si>
  <si>
    <t>Store_ID</t>
  </si>
  <si>
    <t>Store_Name</t>
  </si>
  <si>
    <t>Region</t>
  </si>
  <si>
    <t>Store_Type</t>
  </si>
  <si>
    <t>STORE0</t>
  </si>
  <si>
    <t>Rivera-Warner</t>
  </si>
  <si>
    <t>East</t>
  </si>
  <si>
    <t>Washingtonfurt</t>
  </si>
  <si>
    <t>Flagship</t>
  </si>
  <si>
    <t>STORE1</t>
  </si>
  <si>
    <t>Martinez, Adkins and Johnson</t>
  </si>
  <si>
    <t>North</t>
  </si>
  <si>
    <t>Danielmouth</t>
  </si>
  <si>
    <t>STORE2</t>
  </si>
  <si>
    <t>Black-Horn</t>
  </si>
  <si>
    <t>South</t>
  </si>
  <si>
    <t>North Nancyview</t>
  </si>
  <si>
    <t>Outlet</t>
  </si>
  <si>
    <t>STORE3</t>
  </si>
  <si>
    <t>Johnson-Wright</t>
  </si>
  <si>
    <t>Hoodberg</t>
  </si>
  <si>
    <t>STORE4</t>
  </si>
  <si>
    <t>Alexander Group</t>
  </si>
  <si>
    <t>Port Sharon</t>
  </si>
  <si>
    <t>Online</t>
  </si>
  <si>
    <t>STORE5</t>
  </si>
  <si>
    <t>Gray Ltd</t>
  </si>
  <si>
    <t>New Michaelchester</t>
  </si>
  <si>
    <t>STORE6</t>
  </si>
  <si>
    <t>Benson-Elliott</t>
  </si>
  <si>
    <t>Port Josephberg</t>
  </si>
  <si>
    <t>STORE7</t>
  </si>
  <si>
    <t>Martinez-Mullins</t>
  </si>
  <si>
    <t>Williamsfurt</t>
  </si>
  <si>
    <t>STORE8</t>
  </si>
  <si>
    <t>Bean, Jones and Park</t>
  </si>
  <si>
    <t>West</t>
  </si>
  <si>
    <t>Thompsonborough</t>
  </si>
  <si>
    <t>STORE9</t>
  </si>
  <si>
    <t>Moore, Padilla and Butler</t>
  </si>
  <si>
    <t>East Johnstad</t>
  </si>
  <si>
    <t>STORE10</t>
  </si>
  <si>
    <t>Hill, Wagner and Ballard</t>
  </si>
  <si>
    <t>East Davidville</t>
  </si>
  <si>
    <t>STORE11</t>
  </si>
  <si>
    <t>Aguirre-Keller</t>
  </si>
  <si>
    <t>STORE12</t>
  </si>
  <si>
    <t>Thomas, Bridges and Harris</t>
  </si>
  <si>
    <t>Sabrinatown</t>
  </si>
  <si>
    <t>STORE13</t>
  </si>
  <si>
    <t>Gardner, Humphrey and Contreras</t>
  </si>
  <si>
    <t>STORE14</t>
  </si>
  <si>
    <t>Mcdonald Inc</t>
  </si>
  <si>
    <t>STORE15</t>
  </si>
  <si>
    <t>Shelton PLC</t>
  </si>
  <si>
    <t>East Jenniferstad</t>
  </si>
  <si>
    <t>STORE16</t>
  </si>
  <si>
    <t>Frederick-Wright</t>
  </si>
  <si>
    <t>New Jimmymouth</t>
  </si>
  <si>
    <t>STORE17</t>
  </si>
  <si>
    <t>Holloway Ltd</t>
  </si>
  <si>
    <t>Bensonhaven</t>
  </si>
  <si>
    <t>STORE18</t>
  </si>
  <si>
    <t>Guerrero-Schmitt</t>
  </si>
  <si>
    <t>East Stevechester</t>
  </si>
  <si>
    <t>STORE19</t>
  </si>
  <si>
    <t>Mann-Austin</t>
  </si>
  <si>
    <t>Vasquezborough</t>
  </si>
  <si>
    <t>Sales_ID</t>
  </si>
  <si>
    <t>Order_Date</t>
  </si>
  <si>
    <t>Quantity</t>
  </si>
  <si>
    <t>Unit_Price</t>
  </si>
  <si>
    <t>Discount</t>
  </si>
  <si>
    <t>Payment_Type</t>
  </si>
  <si>
    <t>Total_Amount</t>
  </si>
  <si>
    <t>SALE0</t>
  </si>
  <si>
    <t>Credit Card</t>
  </si>
  <si>
    <t>SALE1</t>
  </si>
  <si>
    <t>PayPal</t>
  </si>
  <si>
    <t>SALE2</t>
  </si>
  <si>
    <t>SALE3</t>
  </si>
  <si>
    <t>COD</t>
  </si>
  <si>
    <t>SALE4</t>
  </si>
  <si>
    <t>SALE5</t>
  </si>
  <si>
    <t>SALE6</t>
  </si>
  <si>
    <t>SALE7</t>
  </si>
  <si>
    <t>SALE8</t>
  </si>
  <si>
    <t>SALE9</t>
  </si>
  <si>
    <t>SALE10</t>
  </si>
  <si>
    <t>SALE11</t>
  </si>
  <si>
    <t>SALE12</t>
  </si>
  <si>
    <t>SALE13</t>
  </si>
  <si>
    <t>SALE14</t>
  </si>
  <si>
    <t>SALE15</t>
  </si>
  <si>
    <t>SALE16</t>
  </si>
  <si>
    <t>SALE17</t>
  </si>
  <si>
    <t>SALE18</t>
  </si>
  <si>
    <t>SALE19</t>
  </si>
  <si>
    <t>SALE20</t>
  </si>
  <si>
    <t>SALE21</t>
  </si>
  <si>
    <t>SALE22</t>
  </si>
  <si>
    <t>SALE23</t>
  </si>
  <si>
    <t>SALE24</t>
  </si>
  <si>
    <t>SALE25</t>
  </si>
  <si>
    <t>SALE26</t>
  </si>
  <si>
    <t>SALE27</t>
  </si>
  <si>
    <t>SALE28</t>
  </si>
  <si>
    <t>SALE29</t>
  </si>
  <si>
    <t>SALE30</t>
  </si>
  <si>
    <t>SALE31</t>
  </si>
  <si>
    <t>SALE32</t>
  </si>
  <si>
    <t>SALE33</t>
  </si>
  <si>
    <t>SALE34</t>
  </si>
  <si>
    <t>SALE35</t>
  </si>
  <si>
    <t>SALE36</t>
  </si>
  <si>
    <t>SALE37</t>
  </si>
  <si>
    <t>SALE38</t>
  </si>
  <si>
    <t>SALE39</t>
  </si>
  <si>
    <t>SALE40</t>
  </si>
  <si>
    <t>SALE41</t>
  </si>
  <si>
    <t>SALE42</t>
  </si>
  <si>
    <t>SALE43</t>
  </si>
  <si>
    <t>SALE44</t>
  </si>
  <si>
    <t>SALE45</t>
  </si>
  <si>
    <t>SALE46</t>
  </si>
  <si>
    <t>SALE47</t>
  </si>
  <si>
    <t>SALE48</t>
  </si>
  <si>
    <t>SALE49</t>
  </si>
  <si>
    <t>SALE50</t>
  </si>
  <si>
    <t>SALE51</t>
  </si>
  <si>
    <t>SALE52</t>
  </si>
  <si>
    <t>SALE53</t>
  </si>
  <si>
    <t>SALE54</t>
  </si>
  <si>
    <t>SALE55</t>
  </si>
  <si>
    <t>SALE56</t>
  </si>
  <si>
    <t>SALE57</t>
  </si>
  <si>
    <t>SALE58</t>
  </si>
  <si>
    <t>SALE59</t>
  </si>
  <si>
    <t>SALE60</t>
  </si>
  <si>
    <t>SALE61</t>
  </si>
  <si>
    <t>SALE62</t>
  </si>
  <si>
    <t>SALE63</t>
  </si>
  <si>
    <t>SALE64</t>
  </si>
  <si>
    <t>SALE65</t>
  </si>
  <si>
    <t>SALE66</t>
  </si>
  <si>
    <t>SALE67</t>
  </si>
  <si>
    <t>SALE68</t>
  </si>
  <si>
    <t>SALE69</t>
  </si>
  <si>
    <t>SALE70</t>
  </si>
  <si>
    <t>SALE71</t>
  </si>
  <si>
    <t>SALE72</t>
  </si>
  <si>
    <t>SALE73</t>
  </si>
  <si>
    <t>SALE74</t>
  </si>
  <si>
    <t>SALE75</t>
  </si>
  <si>
    <t>SALE76</t>
  </si>
  <si>
    <t>SALE77</t>
  </si>
  <si>
    <t>SALE78</t>
  </si>
  <si>
    <t>SALE79</t>
  </si>
  <si>
    <t>SALE80</t>
  </si>
  <si>
    <t>SALE81</t>
  </si>
  <si>
    <t>SALE82</t>
  </si>
  <si>
    <t>SALE83</t>
  </si>
  <si>
    <t>SALE84</t>
  </si>
  <si>
    <t>SALE85</t>
  </si>
  <si>
    <t>SALE86</t>
  </si>
  <si>
    <t>SALE87</t>
  </si>
  <si>
    <t>SALE88</t>
  </si>
  <si>
    <t>SALE89</t>
  </si>
  <si>
    <t>SALE90</t>
  </si>
  <si>
    <t>SALE91</t>
  </si>
  <si>
    <t>SALE92</t>
  </si>
  <si>
    <t>SALE93</t>
  </si>
  <si>
    <t>SALE94</t>
  </si>
  <si>
    <t>SALE95</t>
  </si>
  <si>
    <t>SALE96</t>
  </si>
  <si>
    <t>SALE97</t>
  </si>
  <si>
    <t>SALE98</t>
  </si>
  <si>
    <t>SALE99</t>
  </si>
  <si>
    <t>SALE100</t>
  </si>
  <si>
    <t>SALE101</t>
  </si>
  <si>
    <t>SALE102</t>
  </si>
  <si>
    <t>SALE103</t>
  </si>
  <si>
    <t>SALE104</t>
  </si>
  <si>
    <t>SALE105</t>
  </si>
  <si>
    <t>SALE106</t>
  </si>
  <si>
    <t>SALE107</t>
  </si>
  <si>
    <t>SALE108</t>
  </si>
  <si>
    <t>SALE109</t>
  </si>
  <si>
    <t>SALE110</t>
  </si>
  <si>
    <t>SALE111</t>
  </si>
  <si>
    <t>SALE112</t>
  </si>
  <si>
    <t>SALE113</t>
  </si>
  <si>
    <t>SALE114</t>
  </si>
  <si>
    <t>SALE115</t>
  </si>
  <si>
    <t>SALE116</t>
  </si>
  <si>
    <t>SALE117</t>
  </si>
  <si>
    <t>SALE118</t>
  </si>
  <si>
    <t>SALE119</t>
  </si>
  <si>
    <t>SALE120</t>
  </si>
  <si>
    <t>SALE121</t>
  </si>
  <si>
    <t>SALE122</t>
  </si>
  <si>
    <t>SALE123</t>
  </si>
  <si>
    <t>SALE124</t>
  </si>
  <si>
    <t>SALE125</t>
  </si>
  <si>
    <t>SALE126</t>
  </si>
  <si>
    <t>SALE127</t>
  </si>
  <si>
    <t>SALE128</t>
  </si>
  <si>
    <t>SALE129</t>
  </si>
  <si>
    <t>SALE130</t>
  </si>
  <si>
    <t>SALE131</t>
  </si>
  <si>
    <t>SALE132</t>
  </si>
  <si>
    <t>SALE133</t>
  </si>
  <si>
    <t>SALE134</t>
  </si>
  <si>
    <t>SALE135</t>
  </si>
  <si>
    <t>SALE136</t>
  </si>
  <si>
    <t>SALE137</t>
  </si>
  <si>
    <t>SALE138</t>
  </si>
  <si>
    <t>SALE139</t>
  </si>
  <si>
    <t>SALE140</t>
  </si>
  <si>
    <t>SALE141</t>
  </si>
  <si>
    <t>SALE142</t>
  </si>
  <si>
    <t>SALE143</t>
  </si>
  <si>
    <t>SALE144</t>
  </si>
  <si>
    <t>SALE145</t>
  </si>
  <si>
    <t>SALE146</t>
  </si>
  <si>
    <t>SALE147</t>
  </si>
  <si>
    <t>SALE148</t>
  </si>
  <si>
    <t>SALE149</t>
  </si>
  <si>
    <t>SALE150</t>
  </si>
  <si>
    <t>SALE151</t>
  </si>
  <si>
    <t>SALE152</t>
  </si>
  <si>
    <t>SALE153</t>
  </si>
  <si>
    <t>SALE154</t>
  </si>
  <si>
    <t>SALE155</t>
  </si>
  <si>
    <t>SALE156</t>
  </si>
  <si>
    <t>SALE157</t>
  </si>
  <si>
    <t>SALE158</t>
  </si>
  <si>
    <t>SALE159</t>
  </si>
  <si>
    <t>SALE160</t>
  </si>
  <si>
    <t>SALE161</t>
  </si>
  <si>
    <t>SALE162</t>
  </si>
  <si>
    <t>SALE163</t>
  </si>
  <si>
    <t>SALE164</t>
  </si>
  <si>
    <t>SALE165</t>
  </si>
  <si>
    <t>SALE166</t>
  </si>
  <si>
    <t>SALE167</t>
  </si>
  <si>
    <t>SALE168</t>
  </si>
  <si>
    <t>SALE169</t>
  </si>
  <si>
    <t>SALE170</t>
  </si>
  <si>
    <t>SALE171</t>
  </si>
  <si>
    <t>SALE172</t>
  </si>
  <si>
    <t>SALE173</t>
  </si>
  <si>
    <t>SALE174</t>
  </si>
  <si>
    <t>SALE175</t>
  </si>
  <si>
    <t>SALE176</t>
  </si>
  <si>
    <t>SALE177</t>
  </si>
  <si>
    <t>SALE178</t>
  </si>
  <si>
    <t>SALE179</t>
  </si>
  <si>
    <t>SALE180</t>
  </si>
  <si>
    <t>SALE181</t>
  </si>
  <si>
    <t>SALE182</t>
  </si>
  <si>
    <t>SALE183</t>
  </si>
  <si>
    <t>SALE184</t>
  </si>
  <si>
    <t>SALE185</t>
  </si>
  <si>
    <t>SALE186</t>
  </si>
  <si>
    <t>SALE187</t>
  </si>
  <si>
    <t>SALE188</t>
  </si>
  <si>
    <t>SALE189</t>
  </si>
  <si>
    <t>SALE190</t>
  </si>
  <si>
    <t>SALE191</t>
  </si>
  <si>
    <t>SALE192</t>
  </si>
  <si>
    <t>SALE193</t>
  </si>
  <si>
    <t>SALE194</t>
  </si>
  <si>
    <t>SALE195</t>
  </si>
  <si>
    <t>SALE196</t>
  </si>
  <si>
    <t>SALE197</t>
  </si>
  <si>
    <t>SALE198</t>
  </si>
  <si>
    <t>SALE199</t>
  </si>
  <si>
    <t>SALE200</t>
  </si>
  <si>
    <t>SALE201</t>
  </si>
  <si>
    <t>SALE202</t>
  </si>
  <si>
    <t>SALE203</t>
  </si>
  <si>
    <t>SALE204</t>
  </si>
  <si>
    <t>SALE205</t>
  </si>
  <si>
    <t>SALE206</t>
  </si>
  <si>
    <t>SALE207</t>
  </si>
  <si>
    <t>SALE208</t>
  </si>
  <si>
    <t>SALE209</t>
  </si>
  <si>
    <t>SALE210</t>
  </si>
  <si>
    <t>SALE211</t>
  </si>
  <si>
    <t>SALE212</t>
  </si>
  <si>
    <t>SALE213</t>
  </si>
  <si>
    <t>SALE214</t>
  </si>
  <si>
    <t>SALE215</t>
  </si>
  <si>
    <t>SALE216</t>
  </si>
  <si>
    <t>SALE217</t>
  </si>
  <si>
    <t>SALE218</t>
  </si>
  <si>
    <t>SALE219</t>
  </si>
  <si>
    <t>SALE220</t>
  </si>
  <si>
    <t>SALE221</t>
  </si>
  <si>
    <t>SALE222</t>
  </si>
  <si>
    <t>SALE223</t>
  </si>
  <si>
    <t>SALE224</t>
  </si>
  <si>
    <t>SALE225</t>
  </si>
  <si>
    <t>SALE226</t>
  </si>
  <si>
    <t>SALE227</t>
  </si>
  <si>
    <t>SALE228</t>
  </si>
  <si>
    <t>SALE229</t>
  </si>
  <si>
    <t>SALE230</t>
  </si>
  <si>
    <t>SALE231</t>
  </si>
  <si>
    <t>SALE232</t>
  </si>
  <si>
    <t>SALE233</t>
  </si>
  <si>
    <t>SALE234</t>
  </si>
  <si>
    <t>SALE235</t>
  </si>
  <si>
    <t>SALE236</t>
  </si>
  <si>
    <t>SALE237</t>
  </si>
  <si>
    <t>SALE238</t>
  </si>
  <si>
    <t>SALE239</t>
  </si>
  <si>
    <t>SALE240</t>
  </si>
  <si>
    <t>SALE241</t>
  </si>
  <si>
    <t>SALE242</t>
  </si>
  <si>
    <t>SALE243</t>
  </si>
  <si>
    <t>SALE244</t>
  </si>
  <si>
    <t>SALE245</t>
  </si>
  <si>
    <t>SALE246</t>
  </si>
  <si>
    <t>SALE247</t>
  </si>
  <si>
    <t>SALE248</t>
  </si>
  <si>
    <t>SALE249</t>
  </si>
  <si>
    <t>SALE250</t>
  </si>
  <si>
    <t>SALE251</t>
  </si>
  <si>
    <t>SALE252</t>
  </si>
  <si>
    <t>SALE253</t>
  </si>
  <si>
    <t>SALE254</t>
  </si>
  <si>
    <t>SALE255</t>
  </si>
  <si>
    <t>SALE256</t>
  </si>
  <si>
    <t>SALE257</t>
  </si>
  <si>
    <t>SALE258</t>
  </si>
  <si>
    <t>SALE259</t>
  </si>
  <si>
    <t>SALE260</t>
  </si>
  <si>
    <t>SALE261</t>
  </si>
  <si>
    <t>SALE262</t>
  </si>
  <si>
    <t>SALE263</t>
  </si>
  <si>
    <t>SALE264</t>
  </si>
  <si>
    <t>SALE265</t>
  </si>
  <si>
    <t>SALE266</t>
  </si>
  <si>
    <t>SALE267</t>
  </si>
  <si>
    <t>SALE268</t>
  </si>
  <si>
    <t>SALE269</t>
  </si>
  <si>
    <t>SALE270</t>
  </si>
  <si>
    <t>SALE271</t>
  </si>
  <si>
    <t>SALE272</t>
  </si>
  <si>
    <t>SALE273</t>
  </si>
  <si>
    <t>SALE274</t>
  </si>
  <si>
    <t>SALE275</t>
  </si>
  <si>
    <t>SALE276</t>
  </si>
  <si>
    <t>SALE277</t>
  </si>
  <si>
    <t>SALE278</t>
  </si>
  <si>
    <t>SALE279</t>
  </si>
  <si>
    <t>SALE280</t>
  </si>
  <si>
    <t>SALE281</t>
  </si>
  <si>
    <t>SALE282</t>
  </si>
  <si>
    <t>SALE283</t>
  </si>
  <si>
    <t>SALE284</t>
  </si>
  <si>
    <t>SALE285</t>
  </si>
  <si>
    <t>SALE286</t>
  </si>
  <si>
    <t>SALE287</t>
  </si>
  <si>
    <t>SALE288</t>
  </si>
  <si>
    <t>SALE289</t>
  </si>
  <si>
    <t>SALE290</t>
  </si>
  <si>
    <t>SALE291</t>
  </si>
  <si>
    <t>SALE292</t>
  </si>
  <si>
    <t>SALE293</t>
  </si>
  <si>
    <t>SALE294</t>
  </si>
  <si>
    <t>SALE295</t>
  </si>
  <si>
    <t>SALE296</t>
  </si>
  <si>
    <t>SALE297</t>
  </si>
  <si>
    <t>SALE298</t>
  </si>
  <si>
    <t>SALE299</t>
  </si>
  <si>
    <t>SALE300</t>
  </si>
  <si>
    <t>SALE301</t>
  </si>
  <si>
    <t>SALE302</t>
  </si>
  <si>
    <t>SALE303</t>
  </si>
  <si>
    <t>SALE304</t>
  </si>
  <si>
    <t>SALE305</t>
  </si>
  <si>
    <t>SALE306</t>
  </si>
  <si>
    <t>SALE307</t>
  </si>
  <si>
    <t>SALE308</t>
  </si>
  <si>
    <t>SALE309</t>
  </si>
  <si>
    <t>SALE310</t>
  </si>
  <si>
    <t>SALE311</t>
  </si>
  <si>
    <t>SALE312</t>
  </si>
  <si>
    <t>SALE313</t>
  </si>
  <si>
    <t>SALE314</t>
  </si>
  <si>
    <t>SALE315</t>
  </si>
  <si>
    <t>SALE316</t>
  </si>
  <si>
    <t>SALE317</t>
  </si>
  <si>
    <t>SALE318</t>
  </si>
  <si>
    <t>SALE319</t>
  </si>
  <si>
    <t>SALE320</t>
  </si>
  <si>
    <t>SALE321</t>
  </si>
  <si>
    <t>SALE322</t>
  </si>
  <si>
    <t>SALE323</t>
  </si>
  <si>
    <t>SALE324</t>
  </si>
  <si>
    <t>SALE325</t>
  </si>
  <si>
    <t>SALE326</t>
  </si>
  <si>
    <t>SALE327</t>
  </si>
  <si>
    <t>SALE328</t>
  </si>
  <si>
    <t>SALE329</t>
  </si>
  <si>
    <t>SALE330</t>
  </si>
  <si>
    <t>SALE331</t>
  </si>
  <si>
    <t>SALE332</t>
  </si>
  <si>
    <t>SALE333</t>
  </si>
  <si>
    <t>SALE334</t>
  </si>
  <si>
    <t>SALE335</t>
  </si>
  <si>
    <t>SALE336</t>
  </si>
  <si>
    <t>SALE337</t>
  </si>
  <si>
    <t>SALE338</t>
  </si>
  <si>
    <t>SALE339</t>
  </si>
  <si>
    <t>SALE340</t>
  </si>
  <si>
    <t>SALE341</t>
  </si>
  <si>
    <t>SALE342</t>
  </si>
  <si>
    <t>SALE343</t>
  </si>
  <si>
    <t>SALE344</t>
  </si>
  <si>
    <t>SALE345</t>
  </si>
  <si>
    <t>SALE346</t>
  </si>
  <si>
    <t>SALE347</t>
  </si>
  <si>
    <t>SALE348</t>
  </si>
  <si>
    <t>SALE349</t>
  </si>
  <si>
    <t>SALE350</t>
  </si>
  <si>
    <t>SALE351</t>
  </si>
  <si>
    <t>SALE352</t>
  </si>
  <si>
    <t>SALE353</t>
  </si>
  <si>
    <t>SALE354</t>
  </si>
  <si>
    <t>SALE355</t>
  </si>
  <si>
    <t>SALE356</t>
  </si>
  <si>
    <t>SALE357</t>
  </si>
  <si>
    <t>SALE358</t>
  </si>
  <si>
    <t>SALE359</t>
  </si>
  <si>
    <t>SALE360</t>
  </si>
  <si>
    <t>SALE361</t>
  </si>
  <si>
    <t>SALE362</t>
  </si>
  <si>
    <t>SALE363</t>
  </si>
  <si>
    <t>SALE364</t>
  </si>
  <si>
    <t>SALE365</t>
  </si>
  <si>
    <t>SALE366</t>
  </si>
  <si>
    <t>SALE367</t>
  </si>
  <si>
    <t>SALE368</t>
  </si>
  <si>
    <t>SALE369</t>
  </si>
  <si>
    <t>SALE370</t>
  </si>
  <si>
    <t>SALE371</t>
  </si>
  <si>
    <t>SALE372</t>
  </si>
  <si>
    <t>SALE373</t>
  </si>
  <si>
    <t>SALE374</t>
  </si>
  <si>
    <t>SALE375</t>
  </si>
  <si>
    <t>SALE376</t>
  </si>
  <si>
    <t>SALE377</t>
  </si>
  <si>
    <t>SALE378</t>
  </si>
  <si>
    <t>SALE379</t>
  </si>
  <si>
    <t>SALE380</t>
  </si>
  <si>
    <t>SALE381</t>
  </si>
  <si>
    <t>SALE382</t>
  </si>
  <si>
    <t>SALE383</t>
  </si>
  <si>
    <t>SALE384</t>
  </si>
  <si>
    <t>SALE385</t>
  </si>
  <si>
    <t>SALE386</t>
  </si>
  <si>
    <t>SALE387</t>
  </si>
  <si>
    <t>SALE388</t>
  </si>
  <si>
    <t>SALE389</t>
  </si>
  <si>
    <t>SALE390</t>
  </si>
  <si>
    <t>SALE391</t>
  </si>
  <si>
    <t>SALE392</t>
  </si>
  <si>
    <t>SALE393</t>
  </si>
  <si>
    <t>SALE394</t>
  </si>
  <si>
    <t>SALE395</t>
  </si>
  <si>
    <t>SALE396</t>
  </si>
  <si>
    <t>SALE397</t>
  </si>
  <si>
    <t>SALE398</t>
  </si>
  <si>
    <t>SALE399</t>
  </si>
  <si>
    <t>SALE400</t>
  </si>
  <si>
    <t>SALE401</t>
  </si>
  <si>
    <t>SALE402</t>
  </si>
  <si>
    <t>SALE403</t>
  </si>
  <si>
    <t>SALE404</t>
  </si>
  <si>
    <t>SALE405</t>
  </si>
  <si>
    <t>SALE406</t>
  </si>
  <si>
    <t>SALE407</t>
  </si>
  <si>
    <t>SALE408</t>
  </si>
  <si>
    <t>SALE409</t>
  </si>
  <si>
    <t>SALE410</t>
  </si>
  <si>
    <t>SALE411</t>
  </si>
  <si>
    <t>SALE412</t>
  </si>
  <si>
    <t>SALE413</t>
  </si>
  <si>
    <t>SALE414</t>
  </si>
  <si>
    <t>SALE415</t>
  </si>
  <si>
    <t>SALE416</t>
  </si>
  <si>
    <t>SALE417</t>
  </si>
  <si>
    <t>SALE418</t>
  </si>
  <si>
    <t>SALE419</t>
  </si>
  <si>
    <t>SALE420</t>
  </si>
  <si>
    <t>SALE421</t>
  </si>
  <si>
    <t>SALE422</t>
  </si>
  <si>
    <t>SALE423</t>
  </si>
  <si>
    <t>SALE424</t>
  </si>
  <si>
    <t>SALE425</t>
  </si>
  <si>
    <t>SALE426</t>
  </si>
  <si>
    <t>SALE427</t>
  </si>
  <si>
    <t>SALE428</t>
  </si>
  <si>
    <t>SALE429</t>
  </si>
  <si>
    <t>SALE430</t>
  </si>
  <si>
    <t>SALE431</t>
  </si>
  <si>
    <t>SALE432</t>
  </si>
  <si>
    <t>SALE433</t>
  </si>
  <si>
    <t>SALE434</t>
  </si>
  <si>
    <t>SALE435</t>
  </si>
  <si>
    <t>SALE436</t>
  </si>
  <si>
    <t>SALE437</t>
  </si>
  <si>
    <t>SALE438</t>
  </si>
  <si>
    <t>SALE439</t>
  </si>
  <si>
    <t>SALE440</t>
  </si>
  <si>
    <t>SALE441</t>
  </si>
  <si>
    <t>SALE442</t>
  </si>
  <si>
    <t>SALE443</t>
  </si>
  <si>
    <t>SALE444</t>
  </si>
  <si>
    <t>SALE445</t>
  </si>
  <si>
    <t>SALE446</t>
  </si>
  <si>
    <t>SALE447</t>
  </si>
  <si>
    <t>SALE448</t>
  </si>
  <si>
    <t>SALE449</t>
  </si>
  <si>
    <t>SALE450</t>
  </si>
  <si>
    <t>SALE451</t>
  </si>
  <si>
    <t>SALE452</t>
  </si>
  <si>
    <t>SALE453</t>
  </si>
  <si>
    <t>SALE454</t>
  </si>
  <si>
    <t>SALE455</t>
  </si>
  <si>
    <t>SALE456</t>
  </si>
  <si>
    <t>SALE457</t>
  </si>
  <si>
    <t>SALE458</t>
  </si>
  <si>
    <t>SALE459</t>
  </si>
  <si>
    <t>SALE460</t>
  </si>
  <si>
    <t>SALE461</t>
  </si>
  <si>
    <t>SALE462</t>
  </si>
  <si>
    <t>SALE463</t>
  </si>
  <si>
    <t>SALE464</t>
  </si>
  <si>
    <t>SALE465</t>
  </si>
  <si>
    <t>SALE466</t>
  </si>
  <si>
    <t>SALE467</t>
  </si>
  <si>
    <t>SALE468</t>
  </si>
  <si>
    <t>SALE469</t>
  </si>
  <si>
    <t>SALE470</t>
  </si>
  <si>
    <t>SALE471</t>
  </si>
  <si>
    <t>SALE472</t>
  </si>
  <si>
    <t>SALE473</t>
  </si>
  <si>
    <t>SALE474</t>
  </si>
  <si>
    <t>SALE475</t>
  </si>
  <si>
    <t>SALE476</t>
  </si>
  <si>
    <t>SALE477</t>
  </si>
  <si>
    <t>SALE478</t>
  </si>
  <si>
    <t>SALE479</t>
  </si>
  <si>
    <t>SALE480</t>
  </si>
  <si>
    <t>SALE481</t>
  </si>
  <si>
    <t>SALE482</t>
  </si>
  <si>
    <t>SALE483</t>
  </si>
  <si>
    <t>SALE484</t>
  </si>
  <si>
    <t>SALE485</t>
  </si>
  <si>
    <t>SALE486</t>
  </si>
  <si>
    <t>SALE487</t>
  </si>
  <si>
    <t>SALE488</t>
  </si>
  <si>
    <t>SALE489</t>
  </si>
  <si>
    <t>SALE490</t>
  </si>
  <si>
    <t>SALE491</t>
  </si>
  <si>
    <t>SALE492</t>
  </si>
  <si>
    <t>SALE493</t>
  </si>
  <si>
    <t>SALE494</t>
  </si>
  <si>
    <t>SALE495</t>
  </si>
  <si>
    <t>SALE496</t>
  </si>
  <si>
    <t>SALE497</t>
  </si>
  <si>
    <t>SALE498</t>
  </si>
  <si>
    <t>SALE499</t>
  </si>
  <si>
    <t>SALE500</t>
  </si>
  <si>
    <t>SALE501</t>
  </si>
  <si>
    <t>SALE502</t>
  </si>
  <si>
    <t>SALE503</t>
  </si>
  <si>
    <t>SALE504</t>
  </si>
  <si>
    <t>SALE505</t>
  </si>
  <si>
    <t>SALE506</t>
  </si>
  <si>
    <t>SALE507</t>
  </si>
  <si>
    <t>SALE508</t>
  </si>
  <si>
    <t>SALE509</t>
  </si>
  <si>
    <t>SALE510</t>
  </si>
  <si>
    <t>SALE511</t>
  </si>
  <si>
    <t>SALE512</t>
  </si>
  <si>
    <t>SALE513</t>
  </si>
  <si>
    <t>SALE514</t>
  </si>
  <si>
    <t>SALE515</t>
  </si>
  <si>
    <t>SALE516</t>
  </si>
  <si>
    <t>SALE517</t>
  </si>
  <si>
    <t>SALE518</t>
  </si>
  <si>
    <t>SALE519</t>
  </si>
  <si>
    <t>SALE520</t>
  </si>
  <si>
    <t>SALE521</t>
  </si>
  <si>
    <t>SALE522</t>
  </si>
  <si>
    <t>SALE523</t>
  </si>
  <si>
    <t>SALE524</t>
  </si>
  <si>
    <t>SALE525</t>
  </si>
  <si>
    <t>SALE526</t>
  </si>
  <si>
    <t>SALE527</t>
  </si>
  <si>
    <t>SALE528</t>
  </si>
  <si>
    <t>SALE529</t>
  </si>
  <si>
    <t>SALE530</t>
  </si>
  <si>
    <t>SALE531</t>
  </si>
  <si>
    <t>SALE532</t>
  </si>
  <si>
    <t>SALE533</t>
  </si>
  <si>
    <t>SALE534</t>
  </si>
  <si>
    <t>SALE535</t>
  </si>
  <si>
    <t>SALE536</t>
  </si>
  <si>
    <t>SALE537</t>
  </si>
  <si>
    <t>SALE538</t>
  </si>
  <si>
    <t>SALE539</t>
  </si>
  <si>
    <t>SALE540</t>
  </si>
  <si>
    <t>SALE541</t>
  </si>
  <si>
    <t>SALE542</t>
  </si>
  <si>
    <t>SALE543</t>
  </si>
  <si>
    <t>SALE544</t>
  </si>
  <si>
    <t>SALE545</t>
  </si>
  <si>
    <t>SALE546</t>
  </si>
  <si>
    <t>SALE547</t>
  </si>
  <si>
    <t>SALE548</t>
  </si>
  <si>
    <t>SALE549</t>
  </si>
  <si>
    <t>SALE550</t>
  </si>
  <si>
    <t>SALE551</t>
  </si>
  <si>
    <t>SALE552</t>
  </si>
  <si>
    <t>SALE553</t>
  </si>
  <si>
    <t>SALE554</t>
  </si>
  <si>
    <t>SALE555</t>
  </si>
  <si>
    <t>SALE556</t>
  </si>
  <si>
    <t>SALE557</t>
  </si>
  <si>
    <t>SALE558</t>
  </si>
  <si>
    <t>SALE559</t>
  </si>
  <si>
    <t>SALE560</t>
  </si>
  <si>
    <t>SALE561</t>
  </si>
  <si>
    <t>SALE562</t>
  </si>
  <si>
    <t>SALE563</t>
  </si>
  <si>
    <t>SALE564</t>
  </si>
  <si>
    <t>SALE565</t>
  </si>
  <si>
    <t>SALE566</t>
  </si>
  <si>
    <t>SALE567</t>
  </si>
  <si>
    <t>SALE568</t>
  </si>
  <si>
    <t>SALE569</t>
  </si>
  <si>
    <t>SALE570</t>
  </si>
  <si>
    <t>SALE571</t>
  </si>
  <si>
    <t>SALE572</t>
  </si>
  <si>
    <t>SALE573</t>
  </si>
  <si>
    <t>SALE574</t>
  </si>
  <si>
    <t>SALE575</t>
  </si>
  <si>
    <t>SALE576</t>
  </si>
  <si>
    <t>SALE577</t>
  </si>
  <si>
    <t>SALE578</t>
  </si>
  <si>
    <t>SALE579</t>
  </si>
  <si>
    <t>SALE580</t>
  </si>
  <si>
    <t>SALE581</t>
  </si>
  <si>
    <t>SALE582</t>
  </si>
  <si>
    <t>SALE583</t>
  </si>
  <si>
    <t>SALE584</t>
  </si>
  <si>
    <t>SALE585</t>
  </si>
  <si>
    <t>SALE586</t>
  </si>
  <si>
    <t>SALE587</t>
  </si>
  <si>
    <t>SALE588</t>
  </si>
  <si>
    <t>SALE589</t>
  </si>
  <si>
    <t>SALE590</t>
  </si>
  <si>
    <t>SALE591</t>
  </si>
  <si>
    <t>SALE592</t>
  </si>
  <si>
    <t>SALE593</t>
  </si>
  <si>
    <t>SALE594</t>
  </si>
  <si>
    <t>SALE595</t>
  </si>
  <si>
    <t>SALE596</t>
  </si>
  <si>
    <t>SALE597</t>
  </si>
  <si>
    <t>SALE598</t>
  </si>
  <si>
    <t>SALE599</t>
  </si>
  <si>
    <t>SALE600</t>
  </si>
  <si>
    <t>SALE601</t>
  </si>
  <si>
    <t>SALE602</t>
  </si>
  <si>
    <t>SALE603</t>
  </si>
  <si>
    <t>SALE604</t>
  </si>
  <si>
    <t>SALE605</t>
  </si>
  <si>
    <t>SALE606</t>
  </si>
  <si>
    <t>SALE607</t>
  </si>
  <si>
    <t>SALE608</t>
  </si>
  <si>
    <t>SALE609</t>
  </si>
  <si>
    <t>SALE610</t>
  </si>
  <si>
    <t>SALE611</t>
  </si>
  <si>
    <t>SALE612</t>
  </si>
  <si>
    <t>SALE613</t>
  </si>
  <si>
    <t>SALE614</t>
  </si>
  <si>
    <t>SALE615</t>
  </si>
  <si>
    <t>SALE616</t>
  </si>
  <si>
    <t>SALE617</t>
  </si>
  <si>
    <t>SALE618</t>
  </si>
  <si>
    <t>SALE619</t>
  </si>
  <si>
    <t>SALE620</t>
  </si>
  <si>
    <t>SALE621</t>
  </si>
  <si>
    <t>SALE622</t>
  </si>
  <si>
    <t>SALE623</t>
  </si>
  <si>
    <t>SALE624</t>
  </si>
  <si>
    <t>SALE625</t>
  </si>
  <si>
    <t>SALE626</t>
  </si>
  <si>
    <t>SALE627</t>
  </si>
  <si>
    <t>SALE628</t>
  </si>
  <si>
    <t>SALE629</t>
  </si>
  <si>
    <t>SALE630</t>
  </si>
  <si>
    <t>SALE631</t>
  </si>
  <si>
    <t>SALE632</t>
  </si>
  <si>
    <t>SALE633</t>
  </si>
  <si>
    <t>SALE634</t>
  </si>
  <si>
    <t>SALE635</t>
  </si>
  <si>
    <t>SALE636</t>
  </si>
  <si>
    <t>SALE637</t>
  </si>
  <si>
    <t>SALE638</t>
  </si>
  <si>
    <t>SALE639</t>
  </si>
  <si>
    <t>SALE640</t>
  </si>
  <si>
    <t>SALE641</t>
  </si>
  <si>
    <t>SALE642</t>
  </si>
  <si>
    <t>SALE643</t>
  </si>
  <si>
    <t>SALE644</t>
  </si>
  <si>
    <t>SALE645</t>
  </si>
  <si>
    <t>SALE646</t>
  </si>
  <si>
    <t>SALE647</t>
  </si>
  <si>
    <t>SALE648</t>
  </si>
  <si>
    <t>SALE649</t>
  </si>
  <si>
    <t>SALE650</t>
  </si>
  <si>
    <t>SALE651</t>
  </si>
  <si>
    <t>SALE652</t>
  </si>
  <si>
    <t>SALE653</t>
  </si>
  <si>
    <t>SALE654</t>
  </si>
  <si>
    <t>SALE655</t>
  </si>
  <si>
    <t>SALE656</t>
  </si>
  <si>
    <t>SALE657</t>
  </si>
  <si>
    <t>SALE658</t>
  </si>
  <si>
    <t>SALE659</t>
  </si>
  <si>
    <t>SALE660</t>
  </si>
  <si>
    <t>SALE661</t>
  </si>
  <si>
    <t>SALE662</t>
  </si>
  <si>
    <t>SALE663</t>
  </si>
  <si>
    <t>SALE664</t>
  </si>
  <si>
    <t>SALE665</t>
  </si>
  <si>
    <t>SALE666</t>
  </si>
  <si>
    <t>SALE667</t>
  </si>
  <si>
    <t>SALE668</t>
  </si>
  <si>
    <t>SALE669</t>
  </si>
  <si>
    <t>SALE670</t>
  </si>
  <si>
    <t>SALE671</t>
  </si>
  <si>
    <t>SALE672</t>
  </si>
  <si>
    <t>SALE673</t>
  </si>
  <si>
    <t>SALE674</t>
  </si>
  <si>
    <t>SALE675</t>
  </si>
  <si>
    <t>SALE676</t>
  </si>
  <si>
    <t>SALE677</t>
  </si>
  <si>
    <t>SALE678</t>
  </si>
  <si>
    <t>SALE679</t>
  </si>
  <si>
    <t>SALE680</t>
  </si>
  <si>
    <t>SALE681</t>
  </si>
  <si>
    <t>SALE682</t>
  </si>
  <si>
    <t>SALE683</t>
  </si>
  <si>
    <t>SALE684</t>
  </si>
  <si>
    <t>SALE685</t>
  </si>
  <si>
    <t>SALE686</t>
  </si>
  <si>
    <t>SALE687</t>
  </si>
  <si>
    <t>SALE688</t>
  </si>
  <si>
    <t>SALE689</t>
  </si>
  <si>
    <t>SALE690</t>
  </si>
  <si>
    <t>SALE691</t>
  </si>
  <si>
    <t>SALE692</t>
  </si>
  <si>
    <t>SALE693</t>
  </si>
  <si>
    <t>SALE694</t>
  </si>
  <si>
    <t>SALE695</t>
  </si>
  <si>
    <t>SALE696</t>
  </si>
  <si>
    <t>SALE697</t>
  </si>
  <si>
    <t>SALE698</t>
  </si>
  <si>
    <t>SALE699</t>
  </si>
  <si>
    <t>SALE700</t>
  </si>
  <si>
    <t>SALE701</t>
  </si>
  <si>
    <t>SALE702</t>
  </si>
  <si>
    <t>SALE703</t>
  </si>
  <si>
    <t>SALE704</t>
  </si>
  <si>
    <t>SALE705</t>
  </si>
  <si>
    <t>SALE706</t>
  </si>
  <si>
    <t>SALE707</t>
  </si>
  <si>
    <t>SALE708</t>
  </si>
  <si>
    <t>SALE709</t>
  </si>
  <si>
    <t>SALE710</t>
  </si>
  <si>
    <t>SALE711</t>
  </si>
  <si>
    <t>SALE712</t>
  </si>
  <si>
    <t>SALE713</t>
  </si>
  <si>
    <t>SALE714</t>
  </si>
  <si>
    <t>SALE715</t>
  </si>
  <si>
    <t>SALE716</t>
  </si>
  <si>
    <t>SALE717</t>
  </si>
  <si>
    <t>SALE718</t>
  </si>
  <si>
    <t>SALE719</t>
  </si>
  <si>
    <t>SALE720</t>
  </si>
  <si>
    <t>SALE721</t>
  </si>
  <si>
    <t>SALE722</t>
  </si>
  <si>
    <t>SALE723</t>
  </si>
  <si>
    <t>SALE724</t>
  </si>
  <si>
    <t>SALE725</t>
  </si>
  <si>
    <t>SALE726</t>
  </si>
  <si>
    <t>SALE727</t>
  </si>
  <si>
    <t>SALE728</t>
  </si>
  <si>
    <t>SALE729</t>
  </si>
  <si>
    <t>SALE730</t>
  </si>
  <si>
    <t>SALE731</t>
  </si>
  <si>
    <t>SALE732</t>
  </si>
  <si>
    <t>SALE733</t>
  </si>
  <si>
    <t>SALE734</t>
  </si>
  <si>
    <t>SALE735</t>
  </si>
  <si>
    <t>SALE736</t>
  </si>
  <si>
    <t>SALE737</t>
  </si>
  <si>
    <t>SALE738</t>
  </si>
  <si>
    <t>SALE739</t>
  </si>
  <si>
    <t>SALE740</t>
  </si>
  <si>
    <t>SALE741</t>
  </si>
  <si>
    <t>SALE742</t>
  </si>
  <si>
    <t>SALE743</t>
  </si>
  <si>
    <t>SALE744</t>
  </si>
  <si>
    <t>SALE745</t>
  </si>
  <si>
    <t>SALE746</t>
  </si>
  <si>
    <t>SALE747</t>
  </si>
  <si>
    <t>SALE748</t>
  </si>
  <si>
    <t>SALE749</t>
  </si>
  <si>
    <t>SALE750</t>
  </si>
  <si>
    <t>SALE751</t>
  </si>
  <si>
    <t>SALE752</t>
  </si>
  <si>
    <t>SALE753</t>
  </si>
  <si>
    <t>SALE754</t>
  </si>
  <si>
    <t>SALE755</t>
  </si>
  <si>
    <t>SALE756</t>
  </si>
  <si>
    <t>SALE757</t>
  </si>
  <si>
    <t>SALE758</t>
  </si>
  <si>
    <t>SALE759</t>
  </si>
  <si>
    <t>SALE760</t>
  </si>
  <si>
    <t>SALE761</t>
  </si>
  <si>
    <t>SALE762</t>
  </si>
  <si>
    <t>SALE763</t>
  </si>
  <si>
    <t>SALE764</t>
  </si>
  <si>
    <t>SALE765</t>
  </si>
  <si>
    <t>SALE766</t>
  </si>
  <si>
    <t>SALE767</t>
  </si>
  <si>
    <t>SALE768</t>
  </si>
  <si>
    <t>SALE769</t>
  </si>
  <si>
    <t>SALE770</t>
  </si>
  <si>
    <t>SALE771</t>
  </si>
  <si>
    <t>SALE772</t>
  </si>
  <si>
    <t>SALE773</t>
  </si>
  <si>
    <t>SALE774</t>
  </si>
  <si>
    <t>SALE775</t>
  </si>
  <si>
    <t>SALE776</t>
  </si>
  <si>
    <t>SALE777</t>
  </si>
  <si>
    <t>SALE778</t>
  </si>
  <si>
    <t>SALE779</t>
  </si>
  <si>
    <t>SALE780</t>
  </si>
  <si>
    <t>SALE781</t>
  </si>
  <si>
    <t>SALE782</t>
  </si>
  <si>
    <t>SALE783</t>
  </si>
  <si>
    <t>SALE784</t>
  </si>
  <si>
    <t>SALE785</t>
  </si>
  <si>
    <t>SALE786</t>
  </si>
  <si>
    <t>SALE787</t>
  </si>
  <si>
    <t>SALE788</t>
  </si>
  <si>
    <t>SALE789</t>
  </si>
  <si>
    <t>SALE790</t>
  </si>
  <si>
    <t>SALE791</t>
  </si>
  <si>
    <t>SALE792</t>
  </si>
  <si>
    <t>SALE793</t>
  </si>
  <si>
    <t>SALE794</t>
  </si>
  <si>
    <t>SALE795</t>
  </si>
  <si>
    <t>SALE796</t>
  </si>
  <si>
    <t>SALE797</t>
  </si>
  <si>
    <t>SALE798</t>
  </si>
  <si>
    <t>SALE799</t>
  </si>
  <si>
    <t>SALE800</t>
  </si>
  <si>
    <t>SALE801</t>
  </si>
  <si>
    <t>SALE802</t>
  </si>
  <si>
    <t>SALE803</t>
  </si>
  <si>
    <t>SALE804</t>
  </si>
  <si>
    <t>SALE805</t>
  </si>
  <si>
    <t>SALE806</t>
  </si>
  <si>
    <t>SALE807</t>
  </si>
  <si>
    <t>SALE808</t>
  </si>
  <si>
    <t>SALE809</t>
  </si>
  <si>
    <t>SALE810</t>
  </si>
  <si>
    <t>SALE811</t>
  </si>
  <si>
    <t>SALE812</t>
  </si>
  <si>
    <t>SALE813</t>
  </si>
  <si>
    <t>SALE814</t>
  </si>
  <si>
    <t>SALE815</t>
  </si>
  <si>
    <t>SALE816</t>
  </si>
  <si>
    <t>SALE817</t>
  </si>
  <si>
    <t>SALE818</t>
  </si>
  <si>
    <t>SALE819</t>
  </si>
  <si>
    <t>SALE820</t>
  </si>
  <si>
    <t>SALE821</t>
  </si>
  <si>
    <t>SALE822</t>
  </si>
  <si>
    <t>SALE823</t>
  </si>
  <si>
    <t>SALE824</t>
  </si>
  <si>
    <t>SALE825</t>
  </si>
  <si>
    <t>SALE826</t>
  </si>
  <si>
    <t>SALE827</t>
  </si>
  <si>
    <t>SALE828</t>
  </si>
  <si>
    <t>SALE829</t>
  </si>
  <si>
    <t>SALE830</t>
  </si>
  <si>
    <t>SALE831</t>
  </si>
  <si>
    <t>SALE832</t>
  </si>
  <si>
    <t>SALE833</t>
  </si>
  <si>
    <t>SALE834</t>
  </si>
  <si>
    <t>SALE835</t>
  </si>
  <si>
    <t>SALE836</t>
  </si>
  <si>
    <t>SALE837</t>
  </si>
  <si>
    <t>SALE838</t>
  </si>
  <si>
    <t>SALE839</t>
  </si>
  <si>
    <t>SALE840</t>
  </si>
  <si>
    <t>SALE841</t>
  </si>
  <si>
    <t>SALE842</t>
  </si>
  <si>
    <t>SALE843</t>
  </si>
  <si>
    <t>SALE844</t>
  </si>
  <si>
    <t>SALE845</t>
  </si>
  <si>
    <t>SALE846</t>
  </si>
  <si>
    <t>SALE847</t>
  </si>
  <si>
    <t>SALE848</t>
  </si>
  <si>
    <t>SALE849</t>
  </si>
  <si>
    <t>SALE850</t>
  </si>
  <si>
    <t>SALE851</t>
  </si>
  <si>
    <t>SALE852</t>
  </si>
  <si>
    <t>SALE853</t>
  </si>
  <si>
    <t>SALE854</t>
  </si>
  <si>
    <t>SALE855</t>
  </si>
  <si>
    <t>SALE856</t>
  </si>
  <si>
    <t>SALE857</t>
  </si>
  <si>
    <t>SALE858</t>
  </si>
  <si>
    <t>SALE859</t>
  </si>
  <si>
    <t>SALE860</t>
  </si>
  <si>
    <t>SALE861</t>
  </si>
  <si>
    <t>SALE862</t>
  </si>
  <si>
    <t>SALE863</t>
  </si>
  <si>
    <t>SALE864</t>
  </si>
  <si>
    <t>SALE865</t>
  </si>
  <si>
    <t>SALE866</t>
  </si>
  <si>
    <t>SALE867</t>
  </si>
  <si>
    <t>SALE868</t>
  </si>
  <si>
    <t>SALE869</t>
  </si>
  <si>
    <t>SALE870</t>
  </si>
  <si>
    <t>SALE871</t>
  </si>
  <si>
    <t>SALE872</t>
  </si>
  <si>
    <t>SALE873</t>
  </si>
  <si>
    <t>SALE874</t>
  </si>
  <si>
    <t>SALE875</t>
  </si>
  <si>
    <t>SALE876</t>
  </si>
  <si>
    <t>SALE877</t>
  </si>
  <si>
    <t>SALE878</t>
  </si>
  <si>
    <t>SALE879</t>
  </si>
  <si>
    <t>SALE880</t>
  </si>
  <si>
    <t>SALE881</t>
  </si>
  <si>
    <t>SALE882</t>
  </si>
  <si>
    <t>SALE883</t>
  </si>
  <si>
    <t>SALE884</t>
  </si>
  <si>
    <t>SALE885</t>
  </si>
  <si>
    <t>SALE886</t>
  </si>
  <si>
    <t>SALE887</t>
  </si>
  <si>
    <t>SALE888</t>
  </si>
  <si>
    <t>SALE889</t>
  </si>
  <si>
    <t>SALE890</t>
  </si>
  <si>
    <t>SALE891</t>
  </si>
  <si>
    <t>SALE892</t>
  </si>
  <si>
    <t>SALE893</t>
  </si>
  <si>
    <t>SALE894</t>
  </si>
  <si>
    <t>SALE895</t>
  </si>
  <si>
    <t>SALE896</t>
  </si>
  <si>
    <t>SALE897</t>
  </si>
  <si>
    <t>SALE898</t>
  </si>
  <si>
    <t>SALE899</t>
  </si>
  <si>
    <t>SALE900</t>
  </si>
  <si>
    <t>SALE901</t>
  </si>
  <si>
    <t>SALE902</t>
  </si>
  <si>
    <t>SALE903</t>
  </si>
  <si>
    <t>SALE904</t>
  </si>
  <si>
    <t>SALE905</t>
  </si>
  <si>
    <t>SALE906</t>
  </si>
  <si>
    <t>SALE907</t>
  </si>
  <si>
    <t>SALE908</t>
  </si>
  <si>
    <t>SALE909</t>
  </si>
  <si>
    <t>SALE910</t>
  </si>
  <si>
    <t>SALE911</t>
  </si>
  <si>
    <t>SALE912</t>
  </si>
  <si>
    <t>SALE913</t>
  </si>
  <si>
    <t>SALE914</t>
  </si>
  <si>
    <t>SALE915</t>
  </si>
  <si>
    <t>SALE916</t>
  </si>
  <si>
    <t>SALE917</t>
  </si>
  <si>
    <t>SALE918</t>
  </si>
  <si>
    <t>SALE919</t>
  </si>
  <si>
    <t>SALE920</t>
  </si>
  <si>
    <t>SALE921</t>
  </si>
  <si>
    <t>SALE922</t>
  </si>
  <si>
    <t>SALE923</t>
  </si>
  <si>
    <t>SALE924</t>
  </si>
  <si>
    <t>SALE925</t>
  </si>
  <si>
    <t>SALE926</t>
  </si>
  <si>
    <t>SALE927</t>
  </si>
  <si>
    <t>SALE928</t>
  </si>
  <si>
    <t>SALE929</t>
  </si>
  <si>
    <t>SALE930</t>
  </si>
  <si>
    <t>SALE931</t>
  </si>
  <si>
    <t>SALE932</t>
  </si>
  <si>
    <t>SALE933</t>
  </si>
  <si>
    <t>SALE934</t>
  </si>
  <si>
    <t>SALE935</t>
  </si>
  <si>
    <t>SALE936</t>
  </si>
  <si>
    <t>SALE937</t>
  </si>
  <si>
    <t>SALE938</t>
  </si>
  <si>
    <t>SALE939</t>
  </si>
  <si>
    <t>SALE940</t>
  </si>
  <si>
    <t>SALE941</t>
  </si>
  <si>
    <t>SALE942</t>
  </si>
  <si>
    <t>SALE943</t>
  </si>
  <si>
    <t>SALE944</t>
  </si>
  <si>
    <t>SALE945</t>
  </si>
  <si>
    <t>SALE946</t>
  </si>
  <si>
    <t>SALE947</t>
  </si>
  <si>
    <t>SALE948</t>
  </si>
  <si>
    <t>SALE949</t>
  </si>
  <si>
    <t>SALE950</t>
  </si>
  <si>
    <t>SALE951</t>
  </si>
  <si>
    <t>SALE952</t>
  </si>
  <si>
    <t>SALE953</t>
  </si>
  <si>
    <t>SALE954</t>
  </si>
  <si>
    <t>SALE955</t>
  </si>
  <si>
    <t>SALE956</t>
  </si>
  <si>
    <t>SALE957</t>
  </si>
  <si>
    <t>SALE958</t>
  </si>
  <si>
    <t>SALE959</t>
  </si>
  <si>
    <t>SALE960</t>
  </si>
  <si>
    <t>SALE961</t>
  </si>
  <si>
    <t>SALE962</t>
  </si>
  <si>
    <t>SALE963</t>
  </si>
  <si>
    <t>SALE964</t>
  </si>
  <si>
    <t>SALE965</t>
  </si>
  <si>
    <t>SALE966</t>
  </si>
  <si>
    <t>SALE967</t>
  </si>
  <si>
    <t>SALE968</t>
  </si>
  <si>
    <t>SALE969</t>
  </si>
  <si>
    <t>SALE970</t>
  </si>
  <si>
    <t>SALE971</t>
  </si>
  <si>
    <t>SALE972</t>
  </si>
  <si>
    <t>SALE973</t>
  </si>
  <si>
    <t>SALE974</t>
  </si>
  <si>
    <t>SALE975</t>
  </si>
  <si>
    <t>SALE976</t>
  </si>
  <si>
    <t>SALE977</t>
  </si>
  <si>
    <t>SALE978</t>
  </si>
  <si>
    <t>SALE979</t>
  </si>
  <si>
    <t>SALE980</t>
  </si>
  <si>
    <t>SALE981</t>
  </si>
  <si>
    <t>SALE982</t>
  </si>
  <si>
    <t>SALE983</t>
  </si>
  <si>
    <t>SALE984</t>
  </si>
  <si>
    <t>SALE985</t>
  </si>
  <si>
    <t>SALE986</t>
  </si>
  <si>
    <t>SALE987</t>
  </si>
  <si>
    <t>SALE988</t>
  </si>
  <si>
    <t>SALE989</t>
  </si>
  <si>
    <t>SALE990</t>
  </si>
  <si>
    <t>SALE991</t>
  </si>
  <si>
    <t>SALE992</t>
  </si>
  <si>
    <t>SALE993</t>
  </si>
  <si>
    <t>SALE994</t>
  </si>
  <si>
    <t>SALE995</t>
  </si>
  <si>
    <t>SALE996</t>
  </si>
  <si>
    <t>SALE997</t>
  </si>
  <si>
    <t>SALE998</t>
  </si>
  <si>
    <t>SALE999</t>
  </si>
  <si>
    <t>SALE1000</t>
  </si>
  <si>
    <t>SALE1001</t>
  </si>
  <si>
    <t>SALE1002</t>
  </si>
  <si>
    <t>SALE1003</t>
  </si>
  <si>
    <t>SALE1004</t>
  </si>
  <si>
    <t>SALE1005</t>
  </si>
  <si>
    <t>SALE1006</t>
  </si>
  <si>
    <t>SALE1007</t>
  </si>
  <si>
    <t>SALE1008</t>
  </si>
  <si>
    <t>SALE1009</t>
  </si>
  <si>
    <t>SALE1010</t>
  </si>
  <si>
    <t>SALE1011</t>
  </si>
  <si>
    <t>SALE1012</t>
  </si>
  <si>
    <t>SALE1013</t>
  </si>
  <si>
    <t>SALE1014</t>
  </si>
  <si>
    <t>SALE1015</t>
  </si>
  <si>
    <t>SALE1016</t>
  </si>
  <si>
    <t>SALE1017</t>
  </si>
  <si>
    <t>SALE1018</t>
  </si>
  <si>
    <t>SALE1019</t>
  </si>
  <si>
    <t>SALE1020</t>
  </si>
  <si>
    <t>SALE1021</t>
  </si>
  <si>
    <t>SALE1022</t>
  </si>
  <si>
    <t>SALE1023</t>
  </si>
  <si>
    <t>SALE1024</t>
  </si>
  <si>
    <t>SALE1025</t>
  </si>
  <si>
    <t>SALE1026</t>
  </si>
  <si>
    <t>SALE1027</t>
  </si>
  <si>
    <t>SALE1028</t>
  </si>
  <si>
    <t>SALE1029</t>
  </si>
  <si>
    <t>SALE1030</t>
  </si>
  <si>
    <t>SALE1031</t>
  </si>
  <si>
    <t>SALE1032</t>
  </si>
  <si>
    <t>SALE1033</t>
  </si>
  <si>
    <t>SALE1034</t>
  </si>
  <si>
    <t>SALE1035</t>
  </si>
  <si>
    <t>SALE1036</t>
  </si>
  <si>
    <t>SALE1037</t>
  </si>
  <si>
    <t>SALE1038</t>
  </si>
  <si>
    <t>SALE1039</t>
  </si>
  <si>
    <t>SALE1040</t>
  </si>
  <si>
    <t>SALE1041</t>
  </si>
  <si>
    <t>SALE1042</t>
  </si>
  <si>
    <t>SALE1043</t>
  </si>
  <si>
    <t>SALE1044</t>
  </si>
  <si>
    <t>SALE1045</t>
  </si>
  <si>
    <t>SALE1046</t>
  </si>
  <si>
    <t>SALE1047</t>
  </si>
  <si>
    <t>SALE1048</t>
  </si>
  <si>
    <t>SALE1049</t>
  </si>
  <si>
    <t>SALE1050</t>
  </si>
  <si>
    <t>SALE1051</t>
  </si>
  <si>
    <t>SALE1052</t>
  </si>
  <si>
    <t>SALE1053</t>
  </si>
  <si>
    <t>SALE1054</t>
  </si>
  <si>
    <t>SALE1055</t>
  </si>
  <si>
    <t>SALE1056</t>
  </si>
  <si>
    <t>SALE1057</t>
  </si>
  <si>
    <t>SALE1058</t>
  </si>
  <si>
    <t>SALE1059</t>
  </si>
  <si>
    <t>SALE1060</t>
  </si>
  <si>
    <t>SALE1061</t>
  </si>
  <si>
    <t>SALE1062</t>
  </si>
  <si>
    <t>SALE1063</t>
  </si>
  <si>
    <t>SALE1064</t>
  </si>
  <si>
    <t>SALE1065</t>
  </si>
  <si>
    <t>SALE1066</t>
  </si>
  <si>
    <t>SALE1067</t>
  </si>
  <si>
    <t>SALE1068</t>
  </si>
  <si>
    <t>SALE1069</t>
  </si>
  <si>
    <t>SALE1070</t>
  </si>
  <si>
    <t>SALE1071</t>
  </si>
  <si>
    <t>SALE1072</t>
  </si>
  <si>
    <t>SALE1073</t>
  </si>
  <si>
    <t>SALE1074</t>
  </si>
  <si>
    <t>SALE1075</t>
  </si>
  <si>
    <t>SALE1076</t>
  </si>
  <si>
    <t>SALE1077</t>
  </si>
  <si>
    <t>SALE1078</t>
  </si>
  <si>
    <t>SALE1079</t>
  </si>
  <si>
    <t>SALE1080</t>
  </si>
  <si>
    <t>SALE1081</t>
  </si>
  <si>
    <t>SALE1082</t>
  </si>
  <si>
    <t>SALE1083</t>
  </si>
  <si>
    <t>SALE1084</t>
  </si>
  <si>
    <t>SALE1085</t>
  </si>
  <si>
    <t>SALE1086</t>
  </si>
  <si>
    <t>SALE1087</t>
  </si>
  <si>
    <t>SALE1088</t>
  </si>
  <si>
    <t>SALE1089</t>
  </si>
  <si>
    <t>SALE1090</t>
  </si>
  <si>
    <t>SALE1091</t>
  </si>
  <si>
    <t>SALE1092</t>
  </si>
  <si>
    <t>SALE1093</t>
  </si>
  <si>
    <t>SALE1094</t>
  </si>
  <si>
    <t>SALE1095</t>
  </si>
  <si>
    <t>SALE1096</t>
  </si>
  <si>
    <t>SALE1097</t>
  </si>
  <si>
    <t>SALE1098</t>
  </si>
  <si>
    <t>SALE1099</t>
  </si>
  <si>
    <t>SALE1100</t>
  </si>
  <si>
    <t>SALE1101</t>
  </si>
  <si>
    <t>SALE1102</t>
  </si>
  <si>
    <t>SALE1103</t>
  </si>
  <si>
    <t>SALE1104</t>
  </si>
  <si>
    <t>SALE1105</t>
  </si>
  <si>
    <t>SALE1106</t>
  </si>
  <si>
    <t>SALE1107</t>
  </si>
  <si>
    <t>SALE1108</t>
  </si>
  <si>
    <t>SALE1109</t>
  </si>
  <si>
    <t>SALE1110</t>
  </si>
  <si>
    <t>SALE1111</t>
  </si>
  <si>
    <t>SALE1112</t>
  </si>
  <si>
    <t>SALE1113</t>
  </si>
  <si>
    <t>SALE1114</t>
  </si>
  <si>
    <t>SALE1115</t>
  </si>
  <si>
    <t>SALE1116</t>
  </si>
  <si>
    <t>SALE1117</t>
  </si>
  <si>
    <t>SALE1118</t>
  </si>
  <si>
    <t>SALE1119</t>
  </si>
  <si>
    <t>SALE1120</t>
  </si>
  <si>
    <t>SALE1121</t>
  </si>
  <si>
    <t>SALE1122</t>
  </si>
  <si>
    <t>SALE1123</t>
  </si>
  <si>
    <t>SALE1124</t>
  </si>
  <si>
    <t>SALE1125</t>
  </si>
  <si>
    <t>SALE1126</t>
  </si>
  <si>
    <t>SALE1127</t>
  </si>
  <si>
    <t>SALE1128</t>
  </si>
  <si>
    <t>SALE1129</t>
  </si>
  <si>
    <t>SALE1130</t>
  </si>
  <si>
    <t>SALE1131</t>
  </si>
  <si>
    <t>SALE1132</t>
  </si>
  <si>
    <t>SALE1133</t>
  </si>
  <si>
    <t>SALE1134</t>
  </si>
  <si>
    <t>SALE1135</t>
  </si>
  <si>
    <t>SALE1136</t>
  </si>
  <si>
    <t>SALE1137</t>
  </si>
  <si>
    <t>SALE1138</t>
  </si>
  <si>
    <t>SALE1139</t>
  </si>
  <si>
    <t>SALE1140</t>
  </si>
  <si>
    <t>SALE1141</t>
  </si>
  <si>
    <t>SALE1142</t>
  </si>
  <si>
    <t>SALE1143</t>
  </si>
  <si>
    <t>SALE1144</t>
  </si>
  <si>
    <t>SALE1145</t>
  </si>
  <si>
    <t>SALE1146</t>
  </si>
  <si>
    <t>SALE1147</t>
  </si>
  <si>
    <t>SALE1148</t>
  </si>
  <si>
    <t>SALE1149</t>
  </si>
  <si>
    <t>SALE1150</t>
  </si>
  <si>
    <t>SALE1151</t>
  </si>
  <si>
    <t>SALE1152</t>
  </si>
  <si>
    <t>SALE1153</t>
  </si>
  <si>
    <t>SALE1154</t>
  </si>
  <si>
    <t>SALE1155</t>
  </si>
  <si>
    <t>SALE1156</t>
  </si>
  <si>
    <t>SALE1157</t>
  </si>
  <si>
    <t>SALE1158</t>
  </si>
  <si>
    <t>SALE1159</t>
  </si>
  <si>
    <t>SALE1160</t>
  </si>
  <si>
    <t>SALE1161</t>
  </si>
  <si>
    <t>SALE1162</t>
  </si>
  <si>
    <t>SALE1163</t>
  </si>
  <si>
    <t>SALE1164</t>
  </si>
  <si>
    <t>SALE1165</t>
  </si>
  <si>
    <t>SALE1166</t>
  </si>
  <si>
    <t>SALE1167</t>
  </si>
  <si>
    <t>SALE1168</t>
  </si>
  <si>
    <t>SALE1169</t>
  </si>
  <si>
    <t>SALE1170</t>
  </si>
  <si>
    <t>SALE1171</t>
  </si>
  <si>
    <t>SALE1172</t>
  </si>
  <si>
    <t>SALE1173</t>
  </si>
  <si>
    <t>SALE1174</t>
  </si>
  <si>
    <t>SALE1175</t>
  </si>
  <si>
    <t>SALE1176</t>
  </si>
  <si>
    <t>SALE1177</t>
  </si>
  <si>
    <t>SALE1178</t>
  </si>
  <si>
    <t>SALE1179</t>
  </si>
  <si>
    <t>SALE1180</t>
  </si>
  <si>
    <t>SALE1181</t>
  </si>
  <si>
    <t>SALE1182</t>
  </si>
  <si>
    <t>SALE1183</t>
  </si>
  <si>
    <t>SALE1184</t>
  </si>
  <si>
    <t>SALE1185</t>
  </si>
  <si>
    <t>SALE1186</t>
  </si>
  <si>
    <t>SALE1187</t>
  </si>
  <si>
    <t>SALE1188</t>
  </si>
  <si>
    <t>SALE1189</t>
  </si>
  <si>
    <t>SALE1190</t>
  </si>
  <si>
    <t>SALE1191</t>
  </si>
  <si>
    <t>SALE1192</t>
  </si>
  <si>
    <t>SALE1193</t>
  </si>
  <si>
    <t>SALE1194</t>
  </si>
  <si>
    <t>SALE1195</t>
  </si>
  <si>
    <t>SALE1196</t>
  </si>
  <si>
    <t>SALE1197</t>
  </si>
  <si>
    <t>SALE1198</t>
  </si>
  <si>
    <t>SALE1199</t>
  </si>
  <si>
    <t>SALE1200</t>
  </si>
  <si>
    <t>SALE1201</t>
  </si>
  <si>
    <t>SALE1202</t>
  </si>
  <si>
    <t>SALE1203</t>
  </si>
  <si>
    <t>SALE1204</t>
  </si>
  <si>
    <t>SALE1205</t>
  </si>
  <si>
    <t>SALE1206</t>
  </si>
  <si>
    <t>SALE1207</t>
  </si>
  <si>
    <t>SALE1208</t>
  </si>
  <si>
    <t>SALE1209</t>
  </si>
  <si>
    <t>SALE1210</t>
  </si>
  <si>
    <t>SALE1211</t>
  </si>
  <si>
    <t>SALE1212</t>
  </si>
  <si>
    <t>SALE1213</t>
  </si>
  <si>
    <t>SALE1214</t>
  </si>
  <si>
    <t>SALE1215</t>
  </si>
  <si>
    <t>SALE1216</t>
  </si>
  <si>
    <t>SALE1217</t>
  </si>
  <si>
    <t>SALE1218</t>
  </si>
  <si>
    <t>SALE1219</t>
  </si>
  <si>
    <t>SALE1220</t>
  </si>
  <si>
    <t>SALE1221</t>
  </si>
  <si>
    <t>SALE1222</t>
  </si>
  <si>
    <t>SALE1223</t>
  </si>
  <si>
    <t>SALE1224</t>
  </si>
  <si>
    <t>SALE1225</t>
  </si>
  <si>
    <t>SALE1226</t>
  </si>
  <si>
    <t>SALE1227</t>
  </si>
  <si>
    <t>SALE1228</t>
  </si>
  <si>
    <t>SALE1229</t>
  </si>
  <si>
    <t>SALE1230</t>
  </si>
  <si>
    <t>SALE1231</t>
  </si>
  <si>
    <t>SALE1232</t>
  </si>
  <si>
    <t>SALE1233</t>
  </si>
  <si>
    <t>SALE1234</t>
  </si>
  <si>
    <t>SALE1235</t>
  </si>
  <si>
    <t>SALE1236</t>
  </si>
  <si>
    <t>SALE1237</t>
  </si>
  <si>
    <t>SALE1238</t>
  </si>
  <si>
    <t>SALE1239</t>
  </si>
  <si>
    <t>SALE1240</t>
  </si>
  <si>
    <t>SALE1241</t>
  </si>
  <si>
    <t>SALE1242</t>
  </si>
  <si>
    <t>SALE1243</t>
  </si>
  <si>
    <t>SALE1244</t>
  </si>
  <si>
    <t>SALE1245</t>
  </si>
  <si>
    <t>SALE1246</t>
  </si>
  <si>
    <t>SALE1247</t>
  </si>
  <si>
    <t>SALE1248</t>
  </si>
  <si>
    <t>SALE1249</t>
  </si>
  <si>
    <t>SALE1250</t>
  </si>
  <si>
    <t>SALE1251</t>
  </si>
  <si>
    <t>SALE1252</t>
  </si>
  <si>
    <t>SALE1253</t>
  </si>
  <si>
    <t>SALE1254</t>
  </si>
  <si>
    <t>SALE1255</t>
  </si>
  <si>
    <t>SALE1256</t>
  </si>
  <si>
    <t>SALE1257</t>
  </si>
  <si>
    <t>SALE1258</t>
  </si>
  <si>
    <t>SALE1259</t>
  </si>
  <si>
    <t>SALE1260</t>
  </si>
  <si>
    <t>SALE1261</t>
  </si>
  <si>
    <t>SALE1262</t>
  </si>
  <si>
    <t>SALE1263</t>
  </si>
  <si>
    <t>SALE1264</t>
  </si>
  <si>
    <t>SALE1265</t>
  </si>
  <si>
    <t>SALE1266</t>
  </si>
  <si>
    <t>SALE1267</t>
  </si>
  <si>
    <t>SALE1268</t>
  </si>
  <si>
    <t>SALE1269</t>
  </si>
  <si>
    <t>SALE1270</t>
  </si>
  <si>
    <t>SALE1271</t>
  </si>
  <si>
    <t>SALE1272</t>
  </si>
  <si>
    <t>SALE1273</t>
  </si>
  <si>
    <t>SALE1274</t>
  </si>
  <si>
    <t>SALE1275</t>
  </si>
  <si>
    <t>SALE1276</t>
  </si>
  <si>
    <t>SALE1277</t>
  </si>
  <si>
    <t>SALE1278</t>
  </si>
  <si>
    <t>SALE1279</t>
  </si>
  <si>
    <t>SALE1280</t>
  </si>
  <si>
    <t>SALE1281</t>
  </si>
  <si>
    <t>SALE1282</t>
  </si>
  <si>
    <t>SALE1283</t>
  </si>
  <si>
    <t>SALE1284</t>
  </si>
  <si>
    <t>SALE1285</t>
  </si>
  <si>
    <t>SALE1286</t>
  </si>
  <si>
    <t>SALE1287</t>
  </si>
  <si>
    <t>SALE1288</t>
  </si>
  <si>
    <t>SALE1289</t>
  </si>
  <si>
    <t>SALE1290</t>
  </si>
  <si>
    <t>SALE1291</t>
  </si>
  <si>
    <t>SALE1292</t>
  </si>
  <si>
    <t>SALE1293</t>
  </si>
  <si>
    <t>SALE1294</t>
  </si>
  <si>
    <t>SALE1295</t>
  </si>
  <si>
    <t>SALE1296</t>
  </si>
  <si>
    <t>SALE1297</t>
  </si>
  <si>
    <t>SALE1298</t>
  </si>
  <si>
    <t>SALE1299</t>
  </si>
  <si>
    <t>SALE1300</t>
  </si>
  <si>
    <t>SALE1301</t>
  </si>
  <si>
    <t>SALE1302</t>
  </si>
  <si>
    <t>SALE1303</t>
  </si>
  <si>
    <t>SALE1304</t>
  </si>
  <si>
    <t>SALE1305</t>
  </si>
  <si>
    <t>SALE1306</t>
  </si>
  <si>
    <t>SALE1307</t>
  </si>
  <si>
    <t>SALE1308</t>
  </si>
  <si>
    <t>SALE1309</t>
  </si>
  <si>
    <t>SALE1310</t>
  </si>
  <si>
    <t>SALE1311</t>
  </si>
  <si>
    <t>SALE1312</t>
  </si>
  <si>
    <t>SALE1313</t>
  </si>
  <si>
    <t>SALE1314</t>
  </si>
  <si>
    <t>SALE1315</t>
  </si>
  <si>
    <t>SALE1316</t>
  </si>
  <si>
    <t>SALE1317</t>
  </si>
  <si>
    <t>SALE1318</t>
  </si>
  <si>
    <t>SALE1319</t>
  </si>
  <si>
    <t>SALE1320</t>
  </si>
  <si>
    <t>SALE1321</t>
  </si>
  <si>
    <t>SALE1322</t>
  </si>
  <si>
    <t>SALE1323</t>
  </si>
  <si>
    <t>SALE1324</t>
  </si>
  <si>
    <t>SALE1325</t>
  </si>
  <si>
    <t>SALE1326</t>
  </si>
  <si>
    <t>SALE1327</t>
  </si>
  <si>
    <t>SALE1328</t>
  </si>
  <si>
    <t>SALE1329</t>
  </si>
  <si>
    <t>SALE1330</t>
  </si>
  <si>
    <t>SALE1331</t>
  </si>
  <si>
    <t>SALE1332</t>
  </si>
  <si>
    <t>SALE1333</t>
  </si>
  <si>
    <t>SALE1334</t>
  </si>
  <si>
    <t>SALE1335</t>
  </si>
  <si>
    <t>SALE1336</t>
  </si>
  <si>
    <t>SALE1337</t>
  </si>
  <si>
    <t>SALE1338</t>
  </si>
  <si>
    <t>SALE1339</t>
  </si>
  <si>
    <t>SALE1340</t>
  </si>
  <si>
    <t>SALE1341</t>
  </si>
  <si>
    <t>SALE1342</t>
  </si>
  <si>
    <t>SALE1343</t>
  </si>
  <si>
    <t>SALE1344</t>
  </si>
  <si>
    <t>SALE1345</t>
  </si>
  <si>
    <t>SALE1346</t>
  </si>
  <si>
    <t>SALE1347</t>
  </si>
  <si>
    <t>SALE1348</t>
  </si>
  <si>
    <t>SALE1349</t>
  </si>
  <si>
    <t>SALE1350</t>
  </si>
  <si>
    <t>SALE1351</t>
  </si>
  <si>
    <t>SALE1352</t>
  </si>
  <si>
    <t>SALE1353</t>
  </si>
  <si>
    <t>SALE1354</t>
  </si>
  <si>
    <t>SALE1355</t>
  </si>
  <si>
    <t>SALE1356</t>
  </si>
  <si>
    <t>SALE1357</t>
  </si>
  <si>
    <t>SALE1358</t>
  </si>
  <si>
    <t>SALE1359</t>
  </si>
  <si>
    <t>SALE1360</t>
  </si>
  <si>
    <t>SALE1361</t>
  </si>
  <si>
    <t>SALE1362</t>
  </si>
  <si>
    <t>SALE1363</t>
  </si>
  <si>
    <t>SALE1364</t>
  </si>
  <si>
    <t>SALE1365</t>
  </si>
  <si>
    <t>SALE1366</t>
  </si>
  <si>
    <t>SALE1367</t>
  </si>
  <si>
    <t>SALE1368</t>
  </si>
  <si>
    <t>SALE1369</t>
  </si>
  <si>
    <t>SALE1370</t>
  </si>
  <si>
    <t>SALE1371</t>
  </si>
  <si>
    <t>SALE1372</t>
  </si>
  <si>
    <t>SALE1373</t>
  </si>
  <si>
    <t>SALE1374</t>
  </si>
  <si>
    <t>SALE1375</t>
  </si>
  <si>
    <t>SALE1376</t>
  </si>
  <si>
    <t>SALE1377</t>
  </si>
  <si>
    <t>SALE1378</t>
  </si>
  <si>
    <t>SALE1379</t>
  </si>
  <si>
    <t>SALE1380</t>
  </si>
  <si>
    <t>SALE1381</t>
  </si>
  <si>
    <t>SALE1382</t>
  </si>
  <si>
    <t>SALE1383</t>
  </si>
  <si>
    <t>SALE1384</t>
  </si>
  <si>
    <t>SALE1385</t>
  </si>
  <si>
    <t>SALE1386</t>
  </si>
  <si>
    <t>SALE1387</t>
  </si>
  <si>
    <t>SALE1388</t>
  </si>
  <si>
    <t>SALE1389</t>
  </si>
  <si>
    <t>SALE1390</t>
  </si>
  <si>
    <t>SALE1391</t>
  </si>
  <si>
    <t>SALE1392</t>
  </si>
  <si>
    <t>SALE1393</t>
  </si>
  <si>
    <t>SALE1394</t>
  </si>
  <si>
    <t>SALE1395</t>
  </si>
  <si>
    <t>SALE1396</t>
  </si>
  <si>
    <t>SALE1397</t>
  </si>
  <si>
    <t>SALE1398</t>
  </si>
  <si>
    <t>SALE1399</t>
  </si>
  <si>
    <t>SALE1400</t>
  </si>
  <si>
    <t>SALE1401</t>
  </si>
  <si>
    <t>SALE1402</t>
  </si>
  <si>
    <t>SALE1403</t>
  </si>
  <si>
    <t>SALE1404</t>
  </si>
  <si>
    <t>SALE1405</t>
  </si>
  <si>
    <t>SALE1406</t>
  </si>
  <si>
    <t>SALE1407</t>
  </si>
  <si>
    <t>SALE1408</t>
  </si>
  <si>
    <t>SALE1409</t>
  </si>
  <si>
    <t>SALE1410</t>
  </si>
  <si>
    <t>SALE1411</t>
  </si>
  <si>
    <t>SALE1412</t>
  </si>
  <si>
    <t>SALE1413</t>
  </si>
  <si>
    <t>SALE1414</t>
  </si>
  <si>
    <t>SALE1415</t>
  </si>
  <si>
    <t>SALE1416</t>
  </si>
  <si>
    <t>SALE1417</t>
  </si>
  <si>
    <t>SALE1418</t>
  </si>
  <si>
    <t>SALE1419</t>
  </si>
  <si>
    <t>SALE1420</t>
  </si>
  <si>
    <t>SALE1421</t>
  </si>
  <si>
    <t>SALE1422</t>
  </si>
  <si>
    <t>SALE1423</t>
  </si>
  <si>
    <t>SALE1424</t>
  </si>
  <si>
    <t>SALE1425</t>
  </si>
  <si>
    <t>SALE1426</t>
  </si>
  <si>
    <t>SALE1427</t>
  </si>
  <si>
    <t>SALE1428</t>
  </si>
  <si>
    <t>SALE1429</t>
  </si>
  <si>
    <t>SALE1430</t>
  </si>
  <si>
    <t>SALE1431</t>
  </si>
  <si>
    <t>SALE1432</t>
  </si>
  <si>
    <t>SALE1433</t>
  </si>
  <si>
    <t>SALE1434</t>
  </si>
  <si>
    <t>SALE1435</t>
  </si>
  <si>
    <t>SALE1436</t>
  </si>
  <si>
    <t>SALE1437</t>
  </si>
  <si>
    <t>SALE1438</t>
  </si>
  <si>
    <t>SALE1439</t>
  </si>
  <si>
    <t>SALE1440</t>
  </si>
  <si>
    <t>SALE1441</t>
  </si>
  <si>
    <t>SALE1442</t>
  </si>
  <si>
    <t>SALE1443</t>
  </si>
  <si>
    <t>SALE1444</t>
  </si>
  <si>
    <t>SALE1445</t>
  </si>
  <si>
    <t>SALE1446</t>
  </si>
  <si>
    <t>SALE1447</t>
  </si>
  <si>
    <t>SALE1448</t>
  </si>
  <si>
    <t>SALE1449</t>
  </si>
  <si>
    <t>SALE1450</t>
  </si>
  <si>
    <t>SALE1451</t>
  </si>
  <si>
    <t>SALE1452</t>
  </si>
  <si>
    <t>SALE1453</t>
  </si>
  <si>
    <t>SALE1454</t>
  </si>
  <si>
    <t>SALE1455</t>
  </si>
  <si>
    <t>SALE1456</t>
  </si>
  <si>
    <t>SALE1457</t>
  </si>
  <si>
    <t>SALE1458</t>
  </si>
  <si>
    <t>SALE1459</t>
  </si>
  <si>
    <t>SALE1460</t>
  </si>
  <si>
    <t>SALE1461</t>
  </si>
  <si>
    <t>SALE1462</t>
  </si>
  <si>
    <t>SALE1463</t>
  </si>
  <si>
    <t>SALE1464</t>
  </si>
  <si>
    <t>SALE1465</t>
  </si>
  <si>
    <t>SALE1466</t>
  </si>
  <si>
    <t>SALE1467</t>
  </si>
  <si>
    <t>SALE1468</t>
  </si>
  <si>
    <t>SALE1469</t>
  </si>
  <si>
    <t>SALE1470</t>
  </si>
  <si>
    <t>SALE1471</t>
  </si>
  <si>
    <t>SALE1472</t>
  </si>
  <si>
    <t>SALE1473</t>
  </si>
  <si>
    <t>SALE1474</t>
  </si>
  <si>
    <t>SALE1475</t>
  </si>
  <si>
    <t>SALE1476</t>
  </si>
  <si>
    <t>SALE1477</t>
  </si>
  <si>
    <t>SALE1478</t>
  </si>
  <si>
    <t>SALE1479</t>
  </si>
  <si>
    <t>SALE1480</t>
  </si>
  <si>
    <t>SALE1481</t>
  </si>
  <si>
    <t>SALE1482</t>
  </si>
  <si>
    <t>SALE1483</t>
  </si>
  <si>
    <t>SALE1484</t>
  </si>
  <si>
    <t>SALE1485</t>
  </si>
  <si>
    <t>SALE1486</t>
  </si>
  <si>
    <t>SALE1487</t>
  </si>
  <si>
    <t>SALE1488</t>
  </si>
  <si>
    <t>SALE1489</t>
  </si>
  <si>
    <t>SALE1490</t>
  </si>
  <si>
    <t>SALE1491</t>
  </si>
  <si>
    <t>SALE1492</t>
  </si>
  <si>
    <t>SALE1493</t>
  </si>
  <si>
    <t>SALE1494</t>
  </si>
  <si>
    <t>SALE1495</t>
  </si>
  <si>
    <t>SALE1496</t>
  </si>
  <si>
    <t>SALE1497</t>
  </si>
  <si>
    <t>SALE1498</t>
  </si>
  <si>
    <t>SALE1499</t>
  </si>
  <si>
    <t>SALE1500</t>
  </si>
  <si>
    <t>SALE1501</t>
  </si>
  <si>
    <t>SALE1502</t>
  </si>
  <si>
    <t>SALE1503</t>
  </si>
  <si>
    <t>SALE1504</t>
  </si>
  <si>
    <t>SALE1505</t>
  </si>
  <si>
    <t>SALE1506</t>
  </si>
  <si>
    <t>SALE1507</t>
  </si>
  <si>
    <t>SALE1508</t>
  </si>
  <si>
    <t>SALE1509</t>
  </si>
  <si>
    <t>SALE1510</t>
  </si>
  <si>
    <t>SALE1511</t>
  </si>
  <si>
    <t>SALE1512</t>
  </si>
  <si>
    <t>SALE1513</t>
  </si>
  <si>
    <t>SALE1514</t>
  </si>
  <si>
    <t>SALE1515</t>
  </si>
  <si>
    <t>SALE1516</t>
  </si>
  <si>
    <t>SALE1517</t>
  </si>
  <si>
    <t>SALE1518</t>
  </si>
  <si>
    <t>SALE1519</t>
  </si>
  <si>
    <t>SALE1520</t>
  </si>
  <si>
    <t>SALE1521</t>
  </si>
  <si>
    <t>SALE1522</t>
  </si>
  <si>
    <t>SALE1523</t>
  </si>
  <si>
    <t>SALE1524</t>
  </si>
  <si>
    <t>SALE1525</t>
  </si>
  <si>
    <t>SALE1526</t>
  </si>
  <si>
    <t>SALE1527</t>
  </si>
  <si>
    <t>SALE1528</t>
  </si>
  <si>
    <t>SALE1529</t>
  </si>
  <si>
    <t>SALE1530</t>
  </si>
  <si>
    <t>SALE1531</t>
  </si>
  <si>
    <t>SALE1532</t>
  </si>
  <si>
    <t>SALE1533</t>
  </si>
  <si>
    <t>SALE1534</t>
  </si>
  <si>
    <t>SALE1535</t>
  </si>
  <si>
    <t>SALE1536</t>
  </si>
  <si>
    <t>SALE1537</t>
  </si>
  <si>
    <t>SALE1538</t>
  </si>
  <si>
    <t>SALE1539</t>
  </si>
  <si>
    <t>SALE1540</t>
  </si>
  <si>
    <t>SALE1541</t>
  </si>
  <si>
    <t>SALE1542</t>
  </si>
  <si>
    <t>SALE1543</t>
  </si>
  <si>
    <t>SALE1544</t>
  </si>
  <si>
    <t>SALE1545</t>
  </si>
  <si>
    <t>SALE1546</t>
  </si>
  <si>
    <t>SALE1547</t>
  </si>
  <si>
    <t>SALE1548</t>
  </si>
  <si>
    <t>SALE1549</t>
  </si>
  <si>
    <t>SALE1550</t>
  </si>
  <si>
    <t>SALE1551</t>
  </si>
  <si>
    <t>SALE1552</t>
  </si>
  <si>
    <t>SALE1553</t>
  </si>
  <si>
    <t>SALE1554</t>
  </si>
  <si>
    <t>SALE1555</t>
  </si>
  <si>
    <t>SALE1556</t>
  </si>
  <si>
    <t>SALE1557</t>
  </si>
  <si>
    <t>SALE1558</t>
  </si>
  <si>
    <t>SALE1559</t>
  </si>
  <si>
    <t>SALE1560</t>
  </si>
  <si>
    <t>SALE1561</t>
  </si>
  <si>
    <t>SALE1562</t>
  </si>
  <si>
    <t>SALE1563</t>
  </si>
  <si>
    <t>SALE1564</t>
  </si>
  <si>
    <t>SALE1565</t>
  </si>
  <si>
    <t>SALE1566</t>
  </si>
  <si>
    <t>SALE1567</t>
  </si>
  <si>
    <t>SALE1568</t>
  </si>
  <si>
    <t>SALE1569</t>
  </si>
  <si>
    <t>SALE1570</t>
  </si>
  <si>
    <t>SALE1571</t>
  </si>
  <si>
    <t>SALE1572</t>
  </si>
  <si>
    <t>SALE1573</t>
  </si>
  <si>
    <t>SALE1574</t>
  </si>
  <si>
    <t>SALE1575</t>
  </si>
  <si>
    <t>SALE1576</t>
  </si>
  <si>
    <t>SALE1577</t>
  </si>
  <si>
    <t>SALE1578</t>
  </si>
  <si>
    <t>SALE1579</t>
  </si>
  <si>
    <t>SALE1580</t>
  </si>
  <si>
    <t>SALE1581</t>
  </si>
  <si>
    <t>SALE1582</t>
  </si>
  <si>
    <t>SALE1583</t>
  </si>
  <si>
    <t>SALE1584</t>
  </si>
  <si>
    <t>SALE1585</t>
  </si>
  <si>
    <t>SALE1586</t>
  </si>
  <si>
    <t>SALE1587</t>
  </si>
  <si>
    <t>SALE1588</t>
  </si>
  <si>
    <t>SALE1589</t>
  </si>
  <si>
    <t>SALE1590</t>
  </si>
  <si>
    <t>SALE1591</t>
  </si>
  <si>
    <t>SALE1592</t>
  </si>
  <si>
    <t>SALE1593</t>
  </si>
  <si>
    <t>SALE1594</t>
  </si>
  <si>
    <t>SALE1595</t>
  </si>
  <si>
    <t>SALE1596</t>
  </si>
  <si>
    <t>SALE1597</t>
  </si>
  <si>
    <t>SALE1598</t>
  </si>
  <si>
    <t>SALE1599</t>
  </si>
  <si>
    <t>SALE1600</t>
  </si>
  <si>
    <t>SALE1601</t>
  </si>
  <si>
    <t>SALE1602</t>
  </si>
  <si>
    <t>SALE1603</t>
  </si>
  <si>
    <t>SALE1604</t>
  </si>
  <si>
    <t>SALE1605</t>
  </si>
  <si>
    <t>SALE1606</t>
  </si>
  <si>
    <t>SALE1607</t>
  </si>
  <si>
    <t>SALE1608</t>
  </si>
  <si>
    <t>SALE1609</t>
  </si>
  <si>
    <t>SALE1610</t>
  </si>
  <si>
    <t>SALE1611</t>
  </si>
  <si>
    <t>SALE1612</t>
  </si>
  <si>
    <t>SALE1613</t>
  </si>
  <si>
    <t>SALE1614</t>
  </si>
  <si>
    <t>SALE1615</t>
  </si>
  <si>
    <t>SALE1616</t>
  </si>
  <si>
    <t>SALE1617</t>
  </si>
  <si>
    <t>SALE1618</t>
  </si>
  <si>
    <t>SALE1619</t>
  </si>
  <si>
    <t>SALE1620</t>
  </si>
  <si>
    <t>SALE1621</t>
  </si>
  <si>
    <t>SALE1622</t>
  </si>
  <si>
    <t>SALE1623</t>
  </si>
  <si>
    <t>SALE1624</t>
  </si>
  <si>
    <t>SALE1625</t>
  </si>
  <si>
    <t>SALE1626</t>
  </si>
  <si>
    <t>SALE1627</t>
  </si>
  <si>
    <t>SALE1628</t>
  </si>
  <si>
    <t>SALE1629</t>
  </si>
  <si>
    <t>SALE1630</t>
  </si>
  <si>
    <t>SALE1631</t>
  </si>
  <si>
    <t>SALE1632</t>
  </si>
  <si>
    <t>SALE1633</t>
  </si>
  <si>
    <t>SALE1634</t>
  </si>
  <si>
    <t>SALE1635</t>
  </si>
  <si>
    <t>SALE1636</t>
  </si>
  <si>
    <t>SALE1637</t>
  </si>
  <si>
    <t>SALE1638</t>
  </si>
  <si>
    <t>SALE1639</t>
  </si>
  <si>
    <t>SALE1640</t>
  </si>
  <si>
    <t>SALE1641</t>
  </si>
  <si>
    <t>SALE1642</t>
  </si>
  <si>
    <t>SALE1643</t>
  </si>
  <si>
    <t>SALE1644</t>
  </si>
  <si>
    <t>SALE1645</t>
  </si>
  <si>
    <t>SALE1646</t>
  </si>
  <si>
    <t>SALE1647</t>
  </si>
  <si>
    <t>SALE1648</t>
  </si>
  <si>
    <t>SALE1649</t>
  </si>
  <si>
    <t>SALE1650</t>
  </si>
  <si>
    <t>SALE1651</t>
  </si>
  <si>
    <t>SALE1652</t>
  </si>
  <si>
    <t>SALE1653</t>
  </si>
  <si>
    <t>SALE1654</t>
  </si>
  <si>
    <t>SALE1655</t>
  </si>
  <si>
    <t>SALE1656</t>
  </si>
  <si>
    <t>SALE1657</t>
  </si>
  <si>
    <t>SALE1658</t>
  </si>
  <si>
    <t>SALE1659</t>
  </si>
  <si>
    <t>SALE1660</t>
  </si>
  <si>
    <t>SALE1661</t>
  </si>
  <si>
    <t>SALE1662</t>
  </si>
  <si>
    <t>SALE1663</t>
  </si>
  <si>
    <t>SALE1664</t>
  </si>
  <si>
    <t>SALE1665</t>
  </si>
  <si>
    <t>SALE1666</t>
  </si>
  <si>
    <t>SALE1667</t>
  </si>
  <si>
    <t>SALE1668</t>
  </si>
  <si>
    <t>SALE1669</t>
  </si>
  <si>
    <t>SALE1670</t>
  </si>
  <si>
    <t>SALE1671</t>
  </si>
  <si>
    <t>SALE1672</t>
  </si>
  <si>
    <t>SALE1673</t>
  </si>
  <si>
    <t>SALE1674</t>
  </si>
  <si>
    <t>SALE1675</t>
  </si>
  <si>
    <t>SALE1676</t>
  </si>
  <si>
    <t>SALE1677</t>
  </si>
  <si>
    <t>SALE1678</t>
  </si>
  <si>
    <t>SALE1679</t>
  </si>
  <si>
    <t>SALE1680</t>
  </si>
  <si>
    <t>SALE1681</t>
  </si>
  <si>
    <t>SALE1682</t>
  </si>
  <si>
    <t>SALE1683</t>
  </si>
  <si>
    <t>SALE1684</t>
  </si>
  <si>
    <t>SALE1685</t>
  </si>
  <si>
    <t>SALE1686</t>
  </si>
  <si>
    <t>SALE1687</t>
  </si>
  <si>
    <t>SALE1688</t>
  </si>
  <si>
    <t>SALE1689</t>
  </si>
  <si>
    <t>SALE1690</t>
  </si>
  <si>
    <t>SALE1691</t>
  </si>
  <si>
    <t>SALE1692</t>
  </si>
  <si>
    <t>SALE1693</t>
  </si>
  <si>
    <t>SALE1694</t>
  </si>
  <si>
    <t>SALE1695</t>
  </si>
  <si>
    <t>SALE1696</t>
  </si>
  <si>
    <t>SALE1697</t>
  </si>
  <si>
    <t>SALE1698</t>
  </si>
  <si>
    <t>SALE1699</t>
  </si>
  <si>
    <t>SALE1700</t>
  </si>
  <si>
    <t>SALE1701</t>
  </si>
  <si>
    <t>SALE1702</t>
  </si>
  <si>
    <t>SALE1703</t>
  </si>
  <si>
    <t>SALE1704</t>
  </si>
  <si>
    <t>SALE1705</t>
  </si>
  <si>
    <t>SALE1706</t>
  </si>
  <si>
    <t>SALE1707</t>
  </si>
  <si>
    <t>SALE1708</t>
  </si>
  <si>
    <t>SALE1709</t>
  </si>
  <si>
    <t>SALE1710</t>
  </si>
  <si>
    <t>SALE1711</t>
  </si>
  <si>
    <t>SALE1712</t>
  </si>
  <si>
    <t>SALE1713</t>
  </si>
  <si>
    <t>SALE1714</t>
  </si>
  <si>
    <t>SALE1715</t>
  </si>
  <si>
    <t>SALE1716</t>
  </si>
  <si>
    <t>SALE1717</t>
  </si>
  <si>
    <t>SALE1718</t>
  </si>
  <si>
    <t>SALE1719</t>
  </si>
  <si>
    <t>SALE1720</t>
  </si>
  <si>
    <t>SALE1721</t>
  </si>
  <si>
    <t>SALE1722</t>
  </si>
  <si>
    <t>SALE1723</t>
  </si>
  <si>
    <t>SALE1724</t>
  </si>
  <si>
    <t>SALE1725</t>
  </si>
  <si>
    <t>SALE1726</t>
  </si>
  <si>
    <t>SALE1727</t>
  </si>
  <si>
    <t>SALE1728</t>
  </si>
  <si>
    <t>SALE1729</t>
  </si>
  <si>
    <t>SALE1730</t>
  </si>
  <si>
    <t>SALE1731</t>
  </si>
  <si>
    <t>SALE1732</t>
  </si>
  <si>
    <t>SALE1733</t>
  </si>
  <si>
    <t>SALE1734</t>
  </si>
  <si>
    <t>SALE1735</t>
  </si>
  <si>
    <t>SALE1736</t>
  </si>
  <si>
    <t>SALE1737</t>
  </si>
  <si>
    <t>SALE1738</t>
  </si>
  <si>
    <t>SALE1739</t>
  </si>
  <si>
    <t>SALE1740</t>
  </si>
  <si>
    <t>SALE1741</t>
  </si>
  <si>
    <t>SALE1742</t>
  </si>
  <si>
    <t>SALE1743</t>
  </si>
  <si>
    <t>SALE1744</t>
  </si>
  <si>
    <t>SALE1745</t>
  </si>
  <si>
    <t>SALE1746</t>
  </si>
  <si>
    <t>SALE1747</t>
  </si>
  <si>
    <t>SALE1748</t>
  </si>
  <si>
    <t>SALE1749</t>
  </si>
  <si>
    <t>SALE1750</t>
  </si>
  <si>
    <t>SALE1751</t>
  </si>
  <si>
    <t>SALE1752</t>
  </si>
  <si>
    <t>SALE1753</t>
  </si>
  <si>
    <t>SALE1754</t>
  </si>
  <si>
    <t>SALE1755</t>
  </si>
  <si>
    <t>SALE1756</t>
  </si>
  <si>
    <t>SALE1757</t>
  </si>
  <si>
    <t>SALE1758</t>
  </si>
  <si>
    <t>SALE1759</t>
  </si>
  <si>
    <t>SALE1760</t>
  </si>
  <si>
    <t>SALE1761</t>
  </si>
  <si>
    <t>SALE1762</t>
  </si>
  <si>
    <t>SALE1763</t>
  </si>
  <si>
    <t>SALE1764</t>
  </si>
  <si>
    <t>SALE1765</t>
  </si>
  <si>
    <t>SALE1766</t>
  </si>
  <si>
    <t>SALE1767</t>
  </si>
  <si>
    <t>SALE1768</t>
  </si>
  <si>
    <t>SALE1769</t>
  </si>
  <si>
    <t>SALE1770</t>
  </si>
  <si>
    <t>SALE1771</t>
  </si>
  <si>
    <t>SALE1772</t>
  </si>
  <si>
    <t>SALE1773</t>
  </si>
  <si>
    <t>SALE1774</t>
  </si>
  <si>
    <t>SALE1775</t>
  </si>
  <si>
    <t>SALE1776</t>
  </si>
  <si>
    <t>SALE1777</t>
  </si>
  <si>
    <t>SALE1778</t>
  </si>
  <si>
    <t>SALE1779</t>
  </si>
  <si>
    <t>SALE1780</t>
  </si>
  <si>
    <t>SALE1781</t>
  </si>
  <si>
    <t>SALE1782</t>
  </si>
  <si>
    <t>SALE1783</t>
  </si>
  <si>
    <t>SALE1784</t>
  </si>
  <si>
    <t>SALE1785</t>
  </si>
  <si>
    <t>SALE1786</t>
  </si>
  <si>
    <t>SALE1787</t>
  </si>
  <si>
    <t>SALE1788</t>
  </si>
  <si>
    <t>SALE1789</t>
  </si>
  <si>
    <t>SALE1790</t>
  </si>
  <si>
    <t>SALE1791</t>
  </si>
  <si>
    <t>SALE1792</t>
  </si>
  <si>
    <t>SALE1793</t>
  </si>
  <si>
    <t>SALE1794</t>
  </si>
  <si>
    <t>SALE1795</t>
  </si>
  <si>
    <t>SALE1796</t>
  </si>
  <si>
    <t>SALE1797</t>
  </si>
  <si>
    <t>SALE1798</t>
  </si>
  <si>
    <t>SALE1799</t>
  </si>
  <si>
    <t>SALE1800</t>
  </si>
  <si>
    <t>SALE1801</t>
  </si>
  <si>
    <t>SALE1802</t>
  </si>
  <si>
    <t>SALE1803</t>
  </si>
  <si>
    <t>SALE1804</t>
  </si>
  <si>
    <t>SALE1805</t>
  </si>
  <si>
    <t>SALE1806</t>
  </si>
  <si>
    <t>SALE1807</t>
  </si>
  <si>
    <t>SALE1808</t>
  </si>
  <si>
    <t>SALE1809</t>
  </si>
  <si>
    <t>SALE1810</t>
  </si>
  <si>
    <t>SALE1811</t>
  </si>
  <si>
    <t>SALE1812</t>
  </si>
  <si>
    <t>SALE1813</t>
  </si>
  <si>
    <t>SALE1814</t>
  </si>
  <si>
    <t>SALE1815</t>
  </si>
  <si>
    <t>SALE1816</t>
  </si>
  <si>
    <t>SALE1817</t>
  </si>
  <si>
    <t>SALE1818</t>
  </si>
  <si>
    <t>SALE1819</t>
  </si>
  <si>
    <t>SALE1820</t>
  </si>
  <si>
    <t>SALE1821</t>
  </si>
  <si>
    <t>SALE1822</t>
  </si>
  <si>
    <t>SALE1823</t>
  </si>
  <si>
    <t>SALE1824</t>
  </si>
  <si>
    <t>SALE1825</t>
  </si>
  <si>
    <t>SALE1826</t>
  </si>
  <si>
    <t>SALE1827</t>
  </si>
  <si>
    <t>SALE1828</t>
  </si>
  <si>
    <t>SALE1829</t>
  </si>
  <si>
    <t>SALE1830</t>
  </si>
  <si>
    <t>SALE1831</t>
  </si>
  <si>
    <t>SALE1832</t>
  </si>
  <si>
    <t>SALE1833</t>
  </si>
  <si>
    <t>SALE1834</t>
  </si>
  <si>
    <t>SALE1835</t>
  </si>
  <si>
    <t>SALE1836</t>
  </si>
  <si>
    <t>SALE1837</t>
  </si>
  <si>
    <t>SALE1838</t>
  </si>
  <si>
    <t>SALE1839</t>
  </si>
  <si>
    <t>SALE1840</t>
  </si>
  <si>
    <t>SALE1841</t>
  </si>
  <si>
    <t>SALE1842</t>
  </si>
  <si>
    <t>SALE1843</t>
  </si>
  <si>
    <t>SALE1844</t>
  </si>
  <si>
    <t>SALE1845</t>
  </si>
  <si>
    <t>SALE1846</t>
  </si>
  <si>
    <t>SALE1847</t>
  </si>
  <si>
    <t>SALE1848</t>
  </si>
  <si>
    <t>SALE1849</t>
  </si>
  <si>
    <t>SALE1850</t>
  </si>
  <si>
    <t>SALE1851</t>
  </si>
  <si>
    <t>SALE1852</t>
  </si>
  <si>
    <t>SALE1853</t>
  </si>
  <si>
    <t>SALE1854</t>
  </si>
  <si>
    <t>SALE1855</t>
  </si>
  <si>
    <t>SALE1856</t>
  </si>
  <si>
    <t>SALE1857</t>
  </si>
  <si>
    <t>SALE1858</t>
  </si>
  <si>
    <t>SALE1859</t>
  </si>
  <si>
    <t>SALE1860</t>
  </si>
  <si>
    <t>SALE1861</t>
  </si>
  <si>
    <t>SALE1862</t>
  </si>
  <si>
    <t>SALE1863</t>
  </si>
  <si>
    <t>SALE1864</t>
  </si>
  <si>
    <t>SALE1865</t>
  </si>
  <si>
    <t>SALE1866</t>
  </si>
  <si>
    <t>SALE1867</t>
  </si>
  <si>
    <t>SALE1868</t>
  </si>
  <si>
    <t>SALE1869</t>
  </si>
  <si>
    <t>SALE1870</t>
  </si>
  <si>
    <t>SALE1871</t>
  </si>
  <si>
    <t>SALE1872</t>
  </si>
  <si>
    <t>SALE1873</t>
  </si>
  <si>
    <t>SALE1874</t>
  </si>
  <si>
    <t>SALE1875</t>
  </si>
  <si>
    <t>SALE1876</t>
  </si>
  <si>
    <t>SALE1877</t>
  </si>
  <si>
    <t>SALE1878</t>
  </si>
  <si>
    <t>SALE1879</t>
  </si>
  <si>
    <t>SALE1880</t>
  </si>
  <si>
    <t>SALE1881</t>
  </si>
  <si>
    <t>SALE1882</t>
  </si>
  <si>
    <t>SALE1883</t>
  </si>
  <si>
    <t>SALE1884</t>
  </si>
  <si>
    <t>SALE1885</t>
  </si>
  <si>
    <t>SALE1886</t>
  </si>
  <si>
    <t>SALE1887</t>
  </si>
  <si>
    <t>SALE1888</t>
  </si>
  <si>
    <t>SALE1889</t>
  </si>
  <si>
    <t>SALE1890</t>
  </si>
  <si>
    <t>SALE1891</t>
  </si>
  <si>
    <t>SALE1892</t>
  </si>
  <si>
    <t>SALE1893</t>
  </si>
  <si>
    <t>SALE1894</t>
  </si>
  <si>
    <t>SALE1895</t>
  </si>
  <si>
    <t>SALE1896</t>
  </si>
  <si>
    <t>SALE1897</t>
  </si>
  <si>
    <t>SALE1898</t>
  </si>
  <si>
    <t>SALE1899</t>
  </si>
  <si>
    <t>SALE1900</t>
  </si>
  <si>
    <t>SALE1901</t>
  </si>
  <si>
    <t>SALE1902</t>
  </si>
  <si>
    <t>SALE1903</t>
  </si>
  <si>
    <t>SALE1904</t>
  </si>
  <si>
    <t>SALE1905</t>
  </si>
  <si>
    <t>SALE1906</t>
  </si>
  <si>
    <t>SALE1907</t>
  </si>
  <si>
    <t>SALE1908</t>
  </si>
  <si>
    <t>SALE1909</t>
  </si>
  <si>
    <t>SALE1910</t>
  </si>
  <si>
    <t>SALE1911</t>
  </si>
  <si>
    <t>SALE1912</t>
  </si>
  <si>
    <t>SALE1913</t>
  </si>
  <si>
    <t>SALE1914</t>
  </si>
  <si>
    <t>SALE1915</t>
  </si>
  <si>
    <t>SALE1916</t>
  </si>
  <si>
    <t>SALE1917</t>
  </si>
  <si>
    <t>SALE1918</t>
  </si>
  <si>
    <t>SALE1919</t>
  </si>
  <si>
    <t>SALE1920</t>
  </si>
  <si>
    <t>SALE1921</t>
  </si>
  <si>
    <t>SALE1922</t>
  </si>
  <si>
    <t>SALE1923</t>
  </si>
  <si>
    <t>SALE1924</t>
  </si>
  <si>
    <t>SALE1925</t>
  </si>
  <si>
    <t>SALE1926</t>
  </si>
  <si>
    <t>SALE1927</t>
  </si>
  <si>
    <t>SALE1928</t>
  </si>
  <si>
    <t>SALE1929</t>
  </si>
  <si>
    <t>SALE1930</t>
  </si>
  <si>
    <t>SALE1931</t>
  </si>
  <si>
    <t>SALE1932</t>
  </si>
  <si>
    <t>SALE1933</t>
  </si>
  <si>
    <t>SALE1934</t>
  </si>
  <si>
    <t>SALE1935</t>
  </si>
  <si>
    <t>SALE1936</t>
  </si>
  <si>
    <t>SALE1937</t>
  </si>
  <si>
    <t>SALE1938</t>
  </si>
  <si>
    <t>SALE1939</t>
  </si>
  <si>
    <t>SALE1940</t>
  </si>
  <si>
    <t>SALE1941</t>
  </si>
  <si>
    <t>SALE1942</t>
  </si>
  <si>
    <t>SALE1943</t>
  </si>
  <si>
    <t>SALE1944</t>
  </si>
  <si>
    <t>SALE1945</t>
  </si>
  <si>
    <t>SALE1946</t>
  </si>
  <si>
    <t>SALE1947</t>
  </si>
  <si>
    <t>SALE1948</t>
  </si>
  <si>
    <t>SALE1949</t>
  </si>
  <si>
    <t>SALE1950</t>
  </si>
  <si>
    <t>SALE1951</t>
  </si>
  <si>
    <t>SALE1952</t>
  </si>
  <si>
    <t>SALE1953</t>
  </si>
  <si>
    <t>SALE1954</t>
  </si>
  <si>
    <t>SALE1955</t>
  </si>
  <si>
    <t>SALE1956</t>
  </si>
  <si>
    <t>SALE1957</t>
  </si>
  <si>
    <t>SALE1958</t>
  </si>
  <si>
    <t>SALE1959</t>
  </si>
  <si>
    <t>SALE1960</t>
  </si>
  <si>
    <t>SALE1961</t>
  </si>
  <si>
    <t>SALE1962</t>
  </si>
  <si>
    <t>SALE1963</t>
  </si>
  <si>
    <t>SALE1964</t>
  </si>
  <si>
    <t>SALE1965</t>
  </si>
  <si>
    <t>SALE1966</t>
  </si>
  <si>
    <t>SALE1967</t>
  </si>
  <si>
    <t>SALE1968</t>
  </si>
  <si>
    <t>SALE1969</t>
  </si>
  <si>
    <t>SALE1970</t>
  </si>
  <si>
    <t>SALE1971</t>
  </si>
  <si>
    <t>SALE1972</t>
  </si>
  <si>
    <t>SALE1973</t>
  </si>
  <si>
    <t>SALE1974</t>
  </si>
  <si>
    <t>SALE1975</t>
  </si>
  <si>
    <t>SALE1976</t>
  </si>
  <si>
    <t>SALE1977</t>
  </si>
  <si>
    <t>SALE1978</t>
  </si>
  <si>
    <t>SALE1979</t>
  </si>
  <si>
    <t>SALE1980</t>
  </si>
  <si>
    <t>SALE1981</t>
  </si>
  <si>
    <t>SALE1982</t>
  </si>
  <si>
    <t>SALE1983</t>
  </si>
  <si>
    <t>SALE1984</t>
  </si>
  <si>
    <t>SALE1985</t>
  </si>
  <si>
    <t>SALE1986</t>
  </si>
  <si>
    <t>SALE1987</t>
  </si>
  <si>
    <t>SALE1988</t>
  </si>
  <si>
    <t>SALE1989</t>
  </si>
  <si>
    <t>SALE1990</t>
  </si>
  <si>
    <t>SALE1991</t>
  </si>
  <si>
    <t>SALE1992</t>
  </si>
  <si>
    <t>SALE1993</t>
  </si>
  <si>
    <t>SALE1994</t>
  </si>
  <si>
    <t>SALE1995</t>
  </si>
  <si>
    <t>SALE1996</t>
  </si>
  <si>
    <t>SALE1997</t>
  </si>
  <si>
    <t>SALE1998</t>
  </si>
  <si>
    <t>SALE1999</t>
  </si>
  <si>
    <t>lake tylerfort</t>
  </si>
  <si>
    <t xml:space="preserve">   jonesbury </t>
  </si>
  <si>
    <t xml:space="preserve">    lake lisa</t>
  </si>
  <si>
    <t xml:space="preserve">Phillipschester   </t>
  </si>
  <si>
    <t>East jeremy</t>
  </si>
  <si>
    <t>Brother Laser Printer</t>
  </si>
  <si>
    <t>Computer</t>
  </si>
  <si>
    <t>Men's Graphic T-Shirt</t>
  </si>
  <si>
    <t>Tops</t>
  </si>
  <si>
    <t>Women's Casual Hoodie</t>
  </si>
  <si>
    <t>Outerwear</t>
  </si>
  <si>
    <t>Men's Running Jacket</t>
  </si>
  <si>
    <t>Women's Yoga Pants</t>
  </si>
  <si>
    <t>Bottoms</t>
  </si>
  <si>
    <t>Men's Leather Belt</t>
  </si>
  <si>
    <t>Accessories</t>
  </si>
  <si>
    <t>Herbal Face Moisturizer</t>
  </si>
  <si>
    <t>Skincare</t>
  </si>
  <si>
    <t>LED Table Lamp</t>
  </si>
  <si>
    <t>Lighting</t>
  </si>
  <si>
    <t>Wireless Bluetooth Earbuds</t>
  </si>
  <si>
    <t>Audio</t>
  </si>
  <si>
    <t>Adjustable Dumbbell Set</t>
  </si>
  <si>
    <t>Fitness</t>
  </si>
  <si>
    <t>Ceramic Kitchen Bowl Set</t>
  </si>
  <si>
    <t>Kitchen</t>
  </si>
  <si>
    <t>HD Smart TV Stick</t>
  </si>
  <si>
    <t>Hair Strengthening Shampoo</t>
  </si>
  <si>
    <t>Haircare</t>
  </si>
  <si>
    <t>USB-C Fast Charger</t>
  </si>
  <si>
    <t>Decorative Wall Mirror</t>
  </si>
  <si>
    <t>Decor</t>
  </si>
  <si>
    <t>4K Home Projector</t>
  </si>
  <si>
    <t>Appliances</t>
  </si>
  <si>
    <t>Beard Grooming Kit</t>
  </si>
  <si>
    <t>Grooming</t>
  </si>
  <si>
    <t>Soccer Training Cone Set</t>
  </si>
  <si>
    <t>Women's Denim Jeans</t>
  </si>
  <si>
    <t>Knee Support Brace</t>
  </si>
  <si>
    <t>Equipment</t>
  </si>
  <si>
    <t>Outdoor Sports Water Bottle</t>
  </si>
  <si>
    <t>Multi-Purpose Storage Box</t>
  </si>
  <si>
    <t>Storage</t>
  </si>
  <si>
    <t>Carbon Fiber Tennis Racket</t>
  </si>
  <si>
    <t>Men's Formal Shirt</t>
  </si>
  <si>
    <t>Foldable Camping Chair</t>
  </si>
  <si>
    <t>Outdoor</t>
  </si>
  <si>
    <t>Women's Scarf Set</t>
  </si>
  <si>
    <t>Wireless Bluetooth Speaker</t>
  </si>
  <si>
    <t>Decorative Floor Vase</t>
  </si>
  <si>
    <t>Sports Stopwatch Timer</t>
  </si>
  <si>
    <t>Fabric Sofa Throw Blanket</t>
  </si>
  <si>
    <t>Stainless Steel Cutlery Set</t>
  </si>
  <si>
    <t>Basketball</t>
  </si>
  <si>
    <t>Team Sports</t>
  </si>
  <si>
    <t>Vitamin C Face Serum</t>
  </si>
  <si>
    <t>Modern Wall Clock</t>
  </si>
  <si>
    <t>Gaming Mechanical Keyboard</t>
  </si>
  <si>
    <t>Bedroom Table Lamp</t>
  </si>
  <si>
    <t>Women's Summer Dress</t>
  </si>
  <si>
    <t>Men's Casual Sneakers</t>
  </si>
  <si>
    <t>Footwear</t>
  </si>
  <si>
    <t>Sports Water Hydration Pack</t>
  </si>
  <si>
    <t>Portable Power Bank</t>
  </si>
  <si>
    <t>Mobile</t>
  </si>
  <si>
    <t>Noise-Canceling Headphones</t>
  </si>
  <si>
    <t>Yoga Exercise Mat</t>
  </si>
  <si>
    <t>Smart Home WiFi Camera</t>
  </si>
  <si>
    <t>USB External Hard Drive</t>
  </si>
  <si>
    <t>Adjustable Jump Rope</t>
  </si>
  <si>
    <t>High-Grip Football</t>
  </si>
  <si>
    <t>Men's Winter Jacket</t>
  </si>
  <si>
    <t>Makeup Brush Set</t>
  </si>
  <si>
    <t>Makeup</t>
  </si>
  <si>
    <t>Car Dashboard Phone Holder</t>
  </si>
  <si>
    <t>Men's Roll-On Perfume</t>
  </si>
  <si>
    <t>Fragrance</t>
  </si>
  <si>
    <t>Boxing Hand Wraps</t>
  </si>
  <si>
    <t>HDMI Cable – 2m</t>
  </si>
  <si>
    <t>Rugby Ball</t>
  </si>
  <si>
    <t>Men's Track Pants</t>
  </si>
  <si>
    <t>Sports Stopwatch Pro</t>
  </si>
  <si>
    <t>Ceramic Plant Pot</t>
  </si>
  <si>
    <t>Premium Blanket Throw</t>
  </si>
  <si>
    <t>Foam Roller</t>
  </si>
  <si>
    <t>Womens Cotton Scarf</t>
  </si>
  <si>
    <t>Men's Hair Styling Gel</t>
  </si>
  <si>
    <t>Luxury Perfume Spray</t>
  </si>
  <si>
    <t>Tennis Ball 3-Pack</t>
  </si>
  <si>
    <t>Laptop Cooling Pad</t>
  </si>
  <si>
    <t>Organic Sunscreen Lotion</t>
  </si>
  <si>
    <t>Matte Lipstick Set</t>
  </si>
  <si>
    <t>Adjustable Dumbbells 20kg</t>
  </si>
  <si>
    <t>Women's Hair Dryer Brush</t>
  </si>
  <si>
    <t>Smart LED Light Strip</t>
  </si>
  <si>
    <t>Wooden Nightstand</t>
  </si>
  <si>
    <t>Furniture</t>
  </si>
  <si>
    <t>Men's Sports Shorts</t>
  </si>
  <si>
    <t>Kitchen Storage Rack</t>
  </si>
  <si>
    <t>Hair Repair Oil Treatment</t>
  </si>
  <si>
    <t>Professional Jump Rope</t>
  </si>
  <si>
    <t>Shin Guards – Adult</t>
  </si>
  <si>
    <t>Bluetooth Car Audio System</t>
  </si>
  <si>
    <t>Women's Ankle Boots</t>
  </si>
  <si>
    <t>Wireless Mouse</t>
  </si>
  <si>
    <t>WiFi Mesh Router</t>
  </si>
  <si>
    <t>Essential Oil Diffuser</t>
  </si>
  <si>
    <t>Decorative Lamp Shade</t>
  </si>
  <si>
    <t>Wall-Mounted Spice Rack</t>
  </si>
  <si>
    <t>Badminton Racket Set</t>
  </si>
  <si>
    <t>Fitness Resistance Bands</t>
  </si>
  <si>
    <t>Hydrating Face Cleanser</t>
  </si>
  <si>
    <t>Wooden Bookshelf</t>
  </si>
  <si>
    <t>Women's Beanie Hat</t>
  </si>
  <si>
    <t>Kitchen Cutting Board</t>
  </si>
  <si>
    <t>LED Bedside Lamp</t>
  </si>
  <si>
    <t>Sports Wrist Sweatbands</t>
  </si>
  <si>
    <t>Face Foundation Kit</t>
  </si>
  <si>
    <t>Gaming Mouse Pad XL</t>
  </si>
  <si>
    <t>Women's High Heels</t>
  </si>
  <si>
    <t>Microwave Oven</t>
  </si>
  <si>
    <t>USB-C Laptop Charger</t>
  </si>
  <si>
    <t>Vitamin E Body Lotion</t>
  </si>
  <si>
    <t>Sports Stopwatch Basic</t>
  </si>
  <si>
    <t>Women's Formal Blazer</t>
  </si>
  <si>
    <t>Cricket Bat</t>
  </si>
  <si>
    <t>Portable Bluetooth Speaker</t>
  </si>
  <si>
    <t>Stainless Steel Cookware Set</t>
  </si>
  <si>
    <t>Dr. Benjamin Price</t>
  </si>
  <si>
    <t>Jeremy Harris</t>
  </si>
  <si>
    <t>Robert Jones Dds</t>
  </si>
  <si>
    <t>Jordan Jackson Dds</t>
  </si>
  <si>
    <t>Michelle Garcia Dds</t>
  </si>
  <si>
    <t>Tammy Miller Md</t>
  </si>
  <si>
    <t>Melissa Duffy Md</t>
  </si>
  <si>
    <t>Christopher Garcia Dds</t>
  </si>
  <si>
    <t>Dr. Ashley Yates Md</t>
  </si>
  <si>
    <t>Daisy Johnson Dds</t>
  </si>
  <si>
    <t>Chase Williams Md</t>
  </si>
  <si>
    <t>Miss Alexandria Li Dvm</t>
  </si>
  <si>
    <t>Alex Mann Ii</t>
  </si>
  <si>
    <t>Justin Mason Dds</t>
  </si>
  <si>
    <t>Joshua Smith Dvm</t>
  </si>
  <si>
    <t>Charles Norman Phd</t>
  </si>
  <si>
    <t>Dr. Tamara White Md</t>
  </si>
  <si>
    <t>Brittany Edwards Dds</t>
  </si>
  <si>
    <t>Earl Smith Dds</t>
  </si>
  <si>
    <t>Sheena Bonilla</t>
  </si>
  <si>
    <t>Paul Fox</t>
  </si>
  <si>
    <t>Laura Green</t>
  </si>
  <si>
    <t>Age Group</t>
  </si>
  <si>
    <t>Row Labels</t>
  </si>
  <si>
    <t>Grand Total</t>
  </si>
  <si>
    <t>Sum of Total_Amount</t>
  </si>
  <si>
    <t>Count of Sales_ID</t>
  </si>
  <si>
    <t>Column Labels</t>
  </si>
  <si>
    <t>Sub_category</t>
  </si>
  <si>
    <t>Mode</t>
  </si>
  <si>
    <t>Age group</t>
  </si>
  <si>
    <t>loyalty Level</t>
  </si>
  <si>
    <t>Sales year</t>
  </si>
  <si>
    <t>Average of Total_Amount</t>
  </si>
  <si>
    <t>Adult</t>
  </si>
  <si>
    <t>Mid-Adult</t>
  </si>
  <si>
    <t>Senior</t>
  </si>
  <si>
    <t>Sales Dashboard</t>
  </si>
  <si>
    <t>Jan</t>
  </si>
  <si>
    <t>Feb</t>
  </si>
  <si>
    <t>Mar</t>
  </si>
  <si>
    <t>Apr</t>
  </si>
  <si>
    <t>May</t>
  </si>
  <si>
    <t>Jun</t>
  </si>
  <si>
    <t>Jul</t>
  </si>
  <si>
    <t>Aug</t>
  </si>
  <si>
    <t>Sep</t>
  </si>
  <si>
    <t>Oct</t>
  </si>
  <si>
    <t>Nov</t>
  </si>
  <si>
    <t>Dec</t>
  </si>
  <si>
    <t>Mean</t>
  </si>
  <si>
    <t>Standard Error</t>
  </si>
  <si>
    <t>Median</t>
  </si>
  <si>
    <t>Standard Deviation</t>
  </si>
  <si>
    <t>Sample Variance</t>
  </si>
  <si>
    <t>Kurtosis</t>
  </si>
  <si>
    <t>Skewness</t>
  </si>
  <si>
    <t>Range</t>
  </si>
  <si>
    <t>Minimum</t>
  </si>
  <si>
    <t>Maximum</t>
  </si>
  <si>
    <t>Sum</t>
  </si>
  <si>
    <t>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</si>
</sst>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5" formatCode="_-[$$-409]* #,##0.00_ ;_-[$$-409]* \-#,##0.00\ ;_-[$$-409]* &quot;-&quot;??_ ;_-@_ "/>
  </numFmts>
  <fonts count="6" x14ac:knownFonts="1">
    <font>
      <sz val="11"/>
      <color theme="1"/>
      <name val="Calibri"/>
      <family val="2"/>
      <scheme val="minor"/>
    </font>
    <font>
      <b/>
      <sz val="11"/>
      <name val="Calibri"/>
    </font>
    <font>
      <sz val="8"/>
      <name val="Calibri"/>
      <family val="2"/>
      <scheme val="minor"/>
    </font>
    <font>
      <b/>
      <sz val="11"/>
      <name val="Calibri"/>
      <family val="2"/>
    </font>
    <font>
      <b/>
      <sz val="22"/>
      <color theme="0" tint="-4.9989318521683403E-2"/>
      <name val="Aptos"/>
      <family val="2"/>
    </font>
    <font>
      <i/>
      <sz val="11"/>
      <color theme="1"/>
      <name val="Calibri"/>
      <family val="2"/>
      <scheme val="minor"/>
    </font>
  </fonts>
  <fills count="4">
    <fill>
      <patternFill patternType="none"/>
    </fill>
    <fill>
      <patternFill patternType="gray125"/>
    </fill>
    <fill>
      <patternFill patternType="solid">
        <fgColor rgb="FF92D050"/>
        <bgColor indexed="64"/>
      </patternFill>
    </fill>
    <fill>
      <patternFill patternType="solid">
        <fgColor theme="1" tint="0.14999847407452621"/>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s>
  <cellStyleXfs count="1">
    <xf numFmtId="0" fontId="0" fillId="0" borderId="0"/>
  </cellStyleXfs>
  <cellXfs count="39">
    <xf numFmtId="0" fontId="0" fillId="0" borderId="0" xfId="0"/>
    <xf numFmtId="0" fontId="1" fillId="0" borderId="2" xfId="0" applyFont="1" applyBorder="1" applyAlignment="1">
      <alignment horizontal="center" vertical="center"/>
    </xf>
    <xf numFmtId="0" fontId="0" fillId="0" borderId="0" xfId="0" applyAlignment="1">
      <alignment horizontal="center" vertical="center"/>
    </xf>
    <xf numFmtId="0" fontId="3" fillId="0" borderId="2" xfId="0" applyFont="1" applyBorder="1" applyAlignment="1">
      <alignment horizontal="center" vertical="center"/>
    </xf>
    <xf numFmtId="0" fontId="0" fillId="0" borderId="1" xfId="0" applyBorder="1" applyAlignment="1">
      <alignment horizontal="center" vertical="center"/>
    </xf>
    <xf numFmtId="0" fontId="0" fillId="0" borderId="3" xfId="0" applyBorder="1" applyAlignment="1">
      <alignment horizontal="center" vertical="center"/>
    </xf>
    <xf numFmtId="0" fontId="1" fillId="0" borderId="5" xfId="0" applyFont="1"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3" fillId="0" borderId="6" xfId="0" applyFont="1" applyBorder="1" applyAlignment="1">
      <alignment horizontal="center" vertical="center"/>
    </xf>
    <xf numFmtId="2" fontId="0" fillId="0" borderId="4" xfId="0" applyNumberFormat="1" applyBorder="1" applyAlignment="1">
      <alignment horizontal="center" vertical="center"/>
    </xf>
    <xf numFmtId="2" fontId="0" fillId="0" borderId="9" xfId="0" applyNumberFormat="1" applyBorder="1" applyAlignment="1">
      <alignment horizontal="center" vertical="center"/>
    </xf>
    <xf numFmtId="1" fontId="0" fillId="0" borderId="4" xfId="0" applyNumberFormat="1" applyBorder="1" applyAlignment="1">
      <alignment horizontal="center" vertical="center"/>
    </xf>
    <xf numFmtId="1" fontId="0" fillId="0" borderId="9" xfId="0" applyNumberFormat="1" applyBorder="1" applyAlignment="1">
      <alignment horizontal="center" vertical="center"/>
    </xf>
    <xf numFmtId="14" fontId="0" fillId="0" borderId="0" xfId="0" applyNumberFormat="1" applyAlignment="1">
      <alignment horizontal="center" vertical="center"/>
    </xf>
    <xf numFmtId="14" fontId="0" fillId="0" borderId="0" xfId="0" applyNumberFormat="1"/>
    <xf numFmtId="14" fontId="3" fillId="0" borderId="2" xfId="0" applyNumberFormat="1" applyFont="1" applyBorder="1" applyAlignment="1">
      <alignment horizontal="center" vertical="center"/>
    </xf>
    <xf numFmtId="0" fontId="0" fillId="0" borderId="0" xfId="0" pivotButton="1"/>
    <xf numFmtId="0" fontId="0" fillId="0" borderId="0" xfId="0" applyAlignment="1">
      <alignment horizontal="left"/>
    </xf>
    <xf numFmtId="0" fontId="0" fillId="0" borderId="0" xfId="0" applyAlignment="1">
      <alignment horizontal="left" indent="1"/>
    </xf>
    <xf numFmtId="9" fontId="0" fillId="0" borderId="0" xfId="0" pivotButton="1" applyNumberFormat="1"/>
    <xf numFmtId="0" fontId="4" fillId="3" borderId="0" xfId="0" applyFont="1" applyFill="1" applyAlignment="1">
      <alignment horizontal="center" vertical="center"/>
    </xf>
    <xf numFmtId="0" fontId="0" fillId="0" borderId="0" xfId="0" applyNumberFormat="1"/>
    <xf numFmtId="2" fontId="0" fillId="0" borderId="0" xfId="0" applyNumberFormat="1"/>
    <xf numFmtId="1" fontId="3" fillId="0" borderId="2" xfId="0" applyNumberFormat="1" applyFont="1" applyBorder="1" applyAlignment="1">
      <alignment horizontal="center" vertical="center"/>
    </xf>
    <xf numFmtId="1" fontId="0" fillId="0" borderId="0" xfId="0" applyNumberFormat="1" applyAlignment="1">
      <alignment horizontal="center" vertical="center"/>
    </xf>
    <xf numFmtId="1" fontId="0" fillId="2" borderId="0" xfId="0" applyNumberFormat="1" applyFill="1" applyAlignment="1">
      <alignment horizontal="center" vertical="center"/>
    </xf>
    <xf numFmtId="1" fontId="0" fillId="0" borderId="0" xfId="0" applyNumberFormat="1"/>
    <xf numFmtId="9" fontId="3" fillId="0" borderId="2" xfId="0" applyNumberFormat="1" applyFont="1" applyBorder="1" applyAlignment="1">
      <alignment horizontal="center" vertical="center"/>
    </xf>
    <xf numFmtId="9" fontId="0" fillId="0" borderId="0" xfId="0" applyNumberFormat="1" applyAlignment="1">
      <alignment horizontal="center" vertical="center"/>
    </xf>
    <xf numFmtId="9" fontId="0" fillId="2" borderId="0" xfId="0" applyNumberFormat="1" applyFill="1" applyAlignment="1">
      <alignment horizontal="center" vertical="center"/>
    </xf>
    <xf numFmtId="9" fontId="0" fillId="0" borderId="0" xfId="0" applyNumberFormat="1"/>
    <xf numFmtId="0" fontId="0" fillId="0" borderId="1" xfId="0" applyFill="1" applyBorder="1" applyAlignment="1">
      <alignment vertical="center"/>
    </xf>
    <xf numFmtId="0" fontId="5" fillId="0" borderId="4" xfId="0" applyFont="1" applyFill="1" applyBorder="1" applyAlignment="1">
      <alignment horizontal="center" vertical="center"/>
    </xf>
    <xf numFmtId="0" fontId="5" fillId="0" borderId="3" xfId="0" applyFont="1" applyFill="1" applyBorder="1" applyAlignment="1">
      <alignment horizontal="center" vertical="center"/>
    </xf>
    <xf numFmtId="175" fontId="3" fillId="0" borderId="2" xfId="0" applyNumberFormat="1" applyFont="1" applyBorder="1" applyAlignment="1">
      <alignment horizontal="center" vertical="center"/>
    </xf>
    <xf numFmtId="175" fontId="0" fillId="0" borderId="0" xfId="0" applyNumberFormat="1" applyAlignment="1">
      <alignment horizontal="center" vertical="center"/>
    </xf>
    <xf numFmtId="175" fontId="0" fillId="2" borderId="0" xfId="0" applyNumberFormat="1" applyFill="1" applyAlignment="1">
      <alignment horizontal="center" vertical="center"/>
    </xf>
    <xf numFmtId="175" fontId="0" fillId="0" borderId="0" xfId="0" applyNumberFormat="1"/>
  </cellXfs>
  <cellStyles count="1">
    <cellStyle name="Normal" xfId="0" builtinId="0"/>
  </cellStyles>
  <dxfs count="57">
    <dxf>
      <numFmt numFmtId="175" formatCode="_-[$$-409]* #,##0.00_ ;_-[$$-409]* \-#,##0.00\ ;_-[$$-409]* &quot;-&quot;??_ ;_-@_ "/>
      <alignment horizontal="center" vertical="center" textRotation="0" wrapText="0" indent="0" justifyLastLine="0" shrinkToFit="0" readingOrder="0"/>
    </dxf>
    <dxf>
      <numFmt numFmtId="175" formatCode="_-[$$-409]* #,##0.00_ ;_-[$$-409]* \-#,##0.00\ ;_-[$$-409]* &quot;-&quot;??_ ;_-@_ "/>
      <alignment horizontal="center" vertical="center" textRotation="0" wrapText="0" indent="0" justifyLastLine="0" shrinkToFit="0" readingOrder="0"/>
    </dxf>
    <dxf>
      <font>
        <color rgb="FF9C0006"/>
      </font>
      <fill>
        <patternFill>
          <bgColor rgb="FFFFC7CE"/>
        </patternFill>
      </fill>
    </dxf>
    <dxf>
      <numFmt numFmtId="13" formatCode="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numFmt numFmtId="19" formatCode="dd/mm/yyyy"/>
      <alignment horizontal="center" vertical="center" textRotation="0" wrapText="0" indent="0" justifyLastLine="0" shrinkToFit="0" readingOrder="0"/>
    </dxf>
    <dxf>
      <alignment horizontal="center" vertical="center" textRotation="0" wrapText="0" indent="0" justifyLastLine="0" shrinkToFit="0" readingOrder="0"/>
    </dxf>
    <dxf>
      <border outline="0">
        <top style="thin">
          <color auto="1"/>
        </top>
      </border>
    </dxf>
    <dxf>
      <alignment horizontal="center" vertical="center"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border diagonalUp="0" diagonalDown="0" outline="0">
        <left style="thin">
          <color auto="1"/>
        </left>
        <right style="thin">
          <color auto="1"/>
        </right>
        <top/>
        <bottom/>
      </border>
    </dxf>
    <dxf>
      <numFmt numFmtId="13" formatCode="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border outline="0">
        <top style="thin">
          <color auto="1"/>
        </top>
      </border>
    </dxf>
    <dxf>
      <alignment horizontal="center" vertical="center"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scheme val="none"/>
      </font>
      <alignment horizontal="center" vertical="center" textRotation="0" wrapText="0" indent="0" justifyLastLine="0" shrinkToFit="0" readingOrder="0"/>
      <border diagonalUp="0" diagonalDown="0" outline="0">
        <left style="thin">
          <color auto="1"/>
        </left>
        <right style="thin">
          <color auto="1"/>
        </right>
        <top/>
        <bottom/>
      </border>
    </dxf>
    <dxf>
      <numFmt numFmtId="1" formatCode="0"/>
      <alignment horizontal="center" vertical="center" textRotation="0" wrapText="0" indent="0" justifyLastLine="0" shrinkToFit="0" readingOrder="0"/>
      <border diagonalUp="0" diagonalDown="0" outline="0">
        <left style="thin">
          <color auto="1"/>
        </left>
        <right/>
        <top style="thin">
          <color auto="1"/>
        </top>
        <bottom style="thin">
          <color auto="1"/>
        </bottom>
      </border>
    </dxf>
    <dxf>
      <numFmt numFmtId="2" formatCode="0.00"/>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dxf>
    <dxf>
      <alignment horizontal="center" vertical="center" textRotation="0" wrapText="0" indent="0" justifyLastLine="0" shrinkToFit="0" readingOrder="0"/>
      <border diagonalUp="0" diagonalDown="0" outline="0">
        <left style="thin">
          <color auto="1"/>
        </left>
        <right style="thin">
          <color auto="1"/>
        </right>
        <top style="thin">
          <color auto="1"/>
        </top>
        <bottom style="thin">
          <color auto="1"/>
        </bottom>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style="thin">
          <color auto="1"/>
        </left>
        <right style="thin">
          <color auto="1"/>
        </right>
        <top style="thin">
          <color auto="1"/>
        </top>
        <bottom style="thin">
          <color auto="1"/>
        </bottom>
        <vertical/>
        <horizontal/>
      </border>
    </dxf>
    <dxf>
      <alignment horizontal="center" vertical="center"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alignment horizontal="center" vertical="center"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scheme val="none"/>
      </font>
      <alignment horizontal="center" vertical="center" textRotation="0" wrapText="0" indent="0" justifyLastLine="0" shrinkToFit="0" readingOrder="0"/>
      <border diagonalUp="0" diagonalDown="0" outline="0">
        <left style="thin">
          <color auto="1"/>
        </left>
        <right style="thin">
          <color auto="1"/>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border outline="0">
        <top style="thin">
          <color auto="1"/>
        </top>
      </border>
    </dxf>
    <dxf>
      <alignment horizontal="center" vertical="center" textRotation="0" wrapText="0" indent="0" justifyLastLine="0" shrinkToFit="0" readingOrder="0"/>
    </dxf>
    <dxf>
      <border outline="0">
        <bottom style="thin">
          <color auto="1"/>
        </bottom>
      </border>
    </dxf>
    <dxf>
      <font>
        <b/>
        <i val="0"/>
        <strike val="0"/>
        <condense val="0"/>
        <extend val="0"/>
        <outline val="0"/>
        <shadow val="0"/>
        <u val="none"/>
        <vertAlign val="baseline"/>
        <sz val="11"/>
        <color auto="1"/>
        <name val="Calibri"/>
        <scheme val="none"/>
      </font>
      <alignment horizontal="center" vertical="center"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microsoft.com/office/2017/10/relationships/person" Target="persons/person.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[Ecommerce_Sales_Dataset_updated.xlsx]Pivot_Tables!PivotTable3</c:name>
    <c:fmtId val="13"/>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Year</a:t>
            </a:r>
            <a:r>
              <a:rPr lang="en-IN" baseline="0"/>
              <a:t>-wise Sales</a:t>
            </a:r>
            <a:endParaRPr lang="en-IN"/>
          </a:p>
        </c:rich>
      </c:tx>
      <c:layout>
        <c:manualLayout>
          <c:xMode val="edge"/>
          <c:yMode val="edge"/>
          <c:x val="0.33710691823899364"/>
          <c:y val="4.3604651162790699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tint val="77000"/>
                    <a:shade val="51000"/>
                    <a:satMod val="130000"/>
                  </a:schemeClr>
                </a:gs>
                <a:gs pos="80000">
                  <a:schemeClr val="accent1">
                    <a:tint val="77000"/>
                    <a:shade val="93000"/>
                    <a:satMod val="130000"/>
                  </a:schemeClr>
                </a:gs>
                <a:gs pos="100000">
                  <a:schemeClr val="accent1">
                    <a:tint val="77000"/>
                    <a:shade val="94000"/>
                    <a:satMod val="135000"/>
                  </a:schemeClr>
                </a:gs>
              </a:gsLst>
              <a:lin ang="16200000" scaled="0"/>
            </a:gradFill>
            <a:ln w="9525">
              <a:solidFill>
                <a:schemeClr val="accent1">
                  <a:tint val="77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Pivot_Tables!$B$2</c:f>
              <c:strCache>
                <c:ptCount val="1"/>
                <c:pt idx="0">
                  <c:v>Sum of Total_Amount</c:v>
                </c:pt>
              </c:strCache>
            </c:strRef>
          </c:tx>
          <c:spPr>
            <a:gradFill rotWithShape="1">
              <a:gsLst>
                <a:gs pos="0">
                  <a:schemeClr val="accent1">
                    <a:shade val="76000"/>
                    <a:shade val="51000"/>
                    <a:satMod val="130000"/>
                  </a:schemeClr>
                </a:gs>
                <a:gs pos="80000">
                  <a:schemeClr val="accent1">
                    <a:shade val="76000"/>
                    <a:shade val="93000"/>
                    <a:satMod val="130000"/>
                  </a:schemeClr>
                </a:gs>
                <a:gs pos="100000">
                  <a:schemeClr val="accent1">
                    <a:shade val="7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Pivot_Tables!$A$3:$A$6</c:f>
              <c:strCache>
                <c:ptCount val="3"/>
                <c:pt idx="0">
                  <c:v>2023</c:v>
                </c:pt>
                <c:pt idx="1">
                  <c:v>2024</c:v>
                </c:pt>
                <c:pt idx="2">
                  <c:v>2025</c:v>
                </c:pt>
              </c:strCache>
            </c:strRef>
          </c:cat>
          <c:val>
            <c:numRef>
              <c:f>Pivot_Tables!$B$3:$B$6</c:f>
              <c:numCache>
                <c:formatCode>General</c:formatCode>
                <c:ptCount val="3"/>
                <c:pt idx="0">
                  <c:v>223812.72450000007</c:v>
                </c:pt>
                <c:pt idx="1">
                  <c:v>1093911.7953999995</c:v>
                </c:pt>
                <c:pt idx="2">
                  <c:v>856670.17840000056</c:v>
                </c:pt>
              </c:numCache>
            </c:numRef>
          </c:val>
          <c:extLst>
            <c:ext xmlns:c16="http://schemas.microsoft.com/office/drawing/2014/chart" uri="{C3380CC4-5D6E-409C-BE32-E72D297353CC}">
              <c16:uniqueId val="{00000000-C9AD-4201-B5DD-0D5CFE707002}"/>
            </c:ext>
          </c:extLst>
        </c:ser>
        <c:dLbls>
          <c:showLegendKey val="0"/>
          <c:showVal val="0"/>
          <c:showCatName val="0"/>
          <c:showSerName val="0"/>
          <c:showPercent val="0"/>
          <c:showBubbleSize val="0"/>
        </c:dLbls>
        <c:gapWidth val="219"/>
        <c:axId val="956887007"/>
        <c:axId val="578548304"/>
      </c:barChart>
      <c:lineChart>
        <c:grouping val="stacked"/>
        <c:varyColors val="0"/>
        <c:ser>
          <c:idx val="1"/>
          <c:order val="1"/>
          <c:tx>
            <c:strRef>
              <c:f>Pivot_Tables!$C$2</c:f>
              <c:strCache>
                <c:ptCount val="1"/>
                <c:pt idx="0">
                  <c:v>Count of Sales_ID</c:v>
                </c:pt>
              </c:strCache>
            </c:strRef>
          </c:tx>
          <c:spPr>
            <a:ln w="34925" cap="rnd">
              <a:solidFill>
                <a:schemeClr val="accent1">
                  <a:tint val="77000"/>
                </a:schemeClr>
              </a:solidFill>
              <a:round/>
            </a:ln>
            <a:effectLst>
              <a:outerShdw blurRad="40000" dist="23000" dir="5400000" rotWithShape="0">
                <a:srgbClr val="000000">
                  <a:alpha val="35000"/>
                </a:srgbClr>
              </a:outerShdw>
            </a:effectLst>
          </c:spPr>
          <c:marker>
            <c:symbol val="circle"/>
            <c:size val="6"/>
            <c:spPr>
              <a:gradFill rotWithShape="1">
                <a:gsLst>
                  <a:gs pos="0">
                    <a:schemeClr val="accent1">
                      <a:tint val="77000"/>
                      <a:shade val="51000"/>
                      <a:satMod val="130000"/>
                    </a:schemeClr>
                  </a:gs>
                  <a:gs pos="80000">
                    <a:schemeClr val="accent1">
                      <a:tint val="77000"/>
                      <a:shade val="93000"/>
                      <a:satMod val="130000"/>
                    </a:schemeClr>
                  </a:gs>
                  <a:gs pos="100000">
                    <a:schemeClr val="accent1">
                      <a:tint val="77000"/>
                      <a:shade val="94000"/>
                      <a:satMod val="135000"/>
                    </a:schemeClr>
                  </a:gs>
                </a:gsLst>
                <a:lin ang="16200000" scaled="0"/>
              </a:gradFill>
              <a:ln w="9525">
                <a:solidFill>
                  <a:schemeClr val="accent1">
                    <a:tint val="77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Pivot_Tables!$A$3:$A$6</c:f>
              <c:strCache>
                <c:ptCount val="3"/>
                <c:pt idx="0">
                  <c:v>2023</c:v>
                </c:pt>
                <c:pt idx="1">
                  <c:v>2024</c:v>
                </c:pt>
                <c:pt idx="2">
                  <c:v>2025</c:v>
                </c:pt>
              </c:strCache>
            </c:strRef>
          </c:cat>
          <c:val>
            <c:numRef>
              <c:f>Pivot_Tables!$C$3:$C$6</c:f>
              <c:numCache>
                <c:formatCode>General</c:formatCode>
                <c:ptCount val="3"/>
                <c:pt idx="0">
                  <c:v>217</c:v>
                </c:pt>
                <c:pt idx="1">
                  <c:v>999</c:v>
                </c:pt>
                <c:pt idx="2">
                  <c:v>784</c:v>
                </c:pt>
              </c:numCache>
            </c:numRef>
          </c:val>
          <c:smooth val="0"/>
          <c:extLst>
            <c:ext xmlns:c16="http://schemas.microsoft.com/office/drawing/2014/chart" uri="{C3380CC4-5D6E-409C-BE32-E72D297353CC}">
              <c16:uniqueId val="{00000001-C9AD-4201-B5DD-0D5CFE707002}"/>
            </c:ext>
          </c:extLst>
        </c:ser>
        <c:dLbls>
          <c:showLegendKey val="0"/>
          <c:showVal val="0"/>
          <c:showCatName val="0"/>
          <c:showSerName val="0"/>
          <c:showPercent val="0"/>
          <c:showBubbleSize val="0"/>
        </c:dLbls>
        <c:marker val="1"/>
        <c:smooth val="0"/>
        <c:axId val="571320528"/>
        <c:axId val="578545904"/>
      </c:lineChart>
      <c:catAx>
        <c:axId val="95688700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8548304"/>
        <c:crosses val="autoZero"/>
        <c:auto val="1"/>
        <c:lblAlgn val="ctr"/>
        <c:lblOffset val="100"/>
        <c:noMultiLvlLbl val="0"/>
      </c:catAx>
      <c:valAx>
        <c:axId val="578548304"/>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6887007"/>
        <c:crosses val="autoZero"/>
        <c:crossBetween val="between"/>
      </c:valAx>
      <c:valAx>
        <c:axId val="578545904"/>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1320528"/>
        <c:crosses val="max"/>
        <c:crossBetween val="between"/>
      </c:valAx>
      <c:catAx>
        <c:axId val="571320528"/>
        <c:scaling>
          <c:orientation val="minMax"/>
        </c:scaling>
        <c:delete val="1"/>
        <c:axPos val="b"/>
        <c:numFmt formatCode="General" sourceLinked="1"/>
        <c:majorTickMark val="none"/>
        <c:minorTickMark val="none"/>
        <c:tickLblPos val="nextTo"/>
        <c:crossAx val="578545904"/>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[Ecommerce_Sales_Dataset_updated.xlsx]Pivot_Tables!PivotTable4</c:name>
    <c:fmtId val="1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a:t>
            </a:r>
            <a:r>
              <a:rPr lang="en-US" baseline="0"/>
              <a:t> by Payment Type</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6.9248035914702577E-2"/>
                  <c:h val="8.2424561732716492E-2"/>
                </c:manualLayout>
              </c15:layout>
            </c:ext>
          </c:extLst>
        </c:dLbl>
      </c:pivotFmt>
    </c:pivotFmts>
    <c:plotArea>
      <c:layout/>
      <c:doughnutChart>
        <c:varyColors val="1"/>
        <c:ser>
          <c:idx val="0"/>
          <c:order val="0"/>
          <c:tx>
            <c:strRef>
              <c:f>Pivot_Tables!$B$19</c:f>
              <c:strCache>
                <c:ptCount val="1"/>
                <c:pt idx="0">
                  <c:v>Total</c:v>
                </c:pt>
              </c:strCache>
            </c:strRef>
          </c:tx>
          <c:spPr>
            <a:effectLst>
              <a:softEdge rad="0"/>
            </a:effectLst>
            <a:scene3d>
              <a:camera prst="orthographicFront"/>
              <a:lightRig rig="threePt" dir="t"/>
            </a:scene3d>
            <a:sp3d/>
          </c:spPr>
          <c:dPt>
            <c:idx val="0"/>
            <c:bubble3D val="0"/>
            <c:spPr>
              <a:gradFill rotWithShape="1">
                <a:gsLst>
                  <a:gs pos="0">
                    <a:schemeClr val="accent1">
                      <a:shade val="65000"/>
                      <a:shade val="51000"/>
                      <a:satMod val="130000"/>
                    </a:schemeClr>
                  </a:gs>
                  <a:gs pos="80000">
                    <a:schemeClr val="accent1">
                      <a:shade val="65000"/>
                      <a:shade val="93000"/>
                      <a:satMod val="130000"/>
                    </a:schemeClr>
                  </a:gs>
                  <a:gs pos="100000">
                    <a:schemeClr val="accent1">
                      <a:shade val="65000"/>
                      <a:shade val="94000"/>
                      <a:satMod val="135000"/>
                    </a:schemeClr>
                  </a:gs>
                </a:gsLst>
                <a:lin ang="16200000" scaled="0"/>
              </a:gradFill>
              <a:ln>
                <a:noFill/>
              </a:ln>
              <a:effectLst>
                <a:softEdge rad="0"/>
              </a:effectLst>
              <a:scene3d>
                <a:camera prst="orthographicFront"/>
                <a:lightRig rig="threePt" dir="t"/>
              </a:scene3d>
              <a:sp3d/>
            </c:spPr>
            <c:extLst>
              <c:ext xmlns:c16="http://schemas.microsoft.com/office/drawing/2014/chart" uri="{C3380CC4-5D6E-409C-BE32-E72D297353CC}">
                <c16:uniqueId val="{00000001-6E32-402B-82C8-40BF78A8FAF9}"/>
              </c:ext>
            </c:extLst>
          </c:dPt>
          <c:dPt>
            <c:idx val="1"/>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extLst>
              <c:ext xmlns:c16="http://schemas.microsoft.com/office/drawing/2014/chart" uri="{C3380CC4-5D6E-409C-BE32-E72D297353CC}">
                <c16:uniqueId val="{00000003-6E32-402B-82C8-40BF78A8FAF9}"/>
              </c:ext>
            </c:extLst>
          </c:dPt>
          <c:dPt>
            <c:idx val="2"/>
            <c:bubble3D val="0"/>
            <c:spPr>
              <a:gradFill rotWithShape="1">
                <a:gsLst>
                  <a:gs pos="0">
                    <a:schemeClr val="accent1">
                      <a:tint val="65000"/>
                      <a:shade val="51000"/>
                      <a:satMod val="130000"/>
                    </a:schemeClr>
                  </a:gs>
                  <a:gs pos="80000">
                    <a:schemeClr val="accent1">
                      <a:tint val="65000"/>
                      <a:shade val="93000"/>
                      <a:satMod val="130000"/>
                    </a:schemeClr>
                  </a:gs>
                  <a:gs pos="100000">
                    <a:schemeClr val="accent1">
                      <a:tint val="65000"/>
                      <a:shade val="94000"/>
                      <a:satMod val="135000"/>
                    </a:schemeClr>
                  </a:gs>
                </a:gsLst>
                <a:lin ang="16200000" scaled="0"/>
              </a:gradFill>
              <a:ln>
                <a:noFill/>
              </a:ln>
              <a:effectLst>
                <a:softEdge rad="0"/>
              </a:effectLst>
              <a:scene3d>
                <a:camera prst="orthographicFront"/>
                <a:lightRig rig="threePt" dir="t"/>
              </a:scene3d>
              <a:sp3d/>
            </c:spPr>
            <c:extLst>
              <c:ext xmlns:c16="http://schemas.microsoft.com/office/drawing/2014/chart" uri="{C3380CC4-5D6E-409C-BE32-E72D297353CC}">
                <c16:uniqueId val="{00000005-6E32-402B-82C8-40BF78A8FAF9}"/>
              </c:ext>
            </c:extLst>
          </c:dPt>
          <c:dLbls>
            <c:dLbl>
              <c:idx val="2"/>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6.9248035914702577E-2"/>
                      <c:h val="8.2424561732716492E-2"/>
                    </c:manualLayout>
                  </c15:layout>
                </c:ext>
                <c:ext xmlns:c16="http://schemas.microsoft.com/office/drawing/2014/chart" uri="{C3380CC4-5D6E-409C-BE32-E72D297353CC}">
                  <c16:uniqueId val="{00000005-6E32-402B-82C8-40BF78A8FAF9}"/>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Pivot_Tables!$A$20:$A$23</c:f>
              <c:strCache>
                <c:ptCount val="3"/>
                <c:pt idx="0">
                  <c:v>COD</c:v>
                </c:pt>
                <c:pt idx="1">
                  <c:v>Credit Card</c:v>
                </c:pt>
                <c:pt idx="2">
                  <c:v>PayPal</c:v>
                </c:pt>
              </c:strCache>
            </c:strRef>
          </c:cat>
          <c:val>
            <c:numRef>
              <c:f>Pivot_Tables!$B$20:$B$23</c:f>
              <c:numCache>
                <c:formatCode>General</c:formatCode>
                <c:ptCount val="3"/>
                <c:pt idx="0">
                  <c:v>660</c:v>
                </c:pt>
                <c:pt idx="1">
                  <c:v>645</c:v>
                </c:pt>
                <c:pt idx="2">
                  <c:v>695</c:v>
                </c:pt>
              </c:numCache>
            </c:numRef>
          </c:val>
          <c:extLst>
            <c:ext xmlns:c16="http://schemas.microsoft.com/office/drawing/2014/chart" uri="{C3380CC4-5D6E-409C-BE32-E72D297353CC}">
              <c16:uniqueId val="{00000006-6E32-402B-82C8-40BF78A8FAF9}"/>
            </c:ext>
          </c:extLst>
        </c:ser>
        <c:dLbls>
          <c:showLegendKey val="0"/>
          <c:showVal val="0"/>
          <c:showCatName val="0"/>
          <c:showSerName val="0"/>
          <c:showPercent val="0"/>
          <c:showBubbleSize val="0"/>
          <c:showLeaderLines val="1"/>
        </c:dLbls>
        <c:firstSliceAng val="80"/>
        <c:holeSize val="51"/>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[Ecommerce_Sales_Dataset_updated.xlsx]Pivot_Tables!PivotTable5</c:name>
    <c:fmtId val="1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Region</a:t>
            </a:r>
            <a:r>
              <a:rPr lang="en-IN" baseline="0"/>
              <a:t>wise Avg.revenue</a:t>
            </a:r>
            <a:endParaRPr lang="en-IN"/>
          </a:p>
        </c:rich>
      </c:tx>
      <c:layout>
        <c:manualLayout>
          <c:xMode val="edge"/>
          <c:yMode val="edge"/>
          <c:x val="0.29386206709390278"/>
          <c:y val="3.7037037037037035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Pivot_Tables!$B$32</c:f>
              <c:strCache>
                <c:ptCount val="1"/>
                <c:pt idx="0">
                  <c:v>Count of Sales_ID</c:v>
                </c:pt>
              </c:strCache>
            </c:strRef>
          </c:tx>
          <c:spPr>
            <a:gradFill rotWithShape="1">
              <a:gsLst>
                <a:gs pos="0">
                  <a:schemeClr val="accent1">
                    <a:shade val="76000"/>
                    <a:shade val="51000"/>
                    <a:satMod val="130000"/>
                  </a:schemeClr>
                </a:gs>
                <a:gs pos="80000">
                  <a:schemeClr val="accent1">
                    <a:shade val="76000"/>
                    <a:shade val="93000"/>
                    <a:satMod val="130000"/>
                  </a:schemeClr>
                </a:gs>
                <a:gs pos="100000">
                  <a:schemeClr val="accent1">
                    <a:shade val="7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Pivot_Tables!$A$33:$A$37</c:f>
              <c:strCache>
                <c:ptCount val="4"/>
                <c:pt idx="0">
                  <c:v>East</c:v>
                </c:pt>
                <c:pt idx="1">
                  <c:v>North</c:v>
                </c:pt>
                <c:pt idx="2">
                  <c:v>South</c:v>
                </c:pt>
                <c:pt idx="3">
                  <c:v>West</c:v>
                </c:pt>
              </c:strCache>
            </c:strRef>
          </c:cat>
          <c:val>
            <c:numRef>
              <c:f>Pivot_Tables!$B$33:$B$37</c:f>
              <c:numCache>
                <c:formatCode>General</c:formatCode>
                <c:ptCount val="4"/>
                <c:pt idx="0">
                  <c:v>590</c:v>
                </c:pt>
                <c:pt idx="1">
                  <c:v>596</c:v>
                </c:pt>
                <c:pt idx="2">
                  <c:v>581</c:v>
                </c:pt>
                <c:pt idx="3">
                  <c:v>233</c:v>
                </c:pt>
              </c:numCache>
            </c:numRef>
          </c:val>
          <c:extLst>
            <c:ext xmlns:c16="http://schemas.microsoft.com/office/drawing/2014/chart" uri="{C3380CC4-5D6E-409C-BE32-E72D297353CC}">
              <c16:uniqueId val="{00000000-0839-47C0-80C7-FDB778CC592A}"/>
            </c:ext>
          </c:extLst>
        </c:ser>
        <c:ser>
          <c:idx val="1"/>
          <c:order val="1"/>
          <c:tx>
            <c:strRef>
              <c:f>Pivot_Tables!$C$32</c:f>
              <c:strCache>
                <c:ptCount val="1"/>
                <c:pt idx="0">
                  <c:v>Average of Total_Amount</c:v>
                </c:pt>
              </c:strCache>
            </c:strRef>
          </c:tx>
          <c:spPr>
            <a:gradFill rotWithShape="1">
              <a:gsLst>
                <a:gs pos="0">
                  <a:schemeClr val="accent1">
                    <a:tint val="77000"/>
                    <a:shade val="51000"/>
                    <a:satMod val="130000"/>
                  </a:schemeClr>
                </a:gs>
                <a:gs pos="80000">
                  <a:schemeClr val="accent1">
                    <a:tint val="77000"/>
                    <a:shade val="93000"/>
                    <a:satMod val="130000"/>
                  </a:schemeClr>
                </a:gs>
                <a:gs pos="100000">
                  <a:schemeClr val="accent1">
                    <a:tint val="7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Pivot_Tables!$A$33:$A$37</c:f>
              <c:strCache>
                <c:ptCount val="4"/>
                <c:pt idx="0">
                  <c:v>East</c:v>
                </c:pt>
                <c:pt idx="1">
                  <c:v>North</c:v>
                </c:pt>
                <c:pt idx="2">
                  <c:v>South</c:v>
                </c:pt>
                <c:pt idx="3">
                  <c:v>West</c:v>
                </c:pt>
              </c:strCache>
            </c:strRef>
          </c:cat>
          <c:val>
            <c:numRef>
              <c:f>Pivot_Tables!$C$33:$C$37</c:f>
              <c:numCache>
                <c:formatCode>General</c:formatCode>
                <c:ptCount val="4"/>
                <c:pt idx="0">
                  <c:v>1054.9225700000002</c:v>
                </c:pt>
                <c:pt idx="1">
                  <c:v>1084.0618796979873</c:v>
                </c:pt>
                <c:pt idx="2">
                  <c:v>1093.3099753872634</c:v>
                </c:pt>
                <c:pt idx="3">
                  <c:v>1161.701313304721</c:v>
                </c:pt>
              </c:numCache>
            </c:numRef>
          </c:val>
          <c:extLst>
            <c:ext xmlns:c16="http://schemas.microsoft.com/office/drawing/2014/chart" uri="{C3380CC4-5D6E-409C-BE32-E72D297353CC}">
              <c16:uniqueId val="{00000001-0839-47C0-80C7-FDB778CC592A}"/>
            </c:ext>
          </c:extLst>
        </c:ser>
        <c:dLbls>
          <c:dLblPos val="outEnd"/>
          <c:showLegendKey val="0"/>
          <c:showVal val="1"/>
          <c:showCatName val="0"/>
          <c:showSerName val="0"/>
          <c:showPercent val="0"/>
          <c:showBubbleSize val="0"/>
        </c:dLbls>
        <c:gapWidth val="115"/>
        <c:axId val="944173200"/>
        <c:axId val="578460464"/>
      </c:barChart>
      <c:catAx>
        <c:axId val="944173200"/>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8460464"/>
        <c:crosses val="autoZero"/>
        <c:auto val="1"/>
        <c:lblAlgn val="ctr"/>
        <c:lblOffset val="100"/>
        <c:noMultiLvlLbl val="0"/>
      </c:catAx>
      <c:valAx>
        <c:axId val="57846046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44173200"/>
        <c:crosses val="autoZero"/>
        <c:crossBetween val="between"/>
      </c:valAx>
      <c:spPr>
        <a:noFill/>
        <a:ln>
          <a:noFill/>
        </a:ln>
        <a:effectLst/>
      </c:spPr>
    </c:plotArea>
    <c:legend>
      <c:legendPos val="t"/>
      <c:layout>
        <c:manualLayout>
          <c:xMode val="edge"/>
          <c:yMode val="edge"/>
          <c:x val="0.26378786292776923"/>
          <c:y val="0.15986111111111112"/>
          <c:w val="0.52658459236170074"/>
          <c:h val="7.81255468066491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[Ecommerce_Sales_Dataset_updated.xlsx]Pivot_Tables!PivotTable6</c:name>
    <c:fmtId val="1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Year</a:t>
            </a:r>
            <a:r>
              <a:rPr lang="en-US" baseline="0"/>
              <a:t> vs Gender Sales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Pivot_Tables!$B$69</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multiLvlStrRef>
              <c:f>Pivot_Tables!$A$70:$A$79</c:f>
              <c:multiLvlStrCache>
                <c:ptCount val="6"/>
                <c:lvl>
                  <c:pt idx="0">
                    <c:v>Female</c:v>
                  </c:pt>
                  <c:pt idx="1">
                    <c:v>Male</c:v>
                  </c:pt>
                  <c:pt idx="2">
                    <c:v>Female</c:v>
                  </c:pt>
                  <c:pt idx="3">
                    <c:v>Male</c:v>
                  </c:pt>
                  <c:pt idx="4">
                    <c:v>Female</c:v>
                  </c:pt>
                  <c:pt idx="5">
                    <c:v>Male</c:v>
                  </c:pt>
                </c:lvl>
                <c:lvl>
                  <c:pt idx="0">
                    <c:v>2023</c:v>
                  </c:pt>
                  <c:pt idx="2">
                    <c:v>2024</c:v>
                  </c:pt>
                  <c:pt idx="4">
                    <c:v>2025</c:v>
                  </c:pt>
                </c:lvl>
              </c:multiLvlStrCache>
            </c:multiLvlStrRef>
          </c:cat>
          <c:val>
            <c:numRef>
              <c:f>Pivot_Tables!$B$70:$B$79</c:f>
              <c:numCache>
                <c:formatCode>General</c:formatCode>
                <c:ptCount val="6"/>
                <c:pt idx="0">
                  <c:v>1028.6294704347824</c:v>
                </c:pt>
                <c:pt idx="1">
                  <c:v>1034.5130921568625</c:v>
                </c:pt>
                <c:pt idx="2">
                  <c:v>1143.6407663023685</c:v>
                </c:pt>
                <c:pt idx="3">
                  <c:v>1035.6733660000007</c:v>
                </c:pt>
                <c:pt idx="4">
                  <c:v>1123.3635648148145</c:v>
                </c:pt>
                <c:pt idx="5">
                  <c:v>1055.0486318181813</c:v>
                </c:pt>
              </c:numCache>
            </c:numRef>
          </c:val>
          <c:extLst>
            <c:ext xmlns:c16="http://schemas.microsoft.com/office/drawing/2014/chart" uri="{C3380CC4-5D6E-409C-BE32-E72D297353CC}">
              <c16:uniqueId val="{00000000-AC0C-465A-BA18-62FB5C8DC31E}"/>
            </c:ext>
          </c:extLst>
        </c:ser>
        <c:dLbls>
          <c:dLblPos val="outEnd"/>
          <c:showLegendKey val="0"/>
          <c:showVal val="1"/>
          <c:showCatName val="0"/>
          <c:showSerName val="0"/>
          <c:showPercent val="0"/>
          <c:showBubbleSize val="0"/>
        </c:dLbls>
        <c:gapWidth val="100"/>
        <c:overlap val="-24"/>
        <c:axId val="963081904"/>
        <c:axId val="578334704"/>
      </c:barChart>
      <c:catAx>
        <c:axId val="96308190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8334704"/>
        <c:crosses val="autoZero"/>
        <c:auto val="1"/>
        <c:lblAlgn val="ctr"/>
        <c:lblOffset val="100"/>
        <c:noMultiLvlLbl val="0"/>
      </c:catAx>
      <c:valAx>
        <c:axId val="5783347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63081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[Ecommerce_Sales_Dataset_updated.xlsx]Pivot_Tables!PivotTable7</c:name>
    <c:fmtId val="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Category</a:t>
            </a:r>
            <a:r>
              <a:rPr lang="en-IN" baseline="0"/>
              <a:t> wise Avg. Revenue</a:t>
            </a:r>
            <a:endParaRPr lang="en-IN"/>
          </a:p>
        </c:rich>
      </c:tx>
      <c:layout>
        <c:manualLayout>
          <c:xMode val="edge"/>
          <c:yMode val="edge"/>
          <c:x val="0.23426610860404892"/>
          <c:y val="4.108185062985379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a:glow rad="127000">
                <a:schemeClr val="accent1">
                  <a:alpha val="98000"/>
                </a:schemeClr>
              </a:glow>
              <a:softEdge rad="101600"/>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a:glow rad="127000">
                <a:schemeClr val="accent1">
                  <a:alpha val="98000"/>
                </a:schemeClr>
              </a:glow>
              <a:softEdge rad="101600"/>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a:glow rad="127000">
                <a:schemeClr val="accent1">
                  <a:alpha val="98000"/>
                </a:schemeClr>
              </a:glow>
              <a:softEdge rad="101600"/>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Pivot_Tables!$B$58</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5FC5-47CC-842C-2A0304909AD7}"/>
              </c:ext>
            </c:extLst>
          </c:dPt>
          <c:dPt>
            <c:idx val="1"/>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5FC5-47CC-842C-2A0304909AD7}"/>
              </c:ext>
            </c:extLst>
          </c:dPt>
          <c:dPt>
            <c:idx val="2"/>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5FC5-47CC-842C-2A0304909AD7}"/>
              </c:ext>
            </c:extLst>
          </c:dPt>
          <c:dPt>
            <c:idx val="3"/>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5FC5-47CC-842C-2A0304909AD7}"/>
              </c:ext>
            </c:extLst>
          </c:dPt>
          <c:dPt>
            <c:idx val="4"/>
            <c:bubble3D val="0"/>
            <c:spPr>
              <a:gradFill rotWithShape="1">
                <a:gsLst>
                  <a:gs pos="0">
                    <a:schemeClr val="accent3">
                      <a:lumMod val="60000"/>
                      <a:shade val="51000"/>
                      <a:satMod val="130000"/>
                    </a:schemeClr>
                  </a:gs>
                  <a:gs pos="80000">
                    <a:schemeClr val="accent3">
                      <a:lumMod val="60000"/>
                      <a:shade val="93000"/>
                      <a:satMod val="130000"/>
                    </a:schemeClr>
                  </a:gs>
                  <a:gs pos="100000">
                    <a:schemeClr val="accent3">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5FC5-47CC-842C-2A0304909AD7}"/>
              </c:ext>
            </c:extLst>
          </c:dPt>
          <c:dLbls>
            <c:spPr>
              <a:noFill/>
              <a:ln>
                <a:noFill/>
              </a:ln>
              <a:effectLst>
                <a:glow rad="127000">
                  <a:schemeClr val="accent1">
                    <a:alpha val="98000"/>
                  </a:schemeClr>
                </a:glow>
                <a:softEdge rad="101600"/>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1"/>
            <c:showBubbleSize val="0"/>
            <c:showLeaderLines val="0"/>
            <c:extLst>
              <c:ext xmlns:c15="http://schemas.microsoft.com/office/drawing/2012/chart" uri="{CE6537A1-D6FC-4f65-9D91-7224C49458BB}"/>
            </c:extLst>
          </c:dLbls>
          <c:cat>
            <c:strRef>
              <c:f>Pivot_Tables!$A$59:$A$64</c:f>
              <c:strCache>
                <c:ptCount val="5"/>
                <c:pt idx="0">
                  <c:v>Beauty</c:v>
                </c:pt>
                <c:pt idx="1">
                  <c:v>Clothing</c:v>
                </c:pt>
                <c:pt idx="2">
                  <c:v>Electronics</c:v>
                </c:pt>
                <c:pt idx="3">
                  <c:v>Home</c:v>
                </c:pt>
                <c:pt idx="4">
                  <c:v>Sports</c:v>
                </c:pt>
              </c:strCache>
            </c:strRef>
          </c:cat>
          <c:val>
            <c:numRef>
              <c:f>Pivot_Tables!$B$59:$B$64</c:f>
              <c:numCache>
                <c:formatCode>General</c:formatCode>
                <c:ptCount val="5"/>
                <c:pt idx="0">
                  <c:v>1057.7675273026307</c:v>
                </c:pt>
                <c:pt idx="1">
                  <c:v>1135.377376646707</c:v>
                </c:pt>
                <c:pt idx="2">
                  <c:v>1110.8179471365645</c:v>
                </c:pt>
                <c:pt idx="3">
                  <c:v>1042.1848868292682</c:v>
                </c:pt>
                <c:pt idx="4">
                  <c:v>1088.3738445783142</c:v>
                </c:pt>
              </c:numCache>
            </c:numRef>
          </c:val>
          <c:extLst>
            <c:ext xmlns:c16="http://schemas.microsoft.com/office/drawing/2014/chart" uri="{C3380CC4-5D6E-409C-BE32-E72D297353CC}">
              <c16:uniqueId val="{0000000A-5FC5-47CC-842C-2A0304909AD7}"/>
            </c:ext>
          </c:extLst>
        </c:ser>
        <c:dLbls>
          <c:dLblPos val="bestFit"/>
          <c:showLegendKey val="0"/>
          <c:showVal val="1"/>
          <c:showCatName val="0"/>
          <c:showSerName val="0"/>
          <c:showPercent val="0"/>
          <c:showBubbleSize val="0"/>
          <c:showLeaderLines val="0"/>
        </c:dLbls>
      </c:pie3D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[Ecommerce_Sales_Dataset_updated.xlsx]Pivot_Tables!PivotTable8</c:name>
    <c:fmtId val="3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Sales:Gender</a:t>
            </a:r>
            <a:r>
              <a:rPr lang="en-IN" baseline="0"/>
              <a:t> vs Age group</a:t>
            </a:r>
            <a:endParaRPr lang="en-IN"/>
          </a:p>
        </c:rich>
      </c:tx>
      <c:layout>
        <c:manualLayout>
          <c:xMode val="edge"/>
          <c:yMode val="edge"/>
          <c:x val="6.2270778652668439E-2"/>
          <c:y val="3.2407407407407406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Pivot_Tables!$B$48:$B$49</c:f>
              <c:strCache>
                <c:ptCount val="1"/>
                <c:pt idx="0">
                  <c:v>Female</c:v>
                </c:pt>
              </c:strCache>
            </c:strRef>
          </c:tx>
          <c:spPr>
            <a:gradFill rotWithShape="1">
              <a:gsLst>
                <a:gs pos="0">
                  <a:schemeClr val="accent1">
                    <a:shade val="76000"/>
                    <a:shade val="51000"/>
                    <a:satMod val="130000"/>
                  </a:schemeClr>
                </a:gs>
                <a:gs pos="80000">
                  <a:schemeClr val="accent1">
                    <a:shade val="76000"/>
                    <a:shade val="93000"/>
                    <a:satMod val="130000"/>
                  </a:schemeClr>
                </a:gs>
                <a:gs pos="100000">
                  <a:schemeClr val="accent1">
                    <a:shade val="7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Pivot_Tables!$A$50:$A$53</c:f>
              <c:strCache>
                <c:ptCount val="3"/>
                <c:pt idx="0">
                  <c:v>Adult</c:v>
                </c:pt>
                <c:pt idx="1">
                  <c:v>Mid-Adult</c:v>
                </c:pt>
                <c:pt idx="2">
                  <c:v>Senior</c:v>
                </c:pt>
              </c:strCache>
            </c:strRef>
          </c:cat>
          <c:val>
            <c:numRef>
              <c:f>Pivot_Tables!$B$50:$B$53</c:f>
              <c:numCache>
                <c:formatCode>General</c:formatCode>
                <c:ptCount val="3"/>
                <c:pt idx="0">
                  <c:v>307</c:v>
                </c:pt>
                <c:pt idx="1">
                  <c:v>449</c:v>
                </c:pt>
                <c:pt idx="2">
                  <c:v>340</c:v>
                </c:pt>
              </c:numCache>
            </c:numRef>
          </c:val>
          <c:extLst>
            <c:ext xmlns:c16="http://schemas.microsoft.com/office/drawing/2014/chart" uri="{C3380CC4-5D6E-409C-BE32-E72D297353CC}">
              <c16:uniqueId val="{00000000-1AA4-4935-842D-271656A1C25C}"/>
            </c:ext>
          </c:extLst>
        </c:ser>
        <c:ser>
          <c:idx val="1"/>
          <c:order val="1"/>
          <c:tx>
            <c:strRef>
              <c:f>Pivot_Tables!$C$48:$C$49</c:f>
              <c:strCache>
                <c:ptCount val="1"/>
                <c:pt idx="0">
                  <c:v>Male</c:v>
                </c:pt>
              </c:strCache>
            </c:strRef>
          </c:tx>
          <c:spPr>
            <a:gradFill rotWithShape="1">
              <a:gsLst>
                <a:gs pos="0">
                  <a:schemeClr val="accent1">
                    <a:tint val="77000"/>
                    <a:shade val="51000"/>
                    <a:satMod val="130000"/>
                  </a:schemeClr>
                </a:gs>
                <a:gs pos="80000">
                  <a:schemeClr val="accent1">
                    <a:tint val="77000"/>
                    <a:shade val="93000"/>
                    <a:satMod val="130000"/>
                  </a:schemeClr>
                </a:gs>
                <a:gs pos="100000">
                  <a:schemeClr val="accent1">
                    <a:tint val="7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Pivot_Tables!$A$50:$A$53</c:f>
              <c:strCache>
                <c:ptCount val="3"/>
                <c:pt idx="0">
                  <c:v>Adult</c:v>
                </c:pt>
                <c:pt idx="1">
                  <c:v>Mid-Adult</c:v>
                </c:pt>
                <c:pt idx="2">
                  <c:v>Senior</c:v>
                </c:pt>
              </c:strCache>
            </c:strRef>
          </c:cat>
          <c:val>
            <c:numRef>
              <c:f>Pivot_Tables!$C$50:$C$53</c:f>
              <c:numCache>
                <c:formatCode>General</c:formatCode>
                <c:ptCount val="3"/>
                <c:pt idx="0">
                  <c:v>241</c:v>
                </c:pt>
                <c:pt idx="1">
                  <c:v>385</c:v>
                </c:pt>
                <c:pt idx="2">
                  <c:v>278</c:v>
                </c:pt>
              </c:numCache>
            </c:numRef>
          </c:val>
          <c:extLst>
            <c:ext xmlns:c16="http://schemas.microsoft.com/office/drawing/2014/chart" uri="{C3380CC4-5D6E-409C-BE32-E72D297353CC}">
              <c16:uniqueId val="{00000002-2543-4904-9BFA-E05D1D78C1CC}"/>
            </c:ext>
          </c:extLst>
        </c:ser>
        <c:dLbls>
          <c:dLblPos val="outEnd"/>
          <c:showLegendKey val="0"/>
          <c:showVal val="1"/>
          <c:showCatName val="0"/>
          <c:showSerName val="0"/>
          <c:showPercent val="0"/>
          <c:showBubbleSize val="0"/>
        </c:dLbls>
        <c:gapWidth val="100"/>
        <c:overlap val="-24"/>
        <c:axId val="659342544"/>
        <c:axId val="578515664"/>
      </c:barChart>
      <c:catAx>
        <c:axId val="65934254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8515664"/>
        <c:crosses val="autoZero"/>
        <c:auto val="1"/>
        <c:lblAlgn val="ctr"/>
        <c:lblOffset val="100"/>
        <c:noMultiLvlLbl val="0"/>
      </c:catAx>
      <c:valAx>
        <c:axId val="57851566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59342544"/>
        <c:crosses val="autoZero"/>
        <c:crossBetween val="between"/>
      </c:valAx>
      <c:spPr>
        <a:noFill/>
        <a:ln>
          <a:noFill/>
        </a:ln>
        <a:effectLst/>
      </c:spPr>
    </c:plotArea>
    <c:legend>
      <c:legendPos val="t"/>
      <c:layout>
        <c:manualLayout>
          <c:xMode val="edge"/>
          <c:yMode val="edge"/>
          <c:x val="0.73058355205599301"/>
          <c:y val="4.6712962962962977E-2"/>
          <c:w val="0.19563432644175877"/>
          <c:h val="7.150473775523823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[Ecommerce_Sales_Dataset_updated.xlsx]Pivot_Tables!PivotTable8</c:name>
    <c:fmtId val="2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Sales:Gender</a:t>
            </a:r>
            <a:r>
              <a:rPr lang="en-IN" baseline="0"/>
              <a:t> vs Age group</a:t>
            </a:r>
            <a:endParaRPr lang="en-IN"/>
          </a:p>
        </c:rich>
      </c:tx>
      <c:layout>
        <c:manualLayout>
          <c:xMode val="edge"/>
          <c:yMode val="edge"/>
          <c:x val="6.2270778652668439E-2"/>
          <c:y val="3.2407407407407406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Pivot_Tables!$B$48:$B$49</c:f>
              <c:strCache>
                <c:ptCount val="1"/>
                <c:pt idx="0">
                  <c:v>Female</c:v>
                </c:pt>
              </c:strCache>
            </c:strRef>
          </c:tx>
          <c:spPr>
            <a:gradFill rotWithShape="1">
              <a:gsLst>
                <a:gs pos="0">
                  <a:schemeClr val="accent1">
                    <a:shade val="76000"/>
                    <a:shade val="51000"/>
                    <a:satMod val="130000"/>
                  </a:schemeClr>
                </a:gs>
                <a:gs pos="80000">
                  <a:schemeClr val="accent1">
                    <a:shade val="76000"/>
                    <a:shade val="93000"/>
                    <a:satMod val="130000"/>
                  </a:schemeClr>
                </a:gs>
                <a:gs pos="100000">
                  <a:schemeClr val="accent1">
                    <a:shade val="7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Pivot_Tables!$A$50:$A$53</c:f>
              <c:strCache>
                <c:ptCount val="3"/>
                <c:pt idx="0">
                  <c:v>Adult</c:v>
                </c:pt>
                <c:pt idx="1">
                  <c:v>Mid-Adult</c:v>
                </c:pt>
                <c:pt idx="2">
                  <c:v>Senior</c:v>
                </c:pt>
              </c:strCache>
            </c:strRef>
          </c:cat>
          <c:val>
            <c:numRef>
              <c:f>Pivot_Tables!$B$50:$B$53</c:f>
              <c:numCache>
                <c:formatCode>General</c:formatCode>
                <c:ptCount val="3"/>
                <c:pt idx="0">
                  <c:v>307</c:v>
                </c:pt>
                <c:pt idx="1">
                  <c:v>449</c:v>
                </c:pt>
                <c:pt idx="2">
                  <c:v>340</c:v>
                </c:pt>
              </c:numCache>
            </c:numRef>
          </c:val>
          <c:extLst>
            <c:ext xmlns:c16="http://schemas.microsoft.com/office/drawing/2014/chart" uri="{C3380CC4-5D6E-409C-BE32-E72D297353CC}">
              <c16:uniqueId val="{00000000-B09D-4F53-888D-6FE9FD9D6A90}"/>
            </c:ext>
          </c:extLst>
        </c:ser>
        <c:ser>
          <c:idx val="1"/>
          <c:order val="1"/>
          <c:tx>
            <c:strRef>
              <c:f>Pivot_Tables!$C$48:$C$49</c:f>
              <c:strCache>
                <c:ptCount val="1"/>
                <c:pt idx="0">
                  <c:v>Male</c:v>
                </c:pt>
              </c:strCache>
            </c:strRef>
          </c:tx>
          <c:spPr>
            <a:gradFill rotWithShape="1">
              <a:gsLst>
                <a:gs pos="0">
                  <a:schemeClr val="accent1">
                    <a:tint val="77000"/>
                    <a:shade val="51000"/>
                    <a:satMod val="130000"/>
                  </a:schemeClr>
                </a:gs>
                <a:gs pos="80000">
                  <a:schemeClr val="accent1">
                    <a:tint val="77000"/>
                    <a:shade val="93000"/>
                    <a:satMod val="130000"/>
                  </a:schemeClr>
                </a:gs>
                <a:gs pos="100000">
                  <a:schemeClr val="accent1">
                    <a:tint val="7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Pivot_Tables!$A$50:$A$53</c:f>
              <c:strCache>
                <c:ptCount val="3"/>
                <c:pt idx="0">
                  <c:v>Adult</c:v>
                </c:pt>
                <c:pt idx="1">
                  <c:v>Mid-Adult</c:v>
                </c:pt>
                <c:pt idx="2">
                  <c:v>Senior</c:v>
                </c:pt>
              </c:strCache>
            </c:strRef>
          </c:cat>
          <c:val>
            <c:numRef>
              <c:f>Pivot_Tables!$C$50:$C$53</c:f>
              <c:numCache>
                <c:formatCode>General</c:formatCode>
                <c:ptCount val="3"/>
                <c:pt idx="0">
                  <c:v>241</c:v>
                </c:pt>
                <c:pt idx="1">
                  <c:v>385</c:v>
                </c:pt>
                <c:pt idx="2">
                  <c:v>278</c:v>
                </c:pt>
              </c:numCache>
            </c:numRef>
          </c:val>
          <c:extLst>
            <c:ext xmlns:c16="http://schemas.microsoft.com/office/drawing/2014/chart" uri="{C3380CC4-5D6E-409C-BE32-E72D297353CC}">
              <c16:uniqueId val="{00000003-7359-4F6D-A125-36BA36CEE0DE}"/>
            </c:ext>
          </c:extLst>
        </c:ser>
        <c:dLbls>
          <c:dLblPos val="outEnd"/>
          <c:showLegendKey val="0"/>
          <c:showVal val="1"/>
          <c:showCatName val="0"/>
          <c:showSerName val="0"/>
          <c:showPercent val="0"/>
          <c:showBubbleSize val="0"/>
        </c:dLbls>
        <c:gapWidth val="100"/>
        <c:overlap val="-24"/>
        <c:axId val="659342544"/>
        <c:axId val="578515664"/>
      </c:barChart>
      <c:catAx>
        <c:axId val="65934254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8515664"/>
        <c:crosses val="autoZero"/>
        <c:auto val="1"/>
        <c:lblAlgn val="ctr"/>
        <c:lblOffset val="100"/>
        <c:noMultiLvlLbl val="0"/>
      </c:catAx>
      <c:valAx>
        <c:axId val="578515664"/>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59342544"/>
        <c:crosses val="autoZero"/>
        <c:crossBetween val="between"/>
      </c:valAx>
      <c:spPr>
        <a:noFill/>
        <a:ln>
          <a:noFill/>
        </a:ln>
        <a:effectLst/>
      </c:spPr>
    </c:plotArea>
    <c:legend>
      <c:legendPos val="t"/>
      <c:layout>
        <c:manualLayout>
          <c:xMode val="edge"/>
          <c:yMode val="edge"/>
          <c:x val="0.73058355205599301"/>
          <c:y val="4.6712962962962977E-2"/>
          <c:w val="0.20056543857943682"/>
          <c:h val="9.043471656075145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[Ecommerce_Sales_Dataset_updated.xlsx]Pivot_Tables!PivotTable4</c:name>
    <c:fmtId val="2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Sales</a:t>
            </a:r>
            <a:r>
              <a:rPr lang="en-US" baseline="0"/>
              <a:t> by Payment Type</a:t>
            </a:r>
            <a:endParaRPr lang="en-US"/>
          </a:p>
        </c:rich>
      </c:tx>
      <c:layout>
        <c:manualLayout>
          <c:xMode val="edge"/>
          <c:yMode val="edge"/>
          <c:x val="0.15773672055427249"/>
          <c:y val="0"/>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85000"/>
                      <a:lumOff val="1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pivotFmt>
    </c:pivotFmts>
    <c:plotArea>
      <c:layout/>
      <c:doughnutChart>
        <c:varyColors val="1"/>
        <c:ser>
          <c:idx val="0"/>
          <c:order val="0"/>
          <c:tx>
            <c:strRef>
              <c:f>Pivot_Tables!$B$19</c:f>
              <c:strCache>
                <c:ptCount val="1"/>
                <c:pt idx="0">
                  <c:v>Total</c:v>
                </c:pt>
              </c:strCache>
            </c:strRef>
          </c:tx>
          <c:spPr>
            <a:effectLst>
              <a:softEdge rad="0"/>
            </a:effectLst>
            <a:scene3d>
              <a:camera prst="orthographicFront"/>
              <a:lightRig rig="threePt" dir="t"/>
            </a:scene3d>
            <a:sp3d/>
          </c:spPr>
          <c:dPt>
            <c:idx val="0"/>
            <c:bubble3D val="0"/>
            <c:spPr>
              <a:gradFill rotWithShape="1">
                <a:gsLst>
                  <a:gs pos="0">
                    <a:schemeClr val="accent1">
                      <a:shade val="65000"/>
                      <a:shade val="51000"/>
                      <a:satMod val="130000"/>
                    </a:schemeClr>
                  </a:gs>
                  <a:gs pos="80000">
                    <a:schemeClr val="accent1">
                      <a:shade val="65000"/>
                      <a:shade val="93000"/>
                      <a:satMod val="130000"/>
                    </a:schemeClr>
                  </a:gs>
                  <a:gs pos="100000">
                    <a:schemeClr val="accent1">
                      <a:shade val="65000"/>
                      <a:shade val="94000"/>
                      <a:satMod val="135000"/>
                    </a:schemeClr>
                  </a:gs>
                </a:gsLst>
                <a:lin ang="16200000" scaled="0"/>
              </a:gradFill>
              <a:ln>
                <a:noFill/>
              </a:ln>
              <a:effectLst>
                <a:softEdge rad="0"/>
              </a:effectLst>
              <a:scene3d>
                <a:camera prst="orthographicFront"/>
                <a:lightRig rig="threePt" dir="t"/>
              </a:scene3d>
              <a:sp3d/>
            </c:spPr>
            <c:extLst>
              <c:ext xmlns:c16="http://schemas.microsoft.com/office/drawing/2014/chart" uri="{C3380CC4-5D6E-409C-BE32-E72D297353CC}">
                <c16:uniqueId val="{00000001-EC56-49AD-B01C-E9FA5A30FD10}"/>
              </c:ext>
            </c:extLst>
          </c:dPt>
          <c:dPt>
            <c:idx val="1"/>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softEdge rad="0"/>
              </a:effectLst>
              <a:scene3d>
                <a:camera prst="orthographicFront"/>
                <a:lightRig rig="threePt" dir="t"/>
              </a:scene3d>
              <a:sp3d/>
            </c:spPr>
            <c:extLst>
              <c:ext xmlns:c16="http://schemas.microsoft.com/office/drawing/2014/chart" uri="{C3380CC4-5D6E-409C-BE32-E72D297353CC}">
                <c16:uniqueId val="{00000003-EC56-49AD-B01C-E9FA5A30FD10}"/>
              </c:ext>
            </c:extLst>
          </c:dPt>
          <c:dPt>
            <c:idx val="2"/>
            <c:bubble3D val="0"/>
            <c:spPr>
              <a:gradFill rotWithShape="1">
                <a:gsLst>
                  <a:gs pos="0">
                    <a:schemeClr val="accent1">
                      <a:tint val="65000"/>
                      <a:shade val="51000"/>
                      <a:satMod val="130000"/>
                    </a:schemeClr>
                  </a:gs>
                  <a:gs pos="80000">
                    <a:schemeClr val="accent1">
                      <a:tint val="65000"/>
                      <a:shade val="93000"/>
                      <a:satMod val="130000"/>
                    </a:schemeClr>
                  </a:gs>
                  <a:gs pos="100000">
                    <a:schemeClr val="accent1">
                      <a:tint val="65000"/>
                      <a:shade val="94000"/>
                      <a:satMod val="135000"/>
                    </a:schemeClr>
                  </a:gs>
                </a:gsLst>
                <a:lin ang="16200000" scaled="0"/>
              </a:gradFill>
              <a:ln>
                <a:noFill/>
              </a:ln>
              <a:effectLst>
                <a:softEdge rad="0"/>
              </a:effectLst>
              <a:scene3d>
                <a:camera prst="orthographicFront"/>
                <a:lightRig rig="threePt" dir="t"/>
              </a:scene3d>
              <a:sp3d/>
            </c:spPr>
            <c:extLst>
              <c:ext xmlns:c16="http://schemas.microsoft.com/office/drawing/2014/chart" uri="{C3380CC4-5D6E-409C-BE32-E72D297353CC}">
                <c16:uniqueId val="{00000005-EC56-49AD-B01C-E9FA5A30FD1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85000"/>
                        <a:lumOff val="1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Pivot_Tables!$A$20:$A$23</c:f>
              <c:strCache>
                <c:ptCount val="3"/>
                <c:pt idx="0">
                  <c:v>COD</c:v>
                </c:pt>
                <c:pt idx="1">
                  <c:v>Credit Card</c:v>
                </c:pt>
                <c:pt idx="2">
                  <c:v>PayPal</c:v>
                </c:pt>
              </c:strCache>
            </c:strRef>
          </c:cat>
          <c:val>
            <c:numRef>
              <c:f>Pivot_Tables!$B$20:$B$23</c:f>
              <c:numCache>
                <c:formatCode>General</c:formatCode>
                <c:ptCount val="3"/>
                <c:pt idx="0">
                  <c:v>660</c:v>
                </c:pt>
                <c:pt idx="1">
                  <c:v>645</c:v>
                </c:pt>
                <c:pt idx="2">
                  <c:v>695</c:v>
                </c:pt>
              </c:numCache>
            </c:numRef>
          </c:val>
          <c:extLst>
            <c:ext xmlns:c16="http://schemas.microsoft.com/office/drawing/2014/chart" uri="{C3380CC4-5D6E-409C-BE32-E72D297353CC}">
              <c16:uniqueId val="{00000006-EC56-49AD-B01C-E9FA5A30FD10}"/>
            </c:ext>
          </c:extLst>
        </c:ser>
        <c:dLbls>
          <c:showLegendKey val="0"/>
          <c:showVal val="0"/>
          <c:showCatName val="0"/>
          <c:showSerName val="0"/>
          <c:showPercent val="0"/>
          <c:showBubbleSize val="0"/>
          <c:showLeaderLines val="1"/>
        </c:dLbls>
        <c:firstSliceAng val="80"/>
        <c:holeSize val="51"/>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[Ecommerce_Sales_Dataset_updated.xlsx]Pivot_Tables!PivotTable3</c:name>
    <c:fmtId val="16"/>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Year</a:t>
            </a:r>
            <a:r>
              <a:rPr lang="en-IN" baseline="0"/>
              <a:t>-wise Sales</a:t>
            </a:r>
            <a:endParaRPr lang="en-IN"/>
          </a:p>
        </c:rich>
      </c:tx>
      <c:layout>
        <c:manualLayout>
          <c:xMode val="edge"/>
          <c:yMode val="edge"/>
          <c:x val="0.33710691823899364"/>
          <c:y val="4.3604651162790699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tint val="77000"/>
                    <a:shade val="51000"/>
                    <a:satMod val="130000"/>
                  </a:schemeClr>
                </a:gs>
                <a:gs pos="80000">
                  <a:schemeClr val="accent1">
                    <a:tint val="77000"/>
                    <a:shade val="93000"/>
                    <a:satMod val="130000"/>
                  </a:schemeClr>
                </a:gs>
                <a:gs pos="100000">
                  <a:schemeClr val="accent1">
                    <a:tint val="77000"/>
                    <a:shade val="94000"/>
                    <a:satMod val="135000"/>
                  </a:schemeClr>
                </a:gs>
              </a:gsLst>
              <a:lin ang="16200000" scaled="0"/>
            </a:gradFill>
            <a:ln w="9525">
              <a:solidFill>
                <a:schemeClr val="accent1">
                  <a:tint val="77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Pivot_Tables!$B$2</c:f>
              <c:strCache>
                <c:ptCount val="1"/>
                <c:pt idx="0">
                  <c:v>Sum of Total_Amount</c:v>
                </c:pt>
              </c:strCache>
            </c:strRef>
          </c:tx>
          <c:spPr>
            <a:gradFill rotWithShape="1">
              <a:gsLst>
                <a:gs pos="0">
                  <a:schemeClr val="accent1">
                    <a:shade val="76000"/>
                    <a:shade val="51000"/>
                    <a:satMod val="130000"/>
                  </a:schemeClr>
                </a:gs>
                <a:gs pos="80000">
                  <a:schemeClr val="accent1">
                    <a:shade val="76000"/>
                    <a:shade val="93000"/>
                    <a:satMod val="130000"/>
                  </a:schemeClr>
                </a:gs>
                <a:gs pos="100000">
                  <a:schemeClr val="accent1">
                    <a:shade val="7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Pivot_Tables!$A$3:$A$6</c:f>
              <c:strCache>
                <c:ptCount val="3"/>
                <c:pt idx="0">
                  <c:v>2023</c:v>
                </c:pt>
                <c:pt idx="1">
                  <c:v>2024</c:v>
                </c:pt>
                <c:pt idx="2">
                  <c:v>2025</c:v>
                </c:pt>
              </c:strCache>
            </c:strRef>
          </c:cat>
          <c:val>
            <c:numRef>
              <c:f>Pivot_Tables!$B$3:$B$6</c:f>
              <c:numCache>
                <c:formatCode>General</c:formatCode>
                <c:ptCount val="3"/>
                <c:pt idx="0">
                  <c:v>223812.72450000007</c:v>
                </c:pt>
                <c:pt idx="1">
                  <c:v>1093911.7953999995</c:v>
                </c:pt>
                <c:pt idx="2">
                  <c:v>856670.17840000056</c:v>
                </c:pt>
              </c:numCache>
            </c:numRef>
          </c:val>
          <c:extLst>
            <c:ext xmlns:c16="http://schemas.microsoft.com/office/drawing/2014/chart" uri="{C3380CC4-5D6E-409C-BE32-E72D297353CC}">
              <c16:uniqueId val="{00000000-9A47-4EF6-BAA0-D4CFA380008D}"/>
            </c:ext>
          </c:extLst>
        </c:ser>
        <c:dLbls>
          <c:showLegendKey val="0"/>
          <c:showVal val="0"/>
          <c:showCatName val="0"/>
          <c:showSerName val="0"/>
          <c:showPercent val="0"/>
          <c:showBubbleSize val="0"/>
        </c:dLbls>
        <c:gapWidth val="219"/>
        <c:axId val="956887007"/>
        <c:axId val="578548304"/>
      </c:barChart>
      <c:lineChart>
        <c:grouping val="stacked"/>
        <c:varyColors val="0"/>
        <c:ser>
          <c:idx val="1"/>
          <c:order val="1"/>
          <c:tx>
            <c:strRef>
              <c:f>Pivot_Tables!$C$2</c:f>
              <c:strCache>
                <c:ptCount val="1"/>
                <c:pt idx="0">
                  <c:v>Count of Sales_ID</c:v>
                </c:pt>
              </c:strCache>
            </c:strRef>
          </c:tx>
          <c:spPr>
            <a:ln w="34925" cap="rnd">
              <a:solidFill>
                <a:schemeClr val="accent1">
                  <a:tint val="77000"/>
                </a:schemeClr>
              </a:solidFill>
              <a:round/>
            </a:ln>
            <a:effectLst>
              <a:outerShdw blurRad="40000" dist="23000" dir="5400000" rotWithShape="0">
                <a:srgbClr val="000000">
                  <a:alpha val="35000"/>
                </a:srgbClr>
              </a:outerShdw>
            </a:effectLst>
          </c:spPr>
          <c:marker>
            <c:symbol val="circle"/>
            <c:size val="6"/>
            <c:spPr>
              <a:gradFill rotWithShape="1">
                <a:gsLst>
                  <a:gs pos="0">
                    <a:schemeClr val="accent1">
                      <a:tint val="77000"/>
                      <a:shade val="51000"/>
                      <a:satMod val="130000"/>
                    </a:schemeClr>
                  </a:gs>
                  <a:gs pos="80000">
                    <a:schemeClr val="accent1">
                      <a:tint val="77000"/>
                      <a:shade val="93000"/>
                      <a:satMod val="130000"/>
                    </a:schemeClr>
                  </a:gs>
                  <a:gs pos="100000">
                    <a:schemeClr val="accent1">
                      <a:tint val="77000"/>
                      <a:shade val="94000"/>
                      <a:satMod val="135000"/>
                    </a:schemeClr>
                  </a:gs>
                </a:gsLst>
                <a:lin ang="16200000" scaled="0"/>
              </a:gradFill>
              <a:ln w="9525">
                <a:solidFill>
                  <a:schemeClr val="accent1">
                    <a:tint val="77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strRef>
              <c:f>Pivot_Tables!$A$3:$A$6</c:f>
              <c:strCache>
                <c:ptCount val="3"/>
                <c:pt idx="0">
                  <c:v>2023</c:v>
                </c:pt>
                <c:pt idx="1">
                  <c:v>2024</c:v>
                </c:pt>
                <c:pt idx="2">
                  <c:v>2025</c:v>
                </c:pt>
              </c:strCache>
            </c:strRef>
          </c:cat>
          <c:val>
            <c:numRef>
              <c:f>Pivot_Tables!$C$3:$C$6</c:f>
              <c:numCache>
                <c:formatCode>General</c:formatCode>
                <c:ptCount val="3"/>
                <c:pt idx="0">
                  <c:v>217</c:v>
                </c:pt>
                <c:pt idx="1">
                  <c:v>999</c:v>
                </c:pt>
                <c:pt idx="2">
                  <c:v>784</c:v>
                </c:pt>
              </c:numCache>
            </c:numRef>
          </c:val>
          <c:smooth val="0"/>
          <c:extLst>
            <c:ext xmlns:c16="http://schemas.microsoft.com/office/drawing/2014/chart" uri="{C3380CC4-5D6E-409C-BE32-E72D297353CC}">
              <c16:uniqueId val="{00000001-9A47-4EF6-BAA0-D4CFA380008D}"/>
            </c:ext>
          </c:extLst>
        </c:ser>
        <c:dLbls>
          <c:showLegendKey val="0"/>
          <c:showVal val="0"/>
          <c:showCatName val="0"/>
          <c:showSerName val="0"/>
          <c:showPercent val="0"/>
          <c:showBubbleSize val="0"/>
        </c:dLbls>
        <c:marker val="1"/>
        <c:smooth val="0"/>
        <c:axId val="571320528"/>
        <c:axId val="578545904"/>
      </c:lineChart>
      <c:catAx>
        <c:axId val="95688700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8548304"/>
        <c:crosses val="autoZero"/>
        <c:auto val="1"/>
        <c:lblAlgn val="ctr"/>
        <c:lblOffset val="100"/>
        <c:noMultiLvlLbl val="0"/>
      </c:catAx>
      <c:valAx>
        <c:axId val="578548304"/>
        <c:scaling>
          <c:orientation val="minMax"/>
        </c:scaling>
        <c:delete val="0"/>
        <c:axPos val="l"/>
        <c:numFmt formatCode="0.0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56887007"/>
        <c:crosses val="autoZero"/>
        <c:crossBetween val="between"/>
      </c:valAx>
      <c:valAx>
        <c:axId val="578545904"/>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1320528"/>
        <c:crosses val="max"/>
        <c:crossBetween val="between"/>
      </c:valAx>
      <c:catAx>
        <c:axId val="571320528"/>
        <c:scaling>
          <c:orientation val="minMax"/>
        </c:scaling>
        <c:delete val="1"/>
        <c:axPos val="b"/>
        <c:numFmt formatCode="General" sourceLinked="1"/>
        <c:majorTickMark val="none"/>
        <c:minorTickMark val="none"/>
        <c:tickLblPos val="nextTo"/>
        <c:crossAx val="578545904"/>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[Ecommerce_Sales_Dataset_updated.xlsx]Pivot_Tables!PivotTable5</c:name>
    <c:fmtId val="17"/>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Region</a:t>
            </a:r>
            <a:r>
              <a:rPr lang="en-IN" baseline="0"/>
              <a:t>wise Avg.revenue</a:t>
            </a:r>
            <a:endParaRPr lang="en-IN"/>
          </a:p>
        </c:rich>
      </c:tx>
      <c:layout>
        <c:manualLayout>
          <c:xMode val="edge"/>
          <c:yMode val="edge"/>
          <c:x val="0.29386206709390278"/>
          <c:y val="3.7037037037037035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Pivot_Tables!$B$32</c:f>
              <c:strCache>
                <c:ptCount val="1"/>
                <c:pt idx="0">
                  <c:v>Count of Sales_ID</c:v>
                </c:pt>
              </c:strCache>
            </c:strRef>
          </c:tx>
          <c:spPr>
            <a:gradFill rotWithShape="1">
              <a:gsLst>
                <a:gs pos="0">
                  <a:schemeClr val="accent1">
                    <a:shade val="76000"/>
                    <a:shade val="51000"/>
                    <a:satMod val="130000"/>
                  </a:schemeClr>
                </a:gs>
                <a:gs pos="80000">
                  <a:schemeClr val="accent1">
                    <a:shade val="76000"/>
                    <a:shade val="93000"/>
                    <a:satMod val="130000"/>
                  </a:schemeClr>
                </a:gs>
                <a:gs pos="100000">
                  <a:schemeClr val="accent1">
                    <a:shade val="76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Pivot_Tables!$A$33:$A$37</c:f>
              <c:strCache>
                <c:ptCount val="4"/>
                <c:pt idx="0">
                  <c:v>East</c:v>
                </c:pt>
                <c:pt idx="1">
                  <c:v>North</c:v>
                </c:pt>
                <c:pt idx="2">
                  <c:v>South</c:v>
                </c:pt>
                <c:pt idx="3">
                  <c:v>West</c:v>
                </c:pt>
              </c:strCache>
            </c:strRef>
          </c:cat>
          <c:val>
            <c:numRef>
              <c:f>Pivot_Tables!$B$33:$B$37</c:f>
              <c:numCache>
                <c:formatCode>General</c:formatCode>
                <c:ptCount val="4"/>
                <c:pt idx="0">
                  <c:v>590</c:v>
                </c:pt>
                <c:pt idx="1">
                  <c:v>596</c:v>
                </c:pt>
                <c:pt idx="2">
                  <c:v>581</c:v>
                </c:pt>
                <c:pt idx="3">
                  <c:v>233</c:v>
                </c:pt>
              </c:numCache>
            </c:numRef>
          </c:val>
          <c:extLst>
            <c:ext xmlns:c16="http://schemas.microsoft.com/office/drawing/2014/chart" uri="{C3380CC4-5D6E-409C-BE32-E72D297353CC}">
              <c16:uniqueId val="{00000000-352B-4D41-B63E-64AB4AE8FB45}"/>
            </c:ext>
          </c:extLst>
        </c:ser>
        <c:ser>
          <c:idx val="1"/>
          <c:order val="1"/>
          <c:tx>
            <c:strRef>
              <c:f>Pivot_Tables!$C$32</c:f>
              <c:strCache>
                <c:ptCount val="1"/>
                <c:pt idx="0">
                  <c:v>Average of Total_Amount</c:v>
                </c:pt>
              </c:strCache>
            </c:strRef>
          </c:tx>
          <c:spPr>
            <a:gradFill rotWithShape="1">
              <a:gsLst>
                <a:gs pos="0">
                  <a:schemeClr val="accent1">
                    <a:tint val="77000"/>
                    <a:shade val="51000"/>
                    <a:satMod val="130000"/>
                  </a:schemeClr>
                </a:gs>
                <a:gs pos="80000">
                  <a:schemeClr val="accent1">
                    <a:tint val="77000"/>
                    <a:shade val="93000"/>
                    <a:satMod val="130000"/>
                  </a:schemeClr>
                </a:gs>
                <a:gs pos="100000">
                  <a:schemeClr val="accent1">
                    <a:tint val="77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Pivot_Tables!$A$33:$A$37</c:f>
              <c:strCache>
                <c:ptCount val="4"/>
                <c:pt idx="0">
                  <c:v>East</c:v>
                </c:pt>
                <c:pt idx="1">
                  <c:v>North</c:v>
                </c:pt>
                <c:pt idx="2">
                  <c:v>South</c:v>
                </c:pt>
                <c:pt idx="3">
                  <c:v>West</c:v>
                </c:pt>
              </c:strCache>
            </c:strRef>
          </c:cat>
          <c:val>
            <c:numRef>
              <c:f>Pivot_Tables!$C$33:$C$37</c:f>
              <c:numCache>
                <c:formatCode>General</c:formatCode>
                <c:ptCount val="4"/>
                <c:pt idx="0">
                  <c:v>1054.9225700000002</c:v>
                </c:pt>
                <c:pt idx="1">
                  <c:v>1084.0618796979873</c:v>
                </c:pt>
                <c:pt idx="2">
                  <c:v>1093.3099753872634</c:v>
                </c:pt>
                <c:pt idx="3">
                  <c:v>1161.701313304721</c:v>
                </c:pt>
              </c:numCache>
            </c:numRef>
          </c:val>
          <c:extLst>
            <c:ext xmlns:c16="http://schemas.microsoft.com/office/drawing/2014/chart" uri="{C3380CC4-5D6E-409C-BE32-E72D297353CC}">
              <c16:uniqueId val="{00000001-352B-4D41-B63E-64AB4AE8FB45}"/>
            </c:ext>
          </c:extLst>
        </c:ser>
        <c:dLbls>
          <c:dLblPos val="outEnd"/>
          <c:showLegendKey val="0"/>
          <c:showVal val="1"/>
          <c:showCatName val="0"/>
          <c:showSerName val="0"/>
          <c:showPercent val="0"/>
          <c:showBubbleSize val="0"/>
        </c:dLbls>
        <c:gapWidth val="115"/>
        <c:axId val="944173200"/>
        <c:axId val="578460464"/>
      </c:barChart>
      <c:catAx>
        <c:axId val="944173200"/>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8460464"/>
        <c:crosses val="autoZero"/>
        <c:auto val="1"/>
        <c:lblAlgn val="ctr"/>
        <c:lblOffset val="100"/>
        <c:noMultiLvlLbl val="0"/>
      </c:catAx>
      <c:valAx>
        <c:axId val="578460464"/>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44173200"/>
        <c:crosses val="autoZero"/>
        <c:crossBetween val="between"/>
      </c:valAx>
      <c:spPr>
        <a:noFill/>
        <a:ln>
          <a:noFill/>
        </a:ln>
        <a:effectLst/>
      </c:spPr>
    </c:plotArea>
    <c:legend>
      <c:legendPos val="t"/>
      <c:layout>
        <c:manualLayout>
          <c:xMode val="edge"/>
          <c:yMode val="edge"/>
          <c:x val="0.26378786292776923"/>
          <c:y val="0.15986111111111112"/>
          <c:w val="0.52658459236170074"/>
          <c:h val="7.81255468066491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[Ecommerce_Sales_Dataset_updated.xlsx]Pivot_Tables!PivotTable7</c:name>
    <c:fmtId val="1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Category</a:t>
            </a:r>
            <a:r>
              <a:rPr lang="en-IN" baseline="0"/>
              <a:t> wise Avg. Revenue</a:t>
            </a:r>
            <a:endParaRPr lang="en-IN"/>
          </a:p>
        </c:rich>
      </c:tx>
      <c:layout>
        <c:manualLayout>
          <c:xMode val="edge"/>
          <c:yMode val="edge"/>
          <c:x val="0.20121872074524602"/>
          <c:y val="1.8308205082319257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a:glow rad="127000">
                <a:schemeClr val="accent1">
                  <a:alpha val="98000"/>
                </a:schemeClr>
              </a:glow>
              <a:softEdge rad="101600"/>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a:glow rad="127000">
                <a:schemeClr val="accent1">
                  <a:alpha val="98000"/>
                </a:schemeClr>
              </a:glow>
              <a:softEdge rad="101600"/>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a:glow rad="127000">
                <a:schemeClr val="accent1">
                  <a:alpha val="98000"/>
                </a:schemeClr>
              </a:glow>
              <a:softEdge rad="101600"/>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a:glow rad="127000">
                <a:schemeClr val="accent1">
                  <a:alpha val="98000"/>
                </a:schemeClr>
              </a:glow>
              <a:softEdge rad="101600"/>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1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a:glow rad="127000">
                <a:schemeClr val="accent1">
                  <a:alpha val="98000"/>
                </a:schemeClr>
              </a:glow>
              <a:softEdge rad="101600"/>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2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Pivot_Tables!$B$58</c:f>
              <c:strCache>
                <c:ptCount val="1"/>
                <c:pt idx="0">
                  <c:v>Total</c:v>
                </c:pt>
              </c:strCache>
            </c:strRef>
          </c:tx>
          <c:dPt>
            <c:idx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9180-480A-9679-B5CD5B3C4553}"/>
              </c:ext>
            </c:extLst>
          </c:dPt>
          <c:dPt>
            <c:idx val="1"/>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9180-480A-9679-B5CD5B3C4553}"/>
              </c:ext>
            </c:extLst>
          </c:dPt>
          <c:dPt>
            <c:idx val="2"/>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9180-480A-9679-B5CD5B3C4553}"/>
              </c:ext>
            </c:extLst>
          </c:dPt>
          <c:dPt>
            <c:idx val="3"/>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9180-480A-9679-B5CD5B3C4553}"/>
              </c:ext>
            </c:extLst>
          </c:dPt>
          <c:dPt>
            <c:idx val="4"/>
            <c:bubble3D val="0"/>
            <c:spPr>
              <a:gradFill rotWithShape="1">
                <a:gsLst>
                  <a:gs pos="0">
                    <a:schemeClr val="accent3">
                      <a:lumMod val="60000"/>
                      <a:shade val="51000"/>
                      <a:satMod val="130000"/>
                    </a:schemeClr>
                  </a:gs>
                  <a:gs pos="80000">
                    <a:schemeClr val="accent3">
                      <a:lumMod val="60000"/>
                      <a:shade val="93000"/>
                      <a:satMod val="130000"/>
                    </a:schemeClr>
                  </a:gs>
                  <a:gs pos="100000">
                    <a:schemeClr val="accent3">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9180-480A-9679-B5CD5B3C4553}"/>
              </c:ext>
            </c:extLst>
          </c:dPt>
          <c:dLbls>
            <c:spPr>
              <a:noFill/>
              <a:ln>
                <a:noFill/>
              </a:ln>
              <a:effectLst>
                <a:glow rad="127000">
                  <a:schemeClr val="accent1">
                    <a:alpha val="98000"/>
                  </a:schemeClr>
                </a:glow>
                <a:softEdge rad="101600"/>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0"/>
            <c:showCatName val="0"/>
            <c:showSerName val="0"/>
            <c:showPercent val="1"/>
            <c:showBubbleSize val="0"/>
            <c:showLeaderLines val="0"/>
            <c:extLst>
              <c:ext xmlns:c15="http://schemas.microsoft.com/office/drawing/2012/chart" uri="{CE6537A1-D6FC-4f65-9D91-7224C49458BB}"/>
            </c:extLst>
          </c:dLbls>
          <c:cat>
            <c:strRef>
              <c:f>Pivot_Tables!$A$59:$A$64</c:f>
              <c:strCache>
                <c:ptCount val="5"/>
                <c:pt idx="0">
                  <c:v>Beauty</c:v>
                </c:pt>
                <c:pt idx="1">
                  <c:v>Clothing</c:v>
                </c:pt>
                <c:pt idx="2">
                  <c:v>Electronics</c:v>
                </c:pt>
                <c:pt idx="3">
                  <c:v>Home</c:v>
                </c:pt>
                <c:pt idx="4">
                  <c:v>Sports</c:v>
                </c:pt>
              </c:strCache>
            </c:strRef>
          </c:cat>
          <c:val>
            <c:numRef>
              <c:f>Pivot_Tables!$B$59:$B$64</c:f>
              <c:numCache>
                <c:formatCode>General</c:formatCode>
                <c:ptCount val="5"/>
                <c:pt idx="0">
                  <c:v>1057.7675273026307</c:v>
                </c:pt>
                <c:pt idx="1">
                  <c:v>1135.377376646707</c:v>
                </c:pt>
                <c:pt idx="2">
                  <c:v>1110.8179471365645</c:v>
                </c:pt>
                <c:pt idx="3">
                  <c:v>1042.1848868292682</c:v>
                </c:pt>
                <c:pt idx="4">
                  <c:v>1088.3738445783142</c:v>
                </c:pt>
              </c:numCache>
            </c:numRef>
          </c:val>
          <c:extLst>
            <c:ext xmlns:c16="http://schemas.microsoft.com/office/drawing/2014/chart" uri="{C3380CC4-5D6E-409C-BE32-E72D297353CC}">
              <c16:uniqueId val="{0000000A-9180-480A-9679-B5CD5B3C4553}"/>
            </c:ext>
          </c:extLst>
        </c:ser>
        <c:dLbls>
          <c:dLblPos val="bestFit"/>
          <c:showLegendKey val="0"/>
          <c:showVal val="1"/>
          <c:showCatName val="0"/>
          <c:showSerName val="0"/>
          <c:showPercent val="0"/>
          <c:showBubbleSize val="0"/>
          <c:showLeaderLines val="0"/>
        </c:dLbls>
      </c:pie3D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[Ecommerce_Sales_Dataset_updated.xlsx]Pivot_Tables!PivotTable6</c:name>
    <c:fmtId val="14"/>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Year</a:t>
            </a:r>
            <a:r>
              <a:rPr lang="en-US" baseline="0"/>
              <a:t> vs Gender Sales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Pivot_Tables!$B$69</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multiLvlStrRef>
              <c:f>Pivot_Tables!$A$70:$A$79</c:f>
              <c:multiLvlStrCache>
                <c:ptCount val="6"/>
                <c:lvl>
                  <c:pt idx="0">
                    <c:v>Female</c:v>
                  </c:pt>
                  <c:pt idx="1">
                    <c:v>Male</c:v>
                  </c:pt>
                  <c:pt idx="2">
                    <c:v>Female</c:v>
                  </c:pt>
                  <c:pt idx="3">
                    <c:v>Male</c:v>
                  </c:pt>
                  <c:pt idx="4">
                    <c:v>Female</c:v>
                  </c:pt>
                  <c:pt idx="5">
                    <c:v>Male</c:v>
                  </c:pt>
                </c:lvl>
                <c:lvl>
                  <c:pt idx="0">
                    <c:v>2023</c:v>
                  </c:pt>
                  <c:pt idx="2">
                    <c:v>2024</c:v>
                  </c:pt>
                  <c:pt idx="4">
                    <c:v>2025</c:v>
                  </c:pt>
                </c:lvl>
              </c:multiLvlStrCache>
            </c:multiLvlStrRef>
          </c:cat>
          <c:val>
            <c:numRef>
              <c:f>Pivot_Tables!$B$70:$B$79</c:f>
              <c:numCache>
                <c:formatCode>General</c:formatCode>
                <c:ptCount val="6"/>
                <c:pt idx="0">
                  <c:v>1028.6294704347824</c:v>
                </c:pt>
                <c:pt idx="1">
                  <c:v>1034.5130921568625</c:v>
                </c:pt>
                <c:pt idx="2">
                  <c:v>1143.6407663023685</c:v>
                </c:pt>
                <c:pt idx="3">
                  <c:v>1035.6733660000007</c:v>
                </c:pt>
                <c:pt idx="4">
                  <c:v>1123.3635648148145</c:v>
                </c:pt>
                <c:pt idx="5">
                  <c:v>1055.0486318181813</c:v>
                </c:pt>
              </c:numCache>
            </c:numRef>
          </c:val>
          <c:extLst>
            <c:ext xmlns:c16="http://schemas.microsoft.com/office/drawing/2014/chart" uri="{C3380CC4-5D6E-409C-BE32-E72D297353CC}">
              <c16:uniqueId val="{00000000-E90E-412D-AF72-F06489FA1874}"/>
            </c:ext>
          </c:extLst>
        </c:ser>
        <c:dLbls>
          <c:dLblPos val="outEnd"/>
          <c:showLegendKey val="0"/>
          <c:showVal val="1"/>
          <c:showCatName val="0"/>
          <c:showSerName val="0"/>
          <c:showPercent val="0"/>
          <c:showBubbleSize val="0"/>
        </c:dLbls>
        <c:gapWidth val="100"/>
        <c:overlap val="-24"/>
        <c:axId val="963081904"/>
        <c:axId val="578334704"/>
      </c:barChart>
      <c:catAx>
        <c:axId val="96308190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8334704"/>
        <c:crosses val="autoZero"/>
        <c:auto val="1"/>
        <c:lblAlgn val="ctr"/>
        <c:lblOffset val="100"/>
        <c:noMultiLvlLbl val="0"/>
      </c:catAx>
      <c:valAx>
        <c:axId val="5783347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63081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withinLinearReversed" id="21">
  <a:schemeClr val="accent1"/>
</cs:colorStyle>
</file>

<file path=xl/charts/colors5.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withinLinear" id="14">
  <a:schemeClr val="accent1"/>
</cs:colorStyle>
</file>

<file path=xl/charts/colors9.xml><?xml version="1.0" encoding="utf-8"?>
<cs:colorStyle xmlns:cs="http://schemas.microsoft.com/office/drawing/2012/chartStyle" xmlns:a="http://schemas.openxmlformats.org/drawingml/2006/main" meth="withinLinear" id="14">
  <a:schemeClr val="accent1"/>
</cs:colorStyle>
</file>

<file path=xl/charts/colors10.xml><?xml version="1.0" encoding="utf-8"?>
<cs:colorStyle xmlns:cs="http://schemas.microsoft.com/office/drawing/2012/chartStyle" xmlns:a="http://schemas.openxmlformats.org/drawingml/2006/main" meth="withinLinear" id="14">
  <a:schemeClr val="accent1"/>
</cs:colorStyle>
</file>

<file path=xl/charts/colors1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6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21</xdr:col>
      <xdr:colOff>386080</xdr:colOff>
      <xdr:row>3</xdr:row>
      <xdr:rowOff>45720</xdr:rowOff>
    </xdr:from>
    <xdr:to>
      <xdr:col>30</xdr:col>
      <xdr:colOff>607060</xdr:colOff>
      <xdr:row>18</xdr:row>
      <xdr:rowOff>68580</xdr:rowOff>
    </xdr:to>
    <xdr:graphicFrame macro="">
      <xdr:nvGraphicFramePr>
        <xdr:cNvPr id="2" name="Chart 1">
          <a:extLst>
            <a:ext uri="{FF2B5EF4-FFF2-40B4-BE49-F238E27FC236}">
              <a16:creationId xmlns:a16="http://schemas.microsoft.com/office/drawing/2014/main" id="{75126A44-9DFA-465A-9396-9D008BB0AB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86360</xdr:colOff>
      <xdr:row>3</xdr:row>
      <xdr:rowOff>43180</xdr:rowOff>
    </xdr:from>
    <xdr:to>
      <xdr:col>21</xdr:col>
      <xdr:colOff>345440</xdr:colOff>
      <xdr:row>18</xdr:row>
      <xdr:rowOff>71120</xdr:rowOff>
    </xdr:to>
    <xdr:graphicFrame macro="">
      <xdr:nvGraphicFramePr>
        <xdr:cNvPr id="3" name="Chart 2">
          <a:extLst>
            <a:ext uri="{FF2B5EF4-FFF2-40B4-BE49-F238E27FC236}">
              <a16:creationId xmlns:a16="http://schemas.microsoft.com/office/drawing/2014/main" id="{99556279-8F1A-4FF4-B54A-2C68D77E8A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294640</xdr:colOff>
      <xdr:row>18</xdr:row>
      <xdr:rowOff>111760</xdr:rowOff>
    </xdr:from>
    <xdr:to>
      <xdr:col>14</xdr:col>
      <xdr:colOff>193040</xdr:colOff>
      <xdr:row>35</xdr:row>
      <xdr:rowOff>10160</xdr:rowOff>
    </xdr:to>
    <xdr:graphicFrame macro="">
      <xdr:nvGraphicFramePr>
        <xdr:cNvPr id="4" name="Chart 3">
          <a:extLst>
            <a:ext uri="{FF2B5EF4-FFF2-40B4-BE49-F238E27FC236}">
              <a16:creationId xmlns:a16="http://schemas.microsoft.com/office/drawing/2014/main" id="{6F2D469C-31BC-4F7D-A18C-2BB93A9FD1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335280</xdr:colOff>
      <xdr:row>3</xdr:row>
      <xdr:rowOff>40640</xdr:rowOff>
    </xdr:from>
    <xdr:to>
      <xdr:col>14</xdr:col>
      <xdr:colOff>50800</xdr:colOff>
      <xdr:row>18</xdr:row>
      <xdr:rowOff>81280</xdr:rowOff>
    </xdr:to>
    <xdr:graphicFrame macro="">
      <xdr:nvGraphicFramePr>
        <xdr:cNvPr id="5" name="Chart 4">
          <a:extLst>
            <a:ext uri="{FF2B5EF4-FFF2-40B4-BE49-F238E27FC236}">
              <a16:creationId xmlns:a16="http://schemas.microsoft.com/office/drawing/2014/main" id="{35806936-885A-43C8-B6AA-79FDC5A310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22</xdr:col>
      <xdr:colOff>447040</xdr:colOff>
      <xdr:row>18</xdr:row>
      <xdr:rowOff>111760</xdr:rowOff>
    </xdr:from>
    <xdr:to>
      <xdr:col>31</xdr:col>
      <xdr:colOff>10160</xdr:colOff>
      <xdr:row>35</xdr:row>
      <xdr:rowOff>0</xdr:rowOff>
    </xdr:to>
    <xdr:graphicFrame macro="">
      <xdr:nvGraphicFramePr>
        <xdr:cNvPr id="6" name="Chart 5">
          <a:extLst>
            <a:ext uri="{FF2B5EF4-FFF2-40B4-BE49-F238E27FC236}">
              <a16:creationId xmlns:a16="http://schemas.microsoft.com/office/drawing/2014/main" id="{ED5C7AB4-265D-4045-9081-CD2C4E6261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213360</xdr:colOff>
      <xdr:row>18</xdr:row>
      <xdr:rowOff>111760</xdr:rowOff>
    </xdr:from>
    <xdr:to>
      <xdr:col>22</xdr:col>
      <xdr:colOff>398780</xdr:colOff>
      <xdr:row>35</xdr:row>
      <xdr:rowOff>0</xdr:rowOff>
    </xdr:to>
    <xdr:graphicFrame macro="">
      <xdr:nvGraphicFramePr>
        <xdr:cNvPr id="8" name="Chart 7">
          <a:extLst>
            <a:ext uri="{FF2B5EF4-FFF2-40B4-BE49-F238E27FC236}">
              <a16:creationId xmlns:a16="http://schemas.microsoft.com/office/drawing/2014/main" id="{224DF25F-EEFD-4768-9191-1998C04F88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0</xdr:colOff>
      <xdr:row>3</xdr:row>
      <xdr:rowOff>1</xdr:rowOff>
    </xdr:from>
    <xdr:to>
      <xdr:col>2</xdr:col>
      <xdr:colOff>294640</xdr:colOff>
      <xdr:row>12</xdr:row>
      <xdr:rowOff>142241</xdr:rowOff>
    </xdr:to>
    <mc:AlternateContent xmlns:mc="http://schemas.openxmlformats.org/markup-compatibility/2006" xmlns:a14="http://schemas.microsoft.com/office/drawing/2010/main">
      <mc:Choice Requires="a14">
        <xdr:graphicFrame macro="">
          <xdr:nvGraphicFramePr>
            <xdr:cNvPr id="11" name="Category">
              <a:extLst>
                <a:ext uri="{FF2B5EF4-FFF2-40B4-BE49-F238E27FC236}">
                  <a16:creationId xmlns:a16="http://schemas.microsoft.com/office/drawing/2014/main" id="{EFA73C61-2A75-CFDF-66EE-DC5AB1747E49}"/>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0" y="548641"/>
              <a:ext cx="1320800" cy="17881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13</xdr:row>
      <xdr:rowOff>35560</xdr:rowOff>
    </xdr:from>
    <xdr:to>
      <xdr:col>2</xdr:col>
      <xdr:colOff>304800</xdr:colOff>
      <xdr:row>22</xdr:row>
      <xdr:rowOff>40639</xdr:rowOff>
    </xdr:to>
    <mc:AlternateContent xmlns:mc="http://schemas.openxmlformats.org/markup-compatibility/2006" xmlns:a14="http://schemas.microsoft.com/office/drawing/2010/main">
      <mc:Choice Requires="a14">
        <xdr:graphicFrame macro="">
          <xdr:nvGraphicFramePr>
            <xdr:cNvPr id="12" name="Age group">
              <a:extLst>
                <a:ext uri="{FF2B5EF4-FFF2-40B4-BE49-F238E27FC236}">
                  <a16:creationId xmlns:a16="http://schemas.microsoft.com/office/drawing/2014/main" id="{073220E4-EF10-84E0-832F-BC2E99EC4D36}"/>
                </a:ext>
              </a:extLst>
            </xdr:cNvPr>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mlns="">
        <xdr:sp macro="" textlink="">
          <xdr:nvSpPr>
            <xdr:cNvPr id="0" name=""/>
            <xdr:cNvSpPr>
              <a:spLocks noTextEdit="1"/>
            </xdr:cNvSpPr>
          </xdr:nvSpPr>
          <xdr:spPr>
            <a:xfrm>
              <a:off x="0" y="2413001"/>
              <a:ext cx="1330960" cy="12446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22</xdr:row>
      <xdr:rowOff>35561</xdr:rowOff>
    </xdr:from>
    <xdr:to>
      <xdr:col>2</xdr:col>
      <xdr:colOff>284480</xdr:colOff>
      <xdr:row>35</xdr:row>
      <xdr:rowOff>10161</xdr:rowOff>
    </xdr:to>
    <mc:AlternateContent xmlns:mc="http://schemas.openxmlformats.org/markup-compatibility/2006">
      <mc:Choice xmlns:a14="http://schemas.microsoft.com/office/drawing/2010/main" Requires="a14">
        <xdr:graphicFrame macro="">
          <xdr:nvGraphicFramePr>
            <xdr:cNvPr id="10" name="loyalty Level">
              <a:extLst>
                <a:ext uri="{FF2B5EF4-FFF2-40B4-BE49-F238E27FC236}">
                  <a16:creationId xmlns:a16="http://schemas.microsoft.com/office/drawing/2014/main" id="{5519FADC-AB96-07A6-356E-EC91AD186769}"/>
                </a:ext>
              </a:extLst>
            </xdr:cNvPr>
            <xdr:cNvGraphicFramePr/>
          </xdr:nvGraphicFramePr>
          <xdr:xfrm>
            <a:off x="0" y="0"/>
            <a:ext cx="0" cy="0"/>
          </xdr:xfrm>
          <a:graphic>
            <a:graphicData uri="http://schemas.microsoft.com/office/drawing/2010/slicer">
              <sle:slicer xmlns:sle="http://schemas.microsoft.com/office/drawing/2010/slicer" name="loyalty Level"/>
            </a:graphicData>
          </a:graphic>
        </xdr:graphicFrame>
      </mc:Choice>
      <mc:Fallback>
        <xdr:sp macro="" textlink="">
          <xdr:nvSpPr>
            <xdr:cNvPr id="0" name=""/>
            <xdr:cNvSpPr>
              <a:spLocks noTextEdit="1"/>
            </xdr:cNvSpPr>
          </xdr:nvSpPr>
          <xdr:spPr>
            <a:xfrm>
              <a:off x="0" y="4058921"/>
              <a:ext cx="1503680" cy="23520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4</xdr:col>
      <xdr:colOff>457200</xdr:colOff>
      <xdr:row>42</xdr:row>
      <xdr:rowOff>30480</xdr:rowOff>
    </xdr:from>
    <xdr:to>
      <xdr:col>9</xdr:col>
      <xdr:colOff>678180</xdr:colOff>
      <xdr:row>55</xdr:row>
      <xdr:rowOff>22860</xdr:rowOff>
    </xdr:to>
    <xdr:graphicFrame macro="">
      <xdr:nvGraphicFramePr>
        <xdr:cNvPr id="11" name="Chart 10">
          <a:extLst>
            <a:ext uri="{FF2B5EF4-FFF2-40B4-BE49-F238E27FC236}">
              <a16:creationId xmlns:a16="http://schemas.microsoft.com/office/drawing/2014/main" id="{62562A2A-8B59-6531-48CE-8908EECFA7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464820</xdr:colOff>
      <xdr:row>15</xdr:row>
      <xdr:rowOff>60960</xdr:rowOff>
    </xdr:from>
    <xdr:to>
      <xdr:col>6</xdr:col>
      <xdr:colOff>556260</xdr:colOff>
      <xdr:row>26</xdr:row>
      <xdr:rowOff>0</xdr:rowOff>
    </xdr:to>
    <xdr:graphicFrame macro="">
      <xdr:nvGraphicFramePr>
        <xdr:cNvPr id="2" name="Chart 1">
          <a:extLst>
            <a:ext uri="{FF2B5EF4-FFF2-40B4-BE49-F238E27FC236}">
              <a16:creationId xmlns:a16="http://schemas.microsoft.com/office/drawing/2014/main" id="{1DD8B0F2-1954-42BD-9925-4C9F7E5B45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716280</xdr:colOff>
      <xdr:row>0</xdr:row>
      <xdr:rowOff>0</xdr:rowOff>
    </xdr:from>
    <xdr:to>
      <xdr:col>8</xdr:col>
      <xdr:colOff>22860</xdr:colOff>
      <xdr:row>12</xdr:row>
      <xdr:rowOff>45720</xdr:rowOff>
    </xdr:to>
    <xdr:graphicFrame macro="">
      <xdr:nvGraphicFramePr>
        <xdr:cNvPr id="3" name="Chart 2">
          <a:extLst>
            <a:ext uri="{FF2B5EF4-FFF2-40B4-BE49-F238E27FC236}">
              <a16:creationId xmlns:a16="http://schemas.microsoft.com/office/drawing/2014/main" id="{8B45EB77-5114-4614-B58C-A180F1AA6E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670560</xdr:colOff>
      <xdr:row>28</xdr:row>
      <xdr:rowOff>167640</xdr:rowOff>
    </xdr:from>
    <xdr:to>
      <xdr:col>9</xdr:col>
      <xdr:colOff>403860</xdr:colOff>
      <xdr:row>39</xdr:row>
      <xdr:rowOff>167640</xdr:rowOff>
    </xdr:to>
    <xdr:graphicFrame macro="">
      <xdr:nvGraphicFramePr>
        <xdr:cNvPr id="4" name="Chart 3">
          <a:extLst>
            <a:ext uri="{FF2B5EF4-FFF2-40B4-BE49-F238E27FC236}">
              <a16:creationId xmlns:a16="http://schemas.microsoft.com/office/drawing/2014/main" id="{4CB0CE8E-01D0-4C3B-ACE9-641DBA5A49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845820</xdr:colOff>
      <xdr:row>56</xdr:row>
      <xdr:rowOff>152400</xdr:rowOff>
    </xdr:from>
    <xdr:to>
      <xdr:col>6</xdr:col>
      <xdr:colOff>22860</xdr:colOff>
      <xdr:row>65</xdr:row>
      <xdr:rowOff>45720</xdr:rowOff>
    </xdr:to>
    <xdr:graphicFrame macro="">
      <xdr:nvGraphicFramePr>
        <xdr:cNvPr id="5" name="Chart 4">
          <a:extLst>
            <a:ext uri="{FF2B5EF4-FFF2-40B4-BE49-F238E27FC236}">
              <a16:creationId xmlns:a16="http://schemas.microsoft.com/office/drawing/2014/main" id="{7052A9AC-9D17-41D4-90AC-D5CEBE250C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518160</xdr:colOff>
      <xdr:row>67</xdr:row>
      <xdr:rowOff>121920</xdr:rowOff>
    </xdr:from>
    <xdr:to>
      <xdr:col>6</xdr:col>
      <xdr:colOff>190500</xdr:colOff>
      <xdr:row>80</xdr:row>
      <xdr:rowOff>0</xdr:rowOff>
    </xdr:to>
    <xdr:graphicFrame macro="">
      <xdr:nvGraphicFramePr>
        <xdr:cNvPr id="6" name="Chart 5">
          <a:extLst>
            <a:ext uri="{FF2B5EF4-FFF2-40B4-BE49-F238E27FC236}">
              <a16:creationId xmlns:a16="http://schemas.microsoft.com/office/drawing/2014/main" id="{685FF21E-BA06-4CDB-98B2-0F5341E009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rkavi" refreshedDate="46300.317688541669" createdVersion="8" refreshedVersion="8" minRefreshableVersion="3" recordCount="2000" xr:uid="{4D2E2436-5069-4300-BA1E-343395C666C1}">
  <cacheSource type="worksheet">
    <worksheetSource name="Sales_Details2"/>
  </cacheSource>
  <cacheFields count="23">
    <cacheField name="Sales_ID" numFmtId="0">
      <sharedItems/>
    </cacheField>
    <cacheField name="Order_Date" numFmtId="14">
      <sharedItems containsSemiMixedTypes="0" containsNonDate="0" containsDate="1" containsString="0" minDate="2023-10-14T00:00:00" maxDate="2025-10-14T00:00:00" count="683">
        <d v="2024-07-07T00:00:00"/>
        <d v="2023-12-25T00:00:00"/>
        <d v="2024-06-03T00:00:00"/>
        <d v="2023-11-29T00:00:00"/>
        <d v="2024-01-06T00:00:00"/>
        <d v="2024-07-26T00:00:00"/>
        <d v="2025-07-12T00:00:00"/>
        <d v="2023-11-18T00:00:00"/>
        <d v="2025-05-04T00:00:00"/>
        <d v="2025-07-31T00:00:00"/>
        <d v="2024-02-13T00:00:00"/>
        <d v="2025-05-24T00:00:00"/>
        <d v="2024-08-24T00:00:00"/>
        <d v="2025-08-06T00:00:00"/>
        <d v="2025-06-21T00:00:00"/>
        <d v="2024-12-10T00:00:00"/>
        <d v="2025-09-13T00:00:00"/>
        <d v="2024-12-11T00:00:00"/>
        <d v="2024-08-13T00:00:00"/>
        <d v="2024-03-18T00:00:00"/>
        <d v="2025-07-05T00:00:00"/>
        <d v="2024-06-04T00:00:00"/>
        <d v="2024-04-12T00:00:00"/>
        <d v="2024-06-23T00:00:00"/>
        <d v="2025-09-08T00:00:00"/>
        <d v="2024-09-17T00:00:00"/>
        <d v="2024-01-03T00:00:00"/>
        <d v="2025-02-22T00:00:00"/>
        <d v="2025-09-23T00:00:00"/>
        <d v="2024-01-11T00:00:00"/>
        <d v="2023-10-18T00:00:00"/>
        <d v="2024-10-28T00:00:00"/>
        <d v="2024-11-01T00:00:00"/>
        <d v="2024-11-24T00:00:00"/>
        <d v="2023-10-16T00:00:00"/>
        <d v="2025-08-09T00:00:00"/>
        <d v="2024-12-09T00:00:00"/>
        <d v="2024-02-07T00:00:00"/>
        <d v="2024-03-27T00:00:00"/>
        <d v="2023-12-04T00:00:00"/>
        <d v="2024-07-13T00:00:00"/>
        <d v="2023-11-11T00:00:00"/>
        <d v="2024-12-23T00:00:00"/>
        <d v="2025-01-20T00:00:00"/>
        <d v="2024-09-03T00:00:00"/>
        <d v="2024-11-10T00:00:00"/>
        <d v="2024-10-05T00:00:00"/>
        <d v="2023-10-19T00:00:00"/>
        <d v="2024-11-11T00:00:00"/>
        <d v="2023-12-31T00:00:00"/>
        <d v="2025-02-01T00:00:00"/>
        <d v="2025-08-25T00:00:00"/>
        <d v="2025-02-18T00:00:00"/>
        <d v="2024-10-24T00:00:00"/>
        <d v="2023-12-22T00:00:00"/>
        <d v="2024-06-19T00:00:00"/>
        <d v="2024-12-07T00:00:00"/>
        <d v="2023-11-27T00:00:00"/>
        <d v="2025-07-16T00:00:00"/>
        <d v="2025-02-28T00:00:00"/>
        <d v="2024-08-11T00:00:00"/>
        <d v="2025-09-27T00:00:00"/>
        <d v="2025-09-14T00:00:00"/>
        <d v="2023-12-30T00:00:00"/>
        <d v="2023-10-14T00:00:00"/>
        <d v="2023-11-25T00:00:00"/>
        <d v="2023-12-10T00:00:00"/>
        <d v="2025-08-28T00:00:00"/>
        <d v="2025-07-11T00:00:00"/>
        <d v="2025-08-20T00:00:00"/>
        <d v="2024-08-29T00:00:00"/>
        <d v="2024-11-30T00:00:00"/>
        <d v="2025-10-12T00:00:00"/>
        <d v="2024-07-27T00:00:00"/>
        <d v="2025-05-23T00:00:00"/>
        <d v="2024-11-13T00:00:00"/>
        <d v="2023-12-08T00:00:00"/>
        <d v="2025-08-16T00:00:00"/>
        <d v="2024-11-20T00:00:00"/>
        <d v="2024-08-14T00:00:00"/>
        <d v="2024-05-15T00:00:00"/>
        <d v="2024-09-10T00:00:00"/>
        <d v="2025-04-08T00:00:00"/>
        <d v="2024-10-23T00:00:00"/>
        <d v="2025-07-10T00:00:00"/>
        <d v="2024-10-12T00:00:00"/>
        <d v="2024-01-21T00:00:00"/>
        <d v="2024-02-28T00:00:00"/>
        <d v="2024-12-31T00:00:00"/>
        <d v="2024-08-26T00:00:00"/>
        <d v="2024-09-21T00:00:00"/>
        <d v="2024-08-19T00:00:00"/>
        <d v="2024-10-22T00:00:00"/>
        <d v="2024-10-15T00:00:00"/>
        <d v="2024-07-06T00:00:00"/>
        <d v="2024-06-10T00:00:00"/>
        <d v="2025-09-07T00:00:00"/>
        <d v="2024-02-08T00:00:00"/>
        <d v="2023-10-15T00:00:00"/>
        <d v="2025-08-22T00:00:00"/>
        <d v="2024-02-01T00:00:00"/>
        <d v="2025-05-08T00:00:00"/>
        <d v="2025-03-22T00:00:00"/>
        <d v="2025-07-13T00:00:00"/>
        <d v="2025-05-21T00:00:00"/>
        <d v="2025-02-17T00:00:00"/>
        <d v="2024-05-01T00:00:00"/>
        <d v="2024-07-09T00:00:00"/>
        <d v="2025-09-25T00:00:00"/>
        <d v="2024-05-08T00:00:00"/>
        <d v="2024-09-19T00:00:00"/>
        <d v="2024-04-23T00:00:00"/>
        <d v="2024-07-30T00:00:00"/>
        <d v="2023-12-14T00:00:00"/>
        <d v="2024-09-23T00:00:00"/>
        <d v="2025-08-17T00:00:00"/>
        <d v="2025-01-17T00:00:00"/>
        <d v="2025-04-30T00:00:00"/>
        <d v="2024-11-02T00:00:00"/>
        <d v="2025-08-15T00:00:00"/>
        <d v="2025-09-16T00:00:00"/>
        <d v="2024-02-25T00:00:00"/>
        <d v="2025-03-07T00:00:00"/>
        <d v="2024-07-22T00:00:00"/>
        <d v="2024-06-01T00:00:00"/>
        <d v="2025-01-05T00:00:00"/>
        <d v="2025-09-10T00:00:00"/>
        <d v="2025-06-19T00:00:00"/>
        <d v="2024-09-09T00:00:00"/>
        <d v="2025-04-04T00:00:00"/>
        <d v="2024-04-10T00:00:00"/>
        <d v="2025-04-09T00:00:00"/>
        <d v="2025-03-02T00:00:00"/>
        <d v="2024-10-08T00:00:00"/>
        <d v="2024-06-05T00:00:00"/>
        <d v="2024-08-18T00:00:00"/>
        <d v="2024-11-21T00:00:00"/>
        <d v="2024-07-29T00:00:00"/>
        <d v="2024-05-21T00:00:00"/>
        <d v="2024-10-29T00:00:00"/>
        <d v="2024-10-14T00:00:00"/>
        <d v="2024-11-17T00:00:00"/>
        <d v="2025-03-29T00:00:00"/>
        <d v="2024-07-21T00:00:00"/>
        <d v="2025-08-14T00:00:00"/>
        <d v="2024-11-05T00:00:00"/>
        <d v="2024-06-11T00:00:00"/>
        <d v="2025-09-18T00:00:00"/>
        <d v="2025-03-13T00:00:00"/>
        <d v="2023-12-16T00:00:00"/>
        <d v="2024-05-06T00:00:00"/>
        <d v="2024-08-04T00:00:00"/>
        <d v="2023-12-09T00:00:00"/>
        <d v="2025-07-28T00:00:00"/>
        <d v="2024-01-22T00:00:00"/>
        <d v="2024-04-08T00:00:00"/>
        <d v="2025-05-18T00:00:00"/>
        <d v="2023-12-07T00:00:00"/>
        <d v="2024-01-23T00:00:00"/>
        <d v="2024-12-15T00:00:00"/>
        <d v="2024-03-20T00:00:00"/>
        <d v="2025-01-13T00:00:00"/>
        <d v="2025-06-04T00:00:00"/>
        <d v="2023-11-05T00:00:00"/>
        <d v="2025-04-06T00:00:00"/>
        <d v="2025-01-29T00:00:00"/>
        <d v="2024-03-03T00:00:00"/>
        <d v="2024-11-04T00:00:00"/>
        <d v="2024-04-29T00:00:00"/>
        <d v="2025-04-28T00:00:00"/>
        <d v="2024-06-16T00:00:00"/>
        <d v="2025-04-16T00:00:00"/>
        <d v="2024-11-22T00:00:00"/>
        <d v="2025-09-04T00:00:00"/>
        <d v="2023-10-28T00:00:00"/>
        <d v="2024-12-20T00:00:00"/>
        <d v="2025-03-09T00:00:00"/>
        <d v="2025-03-26T00:00:00"/>
        <d v="2025-04-03T00:00:00"/>
        <d v="2024-02-05T00:00:00"/>
        <d v="2024-06-22T00:00:00"/>
        <d v="2024-06-02T00:00:00"/>
        <d v="2024-12-14T00:00:00"/>
        <d v="2023-10-25T00:00:00"/>
        <d v="2024-07-24T00:00:00"/>
        <d v="2025-05-30T00:00:00"/>
        <d v="2025-10-13T00:00:00"/>
        <d v="2024-03-05T00:00:00"/>
        <d v="2023-10-20T00:00:00"/>
        <d v="2023-10-26T00:00:00"/>
        <d v="2025-04-07T00:00:00"/>
        <d v="2024-03-10T00:00:00"/>
        <d v="2025-09-15T00:00:00"/>
        <d v="2025-01-09T00:00:00"/>
        <d v="2024-04-24T00:00:00"/>
        <d v="2023-12-24T00:00:00"/>
        <d v="2024-02-26T00:00:00"/>
        <d v="2025-01-19T00:00:00"/>
        <d v="2025-07-25T00:00:00"/>
        <d v="2024-04-27T00:00:00"/>
        <d v="2025-08-11T00:00:00"/>
        <d v="2025-03-15T00:00:00"/>
        <d v="2025-01-14T00:00:00"/>
        <d v="2025-06-01T00:00:00"/>
        <d v="2024-09-24T00:00:00"/>
        <d v="2023-11-23T00:00:00"/>
        <d v="2025-07-23T00:00:00"/>
        <d v="2025-09-17T00:00:00"/>
        <d v="2025-05-03T00:00:00"/>
        <d v="2024-02-27T00:00:00"/>
        <d v="2025-07-08T00:00:00"/>
        <d v="2025-04-21T00:00:00"/>
        <d v="2024-08-09T00:00:00"/>
        <d v="2025-08-07T00:00:00"/>
        <d v="2024-02-16T00:00:00"/>
        <d v="2025-03-30T00:00:00"/>
        <d v="2025-03-01T00:00:00"/>
        <d v="2024-01-09T00:00:00"/>
        <d v="2025-04-26T00:00:00"/>
        <d v="2025-02-25T00:00:00"/>
        <d v="2025-06-18T00:00:00"/>
        <d v="2024-12-22T00:00:00"/>
        <d v="2025-06-28T00:00:00"/>
        <d v="2024-05-25T00:00:00"/>
        <d v="2024-09-20T00:00:00"/>
        <d v="2025-05-26T00:00:00"/>
        <d v="2025-03-19T00:00:00"/>
        <d v="2025-02-05T00:00:00"/>
        <d v="2025-01-10T00:00:00"/>
        <d v="2024-01-25T00:00:00"/>
        <d v="2025-10-02T00:00:00"/>
        <d v="2024-07-10T00:00:00"/>
        <d v="2025-01-04T00:00:00"/>
        <d v="2025-07-30T00:00:00"/>
        <d v="2025-04-10T00:00:00"/>
        <d v="2024-07-02T00:00:00"/>
        <d v="2024-12-13T00:00:00"/>
        <d v="2025-03-05T00:00:00"/>
        <d v="2024-01-17T00:00:00"/>
        <d v="2024-04-04T00:00:00"/>
        <d v="2024-05-26T00:00:00"/>
        <d v="2025-07-18T00:00:00"/>
        <d v="2024-07-12T00:00:00"/>
        <d v="2024-12-28T00:00:00"/>
        <d v="2024-05-22T00:00:00"/>
        <d v="2025-08-02T00:00:00"/>
        <d v="2024-10-18T00:00:00"/>
        <d v="2024-10-31T00:00:00"/>
        <d v="2024-11-28T00:00:00"/>
        <d v="2025-06-05T00:00:00"/>
        <d v="2024-11-19T00:00:00"/>
        <d v="2024-05-19T00:00:00"/>
        <d v="2025-01-22T00:00:00"/>
        <d v="2025-07-04T00:00:00"/>
        <d v="2025-05-19T00:00:00"/>
        <d v="2024-07-31T00:00:00"/>
        <d v="2024-11-15T00:00:00"/>
        <d v="2024-04-07T00:00:00"/>
        <d v="2024-02-17T00:00:00"/>
        <d v="2024-05-23T00:00:00"/>
        <d v="2025-06-15T00:00:00"/>
        <d v="2025-01-06T00:00:00"/>
        <d v="2025-08-10T00:00:00"/>
        <d v="2025-07-02T00:00:00"/>
        <d v="2024-03-29T00:00:00"/>
        <d v="2025-01-15T00:00:00"/>
        <d v="2024-04-25T00:00:00"/>
        <d v="2025-04-17T00:00:00"/>
        <d v="2025-09-24T00:00:00"/>
        <d v="2023-11-10T00:00:00"/>
        <d v="2024-07-05T00:00:00"/>
        <d v="2025-08-21T00:00:00"/>
        <d v="2025-06-07T00:00:00"/>
        <d v="2024-01-18T00:00:00"/>
        <d v="2024-08-15T00:00:00"/>
        <d v="2025-09-21T00:00:00"/>
        <d v="2024-01-12T00:00:00"/>
        <d v="2025-03-11T00:00:00"/>
        <d v="2024-09-22T00:00:00"/>
        <d v="2024-11-27T00:00:00"/>
        <d v="2025-10-10T00:00:00"/>
        <d v="2024-09-06T00:00:00"/>
        <d v="2024-07-16T00:00:00"/>
        <d v="2025-04-01T00:00:00"/>
        <d v="2024-11-25T00:00:00"/>
        <d v="2024-11-07T00:00:00"/>
        <d v="2024-07-28T00:00:00"/>
        <d v="2024-04-16T00:00:00"/>
        <d v="2024-01-13T00:00:00"/>
        <d v="2024-01-08T00:00:00"/>
        <d v="2024-09-29T00:00:00"/>
        <d v="2024-11-14T00:00:00"/>
        <d v="2025-02-24T00:00:00"/>
        <d v="2024-06-26T00:00:00"/>
        <d v="2025-02-23T00:00:00"/>
        <d v="2025-03-17T00:00:00"/>
        <d v="2024-08-16T00:00:00"/>
        <d v="2024-03-22T00:00:00"/>
        <d v="2025-01-31T00:00:00"/>
        <d v="2025-03-28T00:00:00"/>
        <d v="2024-08-31T00:00:00"/>
        <d v="2023-12-15T00:00:00"/>
        <d v="2024-01-31T00:00:00"/>
        <d v="2023-12-06T00:00:00"/>
        <d v="2025-08-23T00:00:00"/>
        <d v="2023-11-03T00:00:00"/>
        <d v="2025-05-12T00:00:00"/>
        <d v="2024-09-26T00:00:00"/>
        <d v="2025-09-29T00:00:00"/>
        <d v="2025-07-06T00:00:00"/>
        <d v="2025-06-09T00:00:00"/>
        <d v="2024-10-11T00:00:00"/>
        <d v="2024-12-02T00:00:00"/>
        <d v="2023-11-14T00:00:00"/>
        <d v="2024-02-14T00:00:00"/>
        <d v="2025-06-29T00:00:00"/>
        <d v="2024-02-09T00:00:00"/>
        <d v="2025-06-16T00:00:00"/>
        <d v="2025-09-09T00:00:00"/>
        <d v="2025-07-15T00:00:00"/>
        <d v="2023-10-21T00:00:00"/>
        <d v="2025-07-22T00:00:00"/>
        <d v="2025-02-11T00:00:00"/>
        <d v="2025-06-03T00:00:00"/>
        <d v="2025-03-20T00:00:00"/>
        <d v="2024-06-17T00:00:00"/>
        <d v="2025-02-21T00:00:00"/>
        <d v="2024-09-16T00:00:00"/>
        <d v="2025-10-09T00:00:00"/>
        <d v="2024-09-18T00:00:00"/>
        <d v="2025-05-29T00:00:00"/>
        <d v="2024-01-20T00:00:00"/>
        <d v="2025-09-06T00:00:00"/>
        <d v="2024-08-23T00:00:00"/>
        <d v="2024-01-24T00:00:00"/>
        <d v="2023-12-19T00:00:00"/>
        <d v="2023-11-22T00:00:00"/>
        <d v="2025-10-08T00:00:00"/>
        <d v="2024-09-30T00:00:00"/>
        <d v="2024-11-18T00:00:00"/>
        <d v="2025-09-12T00:00:00"/>
        <d v="2024-10-26T00:00:00"/>
        <d v="2025-07-26T00:00:00"/>
        <d v="2025-05-20T00:00:00"/>
        <d v="2024-03-13T00:00:00"/>
        <d v="2025-02-12T00:00:00"/>
        <d v="2024-10-09T00:00:00"/>
        <d v="2025-09-19T00:00:00"/>
        <d v="2024-02-11T00:00:00"/>
        <d v="2025-03-10T00:00:00"/>
        <d v="2024-12-18T00:00:00"/>
        <d v="2024-12-06T00:00:00"/>
        <d v="2024-10-03T00:00:00"/>
        <d v="2023-11-08T00:00:00"/>
        <d v="2023-12-20T00:00:00"/>
        <d v="2025-09-11T00:00:00"/>
        <d v="2024-12-01T00:00:00"/>
        <d v="2025-08-30T00:00:00"/>
        <d v="2024-01-15T00:00:00"/>
        <d v="2025-04-25T00:00:00"/>
        <d v="2024-02-24T00:00:00"/>
        <d v="2024-12-30T00:00:00"/>
        <d v="2025-04-15T00:00:00"/>
        <d v="2023-12-26T00:00:00"/>
        <d v="2024-03-21T00:00:00"/>
        <d v="2023-10-30T00:00:00"/>
        <d v="2025-04-19T00:00:00"/>
        <d v="2025-04-27T00:00:00"/>
        <d v="2024-10-04T00:00:00"/>
        <d v="2024-03-11T00:00:00"/>
        <d v="2024-06-14T00:00:00"/>
        <d v="2025-08-26T00:00:00"/>
        <d v="2024-10-13T00:00:00"/>
        <d v="2025-02-09T00:00:00"/>
        <d v="2023-12-21T00:00:00"/>
        <d v="2025-07-17T00:00:00"/>
        <d v="2025-05-16T00:00:00"/>
        <d v="2025-08-12T00:00:00"/>
        <d v="2023-11-21T00:00:00"/>
        <d v="2025-02-07T00:00:00"/>
        <d v="2023-12-27T00:00:00"/>
        <d v="2024-01-04T00:00:00"/>
        <d v="2023-11-30T00:00:00"/>
        <d v="2023-10-23T00:00:00"/>
        <d v="2025-06-14T00:00:00"/>
        <d v="2025-04-05T00:00:00"/>
        <d v="2023-11-26T00:00:00"/>
        <d v="2024-02-04T00:00:00"/>
        <d v="2025-02-27T00:00:00"/>
        <d v="2023-10-24T00:00:00"/>
        <d v="2024-08-03T00:00:00"/>
        <d v="2025-05-27T00:00:00"/>
        <d v="2024-11-06T00:00:00"/>
        <d v="2024-04-02T00:00:00"/>
        <d v="2023-11-19T00:00:00"/>
        <d v="2023-12-23T00:00:00"/>
        <d v="2024-03-02T00:00:00"/>
        <d v="2024-10-27T00:00:00"/>
        <d v="2024-03-09T00:00:00"/>
        <d v="2023-12-13T00:00:00"/>
        <d v="2023-11-20T00:00:00"/>
        <d v="2024-09-04T00:00:00"/>
        <d v="2025-06-02T00:00:00"/>
        <d v="2024-03-06T00:00:00"/>
        <d v="2025-02-14T00:00:00"/>
        <d v="2024-01-27T00:00:00"/>
        <d v="2025-04-22T00:00:00"/>
        <d v="2025-04-18T00:00:00"/>
        <d v="2024-03-31T00:00:00"/>
        <d v="2023-11-06T00:00:00"/>
        <d v="2024-04-19T00:00:00"/>
        <d v="2024-03-28T00:00:00"/>
        <d v="2024-07-17T00:00:00"/>
        <d v="2024-12-26T00:00:00"/>
        <d v="2024-08-20T00:00:00"/>
        <d v="2024-08-30T00:00:00"/>
        <d v="2025-08-13T00:00:00"/>
        <d v="2024-05-09T00:00:00"/>
        <d v="2024-11-12T00:00:00"/>
        <d v="2024-09-12T00:00:00"/>
        <d v="2025-05-15T00:00:00"/>
        <d v="2024-11-09T00:00:00"/>
        <d v="2024-12-16T00:00:00"/>
        <d v="2024-10-07T00:00:00"/>
        <d v="2024-10-25T00:00:00"/>
        <d v="2024-03-14T00:00:00"/>
        <d v="2024-10-21T00:00:00"/>
        <d v="2024-02-12T00:00:00"/>
        <d v="2025-05-01T00:00:00"/>
        <d v="2024-08-27T00:00:00"/>
        <d v="2024-02-10T00:00:00"/>
        <d v="2024-02-22T00:00:00"/>
        <d v="2024-04-06T00:00:00"/>
        <d v="2024-04-15T00:00:00"/>
        <d v="2024-12-03T00:00:00"/>
        <d v="2025-01-16T00:00:00"/>
        <d v="2024-10-16T00:00:00"/>
        <d v="2025-02-13T00:00:00"/>
        <d v="2024-08-06T00:00:00"/>
        <d v="2025-01-08T00:00:00"/>
        <d v="2025-07-21T00:00:00"/>
        <d v="2024-06-13T00:00:00"/>
        <d v="2024-01-01T00:00:00"/>
        <d v="2023-12-18T00:00:00"/>
        <d v="2023-11-02T00:00:00"/>
        <d v="2024-01-10T00:00:00"/>
        <d v="2025-07-19T00:00:00"/>
        <d v="2024-12-24T00:00:00"/>
        <d v="2025-06-24T00:00:00"/>
        <d v="2024-05-17T00:00:00"/>
        <d v="2024-11-29T00:00:00"/>
        <d v="2025-04-13T00:00:00"/>
        <d v="2024-07-01T00:00:00"/>
        <d v="2023-12-03T00:00:00"/>
        <d v="2025-05-06T00:00:00"/>
        <d v="2024-08-22T00:00:00"/>
        <d v="2025-01-30T00:00:00"/>
        <d v="2025-03-31T00:00:00"/>
        <d v="2025-10-11T00:00:00"/>
        <d v="2025-03-24T00:00:00"/>
        <d v="2024-09-11T00:00:00"/>
        <d v="2025-05-09T00:00:00"/>
        <d v="2024-06-27T00:00:00"/>
        <d v="2023-11-13T00:00:00"/>
        <d v="2024-02-19T00:00:00"/>
        <d v="2025-09-02T00:00:00"/>
        <d v="2023-11-24T00:00:00"/>
        <d v="2025-01-26T00:00:00"/>
        <d v="2025-06-13T00:00:00"/>
        <d v="2024-06-29T00:00:00"/>
        <d v="2024-06-08T00:00:00"/>
        <d v="2024-07-04T00:00:00"/>
        <d v="2025-04-12T00:00:00"/>
        <d v="2025-05-17T00:00:00"/>
        <d v="2024-02-03T00:00:00"/>
        <d v="2024-01-29T00:00:00"/>
        <d v="2025-08-01T00:00:00"/>
        <d v="2023-12-17T00:00:00"/>
        <d v="2025-03-25T00:00:00"/>
        <d v="2024-05-02T00:00:00"/>
        <d v="2025-03-18T00:00:00"/>
        <d v="2024-02-18T00:00:00"/>
        <d v="2024-01-16T00:00:00"/>
        <d v="2025-10-03T00:00:00"/>
        <d v="2025-07-03T00:00:00"/>
        <d v="2025-08-08T00:00:00"/>
        <d v="2024-08-28T00:00:00"/>
        <d v="2025-02-10T00:00:00"/>
        <d v="2024-09-13T00:00:00"/>
        <d v="2024-01-19T00:00:00"/>
        <d v="2024-03-25T00:00:00"/>
        <d v="2025-03-12T00:00:00"/>
        <d v="2024-08-21T00:00:00"/>
        <d v="2023-12-05T00:00:00"/>
        <d v="2025-10-06T00:00:00"/>
        <d v="2023-11-12T00:00:00"/>
        <d v="2025-01-21T00:00:00"/>
        <d v="2024-07-11T00:00:00"/>
        <d v="2025-08-04T00:00:00"/>
        <d v="2025-08-05T00:00:00"/>
        <d v="2024-11-23T00:00:00"/>
        <d v="2025-02-03T00:00:00"/>
        <d v="2024-04-30T00:00:00"/>
        <d v="2025-04-20T00:00:00"/>
        <d v="2024-05-16T00:00:00"/>
        <d v="2025-04-23T00:00:00"/>
        <d v="2024-10-06T00:00:00"/>
        <d v="2024-12-27T00:00:00"/>
        <d v="2024-07-20T00:00:00"/>
        <d v="2024-10-10T00:00:00"/>
        <d v="2025-01-03T00:00:00"/>
        <d v="2024-04-13T00:00:00"/>
        <d v="2025-03-08T00:00:00"/>
        <d v="2025-04-02T00:00:00"/>
        <d v="2023-11-17T00:00:00"/>
        <d v="2025-02-08T00:00:00"/>
        <d v="2025-09-30T00:00:00"/>
        <d v="2025-05-07T00:00:00"/>
        <d v="2025-05-22T00:00:00"/>
        <d v="2023-12-28T00:00:00"/>
        <d v="2024-12-04T00:00:00"/>
        <d v="2024-06-28T00:00:00"/>
        <d v="2024-05-29T00:00:00"/>
        <d v="2024-04-14T00:00:00"/>
        <d v="2024-01-26T00:00:00"/>
        <d v="2024-09-08T00:00:00"/>
        <d v="2024-10-30T00:00:00"/>
        <d v="2025-02-02T00:00:00"/>
        <d v="2024-10-02T00:00:00"/>
        <d v="2024-05-03T00:00:00"/>
        <d v="2024-02-21T00:00:00"/>
        <d v="2024-04-17T00:00:00"/>
        <d v="2024-03-26T00:00:00"/>
        <d v="2025-04-14T00:00:00"/>
        <d v="2025-08-24T00:00:00"/>
        <d v="2025-01-25T00:00:00"/>
        <d v="2025-03-14T00:00:00"/>
        <d v="2025-03-21T00:00:00"/>
        <d v="2025-04-24T00:00:00"/>
        <d v="2023-12-12T00:00:00"/>
        <d v="2024-07-08T00:00:00"/>
        <d v="2023-10-29T00:00:00"/>
        <d v="2024-05-20T00:00:00"/>
        <d v="2025-04-11T00:00:00"/>
        <d v="2025-02-06T00:00:00"/>
        <d v="2025-09-26T00:00:00"/>
        <d v="2025-05-28T00:00:00"/>
        <d v="2025-04-29T00:00:00"/>
        <d v="2024-10-01T00:00:00"/>
        <d v="2024-09-07T00:00:00"/>
        <d v="2025-06-26T00:00:00"/>
        <d v="2025-01-24T00:00:00"/>
        <d v="2024-06-18T00:00:00"/>
        <d v="2025-07-07T00:00:00"/>
        <d v="2025-03-04T00:00:00"/>
        <d v="2024-05-10T00:00:00"/>
        <d v="2024-02-15T00:00:00"/>
        <d v="2024-05-12T00:00:00"/>
        <d v="2025-03-03T00:00:00"/>
        <d v="2025-05-02T00:00:00"/>
        <d v="2024-04-18T00:00:00"/>
        <d v="2025-06-10T00:00:00"/>
        <d v="2024-04-03T00:00:00"/>
        <d v="2025-02-16T00:00:00"/>
        <d v="2024-03-19T00:00:00"/>
        <d v="2023-11-09T00:00:00"/>
        <d v="2025-07-29T00:00:00"/>
        <d v="2025-06-08T00:00:00"/>
        <d v="2024-12-05T00:00:00"/>
        <d v="2024-06-25T00:00:00"/>
        <d v="2024-04-05T00:00:00"/>
        <d v="2025-08-19T00:00:00"/>
        <d v="2025-05-14T00:00:00"/>
        <d v="2023-12-11T00:00:00"/>
        <d v="2024-08-05T00:00:00"/>
        <d v="2024-08-08T00:00:00"/>
        <d v="2024-12-21T00:00:00"/>
        <d v="2024-05-31T00:00:00"/>
        <d v="2025-03-06T00:00:00"/>
        <d v="2024-05-04T00:00:00"/>
        <d v="2024-03-01T00:00:00"/>
        <d v="2024-03-16T00:00:00"/>
        <d v="2024-08-02T00:00:00"/>
        <d v="2024-09-14T00:00:00"/>
        <d v="2025-08-31T00:00:00"/>
        <d v="2024-01-30T00:00:00"/>
        <d v="2024-08-01T00:00:00"/>
        <d v="2024-11-26T00:00:00"/>
        <d v="2025-01-27T00:00:00"/>
        <d v="2025-07-24T00:00:00"/>
        <d v="2024-09-25T00:00:00"/>
        <d v="2025-09-05T00:00:00"/>
        <d v="2023-10-17T00:00:00"/>
        <d v="2024-02-23T00:00:00"/>
        <d v="2025-02-04T00:00:00"/>
        <d v="2025-01-12T00:00:00"/>
        <d v="2024-06-24T00:00:00"/>
        <d v="2025-07-09T00:00:00"/>
        <d v="2024-04-20T00:00:00"/>
        <d v="2024-07-15T00:00:00"/>
        <d v="2024-07-18T00:00:00"/>
        <d v="2024-05-14T00:00:00"/>
        <d v="2023-11-01T00:00:00"/>
        <d v="2025-03-23T00:00:00"/>
        <d v="2024-02-06T00:00:00"/>
        <d v="2025-05-10T00:00:00"/>
        <d v="2024-12-19T00:00:00"/>
        <d v="2024-09-02T00:00:00"/>
        <d v="2023-10-22T00:00:00"/>
        <d v="2024-12-25T00:00:00"/>
        <d v="2023-11-04T00:00:00"/>
        <d v="2025-06-30T00:00:00"/>
        <d v="2025-05-11T00:00:00"/>
        <d v="2024-04-01T00:00:00"/>
        <d v="2024-07-25T00:00:00"/>
        <d v="2023-12-01T00:00:00"/>
        <d v="2025-01-02T00:00:00"/>
        <d v="2024-08-25T00:00:00"/>
        <d v="2025-08-03T00:00:00"/>
        <d v="2023-11-28T00:00:00"/>
        <d v="2025-07-20T00:00:00"/>
        <d v="2024-03-23T00:00:00"/>
        <d v="2024-12-29T00:00:00"/>
        <d v="2024-03-17T00:00:00"/>
        <d v="2024-06-15T00:00:00"/>
        <d v="2024-12-12T00:00:00"/>
        <d v="2024-02-29T00:00:00"/>
        <d v="2024-01-05T00:00:00"/>
        <d v="2024-06-30T00:00:00"/>
        <d v="2025-01-07T00:00:00"/>
        <d v="2025-06-22T00:00:00"/>
        <d v="2025-06-06T00:00:00"/>
        <d v="2024-01-14T00:00:00"/>
        <d v="2024-08-12T00:00:00"/>
        <d v="2024-03-24T00:00:00"/>
        <d v="2024-06-06T00:00:00"/>
        <d v="2023-10-31T00:00:00"/>
        <d v="2025-09-22T00:00:00"/>
        <d v="2025-01-01T00:00:00"/>
        <d v="2025-09-28T00:00:00"/>
        <d v="2025-07-01T00:00:00"/>
        <d v="2025-06-11T00:00:00"/>
        <d v="2025-10-04T00:00:00"/>
        <d v="2024-10-17T00:00:00"/>
        <d v="2024-06-09T00:00:00"/>
        <d v="2024-11-16T00:00:00"/>
        <d v="2025-01-11T00:00:00"/>
        <d v="2024-07-23T00:00:00"/>
        <d v="2024-03-04T00:00:00"/>
        <d v="2025-08-18T00:00:00"/>
        <d v="2024-08-07T00:00:00"/>
        <d v="2024-05-18T00:00:00"/>
        <d v="2025-02-20T00:00:00"/>
        <d v="2023-11-07T00:00:00"/>
        <d v="2024-05-28T00:00:00"/>
        <d v="2024-01-02T00:00:00"/>
        <d v="2025-05-13T00:00:00"/>
        <d v="2024-03-12T00:00:00"/>
        <d v="2024-09-01T00:00:00"/>
        <d v="2025-01-18T00:00:00"/>
        <d v="2024-08-17T00:00:00"/>
        <d v="2024-07-19T00:00:00"/>
        <d v="2025-01-28T00:00:00"/>
        <d v="2024-09-27T00:00:00"/>
        <d v="2024-05-13T00:00:00"/>
        <d v="2025-08-29T00:00:00"/>
        <d v="2024-07-14T00:00:00"/>
        <d v="2024-01-28T00:00:00"/>
        <d v="2025-06-23T00:00:00"/>
        <d v="2024-03-08T00:00:00"/>
        <d v="2024-06-12T00:00:00"/>
        <d v="2023-12-29T00:00:00"/>
        <d v="2025-10-05T00:00:00"/>
        <d v="2025-09-03T00:00:00"/>
        <d v="2024-04-26T00:00:00"/>
        <d v="2024-10-19T00:00:00"/>
        <d v="2024-04-22T00:00:00"/>
        <d v="2024-05-11T00:00:00"/>
        <d v="2024-08-10T00:00:00"/>
        <d v="2025-02-26T00:00:00"/>
        <d v="2025-06-17T00:00:00"/>
        <d v="2024-09-28T00:00:00"/>
        <d v="2024-06-07T00:00:00"/>
      </sharedItems>
      <fieldGroup par="22"/>
    </cacheField>
    <cacheField name="Sales year" numFmtId="0">
      <sharedItems containsSemiMixedTypes="0" containsString="0" containsNumber="1" containsInteger="1" minValue="2023" maxValue="2025" count="3">
        <n v="2024"/>
        <n v="2023"/>
        <n v="2025"/>
      </sharedItems>
    </cacheField>
    <cacheField name="Customer_ID" numFmtId="0">
      <sharedItems/>
    </cacheField>
    <cacheField name="Age group" numFmtId="0">
      <sharedItems count="3">
        <s v="Senior"/>
        <s v="Mid-Adult"/>
        <s v="Adult"/>
      </sharedItems>
    </cacheField>
    <cacheField name="Gender" numFmtId="0">
      <sharedItems count="2">
        <s v="Male"/>
        <s v="Female"/>
      </sharedItems>
    </cacheField>
    <cacheField name="loyalty Level" numFmtId="0">
      <sharedItems count="4">
        <s v="Gold"/>
        <s v="Platinum"/>
        <s v="Silver"/>
        <s v="Bronze"/>
      </sharedItems>
    </cacheField>
    <cacheField name="Product_ID" numFmtId="0">
      <sharedItems/>
    </cacheField>
    <cacheField name="Product_name" numFmtId="0">
      <sharedItems/>
    </cacheField>
    <cacheField name="Category" numFmtId="0">
      <sharedItems count="5">
        <s v="Sports"/>
        <s v="Electronics"/>
        <s v="Beauty"/>
        <s v="Home"/>
        <s v="Clothing"/>
      </sharedItems>
    </cacheField>
    <cacheField name="Sub_category" numFmtId="0">
      <sharedItems/>
    </cacheField>
    <cacheField name="Store_ID" numFmtId="0">
      <sharedItems/>
    </cacheField>
    <cacheField name="Region" numFmtId="0">
      <sharedItems count="4">
        <s v="North"/>
        <s v="West"/>
        <s v="South"/>
        <s v="East"/>
      </sharedItems>
    </cacheField>
    <cacheField name="Quantity" numFmtId="1">
      <sharedItems containsSemiMixedTypes="0" containsString="0" containsNumber="1" minValue="1" maxValue="4" count="6">
        <n v="1"/>
        <n v="3"/>
        <n v="4"/>
        <n v="2"/>
        <n v="3.0000000000000004"/>
        <n v="2.9999999999999996"/>
      </sharedItems>
    </cacheField>
    <cacheField name="Unit_Price" numFmtId="0">
      <sharedItems containsSemiMixedTypes="0" containsString="0" containsNumber="1" minValue="20.09" maxValue="999.89"/>
    </cacheField>
    <cacheField name="Discount" numFmtId="0">
      <sharedItems containsSemiMixedTypes="0" containsString="0" containsNumber="1" minValue="0" maxValue="0.3"/>
    </cacheField>
    <cacheField name="Payment_Type" numFmtId="0">
      <sharedItems count="3">
        <s v="Credit Card"/>
        <s v="PayPal"/>
        <s v="COD"/>
      </sharedItems>
    </cacheField>
    <cacheField name="Column2" numFmtId="0">
      <sharedItems/>
    </cacheField>
    <cacheField name="Column1" numFmtId="2">
      <sharedItems containsSemiMixedTypes="0" containsString="0" containsNumber="1" minValue="18.459" maxValue="3908.2428"/>
    </cacheField>
    <cacheField name="Total_Amount" numFmtId="2">
      <sharedItems containsSemiMixedTypes="0" containsString="0" containsNumber="1" minValue="18.459" maxValue="3908.2428"/>
    </cacheField>
    <cacheField name="Months (Order_Date)" numFmtId="0" databaseField="0">
      <fieldGroup base="1">
        <rangePr groupBy="months" startDate="2023-10-14T00:00:00" endDate="2025-10-14T00:00:00"/>
        <groupItems count="14">
          <s v="&lt;14-10-2023"/>
          <s v="Jan"/>
          <s v="Feb"/>
          <s v="Mar"/>
          <s v="Apr"/>
          <s v="May"/>
          <s v="Jun"/>
          <s v="Jul"/>
          <s v="Aug"/>
          <s v="Sep"/>
          <s v="Oct"/>
          <s v="Nov"/>
          <s v="Dec"/>
          <s v="&gt;14-10-2025"/>
        </groupItems>
      </fieldGroup>
    </cacheField>
    <cacheField name="Quarters (Order_Date)" numFmtId="0" databaseField="0">
      <fieldGroup base="1">
        <rangePr groupBy="quarters" startDate="2023-10-14T00:00:00" endDate="2025-10-14T00:00:00"/>
        <groupItems count="6">
          <s v="&lt;14-10-2023"/>
          <s v="Qtr1"/>
          <s v="Qtr2"/>
          <s v="Qtr3"/>
          <s v="Qtr4"/>
          <s v="&gt;14-10-2025"/>
        </groupItems>
      </fieldGroup>
    </cacheField>
    <cacheField name="Years (Order_Date)" numFmtId="0" databaseField="0">
      <fieldGroup base="1">
        <rangePr groupBy="years" startDate="2023-10-14T00:00:00" endDate="2025-10-14T00:00:00"/>
        <groupItems count="5">
          <s v="&lt;14-10-2023"/>
          <s v="2023"/>
          <s v="2024"/>
          <s v="2025"/>
          <s v="&gt;14-10-2025"/>
        </groupItems>
      </fieldGroup>
    </cacheField>
  </cacheFields>
  <extLst>
    <ext xmlns:x14="http://schemas.microsoft.com/office/spreadsheetml/2009/9/main" uri="{725AE2AE-9491-48be-B2B4-4EB974FC3084}">
      <x14:pivotCacheDefinition pivotCacheId="8530988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SALE0"/>
    <x v="0"/>
    <x v="0"/>
    <s v="CUST1409"/>
    <x v="0"/>
    <x v="0"/>
    <x v="0"/>
    <s v="PROD97"/>
    <s v="Cricket Bat"/>
    <x v="0"/>
    <s v="Team Sports"/>
    <s v="STORE3"/>
    <x v="0"/>
    <x v="0"/>
    <n v="218.04"/>
    <n v="0.09"/>
    <x v="0"/>
    <b v="1"/>
    <n v="198.41640000000001"/>
    <n v="198.41640000000001"/>
  </r>
  <r>
    <s v="SALE1"/>
    <x v="1"/>
    <x v="1"/>
    <s v="CUST1467"/>
    <x v="0"/>
    <x v="1"/>
    <x v="0"/>
    <s v="PROD74"/>
    <s v="Bluetooth Car Audio System"/>
    <x v="1"/>
    <s v="Audio"/>
    <s v="STORE17"/>
    <x v="0"/>
    <x v="1"/>
    <n v="104.47"/>
    <n v="0.27"/>
    <x v="1"/>
    <b v="1"/>
    <n v="228.78929999999997"/>
    <n v="228.7893"/>
  </r>
  <r>
    <s v="SALE2"/>
    <x v="2"/>
    <x v="0"/>
    <s v="CUST1056"/>
    <x v="1"/>
    <x v="1"/>
    <x v="0"/>
    <s v="PROD49"/>
    <s v="Men's Roll-On Perfume"/>
    <x v="2"/>
    <s v="Fragrance"/>
    <s v="STORE8"/>
    <x v="1"/>
    <x v="2"/>
    <n v="914.05"/>
    <n v="0.25"/>
    <x v="0"/>
    <b v="1"/>
    <n v="2742.1499999999996"/>
    <n v="2742.15"/>
  </r>
  <r>
    <s v="SALE3"/>
    <x v="3"/>
    <x v="1"/>
    <s v="CUST1346"/>
    <x v="0"/>
    <x v="1"/>
    <x v="1"/>
    <s v="PROD76"/>
    <s v="Wireless Mouse"/>
    <x v="1"/>
    <s v="Computer"/>
    <s v="STORE8"/>
    <x v="1"/>
    <x v="0"/>
    <n v="921.51"/>
    <n v="0.16"/>
    <x v="2"/>
    <b v="1"/>
    <n v="774.0684"/>
    <n v="774.0684"/>
  </r>
  <r>
    <s v="SALE4"/>
    <x v="4"/>
    <x v="0"/>
    <s v="CUST1493"/>
    <x v="2"/>
    <x v="0"/>
    <x v="2"/>
    <s v="PROD59"/>
    <s v="Men's Hair Styling Gel"/>
    <x v="2"/>
    <s v="Haircare"/>
    <s v="STORE5"/>
    <x v="0"/>
    <x v="1"/>
    <n v="745.3"/>
    <n v="0.18"/>
    <x v="0"/>
    <b v="1"/>
    <n v="1833.4379999999999"/>
    <n v="1833.4380000000001"/>
  </r>
  <r>
    <s v="SALE5"/>
    <x v="5"/>
    <x v="0"/>
    <s v="CUST1116"/>
    <x v="2"/>
    <x v="1"/>
    <x v="1"/>
    <s v="PROD15"/>
    <s v="4K Home Projector"/>
    <x v="1"/>
    <s v="Appliances"/>
    <s v="STORE7"/>
    <x v="2"/>
    <x v="1"/>
    <n v="147.01"/>
    <n v="0.19"/>
    <x v="2"/>
    <b v="1"/>
    <n v="357.23430000000002"/>
    <n v="357.23430000000002"/>
  </r>
  <r>
    <s v="SALE6"/>
    <x v="6"/>
    <x v="2"/>
    <s v="CUST1016"/>
    <x v="2"/>
    <x v="1"/>
    <x v="3"/>
    <s v="PROD56"/>
    <s v="Premium Blanket Throw"/>
    <x v="3"/>
    <s v="Decor"/>
    <s v="STORE4"/>
    <x v="2"/>
    <x v="3"/>
    <n v="785.31"/>
    <n v="0.15"/>
    <x v="1"/>
    <b v="1"/>
    <n v="1335.0269999999998"/>
    <n v="1335.027"/>
  </r>
  <r>
    <s v="SALE7"/>
    <x v="7"/>
    <x v="1"/>
    <s v="CUST1152"/>
    <x v="1"/>
    <x v="1"/>
    <x v="1"/>
    <s v="PROD70"/>
    <s v="Kitchen Storage Rack"/>
    <x v="3"/>
    <s v="Storage"/>
    <s v="STORE8"/>
    <x v="1"/>
    <x v="2"/>
    <n v="342.39"/>
    <n v="0.23"/>
    <x v="1"/>
    <b v="1"/>
    <n v="1054.5611999999999"/>
    <n v="1054.5612000000001"/>
  </r>
  <r>
    <s v="SALE8"/>
    <x v="8"/>
    <x v="2"/>
    <s v="CUST1187"/>
    <x v="0"/>
    <x v="1"/>
    <x v="1"/>
    <s v="PROD99"/>
    <s v="Stainless Steel Cookware Set"/>
    <x v="3"/>
    <s v="Kitchen"/>
    <s v="STORE5"/>
    <x v="0"/>
    <x v="4"/>
    <n v="448.25"/>
    <n v="7.0000000000000007E-2"/>
    <x v="1"/>
    <b v="1"/>
    <n v="1250.6175000000001"/>
    <n v="1250.6175000000001"/>
  </r>
  <r>
    <s v="SALE9"/>
    <x v="9"/>
    <x v="2"/>
    <s v="CUST1464"/>
    <x v="1"/>
    <x v="1"/>
    <x v="1"/>
    <s v="PROD33"/>
    <s v="Modern Wall Clock"/>
    <x v="3"/>
    <s v="Decor"/>
    <s v="STORE0"/>
    <x v="3"/>
    <x v="3"/>
    <n v="873.17"/>
    <n v="0.23"/>
    <x v="1"/>
    <b v="1"/>
    <n v="1344.6818000000001"/>
    <n v="1344.6818000000001"/>
  </r>
  <r>
    <s v="SALE10"/>
    <x v="10"/>
    <x v="0"/>
    <s v="CUST1065"/>
    <x v="2"/>
    <x v="1"/>
    <x v="2"/>
    <s v="PROD24"/>
    <s v="Foldable Camping Chair"/>
    <x v="0"/>
    <s v="Outdoor"/>
    <s v="STORE14"/>
    <x v="2"/>
    <x v="0"/>
    <n v="278.63"/>
    <n v="7.0000000000000007E-2"/>
    <x v="0"/>
    <b v="1"/>
    <n v="259.1259"/>
    <n v="259.1259"/>
  </r>
  <r>
    <s v="SALE11"/>
    <x v="11"/>
    <x v="2"/>
    <s v="CUST1320"/>
    <x v="1"/>
    <x v="1"/>
    <x v="3"/>
    <s v="PROD39"/>
    <s v="Portable Power Bank"/>
    <x v="1"/>
    <s v="Mobile"/>
    <s v="STORE1"/>
    <x v="0"/>
    <x v="2"/>
    <n v="286.92"/>
    <n v="0.17"/>
    <x v="0"/>
    <b v="1"/>
    <n v="952.57439999999997"/>
    <n v="952.57439999999997"/>
  </r>
  <r>
    <s v="SALE12"/>
    <x v="12"/>
    <x v="0"/>
    <s v="CUST1237"/>
    <x v="1"/>
    <x v="1"/>
    <x v="0"/>
    <s v="PROD88"/>
    <s v="Sports Wrist Sweatbands"/>
    <x v="0"/>
    <s v="Accessories"/>
    <s v="STORE4"/>
    <x v="2"/>
    <x v="2"/>
    <n v="644.58000000000004"/>
    <n v="0.01"/>
    <x v="0"/>
    <b v="1"/>
    <n v="2552.5368000000003"/>
    <n v="2552.5367999999999"/>
  </r>
  <r>
    <s v="SALE13"/>
    <x v="13"/>
    <x v="2"/>
    <s v="CUST1443"/>
    <x v="0"/>
    <x v="0"/>
    <x v="2"/>
    <s v="PROD34"/>
    <s v="Gaming Mechanical Keyboard"/>
    <x v="1"/>
    <s v="Computer"/>
    <s v="STORE16"/>
    <x v="1"/>
    <x v="3"/>
    <n v="316.89999999999998"/>
    <n v="0.3"/>
    <x v="1"/>
    <b v="1"/>
    <n v="443.65999999999997"/>
    <n v="443.66"/>
  </r>
  <r>
    <s v="SALE14"/>
    <x v="14"/>
    <x v="2"/>
    <s v="CUST1348"/>
    <x v="0"/>
    <x v="0"/>
    <x v="2"/>
    <s v="PROD24"/>
    <s v="Foldable Camping Chair"/>
    <x v="0"/>
    <s v="Outdoor"/>
    <s v="STORE15"/>
    <x v="0"/>
    <x v="2"/>
    <n v="403.47"/>
    <n v="0.28999999999999998"/>
    <x v="1"/>
    <b v="1"/>
    <n v="1145.8548000000001"/>
    <n v="1145.8548000000001"/>
  </r>
  <r>
    <s v="SALE15"/>
    <x v="15"/>
    <x v="0"/>
    <s v="CUST1435"/>
    <x v="1"/>
    <x v="1"/>
    <x v="2"/>
    <s v="PROD36"/>
    <s v="Women's Summer Dress"/>
    <x v="4"/>
    <s v="Tops"/>
    <s v="STORE9"/>
    <x v="2"/>
    <x v="5"/>
    <n v="871.34"/>
    <n v="0.04"/>
    <x v="2"/>
    <b v="1"/>
    <n v="2509.4591999999993"/>
    <n v="2509.4591999999998"/>
  </r>
  <r>
    <s v="SALE16"/>
    <x v="16"/>
    <x v="2"/>
    <s v="CUST1276"/>
    <x v="1"/>
    <x v="0"/>
    <x v="0"/>
    <s v="PROD65"/>
    <s v="Adjustable Dumbbells 20kg"/>
    <x v="0"/>
    <s v="Fitness"/>
    <s v="STORE19"/>
    <x v="3"/>
    <x v="3"/>
    <n v="451.98"/>
    <n v="0.25"/>
    <x v="0"/>
    <b v="1"/>
    <n v="677.97"/>
    <n v="677.97"/>
  </r>
  <r>
    <s v="SALE17"/>
    <x v="17"/>
    <x v="0"/>
    <s v="CUST1079"/>
    <x v="2"/>
    <x v="1"/>
    <x v="1"/>
    <s v="PROD27"/>
    <s v="Decorative Floor Vase"/>
    <x v="3"/>
    <s v="Decor"/>
    <s v="STORE4"/>
    <x v="2"/>
    <x v="3"/>
    <n v="502.69"/>
    <n v="0.23"/>
    <x v="0"/>
    <b v="1"/>
    <n v="774.14260000000002"/>
    <n v="774.14260000000002"/>
  </r>
  <r>
    <s v="SALE18"/>
    <x v="18"/>
    <x v="0"/>
    <s v="CUST1094"/>
    <x v="1"/>
    <x v="1"/>
    <x v="0"/>
    <s v="PROD39"/>
    <s v="Portable Power Bank"/>
    <x v="1"/>
    <s v="Mobile"/>
    <s v="STORE4"/>
    <x v="2"/>
    <x v="3"/>
    <n v="559.23"/>
    <n v="0.25"/>
    <x v="2"/>
    <b v="1"/>
    <n v="838.84500000000003"/>
    <n v="838.84500000000003"/>
  </r>
  <r>
    <s v="SALE19"/>
    <x v="19"/>
    <x v="0"/>
    <s v="CUST1239"/>
    <x v="0"/>
    <x v="1"/>
    <x v="1"/>
    <s v="PROD60"/>
    <s v="Luxury Perfume Spray"/>
    <x v="2"/>
    <s v="Fragrance"/>
    <s v="STORE13"/>
    <x v="3"/>
    <x v="2"/>
    <n v="464.18"/>
    <n v="0.04"/>
    <x v="2"/>
    <b v="1"/>
    <n v="1782.4512"/>
    <n v="1782.4512"/>
  </r>
  <r>
    <s v="SALE20"/>
    <x v="20"/>
    <x v="2"/>
    <s v="CUST1144"/>
    <x v="0"/>
    <x v="1"/>
    <x v="3"/>
    <s v="PROD72"/>
    <s v="Professional Jump Rope"/>
    <x v="0"/>
    <s v="Fitness"/>
    <s v="STORE17"/>
    <x v="0"/>
    <x v="1"/>
    <n v="986.04"/>
    <n v="0.27"/>
    <x v="2"/>
    <b v="1"/>
    <n v="2159.4276"/>
    <n v="2159.4276"/>
  </r>
  <r>
    <s v="SALE21"/>
    <x v="21"/>
    <x v="0"/>
    <s v="CUST1396"/>
    <x v="2"/>
    <x v="1"/>
    <x v="2"/>
    <s v="PROD43"/>
    <s v="USB External Hard Drive"/>
    <x v="1"/>
    <s v="Computer"/>
    <s v="STORE18"/>
    <x v="3"/>
    <x v="0"/>
    <n v="589.55999999999995"/>
    <n v="0.22"/>
    <x v="0"/>
    <b v="1"/>
    <n v="459.85679999999996"/>
    <n v="459.85680000000002"/>
  </r>
  <r>
    <s v="SALE22"/>
    <x v="22"/>
    <x v="0"/>
    <s v="CUST1476"/>
    <x v="1"/>
    <x v="1"/>
    <x v="0"/>
    <s v="PROD69"/>
    <s v="Men's Sports Shorts"/>
    <x v="4"/>
    <s v="Bottoms"/>
    <s v="STORE10"/>
    <x v="3"/>
    <x v="1"/>
    <n v="979.42"/>
    <n v="0.03"/>
    <x v="1"/>
    <b v="1"/>
    <n v="2850.1121999999996"/>
    <n v="2850.1122"/>
  </r>
  <r>
    <s v="SALE23"/>
    <x v="23"/>
    <x v="0"/>
    <s v="CUST1368"/>
    <x v="1"/>
    <x v="1"/>
    <x v="1"/>
    <s v="PROD12"/>
    <s v="Hair Strengthening Shampoo"/>
    <x v="2"/>
    <s v="Haircare"/>
    <s v="STORE8"/>
    <x v="1"/>
    <x v="0"/>
    <n v="719.28"/>
    <n v="0.08"/>
    <x v="0"/>
    <b v="1"/>
    <n v="661.73760000000004"/>
    <n v="661.73760000000004"/>
  </r>
  <r>
    <s v="SALE24"/>
    <x v="24"/>
    <x v="2"/>
    <s v="CUST1186"/>
    <x v="0"/>
    <x v="0"/>
    <x v="2"/>
    <s v="PROD67"/>
    <s v="Smart LED Light Strip"/>
    <x v="1"/>
    <s v="Accessories"/>
    <s v="STORE6"/>
    <x v="3"/>
    <x v="1"/>
    <n v="77.599999999999994"/>
    <n v="7.0000000000000007E-2"/>
    <x v="0"/>
    <b v="1"/>
    <n v="216.50399999999996"/>
    <n v="216.50399999999999"/>
  </r>
  <r>
    <s v="SALE25"/>
    <x v="25"/>
    <x v="0"/>
    <s v="CUST1381"/>
    <x v="1"/>
    <x v="0"/>
    <x v="2"/>
    <s v="PROD5"/>
    <s v="Men's Leather Belt"/>
    <x v="4"/>
    <s v="Accessories"/>
    <s v="STORE3"/>
    <x v="0"/>
    <x v="2"/>
    <n v="852.71"/>
    <n v="0.14000000000000001"/>
    <x v="1"/>
    <b v="1"/>
    <n v="2933.3224"/>
    <n v="2933.3224"/>
  </r>
  <r>
    <s v="SALE26"/>
    <x v="26"/>
    <x v="0"/>
    <s v="CUST1213"/>
    <x v="1"/>
    <x v="1"/>
    <x v="1"/>
    <s v="PROD98"/>
    <s v="Portable Bluetooth Speaker"/>
    <x v="1"/>
    <s v="Audio"/>
    <s v="STORE8"/>
    <x v="1"/>
    <x v="2"/>
    <n v="156.16"/>
    <n v="3.9999999999999925E-2"/>
    <x v="0"/>
    <b v="1"/>
    <n v="599.65440000000001"/>
    <n v="599.65440000000001"/>
  </r>
  <r>
    <s v="SALE27"/>
    <x v="27"/>
    <x v="2"/>
    <s v="CUST1200"/>
    <x v="2"/>
    <x v="0"/>
    <x v="1"/>
    <s v="PROD77"/>
    <s v="WiFi Mesh Router"/>
    <x v="1"/>
    <s v="Appliances"/>
    <s v="STORE8"/>
    <x v="1"/>
    <x v="1"/>
    <n v="815.49"/>
    <n v="0.17"/>
    <x v="0"/>
    <b v="1"/>
    <n v="2030.5701000000001"/>
    <n v="2030.5700999999999"/>
  </r>
  <r>
    <s v="SALE28"/>
    <x v="28"/>
    <x v="2"/>
    <s v="CUST1148"/>
    <x v="1"/>
    <x v="1"/>
    <x v="3"/>
    <s v="PROD13"/>
    <s v="USB-C Fast Charger"/>
    <x v="1"/>
    <s v="Accessories"/>
    <s v="STORE2"/>
    <x v="2"/>
    <x v="3"/>
    <n v="74.209999999999994"/>
    <n v="0.11"/>
    <x v="1"/>
    <b v="1"/>
    <n v="132.09379999999999"/>
    <n v="132.09379999999999"/>
  </r>
  <r>
    <s v="SALE29"/>
    <x v="29"/>
    <x v="0"/>
    <s v="CUST1348"/>
    <x v="0"/>
    <x v="0"/>
    <x v="2"/>
    <s v="PROD99"/>
    <s v="Stainless Steel Cookware Set"/>
    <x v="3"/>
    <s v="Kitchen"/>
    <s v="STORE3"/>
    <x v="0"/>
    <x v="2"/>
    <n v="451.67"/>
    <n v="0.15"/>
    <x v="0"/>
    <b v="1"/>
    <n v="1535.6780000000001"/>
    <n v="1535.6780000000001"/>
  </r>
  <r>
    <s v="SALE30"/>
    <x v="30"/>
    <x v="1"/>
    <s v="CUST1028"/>
    <x v="2"/>
    <x v="1"/>
    <x v="1"/>
    <s v="PROD5"/>
    <s v="Men's Leather Belt"/>
    <x v="4"/>
    <s v="Accessories"/>
    <s v="STORE19"/>
    <x v="3"/>
    <x v="0"/>
    <n v="429.38"/>
    <n v="0.13"/>
    <x v="1"/>
    <b v="1"/>
    <n v="373.56060000000002"/>
    <n v="373.56060000000002"/>
  </r>
  <r>
    <s v="SALE31"/>
    <x v="31"/>
    <x v="0"/>
    <s v="CUST1412"/>
    <x v="2"/>
    <x v="1"/>
    <x v="0"/>
    <s v="PROD53"/>
    <s v="Men's Track Pants"/>
    <x v="4"/>
    <s v="Bottoms"/>
    <s v="STORE12"/>
    <x v="0"/>
    <x v="3"/>
    <n v="148.96"/>
    <n v="0.03"/>
    <x v="2"/>
    <b v="1"/>
    <n v="288.98239999999998"/>
    <n v="288.98239999999998"/>
  </r>
  <r>
    <s v="SALE32"/>
    <x v="32"/>
    <x v="0"/>
    <s v="CUST1398"/>
    <x v="0"/>
    <x v="0"/>
    <x v="3"/>
    <s v="PROD75"/>
    <s v="Women's Ankle Boots"/>
    <x v="4"/>
    <s v="Footwear"/>
    <s v="STORE8"/>
    <x v="1"/>
    <x v="2"/>
    <n v="313.83"/>
    <n v="0.08"/>
    <x v="0"/>
    <b v="1"/>
    <n v="1154.8943999999999"/>
    <n v="1154.8943999999999"/>
  </r>
  <r>
    <s v="SALE33"/>
    <x v="33"/>
    <x v="0"/>
    <s v="CUST1453"/>
    <x v="0"/>
    <x v="1"/>
    <x v="1"/>
    <s v="PROD12"/>
    <s v="Hair Strengthening Shampoo"/>
    <x v="2"/>
    <s v="Haircare"/>
    <s v="STORE6"/>
    <x v="3"/>
    <x v="3"/>
    <n v="717.31"/>
    <n v="0.15"/>
    <x v="0"/>
    <b v="1"/>
    <n v="1219.4269999999999"/>
    <n v="1219.4269999999999"/>
  </r>
  <r>
    <s v="SALE34"/>
    <x v="34"/>
    <x v="1"/>
    <s v="CUST1344"/>
    <x v="1"/>
    <x v="0"/>
    <x v="0"/>
    <s v="PROD79"/>
    <s v="Decorative Lamp Shade"/>
    <x v="3"/>
    <s v="Lighting"/>
    <s v="STORE1"/>
    <x v="0"/>
    <x v="5"/>
    <n v="873.22"/>
    <n v="0.18"/>
    <x v="0"/>
    <b v="1"/>
    <n v="2148.1212"/>
    <n v="2148.1212"/>
  </r>
  <r>
    <s v="SALE35"/>
    <x v="35"/>
    <x v="2"/>
    <s v="CUST1218"/>
    <x v="1"/>
    <x v="0"/>
    <x v="1"/>
    <s v="PROD16"/>
    <s v="Beard Grooming Kit"/>
    <x v="2"/>
    <s v="Grooming"/>
    <s v="STORE3"/>
    <x v="0"/>
    <x v="2"/>
    <n v="109.36"/>
    <n v="0.19"/>
    <x v="2"/>
    <b v="1"/>
    <n v="354.32640000000004"/>
    <n v="354.32639999999998"/>
  </r>
  <r>
    <s v="SALE36"/>
    <x v="36"/>
    <x v="0"/>
    <s v="CUST1086"/>
    <x v="2"/>
    <x v="1"/>
    <x v="0"/>
    <s v="PROD5"/>
    <s v="Men's Leather Belt"/>
    <x v="4"/>
    <s v="Accessories"/>
    <s v="STORE7"/>
    <x v="2"/>
    <x v="1"/>
    <n v="559.52"/>
    <n v="0.16"/>
    <x v="1"/>
    <b v="1"/>
    <n v="1409.9903999999999"/>
    <n v="1409.9903999999999"/>
  </r>
  <r>
    <s v="SALE37"/>
    <x v="37"/>
    <x v="0"/>
    <s v="CUST1492"/>
    <x v="0"/>
    <x v="1"/>
    <x v="1"/>
    <s v="PROD10"/>
    <s v="Ceramic Kitchen Bowl Set"/>
    <x v="3"/>
    <s v="Kitchen"/>
    <s v="STORE17"/>
    <x v="0"/>
    <x v="1"/>
    <n v="121.76"/>
    <n v="0.27"/>
    <x v="1"/>
    <b v="1"/>
    <n v="266.65440000000001"/>
    <n v="266.65440000000001"/>
  </r>
  <r>
    <s v="SALE38"/>
    <x v="38"/>
    <x v="0"/>
    <s v="CUST1189"/>
    <x v="2"/>
    <x v="0"/>
    <x v="0"/>
    <s v="PROD33"/>
    <s v="Modern Wall Clock"/>
    <x v="3"/>
    <s v="Decor"/>
    <s v="STORE13"/>
    <x v="3"/>
    <x v="2"/>
    <n v="735.32"/>
    <n v="0.06"/>
    <x v="2"/>
    <b v="1"/>
    <n v="2764.8031999999998"/>
    <n v="2764.8031999999998"/>
  </r>
  <r>
    <s v="SALE39"/>
    <x v="39"/>
    <x v="1"/>
    <s v="CUST1431"/>
    <x v="2"/>
    <x v="0"/>
    <x v="1"/>
    <s v="PROD94"/>
    <s v="Vitamin E Body Lotion"/>
    <x v="2"/>
    <s v="Skincare"/>
    <s v="STORE3"/>
    <x v="0"/>
    <x v="3"/>
    <n v="600.73"/>
    <n v="0.08"/>
    <x v="0"/>
    <b v="1"/>
    <n v="1105.3432"/>
    <n v="1105.3432"/>
  </r>
  <r>
    <s v="SALE40"/>
    <x v="40"/>
    <x v="0"/>
    <s v="CUST1072"/>
    <x v="1"/>
    <x v="1"/>
    <x v="0"/>
    <s v="PROD26"/>
    <s v="Wireless Bluetooth Speaker"/>
    <x v="1"/>
    <s v="Audio"/>
    <s v="STORE19"/>
    <x v="3"/>
    <x v="3"/>
    <n v="873.86"/>
    <n v="7.0000000000000007E-2"/>
    <x v="2"/>
    <b v="1"/>
    <n v="1625.3796"/>
    <n v="1625.3796"/>
  </r>
  <r>
    <s v="SALE41"/>
    <x v="41"/>
    <x v="1"/>
    <s v="CUST1302"/>
    <x v="1"/>
    <x v="0"/>
    <x v="0"/>
    <s v="PROD23"/>
    <s v="Men's Formal Shirt"/>
    <x v="4"/>
    <s v="Tops"/>
    <s v="STORE8"/>
    <x v="1"/>
    <x v="1"/>
    <n v="342.47"/>
    <n v="0.08"/>
    <x v="1"/>
    <b v="1"/>
    <n v="945.21720000000016"/>
    <n v="945.21720000000016"/>
  </r>
  <r>
    <s v="SALE42"/>
    <x v="42"/>
    <x v="0"/>
    <s v="CUST1335"/>
    <x v="1"/>
    <x v="0"/>
    <x v="1"/>
    <s v="PROD29"/>
    <s v="Fabric Sofa Throw Blanket"/>
    <x v="3"/>
    <s v="Decor"/>
    <s v="STORE9"/>
    <x v="2"/>
    <x v="3"/>
    <n v="915.15"/>
    <n v="0.16"/>
    <x v="1"/>
    <b v="1"/>
    <n v="1537.452"/>
    <n v="1537.452"/>
  </r>
  <r>
    <s v="SALE43"/>
    <x v="43"/>
    <x v="2"/>
    <s v="CUST1084"/>
    <x v="2"/>
    <x v="1"/>
    <x v="1"/>
    <s v="PROD33"/>
    <s v="Modern Wall Clock"/>
    <x v="3"/>
    <s v="Decor"/>
    <s v="STORE17"/>
    <x v="0"/>
    <x v="1"/>
    <n v="863.11"/>
    <n v="0.28000000000000003"/>
    <x v="1"/>
    <b v="1"/>
    <n v="1864.3175999999999"/>
    <n v="1864.3176000000001"/>
  </r>
  <r>
    <s v="SALE44"/>
    <x v="44"/>
    <x v="0"/>
    <s v="CUST1203"/>
    <x v="1"/>
    <x v="0"/>
    <x v="1"/>
    <s v="PROD43"/>
    <s v="USB External Hard Drive"/>
    <x v="1"/>
    <s v="Computer"/>
    <s v="STORE12"/>
    <x v="0"/>
    <x v="3"/>
    <n v="209.32"/>
    <n v="0.23"/>
    <x v="2"/>
    <b v="1"/>
    <n v="322.3528"/>
    <n v="322.3528"/>
  </r>
  <r>
    <s v="SALE45"/>
    <x v="45"/>
    <x v="0"/>
    <s v="CUST1470"/>
    <x v="2"/>
    <x v="1"/>
    <x v="0"/>
    <s v="PROD59"/>
    <s v="Men's Hair Styling Gel"/>
    <x v="2"/>
    <s v="Haircare"/>
    <s v="STORE8"/>
    <x v="1"/>
    <x v="2"/>
    <n v="288.60000000000002"/>
    <n v="0.09"/>
    <x v="1"/>
    <b v="1"/>
    <n v="1050.5040000000001"/>
    <n v="1050.5039999999999"/>
  </r>
  <r>
    <s v="SALE46"/>
    <x v="46"/>
    <x v="0"/>
    <s v="CUST1070"/>
    <x v="2"/>
    <x v="1"/>
    <x v="0"/>
    <s v="PROD78"/>
    <s v="Essential Oil Diffuser"/>
    <x v="3"/>
    <s v="Decor"/>
    <s v="STORE16"/>
    <x v="1"/>
    <x v="0"/>
    <n v="418.69"/>
    <n v="0.06"/>
    <x v="1"/>
    <b v="1"/>
    <n v="393.5686"/>
    <n v="393.5686"/>
  </r>
  <r>
    <s v="SALE47"/>
    <x v="23"/>
    <x v="0"/>
    <s v="CUST1008"/>
    <x v="0"/>
    <x v="1"/>
    <x v="0"/>
    <s v="PROD30"/>
    <s v="Stainless Steel Cutlery Set"/>
    <x v="3"/>
    <s v="Kitchen"/>
    <s v="STORE11"/>
    <x v="2"/>
    <x v="0"/>
    <n v="135.78"/>
    <n v="0.14000000000000001"/>
    <x v="1"/>
    <b v="1"/>
    <n v="116.77079999999999"/>
    <n v="116.77079999999999"/>
  </r>
  <r>
    <s v="SALE48"/>
    <x v="47"/>
    <x v="1"/>
    <s v="CUST1203"/>
    <x v="1"/>
    <x v="0"/>
    <x v="1"/>
    <s v="PROD44"/>
    <s v="Adjustable Jump Rope"/>
    <x v="0"/>
    <s v="Fitness"/>
    <s v="STORE17"/>
    <x v="0"/>
    <x v="0"/>
    <n v="517.13"/>
    <n v="0.28000000000000003"/>
    <x v="0"/>
    <b v="1"/>
    <n v="372.33359999999999"/>
    <n v="372.33359999999999"/>
  </r>
  <r>
    <s v="SALE49"/>
    <x v="48"/>
    <x v="0"/>
    <s v="CUST1420"/>
    <x v="0"/>
    <x v="0"/>
    <x v="3"/>
    <s v="PROD21"/>
    <s v="Multi-Purpose Storage Box"/>
    <x v="3"/>
    <s v="Storage"/>
    <s v="STORE16"/>
    <x v="1"/>
    <x v="3"/>
    <n v="384.66"/>
    <n v="0.08"/>
    <x v="2"/>
    <b v="1"/>
    <n v="707.77440000000013"/>
    <n v="707.77440000000013"/>
  </r>
  <r>
    <s v="SALE50"/>
    <x v="49"/>
    <x v="1"/>
    <s v="CUST1070"/>
    <x v="2"/>
    <x v="1"/>
    <x v="0"/>
    <s v="PROD52"/>
    <s v="Rugby Ball"/>
    <x v="0"/>
    <s v="Team Sports"/>
    <s v="STORE9"/>
    <x v="2"/>
    <x v="1"/>
    <n v="83.7"/>
    <n v="0.24"/>
    <x v="1"/>
    <b v="1"/>
    <n v="190.83600000000001"/>
    <n v="190.83600000000001"/>
  </r>
  <r>
    <s v="SALE51"/>
    <x v="50"/>
    <x v="2"/>
    <s v="CUST1142"/>
    <x v="1"/>
    <x v="0"/>
    <x v="3"/>
    <s v="PROD69"/>
    <s v="Men's Sports Shorts"/>
    <x v="4"/>
    <s v="Bottoms"/>
    <s v="STORE7"/>
    <x v="2"/>
    <x v="1"/>
    <n v="76.569999999999993"/>
    <n v="0.26"/>
    <x v="0"/>
    <b v="1"/>
    <n v="169.98539999999997"/>
    <n v="169.9854"/>
  </r>
  <r>
    <s v="SALE52"/>
    <x v="51"/>
    <x v="2"/>
    <s v="CUST1148"/>
    <x v="1"/>
    <x v="1"/>
    <x v="3"/>
    <s v="PROD89"/>
    <s v="Face Foundation Kit"/>
    <x v="2"/>
    <s v="Makeup"/>
    <s v="STORE6"/>
    <x v="3"/>
    <x v="1"/>
    <n v="183.04"/>
    <n v="0.114832277097902"/>
    <x v="0"/>
    <b v="1"/>
    <n v="486.06330000000008"/>
    <n v="486.06330000000003"/>
  </r>
  <r>
    <s v="SALE53"/>
    <x v="43"/>
    <x v="2"/>
    <s v="CUST1324"/>
    <x v="0"/>
    <x v="0"/>
    <x v="3"/>
    <s v="PROD20"/>
    <s v="Outdoor Sports Water Bottle"/>
    <x v="0"/>
    <s v="Accessories"/>
    <s v="STORE8"/>
    <x v="1"/>
    <x v="0"/>
    <n v="900.35"/>
    <n v="0.13"/>
    <x v="2"/>
    <b v="1"/>
    <n v="783.30449999999996"/>
    <n v="783.30449999999996"/>
  </r>
  <r>
    <s v="SALE54"/>
    <x v="52"/>
    <x v="2"/>
    <s v="CUST1095"/>
    <x v="0"/>
    <x v="1"/>
    <x v="1"/>
    <s v="PROD40"/>
    <s v="Noise-Canceling Headphones"/>
    <x v="1"/>
    <s v="Audio"/>
    <s v="STORE10"/>
    <x v="3"/>
    <x v="2"/>
    <n v="428.09"/>
    <n v="7.0000000000000007E-2"/>
    <x v="0"/>
    <b v="1"/>
    <n v="1592.4947999999997"/>
    <n v="1592.4947999999999"/>
  </r>
  <r>
    <s v="SALE55"/>
    <x v="53"/>
    <x v="0"/>
    <s v="CUST1416"/>
    <x v="1"/>
    <x v="0"/>
    <x v="1"/>
    <s v="PROD49"/>
    <s v="Men's Roll-On Perfume"/>
    <x v="2"/>
    <s v="Fragrance"/>
    <s v="STORE11"/>
    <x v="2"/>
    <x v="3"/>
    <n v="559.71"/>
    <n v="0.3"/>
    <x v="2"/>
    <b v="1"/>
    <n v="783.59400000000005"/>
    <n v="783.59400000000005"/>
  </r>
  <r>
    <s v="SALE56"/>
    <x v="54"/>
    <x v="1"/>
    <s v="CUST1080"/>
    <x v="0"/>
    <x v="1"/>
    <x v="3"/>
    <s v="PROD34"/>
    <s v="Gaming Mechanical Keyboard"/>
    <x v="1"/>
    <s v="Computer"/>
    <s v="STORE6"/>
    <x v="3"/>
    <x v="3"/>
    <n v="833.7"/>
    <n v="0.06"/>
    <x v="1"/>
    <b v="1"/>
    <n v="1567.356"/>
    <n v="1567.356"/>
  </r>
  <r>
    <s v="SALE57"/>
    <x v="55"/>
    <x v="0"/>
    <s v="CUST1467"/>
    <x v="0"/>
    <x v="1"/>
    <x v="0"/>
    <s v="PROD47"/>
    <s v="Makeup Brush Set"/>
    <x v="2"/>
    <s v="Makeup"/>
    <s v="STORE14"/>
    <x v="2"/>
    <x v="3"/>
    <n v="680.16"/>
    <n v="0.28000000000000003"/>
    <x v="0"/>
    <b v="1"/>
    <n v="979.43039999999996"/>
    <n v="979.43039999999996"/>
  </r>
  <r>
    <s v="SALE58"/>
    <x v="56"/>
    <x v="0"/>
    <s v="CUST1404"/>
    <x v="2"/>
    <x v="1"/>
    <x v="2"/>
    <s v="PROD15"/>
    <s v="4K Home Projector"/>
    <x v="1"/>
    <s v="Appliances"/>
    <s v="STORE7"/>
    <x v="2"/>
    <x v="2"/>
    <n v="733.42"/>
    <n v="0.13"/>
    <x v="1"/>
    <b v="1"/>
    <n v="2552.3015999999998"/>
    <n v="2552.3015999999998"/>
  </r>
  <r>
    <s v="SALE59"/>
    <x v="57"/>
    <x v="1"/>
    <s v="CUST1367"/>
    <x v="0"/>
    <x v="0"/>
    <x v="3"/>
    <s v="PROD89"/>
    <s v="Face Foundation Kit"/>
    <x v="2"/>
    <s v="Makeup"/>
    <s v="STORE11"/>
    <x v="2"/>
    <x v="0"/>
    <n v="996.33"/>
    <n v="0.23"/>
    <x v="1"/>
    <b v="1"/>
    <n v="767.17410000000007"/>
    <n v="767.17410000000007"/>
  </r>
  <r>
    <s v="SALE60"/>
    <x v="58"/>
    <x v="2"/>
    <s v="CUST1408"/>
    <x v="1"/>
    <x v="0"/>
    <x v="0"/>
    <s v="PROD31"/>
    <s v="Basketball"/>
    <x v="0"/>
    <s v="Team Sports"/>
    <s v="STORE10"/>
    <x v="3"/>
    <x v="0"/>
    <n v="198.83"/>
    <n v="0.09"/>
    <x v="2"/>
    <b v="1"/>
    <n v="180.93530000000001"/>
    <n v="180.93530000000001"/>
  </r>
  <r>
    <s v="SALE61"/>
    <x v="59"/>
    <x v="2"/>
    <s v="CUST1239"/>
    <x v="0"/>
    <x v="1"/>
    <x v="1"/>
    <s v="PROD19"/>
    <s v="Knee Support Brace"/>
    <x v="0"/>
    <s v="Equipment"/>
    <s v="STORE7"/>
    <x v="2"/>
    <x v="0"/>
    <n v="374.92"/>
    <n v="0.18"/>
    <x v="1"/>
    <b v="1"/>
    <n v="307.43440000000004"/>
    <n v="307.43439999999998"/>
  </r>
  <r>
    <s v="SALE62"/>
    <x v="60"/>
    <x v="0"/>
    <s v="CUST1464"/>
    <x v="1"/>
    <x v="1"/>
    <x v="1"/>
    <s v="PROD93"/>
    <s v="USB-C Laptop Charger"/>
    <x v="1"/>
    <s v="Computer"/>
    <s v="STORE16"/>
    <x v="1"/>
    <x v="0"/>
    <n v="468.94"/>
    <n v="0.12"/>
    <x v="0"/>
    <b v="1"/>
    <n v="412.66719999999998"/>
    <n v="412.66719999999998"/>
  </r>
  <r>
    <s v="SALE63"/>
    <x v="61"/>
    <x v="2"/>
    <s v="CUST1126"/>
    <x v="0"/>
    <x v="1"/>
    <x v="0"/>
    <s v="PROD89"/>
    <s v="Face Foundation Kit"/>
    <x v="2"/>
    <s v="Makeup"/>
    <s v="STORE12"/>
    <x v="0"/>
    <x v="3"/>
    <n v="121.37"/>
    <n v="0.05"/>
    <x v="0"/>
    <b v="1"/>
    <n v="230.60300000000001"/>
    <n v="230.60300000000001"/>
  </r>
  <r>
    <s v="SALE64"/>
    <x v="62"/>
    <x v="2"/>
    <s v="CUST1255"/>
    <x v="2"/>
    <x v="0"/>
    <x v="0"/>
    <s v="PROD53"/>
    <s v="Men's Track Pants"/>
    <x v="4"/>
    <s v="Bottoms"/>
    <s v="STORE10"/>
    <x v="3"/>
    <x v="1"/>
    <n v="480.06"/>
    <n v="0.01"/>
    <x v="0"/>
    <b v="1"/>
    <n v="1425.7782"/>
    <n v="1425.7782"/>
  </r>
  <r>
    <s v="SALE65"/>
    <x v="63"/>
    <x v="1"/>
    <s v="CUST1162"/>
    <x v="1"/>
    <x v="0"/>
    <x v="2"/>
    <s v="PROD99"/>
    <s v="Stainless Steel Cookware Set"/>
    <x v="3"/>
    <s v="Kitchen"/>
    <s v="STORE17"/>
    <x v="0"/>
    <x v="3"/>
    <n v="856.57"/>
    <n v="0.24"/>
    <x v="0"/>
    <b v="1"/>
    <n v="1301.9864"/>
    <n v="1301.9864"/>
  </r>
  <r>
    <s v="SALE66"/>
    <x v="64"/>
    <x v="1"/>
    <s v="CUST1269"/>
    <x v="1"/>
    <x v="1"/>
    <x v="2"/>
    <s v="PROD77"/>
    <s v="WiFi Mesh Router"/>
    <x v="1"/>
    <s v="Appliances"/>
    <s v="STORE2"/>
    <x v="2"/>
    <x v="2"/>
    <n v="814.25"/>
    <n v="0.18"/>
    <x v="0"/>
    <b v="1"/>
    <n v="2670.7400000000002"/>
    <n v="2670.74"/>
  </r>
  <r>
    <s v="SALE67"/>
    <x v="65"/>
    <x v="1"/>
    <s v="CUST1483"/>
    <x v="1"/>
    <x v="0"/>
    <x v="0"/>
    <s v="PROD12"/>
    <s v="Hair Strengthening Shampoo"/>
    <x v="2"/>
    <s v="Haircare"/>
    <s v="STORE2"/>
    <x v="2"/>
    <x v="0"/>
    <n v="989.17"/>
    <n v="0.2"/>
    <x v="1"/>
    <b v="1"/>
    <n v="791.33600000000001"/>
    <n v="791.33600000000001"/>
  </r>
  <r>
    <s v="SALE68"/>
    <x v="66"/>
    <x v="1"/>
    <s v="CUST1372"/>
    <x v="2"/>
    <x v="0"/>
    <x v="3"/>
    <s v="PROD72"/>
    <s v="Professional Jump Rope"/>
    <x v="0"/>
    <s v="Fitness"/>
    <s v="STORE10"/>
    <x v="3"/>
    <x v="2"/>
    <n v="62.48"/>
    <n v="0.18"/>
    <x v="0"/>
    <b v="1"/>
    <n v="204.93440000000001"/>
    <n v="204.93440000000001"/>
  </r>
  <r>
    <s v="SALE69"/>
    <x v="67"/>
    <x v="2"/>
    <s v="CUST1423"/>
    <x v="1"/>
    <x v="0"/>
    <x v="2"/>
    <s v="PROD13"/>
    <s v="USB-C Fast Charger"/>
    <x v="1"/>
    <s v="Accessories"/>
    <s v="STORE16"/>
    <x v="1"/>
    <x v="2"/>
    <n v="561.24"/>
    <n v="0.24"/>
    <x v="0"/>
    <b v="1"/>
    <n v="1706.1695999999999"/>
    <n v="1706.1695999999999"/>
  </r>
  <r>
    <s v="SALE70"/>
    <x v="68"/>
    <x v="2"/>
    <s v="CUST1058"/>
    <x v="0"/>
    <x v="0"/>
    <x v="1"/>
    <s v="PROD60"/>
    <s v="Luxury Perfume Spray"/>
    <x v="2"/>
    <s v="Fragrance"/>
    <s v="STORE5"/>
    <x v="0"/>
    <x v="1"/>
    <n v="92.24"/>
    <n v="0.28000000000000003"/>
    <x v="2"/>
    <b v="1"/>
    <n v="199.23839999999998"/>
    <n v="199.23839999999998"/>
  </r>
  <r>
    <s v="SALE71"/>
    <x v="69"/>
    <x v="2"/>
    <s v="CUST1168"/>
    <x v="1"/>
    <x v="1"/>
    <x v="1"/>
    <s v="PROD72"/>
    <s v="Professional Jump Rope"/>
    <x v="0"/>
    <s v="Fitness"/>
    <s v="STORE1"/>
    <x v="0"/>
    <x v="3"/>
    <n v="668.3"/>
    <n v="7.0000000000000007E-2"/>
    <x v="0"/>
    <b v="1"/>
    <n v="1243.0379999999998"/>
    <n v="1243.038"/>
  </r>
  <r>
    <s v="SALE72"/>
    <x v="70"/>
    <x v="0"/>
    <s v="CUST1409"/>
    <x v="0"/>
    <x v="0"/>
    <x v="0"/>
    <s v="PROD38"/>
    <s v="Sports Water Hydration Pack"/>
    <x v="0"/>
    <s v="Outdoor"/>
    <s v="STORE5"/>
    <x v="0"/>
    <x v="0"/>
    <n v="553.82000000000005"/>
    <n v="0.09"/>
    <x v="0"/>
    <b v="1"/>
    <n v="503.97620000000006"/>
    <n v="503.97620000000012"/>
  </r>
  <r>
    <s v="SALE73"/>
    <x v="71"/>
    <x v="0"/>
    <s v="CUST1037"/>
    <x v="2"/>
    <x v="1"/>
    <x v="1"/>
    <s v="PROD45"/>
    <s v="High-Grip Football"/>
    <x v="0"/>
    <s v="Team Sports"/>
    <s v="STORE11"/>
    <x v="2"/>
    <x v="3"/>
    <n v="556.42999999999995"/>
    <n v="0.13"/>
    <x v="0"/>
    <b v="1"/>
    <n v="968.18819999999994"/>
    <n v="968.18819999999994"/>
  </r>
  <r>
    <s v="SALE74"/>
    <x v="72"/>
    <x v="2"/>
    <s v="CUST1273"/>
    <x v="2"/>
    <x v="0"/>
    <x v="3"/>
    <s v="PROD20"/>
    <s v="Outdoor Sports Water Bottle"/>
    <x v="0"/>
    <s v="Accessories"/>
    <s v="STORE8"/>
    <x v="1"/>
    <x v="0"/>
    <n v="184.98"/>
    <n v="0.1"/>
    <x v="2"/>
    <b v="1"/>
    <n v="166.482"/>
    <n v="166.482"/>
  </r>
  <r>
    <s v="SALE75"/>
    <x v="73"/>
    <x v="0"/>
    <s v="CUST1035"/>
    <x v="0"/>
    <x v="0"/>
    <x v="2"/>
    <s v="PROD97"/>
    <s v="Cricket Bat"/>
    <x v="0"/>
    <s v="Team Sports"/>
    <s v="STORE12"/>
    <x v="0"/>
    <x v="2"/>
    <n v="700.18"/>
    <n v="0.23"/>
    <x v="0"/>
    <b v="1"/>
    <n v="2156.5544"/>
    <n v="2156.5544"/>
  </r>
  <r>
    <s v="SALE76"/>
    <x v="1"/>
    <x v="1"/>
    <s v="CUST1019"/>
    <x v="1"/>
    <x v="1"/>
    <x v="1"/>
    <s v="PROD76"/>
    <s v="Wireless Mouse"/>
    <x v="1"/>
    <s v="Computer"/>
    <s v="STORE10"/>
    <x v="3"/>
    <x v="3"/>
    <n v="686.31"/>
    <n v="0.25"/>
    <x v="0"/>
    <b v="1"/>
    <n v="1029.4649999999999"/>
    <n v="1029.4649999999999"/>
  </r>
  <r>
    <s v="SALE77"/>
    <x v="74"/>
    <x v="2"/>
    <s v="CUST1007"/>
    <x v="2"/>
    <x v="1"/>
    <x v="3"/>
    <s v="PROD67"/>
    <s v="Smart LED Light Strip"/>
    <x v="1"/>
    <s v="Accessories"/>
    <s v="STORE15"/>
    <x v="0"/>
    <x v="0"/>
    <n v="687.82"/>
    <n v="0.27"/>
    <x v="2"/>
    <b v="1"/>
    <n v="502.10860000000002"/>
    <n v="502.10860000000002"/>
  </r>
  <r>
    <s v="SALE78"/>
    <x v="75"/>
    <x v="0"/>
    <s v="CUST1221"/>
    <x v="1"/>
    <x v="0"/>
    <x v="1"/>
    <s v="PROD83"/>
    <s v="Hydrating Face Cleanser"/>
    <x v="2"/>
    <s v="Skincare"/>
    <s v="STORE8"/>
    <x v="1"/>
    <x v="3"/>
    <n v="900.55"/>
    <n v="0.16"/>
    <x v="0"/>
    <b v="1"/>
    <n v="1512.924"/>
    <n v="1512.924"/>
  </r>
  <r>
    <s v="SALE79"/>
    <x v="76"/>
    <x v="1"/>
    <s v="CUST1115"/>
    <x v="0"/>
    <x v="1"/>
    <x v="1"/>
    <s v="PROD21"/>
    <s v="Multi-Purpose Storage Box"/>
    <x v="3"/>
    <s v="Storage"/>
    <s v="STORE2"/>
    <x v="2"/>
    <x v="0"/>
    <n v="341.17"/>
    <n v="0.15"/>
    <x v="0"/>
    <b v="1"/>
    <n v="289.99450000000002"/>
    <n v="289.99450000000002"/>
  </r>
  <r>
    <s v="SALE80"/>
    <x v="77"/>
    <x v="2"/>
    <s v="CUST1176"/>
    <x v="1"/>
    <x v="0"/>
    <x v="2"/>
    <s v="PROD52"/>
    <s v="Rugby Ball"/>
    <x v="0"/>
    <s v="Team Sports"/>
    <s v="STORE8"/>
    <x v="1"/>
    <x v="0"/>
    <n v="442.27"/>
    <n v="0.06"/>
    <x v="2"/>
    <b v="1"/>
    <n v="415.73379999999997"/>
    <n v="415.73379999999997"/>
  </r>
  <r>
    <s v="SALE81"/>
    <x v="78"/>
    <x v="0"/>
    <s v="CUST1253"/>
    <x v="1"/>
    <x v="0"/>
    <x v="3"/>
    <s v="PROD71"/>
    <s v="Hair Repair Oil Treatment"/>
    <x v="2"/>
    <s v="Haircare"/>
    <s v="STORE9"/>
    <x v="2"/>
    <x v="0"/>
    <n v="363.73"/>
    <n v="0.25"/>
    <x v="1"/>
    <b v="1"/>
    <n v="272.79750000000001"/>
    <n v="272.79750000000001"/>
  </r>
  <r>
    <s v="SALE82"/>
    <x v="79"/>
    <x v="0"/>
    <s v="CUST1378"/>
    <x v="1"/>
    <x v="1"/>
    <x v="3"/>
    <s v="PROD91"/>
    <s v="Women's High Heels"/>
    <x v="4"/>
    <s v="Footwear"/>
    <s v="STORE17"/>
    <x v="0"/>
    <x v="3"/>
    <n v="601.33000000000004"/>
    <n v="0.16"/>
    <x v="1"/>
    <b v="1"/>
    <n v="1010.2344000000001"/>
    <n v="1010.2344000000001"/>
  </r>
  <r>
    <s v="SALE83"/>
    <x v="80"/>
    <x v="0"/>
    <s v="CUST1403"/>
    <x v="1"/>
    <x v="0"/>
    <x v="3"/>
    <s v="PROD17"/>
    <s v="Soccer Training Cone Set"/>
    <x v="0"/>
    <s v="Accessories"/>
    <s v="STORE18"/>
    <x v="3"/>
    <x v="2"/>
    <n v="34.39"/>
    <n v="0.03"/>
    <x v="1"/>
    <b v="1"/>
    <n v="133.4332"/>
    <n v="133.4332"/>
  </r>
  <r>
    <s v="SALE84"/>
    <x v="76"/>
    <x v="1"/>
    <s v="CUST1423"/>
    <x v="1"/>
    <x v="0"/>
    <x v="2"/>
    <s v="PROD46"/>
    <s v="Men's Winter Jacket"/>
    <x v="4"/>
    <s v="Outerwear"/>
    <s v="STORE17"/>
    <x v="0"/>
    <x v="0"/>
    <n v="773.57"/>
    <n v="0.05"/>
    <x v="2"/>
    <b v="1"/>
    <n v="734.89150000000006"/>
    <n v="734.89150000000006"/>
  </r>
  <r>
    <s v="SALE85"/>
    <x v="54"/>
    <x v="1"/>
    <s v="CUST1054"/>
    <x v="2"/>
    <x v="0"/>
    <x v="1"/>
    <s v="PROD88"/>
    <s v="Sports Wrist Sweatbands"/>
    <x v="0"/>
    <s v="Accessories"/>
    <s v="STORE7"/>
    <x v="2"/>
    <x v="2"/>
    <n v="127.1"/>
    <n v="0.24"/>
    <x v="2"/>
    <b v="1"/>
    <n v="386.38400000000001"/>
    <n v="386.38400000000001"/>
  </r>
  <r>
    <s v="SALE86"/>
    <x v="81"/>
    <x v="0"/>
    <s v="CUST1303"/>
    <x v="2"/>
    <x v="1"/>
    <x v="1"/>
    <s v="PROD20"/>
    <s v="Outdoor Sports Water Bottle"/>
    <x v="0"/>
    <s v="Accessories"/>
    <s v="STORE3"/>
    <x v="0"/>
    <x v="1"/>
    <n v="899.58"/>
    <n v="0.28000000000000003"/>
    <x v="1"/>
    <b v="1"/>
    <n v="1943.0928000000001"/>
    <n v="1943.0927999999999"/>
  </r>
  <r>
    <s v="SALE87"/>
    <x v="82"/>
    <x v="2"/>
    <s v="CUST1327"/>
    <x v="0"/>
    <x v="1"/>
    <x v="3"/>
    <s v="PROD1"/>
    <s v="Men's Graphic T-Shirt"/>
    <x v="4"/>
    <s v="Tops"/>
    <s v="STORE10"/>
    <x v="3"/>
    <x v="1"/>
    <n v="964.39"/>
    <n v="0.04"/>
    <x v="0"/>
    <b v="1"/>
    <n v="2777.4432000000002"/>
    <n v="2777.4432000000002"/>
  </r>
  <r>
    <s v="SALE88"/>
    <x v="83"/>
    <x v="0"/>
    <s v="CUST1183"/>
    <x v="2"/>
    <x v="0"/>
    <x v="1"/>
    <s v="PROD38"/>
    <s v="Sports Water Hydration Pack"/>
    <x v="0"/>
    <s v="Outdoor"/>
    <s v="STORE0"/>
    <x v="3"/>
    <x v="3"/>
    <n v="217.83"/>
    <n v="0.14000000000000001"/>
    <x v="1"/>
    <b v="1"/>
    <n v="374.66759999999999"/>
    <n v="374.66759999999999"/>
  </r>
  <r>
    <s v="SALE89"/>
    <x v="84"/>
    <x v="2"/>
    <s v="CUST1143"/>
    <x v="1"/>
    <x v="0"/>
    <x v="3"/>
    <s v="PROD17"/>
    <s v="Soccer Training Cone Set"/>
    <x v="0"/>
    <s v="Accessories"/>
    <s v="STORE1"/>
    <x v="0"/>
    <x v="2"/>
    <n v="187.71"/>
    <n v="0.06"/>
    <x v="2"/>
    <b v="1"/>
    <n v="705.78959999999995"/>
    <n v="705.78959999999995"/>
  </r>
  <r>
    <s v="SALE90"/>
    <x v="85"/>
    <x v="0"/>
    <s v="CUST1010"/>
    <x v="0"/>
    <x v="0"/>
    <x v="3"/>
    <s v="PROD33"/>
    <s v="Modern Wall Clock"/>
    <x v="3"/>
    <s v="Decor"/>
    <s v="STORE18"/>
    <x v="3"/>
    <x v="3"/>
    <n v="350.12"/>
    <n v="0.12"/>
    <x v="2"/>
    <b v="1"/>
    <n v="616.21119999999996"/>
    <n v="616.21119999999996"/>
  </r>
  <r>
    <s v="SALE91"/>
    <x v="86"/>
    <x v="0"/>
    <s v="CUST1406"/>
    <x v="2"/>
    <x v="1"/>
    <x v="0"/>
    <s v="PROD16"/>
    <s v="Beard Grooming Kit"/>
    <x v="2"/>
    <s v="Grooming"/>
    <s v="STORE1"/>
    <x v="0"/>
    <x v="2"/>
    <n v="102.19"/>
    <n v="0.17"/>
    <x v="1"/>
    <b v="1"/>
    <n v="339.27079999999995"/>
    <n v="339.27080000000001"/>
  </r>
  <r>
    <s v="SALE92"/>
    <x v="87"/>
    <x v="0"/>
    <s v="CUST1007"/>
    <x v="2"/>
    <x v="1"/>
    <x v="3"/>
    <s v="PROD86"/>
    <s v="Kitchen Cutting Board"/>
    <x v="3"/>
    <s v="Kitchen"/>
    <s v="STORE4"/>
    <x v="2"/>
    <x v="0"/>
    <n v="696.53"/>
    <n v="0.17"/>
    <x v="0"/>
    <b v="1"/>
    <n v="578.11989999999992"/>
    <n v="578.11989999999992"/>
  </r>
  <r>
    <s v="SALE93"/>
    <x v="88"/>
    <x v="0"/>
    <s v="CUST1065"/>
    <x v="2"/>
    <x v="1"/>
    <x v="2"/>
    <s v="PROD19"/>
    <s v="Knee Support Brace"/>
    <x v="0"/>
    <s v="Equipment"/>
    <s v="STORE4"/>
    <x v="2"/>
    <x v="3"/>
    <n v="327.52"/>
    <n v="0.15"/>
    <x v="1"/>
    <b v="1"/>
    <n v="556.78399999999999"/>
    <n v="556.78399999999999"/>
  </r>
  <r>
    <s v="SALE94"/>
    <x v="89"/>
    <x v="0"/>
    <s v="CUST1298"/>
    <x v="0"/>
    <x v="0"/>
    <x v="1"/>
    <s v="PROD97"/>
    <s v="Cricket Bat"/>
    <x v="0"/>
    <s v="Team Sports"/>
    <s v="STORE19"/>
    <x v="3"/>
    <x v="3"/>
    <n v="569.36"/>
    <n v="0.01"/>
    <x v="1"/>
    <b v="1"/>
    <n v="1127.3327999999999"/>
    <n v="1127.3327999999999"/>
  </r>
  <r>
    <s v="SALE95"/>
    <x v="90"/>
    <x v="0"/>
    <s v="CUST1321"/>
    <x v="2"/>
    <x v="1"/>
    <x v="3"/>
    <s v="PROD99"/>
    <s v="Stainless Steel Cookware Set"/>
    <x v="3"/>
    <s v="Kitchen"/>
    <s v="STORE6"/>
    <x v="3"/>
    <x v="3"/>
    <n v="68.290000000000006"/>
    <n v="0.14000000000000001"/>
    <x v="2"/>
    <b v="1"/>
    <n v="117.45880000000001"/>
    <n v="117.4588"/>
  </r>
  <r>
    <s v="SALE96"/>
    <x v="91"/>
    <x v="0"/>
    <s v="CUST1244"/>
    <x v="2"/>
    <x v="0"/>
    <x v="3"/>
    <s v="PROD50"/>
    <s v="Boxing Hand Wraps"/>
    <x v="0"/>
    <s v="Fitness"/>
    <s v="STORE10"/>
    <x v="3"/>
    <x v="0"/>
    <n v="842.9"/>
    <n v="0.06"/>
    <x v="2"/>
    <b v="1"/>
    <n v="792.32599999999991"/>
    <n v="792.32599999999991"/>
  </r>
  <r>
    <s v="SALE97"/>
    <x v="92"/>
    <x v="0"/>
    <s v="CUST1287"/>
    <x v="2"/>
    <x v="1"/>
    <x v="0"/>
    <s v="PROD3"/>
    <s v="Men's Running Jacket"/>
    <x v="4"/>
    <s v="Outerwear"/>
    <s v="STORE3"/>
    <x v="0"/>
    <x v="1"/>
    <n v="751.94"/>
    <n v="0.26"/>
    <x v="1"/>
    <b v="1"/>
    <n v="1669.3068000000001"/>
    <n v="1669.3068000000001"/>
  </r>
  <r>
    <s v="SALE98"/>
    <x v="93"/>
    <x v="0"/>
    <s v="CUST1131"/>
    <x v="1"/>
    <x v="1"/>
    <x v="3"/>
    <s v="PROD56"/>
    <s v="Premium Blanket Throw"/>
    <x v="3"/>
    <s v="Decor"/>
    <s v="STORE7"/>
    <x v="2"/>
    <x v="2"/>
    <n v="476.28"/>
    <n v="0.17"/>
    <x v="0"/>
    <b v="1"/>
    <n v="1581.2495999999999"/>
    <n v="1581.2496000000001"/>
  </r>
  <r>
    <s v="SALE99"/>
    <x v="94"/>
    <x v="0"/>
    <s v="CUST1325"/>
    <x v="0"/>
    <x v="0"/>
    <x v="3"/>
    <s v="PROD54"/>
    <s v="Sports Stopwatch Pro"/>
    <x v="0"/>
    <s v="Accessories"/>
    <s v="STORE3"/>
    <x v="0"/>
    <x v="1"/>
    <n v="541.99"/>
    <n v="0.24"/>
    <x v="2"/>
    <b v="1"/>
    <n v="1235.7372"/>
    <n v="1235.7372"/>
  </r>
  <r>
    <s v="SALE100"/>
    <x v="43"/>
    <x v="2"/>
    <s v="CUST1369"/>
    <x v="2"/>
    <x v="1"/>
    <x v="1"/>
    <s v="PROD33"/>
    <s v="Modern Wall Clock"/>
    <x v="3"/>
    <s v="Decor"/>
    <s v="STORE5"/>
    <x v="0"/>
    <x v="3"/>
    <n v="401.5"/>
    <n v="0.18"/>
    <x v="0"/>
    <b v="1"/>
    <n v="658.46"/>
    <n v="658.46"/>
  </r>
  <r>
    <s v="SALE101"/>
    <x v="95"/>
    <x v="0"/>
    <s v="CUST1084"/>
    <x v="2"/>
    <x v="1"/>
    <x v="1"/>
    <s v="PROD25"/>
    <s v="Women's Scarf Set"/>
    <x v="4"/>
    <s v="Accessories"/>
    <s v="STORE13"/>
    <x v="3"/>
    <x v="1"/>
    <n v="359.56"/>
    <n v="0.17"/>
    <x v="1"/>
    <b v="1"/>
    <n v="895.30439999999999"/>
    <n v="895.30439999999999"/>
  </r>
  <r>
    <s v="SALE102"/>
    <x v="25"/>
    <x v="0"/>
    <s v="CUST1097"/>
    <x v="1"/>
    <x v="0"/>
    <x v="2"/>
    <s v="PROD80"/>
    <s v="Wall-Mounted Spice Rack"/>
    <x v="3"/>
    <s v="Kitchen"/>
    <s v="STORE12"/>
    <x v="0"/>
    <x v="3"/>
    <n v="471.88"/>
    <n v="0.24"/>
    <x v="1"/>
    <b v="1"/>
    <n v="717.25760000000002"/>
    <n v="717.25760000000002"/>
  </r>
  <r>
    <s v="SALE103"/>
    <x v="96"/>
    <x v="2"/>
    <s v="CUST1182"/>
    <x v="2"/>
    <x v="1"/>
    <x v="2"/>
    <s v="PROD34"/>
    <s v="Gaming Mechanical Keyboard"/>
    <x v="1"/>
    <s v="Computer"/>
    <s v="STORE4"/>
    <x v="2"/>
    <x v="2"/>
    <n v="925.19"/>
    <n v="0.19"/>
    <x v="1"/>
    <b v="1"/>
    <n v="2997.6156000000005"/>
    <n v="2997.615600000001"/>
  </r>
  <r>
    <s v="SALE104"/>
    <x v="97"/>
    <x v="0"/>
    <s v="CUST1029"/>
    <x v="0"/>
    <x v="1"/>
    <x v="2"/>
    <s v="PROD86"/>
    <s v="Kitchen Cutting Board"/>
    <x v="3"/>
    <s v="Kitchen"/>
    <s v="STORE11"/>
    <x v="2"/>
    <x v="3"/>
    <n v="879.63"/>
    <n v="7.0000000000000007E-2"/>
    <x v="2"/>
    <b v="1"/>
    <n v="1636.1117999999999"/>
    <n v="1636.1117999999999"/>
  </r>
  <r>
    <s v="SALE105"/>
    <x v="98"/>
    <x v="1"/>
    <s v="CUST1002"/>
    <x v="2"/>
    <x v="1"/>
    <x v="1"/>
    <s v="PROD79"/>
    <s v="Decorative Lamp Shade"/>
    <x v="3"/>
    <s v="Lighting"/>
    <s v="STORE17"/>
    <x v="0"/>
    <x v="3"/>
    <n v="418.23"/>
    <n v="0.28000000000000003"/>
    <x v="0"/>
    <b v="1"/>
    <n v="602.25120000000004"/>
    <n v="602.25120000000004"/>
  </r>
  <r>
    <s v="SALE106"/>
    <x v="99"/>
    <x v="2"/>
    <s v="CUST1269"/>
    <x v="1"/>
    <x v="1"/>
    <x v="2"/>
    <s v="PROD19"/>
    <s v="Knee Support Brace"/>
    <x v="0"/>
    <s v="Equipment"/>
    <s v="STORE18"/>
    <x v="3"/>
    <x v="1"/>
    <n v="551.72"/>
    <n v="0.03"/>
    <x v="2"/>
    <b v="1"/>
    <n v="1605.5052000000001"/>
    <n v="1605.5052000000001"/>
  </r>
  <r>
    <s v="SALE107"/>
    <x v="100"/>
    <x v="0"/>
    <s v="CUST1338"/>
    <x v="1"/>
    <x v="1"/>
    <x v="2"/>
    <s v="PROD86"/>
    <s v="Kitchen Cutting Board"/>
    <x v="3"/>
    <s v="Kitchen"/>
    <s v="STORE7"/>
    <x v="2"/>
    <x v="2"/>
    <n v="525.61"/>
    <n v="0.02"/>
    <x v="1"/>
    <b v="1"/>
    <n v="2060.3912"/>
    <n v="2060.3912"/>
  </r>
  <r>
    <s v="SALE108"/>
    <x v="101"/>
    <x v="2"/>
    <s v="CUST1041"/>
    <x v="2"/>
    <x v="0"/>
    <x v="1"/>
    <s v="PROD22"/>
    <s v="Carbon Fiber Tennis Racket"/>
    <x v="0"/>
    <s v="Equipment"/>
    <s v="STORE13"/>
    <x v="3"/>
    <x v="1"/>
    <n v="815.3"/>
    <n v="0.03"/>
    <x v="0"/>
    <b v="1"/>
    <n v="2372.5229999999997"/>
    <n v="2372.5230000000001"/>
  </r>
  <r>
    <s v="SALE109"/>
    <x v="102"/>
    <x v="2"/>
    <s v="CUST1214"/>
    <x v="0"/>
    <x v="0"/>
    <x v="0"/>
    <s v="PROD91"/>
    <s v="Women's High Heels"/>
    <x v="4"/>
    <s v="Footwear"/>
    <s v="STORE0"/>
    <x v="3"/>
    <x v="1"/>
    <n v="376.46"/>
    <n v="0.09"/>
    <x v="2"/>
    <b v="1"/>
    <n v="1027.7357999999999"/>
    <n v="1027.7357999999999"/>
  </r>
  <r>
    <s v="SALE110"/>
    <x v="103"/>
    <x v="2"/>
    <s v="CUST1007"/>
    <x v="2"/>
    <x v="1"/>
    <x v="3"/>
    <s v="PROD42"/>
    <s v="Smart Home WiFi Camera"/>
    <x v="1"/>
    <s v="Accessories"/>
    <s v="STORE8"/>
    <x v="1"/>
    <x v="2"/>
    <n v="239.83"/>
    <n v="0.08"/>
    <x v="0"/>
    <b v="1"/>
    <n v="882.57440000000008"/>
    <n v="882.57440000000008"/>
  </r>
  <r>
    <s v="SALE111"/>
    <x v="104"/>
    <x v="2"/>
    <s v="CUST1119"/>
    <x v="1"/>
    <x v="0"/>
    <x v="3"/>
    <s v="PROD90"/>
    <s v="Gaming Mouse Pad XL"/>
    <x v="1"/>
    <s v="Accessories"/>
    <s v="STORE3"/>
    <x v="0"/>
    <x v="3"/>
    <n v="845.71"/>
    <n v="0.01"/>
    <x v="1"/>
    <b v="1"/>
    <n v="1674.5058000000001"/>
    <n v="1674.5057999999999"/>
  </r>
  <r>
    <s v="SALE112"/>
    <x v="105"/>
    <x v="2"/>
    <s v="CUST1087"/>
    <x v="0"/>
    <x v="1"/>
    <x v="3"/>
    <s v="PROD76"/>
    <s v="Wireless Mouse"/>
    <x v="1"/>
    <s v="Computer"/>
    <s v="STORE13"/>
    <x v="3"/>
    <x v="1"/>
    <n v="948.69"/>
    <n v="0.28999999999999998"/>
    <x v="0"/>
    <b v="1"/>
    <n v="2020.7097000000001"/>
    <n v="2020.7097000000001"/>
  </r>
  <r>
    <s v="SALE113"/>
    <x v="106"/>
    <x v="0"/>
    <s v="CUST1467"/>
    <x v="0"/>
    <x v="1"/>
    <x v="0"/>
    <s v="PROD27"/>
    <s v="Decorative Floor Vase"/>
    <x v="3"/>
    <s v="Decor"/>
    <s v="STORE10"/>
    <x v="3"/>
    <x v="0"/>
    <n v="281.97000000000003"/>
    <n v="0.2"/>
    <x v="1"/>
    <b v="1"/>
    <n v="225.57600000000002"/>
    <n v="225.57599999999999"/>
  </r>
  <r>
    <s v="SALE114"/>
    <x v="107"/>
    <x v="0"/>
    <s v="CUST1152"/>
    <x v="1"/>
    <x v="1"/>
    <x v="1"/>
    <s v="PROD91"/>
    <s v="Women's High Heels"/>
    <x v="4"/>
    <s v="Footwear"/>
    <s v="STORE4"/>
    <x v="2"/>
    <x v="3"/>
    <n v="731.01"/>
    <n v="0.05"/>
    <x v="1"/>
    <b v="1"/>
    <n v="1388.9189999999999"/>
    <n v="1388.9190000000001"/>
  </r>
  <r>
    <s v="SALE115"/>
    <x v="108"/>
    <x v="2"/>
    <s v="CUST1257"/>
    <x v="1"/>
    <x v="0"/>
    <x v="2"/>
    <s v="PROD85"/>
    <s v="Women's Beanie Hat"/>
    <x v="4"/>
    <s v="Accessories"/>
    <s v="STORE7"/>
    <x v="2"/>
    <x v="2"/>
    <n v="930.85"/>
    <n v="0.13"/>
    <x v="1"/>
    <b v="1"/>
    <n v="3239.3580000000002"/>
    <n v="3239.3580000000002"/>
  </r>
  <r>
    <s v="SALE116"/>
    <x v="109"/>
    <x v="0"/>
    <s v="CUST1419"/>
    <x v="1"/>
    <x v="0"/>
    <x v="0"/>
    <s v="PROD3"/>
    <s v="Men's Running Jacket"/>
    <x v="4"/>
    <s v="Outerwear"/>
    <s v="STORE8"/>
    <x v="1"/>
    <x v="2"/>
    <n v="770.77"/>
    <n v="0.22"/>
    <x v="0"/>
    <b v="1"/>
    <n v="2404.8024"/>
    <n v="2404.8024"/>
  </r>
  <r>
    <s v="SALE117"/>
    <x v="110"/>
    <x v="0"/>
    <s v="CUST1067"/>
    <x v="0"/>
    <x v="0"/>
    <x v="2"/>
    <s v="PROD46"/>
    <s v="Men's Winter Jacket"/>
    <x v="4"/>
    <s v="Outerwear"/>
    <s v="STORE4"/>
    <x v="2"/>
    <x v="1"/>
    <n v="479.63"/>
    <n v="0.3"/>
    <x v="1"/>
    <b v="1"/>
    <n v="1007.2229999999998"/>
    <n v="1007.223"/>
  </r>
  <r>
    <s v="SALE118"/>
    <x v="111"/>
    <x v="0"/>
    <s v="CUST1105"/>
    <x v="1"/>
    <x v="1"/>
    <x v="0"/>
    <s v="PROD39"/>
    <s v="Portable Power Bank"/>
    <x v="1"/>
    <s v="Mobile"/>
    <s v="STORE11"/>
    <x v="2"/>
    <x v="0"/>
    <n v="165"/>
    <n v="0.3"/>
    <x v="2"/>
    <b v="1"/>
    <n v="115.49999999999999"/>
    <n v="115.5"/>
  </r>
  <r>
    <s v="SALE119"/>
    <x v="112"/>
    <x v="0"/>
    <s v="CUST1158"/>
    <x v="1"/>
    <x v="0"/>
    <x v="3"/>
    <s v="PROD19"/>
    <s v="Knee Support Brace"/>
    <x v="0"/>
    <s v="Equipment"/>
    <s v="STORE8"/>
    <x v="1"/>
    <x v="3"/>
    <n v="151.51"/>
    <n v="0.28999999999999998"/>
    <x v="2"/>
    <b v="1"/>
    <n v="215.14419999999998"/>
    <n v="215.14420000000001"/>
  </r>
  <r>
    <s v="SALE120"/>
    <x v="113"/>
    <x v="1"/>
    <s v="CUST1231"/>
    <x v="2"/>
    <x v="1"/>
    <x v="3"/>
    <s v="PROD31"/>
    <s v="Basketball"/>
    <x v="0"/>
    <s v="Team Sports"/>
    <s v="STORE17"/>
    <x v="0"/>
    <x v="3"/>
    <n v="872.93"/>
    <n v="0.28999999999999998"/>
    <x v="2"/>
    <b v="1"/>
    <n v="1239.5605999999998"/>
    <n v="1239.5606"/>
  </r>
  <r>
    <s v="SALE121"/>
    <x v="114"/>
    <x v="0"/>
    <s v="CUST1264"/>
    <x v="2"/>
    <x v="0"/>
    <x v="0"/>
    <s v="PROD22"/>
    <s v="Carbon Fiber Tennis Racket"/>
    <x v="0"/>
    <s v="Equipment"/>
    <s v="STORE10"/>
    <x v="3"/>
    <x v="1"/>
    <n v="432.4"/>
    <n v="0.04"/>
    <x v="0"/>
    <b v="1"/>
    <n v="1245.3119999999997"/>
    <n v="1245.3119999999999"/>
  </r>
  <r>
    <s v="SALE122"/>
    <x v="115"/>
    <x v="2"/>
    <s v="CUST1338"/>
    <x v="1"/>
    <x v="1"/>
    <x v="2"/>
    <s v="PROD50"/>
    <s v="Boxing Hand Wraps"/>
    <x v="0"/>
    <s v="Fitness"/>
    <s v="STORE7"/>
    <x v="2"/>
    <x v="3"/>
    <n v="197.76"/>
    <n v="0.04"/>
    <x v="0"/>
    <b v="1"/>
    <n v="379.69919999999996"/>
    <n v="379.69920000000002"/>
  </r>
  <r>
    <s v="SALE123"/>
    <x v="116"/>
    <x v="2"/>
    <s v="CUST1476"/>
    <x v="1"/>
    <x v="1"/>
    <x v="0"/>
    <s v="PROD40"/>
    <s v="Noise-Canceling Headphones"/>
    <x v="1"/>
    <s v="Audio"/>
    <s v="STORE2"/>
    <x v="2"/>
    <x v="1"/>
    <n v="334.6"/>
    <n v="0.11"/>
    <x v="1"/>
    <b v="1"/>
    <n v="893.38200000000006"/>
    <n v="893.38200000000006"/>
  </r>
  <r>
    <s v="SALE124"/>
    <x v="117"/>
    <x v="2"/>
    <s v="CUST1087"/>
    <x v="0"/>
    <x v="1"/>
    <x v="3"/>
    <s v="PROD14"/>
    <s v="Decorative Wall Mirror"/>
    <x v="3"/>
    <s v="Decor"/>
    <s v="STORE3"/>
    <x v="0"/>
    <x v="3"/>
    <n v="44.35"/>
    <n v="0.2"/>
    <x v="2"/>
    <b v="1"/>
    <n v="70.960000000000008"/>
    <n v="70.960000000000008"/>
  </r>
  <r>
    <s v="SALE125"/>
    <x v="118"/>
    <x v="0"/>
    <s v="CUST1498"/>
    <x v="1"/>
    <x v="0"/>
    <x v="2"/>
    <s v="PROD8"/>
    <s v="Wireless Bluetooth Earbuds"/>
    <x v="1"/>
    <s v="Audio"/>
    <s v="STORE6"/>
    <x v="3"/>
    <x v="0"/>
    <n v="846.31"/>
    <n v="0.05"/>
    <x v="1"/>
    <b v="1"/>
    <n v="803.9944999999999"/>
    <n v="803.9944999999999"/>
  </r>
  <r>
    <s v="SALE126"/>
    <x v="119"/>
    <x v="2"/>
    <s v="CUST1131"/>
    <x v="1"/>
    <x v="1"/>
    <x v="3"/>
    <s v="PROD35"/>
    <s v="Bedroom Table Lamp"/>
    <x v="3"/>
    <s v="Lighting"/>
    <s v="STORE12"/>
    <x v="0"/>
    <x v="0"/>
    <n v="996.48"/>
    <n v="7.0000000000000007E-2"/>
    <x v="2"/>
    <b v="1"/>
    <n v="926.7263999999999"/>
    <n v="926.7263999999999"/>
  </r>
  <r>
    <s v="SALE127"/>
    <x v="120"/>
    <x v="2"/>
    <s v="CUST1277"/>
    <x v="2"/>
    <x v="1"/>
    <x v="1"/>
    <s v="PROD93"/>
    <s v="USB-C Laptop Charger"/>
    <x v="1"/>
    <s v="Computer"/>
    <s v="STORE6"/>
    <x v="3"/>
    <x v="1"/>
    <n v="949.19"/>
    <n v="0.03"/>
    <x v="2"/>
    <b v="1"/>
    <n v="2762.1429000000003"/>
    <n v="2762.1428999999998"/>
  </r>
  <r>
    <s v="SALE128"/>
    <x v="121"/>
    <x v="0"/>
    <s v="CUST1397"/>
    <x v="0"/>
    <x v="1"/>
    <x v="1"/>
    <s v="PROD94"/>
    <s v="Vitamin E Body Lotion"/>
    <x v="2"/>
    <s v="Skincare"/>
    <s v="STORE9"/>
    <x v="2"/>
    <x v="3"/>
    <n v="724.97"/>
    <n v="0.1"/>
    <x v="0"/>
    <b v="1"/>
    <n v="1304.9460000000001"/>
    <n v="1304.9459999999999"/>
  </r>
  <r>
    <s v="SALE129"/>
    <x v="122"/>
    <x v="2"/>
    <s v="CUST1315"/>
    <x v="1"/>
    <x v="0"/>
    <x v="2"/>
    <s v="PROD1"/>
    <s v="Men's Graphic T-Shirt"/>
    <x v="4"/>
    <s v="Tops"/>
    <s v="STORE16"/>
    <x v="1"/>
    <x v="0"/>
    <n v="783.25"/>
    <n v="0.3"/>
    <x v="0"/>
    <b v="1"/>
    <n v="548.27499999999998"/>
    <n v="548.27499999999998"/>
  </r>
  <r>
    <s v="SALE130"/>
    <x v="123"/>
    <x v="0"/>
    <s v="CUST1343"/>
    <x v="1"/>
    <x v="0"/>
    <x v="3"/>
    <s v="PROD17"/>
    <s v="Soccer Training Cone Set"/>
    <x v="0"/>
    <s v="Accessories"/>
    <s v="STORE3"/>
    <x v="0"/>
    <x v="0"/>
    <n v="942.38"/>
    <n v="0.17"/>
    <x v="0"/>
    <b v="1"/>
    <n v="782.17539999999997"/>
    <n v="782.17539999999997"/>
  </r>
  <r>
    <s v="SALE131"/>
    <x v="124"/>
    <x v="0"/>
    <s v="CUST1496"/>
    <x v="0"/>
    <x v="0"/>
    <x v="3"/>
    <s v="PROD51"/>
    <s v="HDMI Cable – 2m"/>
    <x v="1"/>
    <s v="Accessories"/>
    <s v="STORE11"/>
    <x v="2"/>
    <x v="1"/>
    <n v="298.35000000000002"/>
    <n v="0.05"/>
    <x v="2"/>
    <b v="1"/>
    <n v="850.29750000000001"/>
    <n v="850.29750000000001"/>
  </r>
  <r>
    <s v="SALE132"/>
    <x v="125"/>
    <x v="2"/>
    <s v="CUST1164"/>
    <x v="1"/>
    <x v="1"/>
    <x v="2"/>
    <s v="PROD48"/>
    <s v="Car Dashboard Phone Holder"/>
    <x v="1"/>
    <s v="Accessories"/>
    <s v="STORE12"/>
    <x v="0"/>
    <x v="2"/>
    <n v="950.04"/>
    <n v="0.13"/>
    <x v="1"/>
    <b v="1"/>
    <n v="3306.1392000000001"/>
    <n v="3306.1392000000001"/>
  </r>
  <r>
    <s v="SALE133"/>
    <x v="126"/>
    <x v="2"/>
    <s v="CUST1329"/>
    <x v="0"/>
    <x v="1"/>
    <x v="3"/>
    <s v="PROD57"/>
    <s v="Foam Roller"/>
    <x v="0"/>
    <s v="Fitness"/>
    <s v="STORE4"/>
    <x v="2"/>
    <x v="3"/>
    <n v="267.19"/>
    <n v="7.0000000000000007E-2"/>
    <x v="0"/>
    <b v="1"/>
    <n v="496.97339999999997"/>
    <n v="496.97340000000003"/>
  </r>
  <r>
    <s v="SALE134"/>
    <x v="127"/>
    <x v="2"/>
    <s v="CUST1201"/>
    <x v="2"/>
    <x v="1"/>
    <x v="3"/>
    <s v="PROD87"/>
    <s v="LED Bedside Lamp"/>
    <x v="3"/>
    <s v="Lighting"/>
    <s v="STORE15"/>
    <x v="0"/>
    <x v="2"/>
    <n v="72.63"/>
    <n v="0.06"/>
    <x v="1"/>
    <b v="1"/>
    <n v="273.08879999999999"/>
    <n v="273.08879999999999"/>
  </r>
  <r>
    <s v="SALE135"/>
    <x v="128"/>
    <x v="0"/>
    <s v="CUST1427"/>
    <x v="2"/>
    <x v="1"/>
    <x v="0"/>
    <s v="PROD53"/>
    <s v="Men's Track Pants"/>
    <x v="4"/>
    <s v="Bottoms"/>
    <s v="STORE5"/>
    <x v="0"/>
    <x v="1"/>
    <n v="576.52"/>
    <n v="0.22"/>
    <x v="2"/>
    <b v="1"/>
    <n v="1349.0568000000001"/>
    <n v="1349.0568000000001"/>
  </r>
  <r>
    <s v="SALE136"/>
    <x v="129"/>
    <x v="2"/>
    <s v="CUST1349"/>
    <x v="1"/>
    <x v="0"/>
    <x v="3"/>
    <s v="PROD71"/>
    <s v="Hair Repair Oil Treatment"/>
    <x v="2"/>
    <s v="Haircare"/>
    <s v="STORE9"/>
    <x v="2"/>
    <x v="1"/>
    <n v="849.36"/>
    <n v="0.03"/>
    <x v="0"/>
    <b v="1"/>
    <n v="2471.6376"/>
    <n v="2471.6376"/>
  </r>
  <r>
    <s v="SALE137"/>
    <x v="130"/>
    <x v="0"/>
    <s v="CUST1473"/>
    <x v="0"/>
    <x v="0"/>
    <x v="3"/>
    <s v="PROD50"/>
    <s v="Boxing Hand Wraps"/>
    <x v="0"/>
    <s v="Fitness"/>
    <s v="STORE6"/>
    <x v="3"/>
    <x v="0"/>
    <n v="245.85"/>
    <n v="0.18"/>
    <x v="2"/>
    <b v="1"/>
    <n v="201.59700000000001"/>
    <n v="201.59700000000001"/>
  </r>
  <r>
    <s v="SALE138"/>
    <x v="53"/>
    <x v="0"/>
    <s v="CUST1178"/>
    <x v="1"/>
    <x v="1"/>
    <x v="3"/>
    <s v="PROD97"/>
    <s v="Cricket Bat"/>
    <x v="0"/>
    <s v="Team Sports"/>
    <s v="STORE10"/>
    <x v="3"/>
    <x v="1"/>
    <n v="237.68"/>
    <n v="0.1"/>
    <x v="2"/>
    <b v="1"/>
    <n v="641.73599999999999"/>
    <n v="641.73599999999999"/>
  </r>
  <r>
    <s v="SALE139"/>
    <x v="131"/>
    <x v="2"/>
    <s v="CUST1337"/>
    <x v="1"/>
    <x v="1"/>
    <x v="3"/>
    <s v="PROD71"/>
    <s v="Hair Repair Oil Treatment"/>
    <x v="2"/>
    <s v="Haircare"/>
    <s v="STORE14"/>
    <x v="2"/>
    <x v="2"/>
    <n v="715.85"/>
    <n v="0.25"/>
    <x v="1"/>
    <b v="1"/>
    <n v="2147.5500000000002"/>
    <n v="2147.5500000000002"/>
  </r>
  <r>
    <s v="SALE140"/>
    <x v="65"/>
    <x v="1"/>
    <s v="CUST1171"/>
    <x v="1"/>
    <x v="1"/>
    <x v="1"/>
    <s v="PROD90"/>
    <s v="Gaming Mouse Pad XL"/>
    <x v="1"/>
    <s v="Accessories"/>
    <s v="STORE5"/>
    <x v="0"/>
    <x v="3"/>
    <n v="478.85"/>
    <n v="0.01"/>
    <x v="2"/>
    <b v="1"/>
    <n v="948.12300000000005"/>
    <n v="948.12300000000005"/>
  </r>
  <r>
    <s v="SALE141"/>
    <x v="132"/>
    <x v="2"/>
    <s v="CUST1113"/>
    <x v="0"/>
    <x v="0"/>
    <x v="0"/>
    <s v="PROD47"/>
    <s v="Makeup Brush Set"/>
    <x v="2"/>
    <s v="Makeup"/>
    <s v="STORE0"/>
    <x v="3"/>
    <x v="0"/>
    <n v="503.95"/>
    <n v="0.26"/>
    <x v="2"/>
    <b v="1"/>
    <n v="372.923"/>
    <n v="372.923"/>
  </r>
  <r>
    <s v="SALE142"/>
    <x v="133"/>
    <x v="0"/>
    <s v="CUST1399"/>
    <x v="2"/>
    <x v="0"/>
    <x v="3"/>
    <s v="PROD66"/>
    <s v="Women's Hair Dryer Brush"/>
    <x v="2"/>
    <s v="Haircare"/>
    <s v="STORE12"/>
    <x v="0"/>
    <x v="3"/>
    <n v="975.48"/>
    <n v="0.26"/>
    <x v="2"/>
    <b v="1"/>
    <n v="1443.7103999999999"/>
    <n v="1443.7103999999999"/>
  </r>
  <r>
    <s v="SALE143"/>
    <x v="119"/>
    <x v="2"/>
    <s v="CUST1401"/>
    <x v="0"/>
    <x v="1"/>
    <x v="1"/>
    <s v="PROD34"/>
    <s v="Gaming Mechanical Keyboard"/>
    <x v="1"/>
    <s v="Computer"/>
    <s v="STORE16"/>
    <x v="1"/>
    <x v="2"/>
    <n v="450.12"/>
    <n v="0.28999999999999998"/>
    <x v="2"/>
    <b v="1"/>
    <n v="1278.3407999999999"/>
    <n v="1278.3407999999999"/>
  </r>
  <r>
    <s v="SALE144"/>
    <x v="134"/>
    <x v="0"/>
    <s v="CUST1435"/>
    <x v="1"/>
    <x v="1"/>
    <x v="2"/>
    <s v="PROD36"/>
    <s v="Women's Summer Dress"/>
    <x v="4"/>
    <s v="Tops"/>
    <s v="STORE8"/>
    <x v="1"/>
    <x v="1"/>
    <n v="237.24"/>
    <n v="0.24"/>
    <x v="1"/>
    <b v="1"/>
    <n v="540.90719999999999"/>
    <n v="540.90719999999999"/>
  </r>
  <r>
    <s v="SALE145"/>
    <x v="135"/>
    <x v="0"/>
    <s v="CUST1459"/>
    <x v="2"/>
    <x v="1"/>
    <x v="0"/>
    <s v="PROD54"/>
    <s v="Sports Stopwatch Pro"/>
    <x v="0"/>
    <s v="Accessories"/>
    <s v="STORE15"/>
    <x v="0"/>
    <x v="3"/>
    <n v="536.84"/>
    <n v="0.09"/>
    <x v="2"/>
    <b v="1"/>
    <n v="977.04880000000014"/>
    <n v="977.04880000000014"/>
  </r>
  <r>
    <s v="SALE146"/>
    <x v="71"/>
    <x v="0"/>
    <s v="CUST1443"/>
    <x v="0"/>
    <x v="0"/>
    <x v="2"/>
    <s v="PROD36"/>
    <s v="Women's Summer Dress"/>
    <x v="4"/>
    <s v="Tops"/>
    <s v="STORE19"/>
    <x v="3"/>
    <x v="1"/>
    <n v="584.41"/>
    <n v="0"/>
    <x v="2"/>
    <b v="1"/>
    <n v="1753.23"/>
    <n v="1753.23"/>
  </r>
  <r>
    <s v="SALE147"/>
    <x v="136"/>
    <x v="0"/>
    <s v="CUST1294"/>
    <x v="2"/>
    <x v="0"/>
    <x v="1"/>
    <s v="PROD82"/>
    <s v="Fitness Resistance Bands"/>
    <x v="0"/>
    <s v="Fitness"/>
    <s v="STORE19"/>
    <x v="3"/>
    <x v="0"/>
    <n v="653.87"/>
    <n v="0.14000000000000001"/>
    <x v="1"/>
    <b v="1"/>
    <n v="562.32820000000004"/>
    <n v="562.32820000000004"/>
  </r>
  <r>
    <s v="SALE148"/>
    <x v="35"/>
    <x v="2"/>
    <s v="CUST1493"/>
    <x v="2"/>
    <x v="0"/>
    <x v="2"/>
    <s v="PROD87"/>
    <s v="LED Bedside Lamp"/>
    <x v="3"/>
    <s v="Lighting"/>
    <s v="STORE0"/>
    <x v="3"/>
    <x v="0"/>
    <n v="652.03"/>
    <n v="0.27"/>
    <x v="0"/>
    <b v="1"/>
    <n v="475.9819"/>
    <n v="475.9819"/>
  </r>
  <r>
    <s v="SALE149"/>
    <x v="137"/>
    <x v="0"/>
    <s v="CUST1093"/>
    <x v="2"/>
    <x v="1"/>
    <x v="0"/>
    <s v="PROD5"/>
    <s v="Men's Leather Belt"/>
    <x v="4"/>
    <s v="Accessories"/>
    <s v="STORE12"/>
    <x v="0"/>
    <x v="1"/>
    <n v="513.36"/>
    <n v="7.0000000000000007E-2"/>
    <x v="2"/>
    <b v="1"/>
    <n v="1432.2743999999998"/>
    <n v="1432.2744"/>
  </r>
  <r>
    <s v="SALE150"/>
    <x v="138"/>
    <x v="0"/>
    <s v="CUST1068"/>
    <x v="2"/>
    <x v="1"/>
    <x v="2"/>
    <s v="PROD52"/>
    <s v="Rugby Ball"/>
    <x v="0"/>
    <s v="Team Sports"/>
    <s v="STORE5"/>
    <x v="0"/>
    <x v="2"/>
    <n v="355.64"/>
    <n v="0.16"/>
    <x v="2"/>
    <b v="1"/>
    <n v="1194.9503999999999"/>
    <n v="1194.9503999999999"/>
  </r>
  <r>
    <s v="SALE151"/>
    <x v="139"/>
    <x v="0"/>
    <s v="CUST1022"/>
    <x v="1"/>
    <x v="1"/>
    <x v="2"/>
    <s v="PROD13"/>
    <s v="USB-C Fast Charger"/>
    <x v="1"/>
    <s v="Accessories"/>
    <s v="STORE8"/>
    <x v="1"/>
    <x v="2"/>
    <n v="535.4"/>
    <n v="0.26"/>
    <x v="1"/>
    <b v="1"/>
    <n v="1584.7839999999999"/>
    <n v="1584.7840000000001"/>
  </r>
  <r>
    <s v="SALE152"/>
    <x v="104"/>
    <x v="2"/>
    <s v="CUST1243"/>
    <x v="0"/>
    <x v="1"/>
    <x v="0"/>
    <s v="PROD69"/>
    <s v="Men's Sports Shorts"/>
    <x v="4"/>
    <s v="Bottoms"/>
    <s v="STORE19"/>
    <x v="3"/>
    <x v="3"/>
    <n v="108.74"/>
    <n v="0.11"/>
    <x v="1"/>
    <b v="1"/>
    <n v="193.55719999999999"/>
    <n v="193.55719999999999"/>
  </r>
  <r>
    <s v="SALE153"/>
    <x v="140"/>
    <x v="0"/>
    <s v="CUST1314"/>
    <x v="0"/>
    <x v="1"/>
    <x v="2"/>
    <s v="PROD11"/>
    <s v="HD Smart TV Stick"/>
    <x v="1"/>
    <s v="Accessories"/>
    <s v="STORE19"/>
    <x v="3"/>
    <x v="1"/>
    <n v="591.98"/>
    <n v="0.16"/>
    <x v="0"/>
    <b v="1"/>
    <n v="1491.7896000000001"/>
    <n v="1491.7896000000001"/>
  </r>
  <r>
    <s v="SALE154"/>
    <x v="141"/>
    <x v="0"/>
    <s v="CUST1405"/>
    <x v="2"/>
    <x v="1"/>
    <x v="0"/>
    <s v="PROD48"/>
    <s v="Car Dashboard Phone Holder"/>
    <x v="1"/>
    <s v="Accessories"/>
    <s v="STORE2"/>
    <x v="2"/>
    <x v="0"/>
    <n v="345.06"/>
    <n v="0.13"/>
    <x v="2"/>
    <b v="1"/>
    <n v="300.2022"/>
    <n v="300.2022"/>
  </r>
  <r>
    <s v="SALE155"/>
    <x v="142"/>
    <x v="2"/>
    <s v="CUST1307"/>
    <x v="0"/>
    <x v="1"/>
    <x v="3"/>
    <s v="PROD93"/>
    <s v="USB-C Laptop Charger"/>
    <x v="1"/>
    <s v="Computer"/>
    <s v="STORE12"/>
    <x v="0"/>
    <x v="2"/>
    <n v="986.41"/>
    <n v="0.22"/>
    <x v="0"/>
    <b v="1"/>
    <n v="3077.5992000000001"/>
    <n v="3077.5992000000001"/>
  </r>
  <r>
    <s v="SALE156"/>
    <x v="143"/>
    <x v="0"/>
    <s v="CUST1319"/>
    <x v="0"/>
    <x v="0"/>
    <x v="1"/>
    <s v="PROD49"/>
    <s v="Men's Roll-On Perfume"/>
    <x v="2"/>
    <s v="Fragrance"/>
    <s v="STORE0"/>
    <x v="3"/>
    <x v="3"/>
    <n v="921.52"/>
    <n v="0"/>
    <x v="1"/>
    <b v="1"/>
    <n v="1843.04"/>
    <n v="1843.04"/>
  </r>
  <r>
    <s v="SALE157"/>
    <x v="144"/>
    <x v="2"/>
    <s v="CUST1097"/>
    <x v="1"/>
    <x v="0"/>
    <x v="2"/>
    <s v="PROD55"/>
    <s v="Ceramic Plant Pot"/>
    <x v="3"/>
    <s v="Decor"/>
    <s v="STORE5"/>
    <x v="0"/>
    <x v="0"/>
    <n v="83.1"/>
    <n v="0.04"/>
    <x v="1"/>
    <b v="1"/>
    <n v="79.775999999999996"/>
    <n v="79.775999999999996"/>
  </r>
  <r>
    <s v="SALE158"/>
    <x v="145"/>
    <x v="0"/>
    <s v="CUST1369"/>
    <x v="2"/>
    <x v="1"/>
    <x v="1"/>
    <s v="PROD28"/>
    <s v="Sports Stopwatch Timer"/>
    <x v="0"/>
    <s v="Accessories"/>
    <s v="STORE11"/>
    <x v="2"/>
    <x v="3"/>
    <n v="60.98"/>
    <n v="0.23"/>
    <x v="1"/>
    <b v="1"/>
    <n v="93.909199999999998"/>
    <n v="93.909199999999998"/>
  </r>
  <r>
    <s v="SALE159"/>
    <x v="146"/>
    <x v="0"/>
    <s v="CUST1394"/>
    <x v="1"/>
    <x v="1"/>
    <x v="3"/>
    <s v="PROD89"/>
    <s v="Face Foundation Kit"/>
    <x v="2"/>
    <s v="Makeup"/>
    <s v="STORE16"/>
    <x v="1"/>
    <x v="3"/>
    <n v="122.23"/>
    <n v="0.21"/>
    <x v="2"/>
    <b v="1"/>
    <n v="193.1234"/>
    <n v="193.1234"/>
  </r>
  <r>
    <s v="SALE160"/>
    <x v="147"/>
    <x v="2"/>
    <s v="CUST1020"/>
    <x v="0"/>
    <x v="0"/>
    <x v="2"/>
    <s v="PROD70"/>
    <s v="Kitchen Storage Rack"/>
    <x v="3"/>
    <s v="Storage"/>
    <s v="STORE18"/>
    <x v="3"/>
    <x v="3"/>
    <n v="623.38"/>
    <n v="0.13"/>
    <x v="0"/>
    <b v="1"/>
    <n v="1084.6812"/>
    <n v="1084.6812"/>
  </r>
  <r>
    <s v="SALE161"/>
    <x v="148"/>
    <x v="2"/>
    <s v="CUST1058"/>
    <x v="0"/>
    <x v="0"/>
    <x v="1"/>
    <s v="PROD70"/>
    <s v="Kitchen Storage Rack"/>
    <x v="3"/>
    <s v="Storage"/>
    <s v="STORE0"/>
    <x v="3"/>
    <x v="0"/>
    <n v="479.58"/>
    <n v="0.05"/>
    <x v="1"/>
    <b v="1"/>
    <n v="455.60099999999994"/>
    <n v="455.60099999999989"/>
  </r>
  <r>
    <s v="SALE162"/>
    <x v="149"/>
    <x v="1"/>
    <s v="CUST1298"/>
    <x v="0"/>
    <x v="0"/>
    <x v="1"/>
    <s v="PROD73"/>
    <s v="Shin Guards – Adult"/>
    <x v="0"/>
    <s v="Team Sports"/>
    <s v="STORE6"/>
    <x v="3"/>
    <x v="1"/>
    <n v="369.32"/>
    <n v="0.14000000000000001"/>
    <x v="1"/>
    <b v="1"/>
    <n v="952.84559999999999"/>
    <n v="952.84559999999999"/>
  </r>
  <r>
    <s v="SALE163"/>
    <x v="103"/>
    <x v="2"/>
    <s v="CUST1076"/>
    <x v="1"/>
    <x v="0"/>
    <x v="0"/>
    <s v="PROD32"/>
    <s v="Vitamin C Face Serum"/>
    <x v="2"/>
    <s v="Skincare"/>
    <s v="STORE1"/>
    <x v="0"/>
    <x v="0"/>
    <n v="488.31"/>
    <n v="0.03"/>
    <x v="1"/>
    <b v="1"/>
    <n v="473.66069999999996"/>
    <n v="473.66070000000002"/>
  </r>
  <r>
    <s v="SALE164"/>
    <x v="150"/>
    <x v="0"/>
    <s v="CUST1276"/>
    <x v="1"/>
    <x v="0"/>
    <x v="0"/>
    <s v="PROD54"/>
    <s v="Sports Stopwatch Pro"/>
    <x v="0"/>
    <s v="Accessories"/>
    <s v="STORE12"/>
    <x v="0"/>
    <x v="2"/>
    <n v="164.04"/>
    <n v="0.26"/>
    <x v="0"/>
    <b v="1"/>
    <n v="485.55839999999995"/>
    <n v="485.55839999999989"/>
  </r>
  <r>
    <s v="SALE165"/>
    <x v="151"/>
    <x v="0"/>
    <s v="CUST1073"/>
    <x v="0"/>
    <x v="1"/>
    <x v="2"/>
    <s v="PROD10"/>
    <s v="Ceramic Kitchen Bowl Set"/>
    <x v="3"/>
    <s v="Kitchen"/>
    <s v="STORE17"/>
    <x v="0"/>
    <x v="1"/>
    <n v="707.95"/>
    <n v="0.18"/>
    <x v="1"/>
    <b v="1"/>
    <n v="1741.5570000000005"/>
    <n v="1741.557"/>
  </r>
  <r>
    <s v="SALE166"/>
    <x v="152"/>
    <x v="1"/>
    <s v="CUST1295"/>
    <x v="2"/>
    <x v="1"/>
    <x v="3"/>
    <s v="PROD69"/>
    <s v="Men's Sports Shorts"/>
    <x v="4"/>
    <s v="Bottoms"/>
    <s v="STORE8"/>
    <x v="1"/>
    <x v="2"/>
    <n v="714.47"/>
    <n v="0.18"/>
    <x v="2"/>
    <b v="1"/>
    <n v="2343.4616000000001"/>
    <n v="2343.4616000000001"/>
  </r>
  <r>
    <s v="SALE167"/>
    <x v="153"/>
    <x v="2"/>
    <s v="CUST1415"/>
    <x v="2"/>
    <x v="1"/>
    <x v="2"/>
    <s v="PROD79"/>
    <s v="Decorative Lamp Shade"/>
    <x v="3"/>
    <s v="Lighting"/>
    <s v="STORE7"/>
    <x v="2"/>
    <x v="2"/>
    <n v="422.09"/>
    <n v="0.04"/>
    <x v="0"/>
    <b v="1"/>
    <n v="1620.8255999999999"/>
    <n v="1620.8255999999999"/>
  </r>
  <r>
    <s v="SALE168"/>
    <x v="55"/>
    <x v="0"/>
    <s v="CUST1108"/>
    <x v="1"/>
    <x v="0"/>
    <x v="3"/>
    <s v="PROD30"/>
    <s v="Stainless Steel Cutlery Set"/>
    <x v="3"/>
    <s v="Kitchen"/>
    <s v="STORE9"/>
    <x v="2"/>
    <x v="0"/>
    <n v="998.19"/>
    <n v="0.2"/>
    <x v="0"/>
    <b v="1"/>
    <n v="798.55200000000013"/>
    <n v="798.55200000000013"/>
  </r>
  <r>
    <s v="SALE169"/>
    <x v="154"/>
    <x v="0"/>
    <s v="CUST1373"/>
    <x v="1"/>
    <x v="1"/>
    <x v="0"/>
    <s v="PROD72"/>
    <s v="Professional Jump Rope"/>
    <x v="0"/>
    <s v="Fitness"/>
    <s v="STORE7"/>
    <x v="2"/>
    <x v="3"/>
    <n v="343.42"/>
    <n v="0.12"/>
    <x v="2"/>
    <b v="1"/>
    <n v="604.41920000000005"/>
    <n v="604.41920000000005"/>
  </r>
  <r>
    <s v="SALE170"/>
    <x v="155"/>
    <x v="0"/>
    <s v="CUST1256"/>
    <x v="0"/>
    <x v="0"/>
    <x v="1"/>
    <s v="PROD34"/>
    <s v="Gaming Mechanical Keyboard"/>
    <x v="1"/>
    <s v="Computer"/>
    <s v="STORE6"/>
    <x v="3"/>
    <x v="0"/>
    <n v="152.16999999999999"/>
    <n v="0.28000000000000003"/>
    <x v="2"/>
    <b v="1"/>
    <n v="109.56239999999998"/>
    <n v="109.5624"/>
  </r>
  <r>
    <s v="SALE171"/>
    <x v="156"/>
    <x v="2"/>
    <s v="CUST1175"/>
    <x v="0"/>
    <x v="0"/>
    <x v="1"/>
    <s v="PROD49"/>
    <s v="Men's Roll-On Perfume"/>
    <x v="2"/>
    <s v="Fragrance"/>
    <s v="STORE11"/>
    <x v="2"/>
    <x v="0"/>
    <n v="325.08"/>
    <n v="0.26"/>
    <x v="1"/>
    <b v="1"/>
    <n v="240.55919999999998"/>
    <n v="240.5592"/>
  </r>
  <r>
    <s v="SALE172"/>
    <x v="157"/>
    <x v="1"/>
    <s v="CUST1344"/>
    <x v="1"/>
    <x v="0"/>
    <x v="0"/>
    <s v="PROD89"/>
    <s v="Face Foundation Kit"/>
    <x v="2"/>
    <s v="Makeup"/>
    <s v="STORE10"/>
    <x v="3"/>
    <x v="3"/>
    <n v="827.92"/>
    <n v="0.25"/>
    <x v="2"/>
    <b v="1"/>
    <n v="1241.8799999999999"/>
    <n v="1241.8800000000001"/>
  </r>
  <r>
    <s v="SALE173"/>
    <x v="158"/>
    <x v="0"/>
    <s v="CUST1485"/>
    <x v="1"/>
    <x v="1"/>
    <x v="3"/>
    <s v="PROD26"/>
    <s v="Wireless Bluetooth Speaker"/>
    <x v="1"/>
    <s v="Audio"/>
    <s v="STORE2"/>
    <x v="2"/>
    <x v="3"/>
    <n v="593.47"/>
    <n v="0.1"/>
    <x v="2"/>
    <b v="1"/>
    <n v="1068.2460000000001"/>
    <n v="1068.2460000000001"/>
  </r>
  <r>
    <s v="SALE174"/>
    <x v="157"/>
    <x v="1"/>
    <s v="CUST1293"/>
    <x v="0"/>
    <x v="1"/>
    <x v="1"/>
    <s v="PROD20"/>
    <s v="Outdoor Sports Water Bottle"/>
    <x v="0"/>
    <s v="Accessories"/>
    <s v="STORE7"/>
    <x v="2"/>
    <x v="2"/>
    <n v="756.28"/>
    <n v="0.05"/>
    <x v="2"/>
    <b v="1"/>
    <n v="2873.8639999999996"/>
    <n v="2873.864"/>
  </r>
  <r>
    <s v="SALE175"/>
    <x v="159"/>
    <x v="0"/>
    <s v="CUST1377"/>
    <x v="1"/>
    <x v="1"/>
    <x v="0"/>
    <s v="PROD92"/>
    <s v="Microwave Oven"/>
    <x v="3"/>
    <s v="Appliances"/>
    <s v="STORE1"/>
    <x v="0"/>
    <x v="3"/>
    <n v="707.65"/>
    <n v="0.14000000000000001"/>
    <x v="0"/>
    <b v="1"/>
    <n v="1217.1579999999999"/>
    <n v="1217.1579999999999"/>
  </r>
  <r>
    <s v="SALE176"/>
    <x v="160"/>
    <x v="0"/>
    <s v="CUST1128"/>
    <x v="1"/>
    <x v="0"/>
    <x v="2"/>
    <s v="PROD25"/>
    <s v="Women's Scarf Set"/>
    <x v="4"/>
    <s v="Accessories"/>
    <s v="STORE15"/>
    <x v="0"/>
    <x v="0"/>
    <n v="857.35"/>
    <n v="0.28000000000000003"/>
    <x v="1"/>
    <b v="1"/>
    <n v="617.29200000000003"/>
    <n v="617.29200000000003"/>
  </r>
  <r>
    <s v="SALE177"/>
    <x v="161"/>
    <x v="2"/>
    <s v="CUST1499"/>
    <x v="2"/>
    <x v="1"/>
    <x v="1"/>
    <s v="PROD55"/>
    <s v="Ceramic Plant Pot"/>
    <x v="3"/>
    <s v="Decor"/>
    <s v="STORE8"/>
    <x v="1"/>
    <x v="0"/>
    <n v="79"/>
    <n v="0.04"/>
    <x v="1"/>
    <b v="1"/>
    <n v="75.84"/>
    <n v="75.84"/>
  </r>
  <r>
    <s v="SALE178"/>
    <x v="77"/>
    <x v="2"/>
    <s v="CUST1066"/>
    <x v="2"/>
    <x v="1"/>
    <x v="2"/>
    <s v="PROD94"/>
    <s v="Vitamin E Body Lotion"/>
    <x v="2"/>
    <s v="Skincare"/>
    <s v="STORE5"/>
    <x v="0"/>
    <x v="2"/>
    <n v="638.91"/>
    <n v="0"/>
    <x v="2"/>
    <b v="1"/>
    <n v="2555.64"/>
    <n v="2555.64"/>
  </r>
  <r>
    <s v="SALE179"/>
    <x v="162"/>
    <x v="2"/>
    <s v="CUST1081"/>
    <x v="1"/>
    <x v="1"/>
    <x v="1"/>
    <s v="PROD45"/>
    <s v="High-Grip Football"/>
    <x v="0"/>
    <s v="Team Sports"/>
    <s v="STORE0"/>
    <x v="3"/>
    <x v="3"/>
    <n v="522.16999999999996"/>
    <n v="0.27"/>
    <x v="0"/>
    <b v="1"/>
    <n v="762.36819999999989"/>
    <n v="762.36819999999989"/>
  </r>
  <r>
    <s v="SALE180"/>
    <x v="163"/>
    <x v="1"/>
    <s v="CUST1478"/>
    <x v="0"/>
    <x v="0"/>
    <x v="0"/>
    <s v="PROD39"/>
    <s v="Portable Power Bank"/>
    <x v="1"/>
    <s v="Mobile"/>
    <s v="STORE12"/>
    <x v="0"/>
    <x v="1"/>
    <n v="954.29"/>
    <n v="0.27"/>
    <x v="0"/>
    <b v="1"/>
    <n v="2089.8950999999997"/>
    <n v="2089.8951000000002"/>
  </r>
  <r>
    <s v="SALE181"/>
    <x v="27"/>
    <x v="2"/>
    <s v="CUST1462"/>
    <x v="1"/>
    <x v="1"/>
    <x v="2"/>
    <s v="PROD33"/>
    <s v="Modern Wall Clock"/>
    <x v="3"/>
    <s v="Decor"/>
    <s v="STORE13"/>
    <x v="3"/>
    <x v="1"/>
    <n v="53.92"/>
    <n v="0.15"/>
    <x v="1"/>
    <b v="1"/>
    <n v="137.49599999999998"/>
    <n v="137.49600000000001"/>
  </r>
  <r>
    <s v="SALE182"/>
    <x v="164"/>
    <x v="2"/>
    <s v="CUST1396"/>
    <x v="2"/>
    <x v="1"/>
    <x v="2"/>
    <s v="PROD34"/>
    <s v="Gaming Mechanical Keyboard"/>
    <x v="1"/>
    <s v="Computer"/>
    <s v="STORE0"/>
    <x v="3"/>
    <x v="2"/>
    <n v="741.88"/>
    <n v="0.02"/>
    <x v="2"/>
    <b v="1"/>
    <n v="2908.1695999999997"/>
    <n v="2908.1696000000002"/>
  </r>
  <r>
    <s v="SALE183"/>
    <x v="139"/>
    <x v="0"/>
    <s v="CUST1033"/>
    <x v="2"/>
    <x v="0"/>
    <x v="1"/>
    <s v="PROD46"/>
    <s v="Men's Winter Jacket"/>
    <x v="4"/>
    <s v="Outerwear"/>
    <s v="STORE3"/>
    <x v="0"/>
    <x v="0"/>
    <n v="547.09"/>
    <n v="0.01"/>
    <x v="1"/>
    <b v="1"/>
    <n v="541.6191"/>
    <n v="541.6191"/>
  </r>
  <r>
    <s v="SALE184"/>
    <x v="165"/>
    <x v="2"/>
    <s v="CUST1489"/>
    <x v="1"/>
    <x v="1"/>
    <x v="2"/>
    <s v="PROD89"/>
    <s v="Face Foundation Kit"/>
    <x v="2"/>
    <s v="Makeup"/>
    <s v="STORE3"/>
    <x v="0"/>
    <x v="0"/>
    <n v="789.35"/>
    <n v="0.14000000000000001"/>
    <x v="1"/>
    <b v="1"/>
    <n v="678.84100000000001"/>
    <n v="678.84100000000001"/>
  </r>
  <r>
    <s v="SALE185"/>
    <x v="166"/>
    <x v="0"/>
    <s v="CUST1428"/>
    <x v="2"/>
    <x v="1"/>
    <x v="3"/>
    <s v="PROD63"/>
    <s v="Organic Sunscreen Lotion"/>
    <x v="2"/>
    <s v="Skincare"/>
    <s v="STORE3"/>
    <x v="0"/>
    <x v="1"/>
    <n v="476.78"/>
    <n v="0.09"/>
    <x v="2"/>
    <b v="1"/>
    <n v="1301.6094000000001"/>
    <n v="1301.6094000000001"/>
  </r>
  <r>
    <s v="SALE186"/>
    <x v="167"/>
    <x v="0"/>
    <s v="CUST1453"/>
    <x v="0"/>
    <x v="1"/>
    <x v="1"/>
    <s v="PROD79"/>
    <s v="Decorative Lamp Shade"/>
    <x v="3"/>
    <s v="Lighting"/>
    <s v="STORE18"/>
    <x v="3"/>
    <x v="3"/>
    <n v="504.26"/>
    <n v="0.04"/>
    <x v="1"/>
    <b v="1"/>
    <n v="968.17919999999992"/>
    <n v="968.17919999999992"/>
  </r>
  <r>
    <s v="SALE187"/>
    <x v="44"/>
    <x v="0"/>
    <s v="CUST1272"/>
    <x v="1"/>
    <x v="1"/>
    <x v="0"/>
    <s v="PROD81"/>
    <s v="Badminton Racket Set"/>
    <x v="0"/>
    <s v="Equipment"/>
    <s v="STORE6"/>
    <x v="3"/>
    <x v="3"/>
    <n v="549.33000000000004"/>
    <n v="0.01"/>
    <x v="2"/>
    <b v="1"/>
    <n v="1087.6734000000001"/>
    <n v="1087.6733999999999"/>
  </r>
  <r>
    <s v="SALE188"/>
    <x v="168"/>
    <x v="0"/>
    <s v="CUST1382"/>
    <x v="2"/>
    <x v="1"/>
    <x v="0"/>
    <s v="PROD4"/>
    <s v="Women's Yoga Pants"/>
    <x v="4"/>
    <s v="Bottoms"/>
    <s v="STORE3"/>
    <x v="0"/>
    <x v="1"/>
    <n v="620.22"/>
    <n v="0.04"/>
    <x v="0"/>
    <b v="1"/>
    <n v="1786.2336"/>
    <n v="1786.2336"/>
  </r>
  <r>
    <s v="SALE189"/>
    <x v="168"/>
    <x v="0"/>
    <s v="CUST1091"/>
    <x v="2"/>
    <x v="1"/>
    <x v="2"/>
    <s v="PROD46"/>
    <s v="Men's Winter Jacket"/>
    <x v="4"/>
    <s v="Outerwear"/>
    <s v="STORE3"/>
    <x v="0"/>
    <x v="0"/>
    <n v="580.76"/>
    <n v="0.1"/>
    <x v="2"/>
    <b v="1"/>
    <n v="522.68399999999997"/>
    <n v="522.68399999999997"/>
  </r>
  <r>
    <s v="SALE190"/>
    <x v="169"/>
    <x v="2"/>
    <s v="CUST1334"/>
    <x v="1"/>
    <x v="1"/>
    <x v="2"/>
    <s v="PROD71"/>
    <s v="Hair Repair Oil Treatment"/>
    <x v="2"/>
    <s v="Haircare"/>
    <s v="STORE9"/>
    <x v="2"/>
    <x v="1"/>
    <n v="444.55"/>
    <n v="0.14000000000000001"/>
    <x v="1"/>
    <b v="1"/>
    <n v="1146.9390000000001"/>
    <n v="1146.9390000000001"/>
  </r>
  <r>
    <s v="SALE191"/>
    <x v="170"/>
    <x v="0"/>
    <s v="CUST1138"/>
    <x v="1"/>
    <x v="0"/>
    <x v="0"/>
    <s v="PROD46"/>
    <s v="Men's Winter Jacket"/>
    <x v="4"/>
    <s v="Outerwear"/>
    <s v="STORE18"/>
    <x v="3"/>
    <x v="0"/>
    <n v="804.9"/>
    <n v="0.03"/>
    <x v="1"/>
    <b v="1"/>
    <n v="780.75299999999993"/>
    <n v="780.75299999999993"/>
  </r>
  <r>
    <s v="SALE192"/>
    <x v="136"/>
    <x v="0"/>
    <s v="CUST1424"/>
    <x v="0"/>
    <x v="0"/>
    <x v="3"/>
    <s v="PROD92"/>
    <s v="Microwave Oven"/>
    <x v="3"/>
    <s v="Appliances"/>
    <s v="STORE14"/>
    <x v="2"/>
    <x v="1"/>
    <n v="361.65"/>
    <n v="0.15"/>
    <x v="2"/>
    <b v="1"/>
    <n v="922.20749999999987"/>
    <n v="922.20749999999987"/>
  </r>
  <r>
    <s v="SALE193"/>
    <x v="171"/>
    <x v="2"/>
    <s v="CUST1162"/>
    <x v="1"/>
    <x v="0"/>
    <x v="2"/>
    <s v="PROD7"/>
    <s v="LED Table Lamp"/>
    <x v="3"/>
    <s v="Lighting"/>
    <s v="STORE4"/>
    <x v="2"/>
    <x v="0"/>
    <n v="271.76"/>
    <n v="0.03"/>
    <x v="0"/>
    <b v="1"/>
    <n v="263.60719999999998"/>
    <n v="263.60719999999998"/>
  </r>
  <r>
    <s v="SALE194"/>
    <x v="172"/>
    <x v="0"/>
    <s v="CUST1323"/>
    <x v="0"/>
    <x v="1"/>
    <x v="1"/>
    <s v="PROD49"/>
    <s v="Men's Roll-On Perfume"/>
    <x v="2"/>
    <s v="Fragrance"/>
    <s v="STORE10"/>
    <x v="3"/>
    <x v="1"/>
    <n v="958.15"/>
    <n v="0.24"/>
    <x v="2"/>
    <b v="1"/>
    <n v="2184.5819999999999"/>
    <n v="2184.5819999999999"/>
  </r>
  <r>
    <s v="SALE195"/>
    <x v="63"/>
    <x v="1"/>
    <s v="CUST1427"/>
    <x v="2"/>
    <x v="1"/>
    <x v="0"/>
    <s v="PROD60"/>
    <s v="Luxury Perfume Spray"/>
    <x v="2"/>
    <s v="Fragrance"/>
    <s v="STORE17"/>
    <x v="0"/>
    <x v="0"/>
    <n v="889.19"/>
    <n v="0.03"/>
    <x v="0"/>
    <b v="1"/>
    <n v="862.51430000000005"/>
    <n v="862.51430000000005"/>
  </r>
  <r>
    <s v="SALE196"/>
    <x v="173"/>
    <x v="2"/>
    <s v="CUST1464"/>
    <x v="1"/>
    <x v="1"/>
    <x v="1"/>
    <s v="PROD57"/>
    <s v="Foam Roller"/>
    <x v="0"/>
    <s v="Fitness"/>
    <s v="STORE16"/>
    <x v="1"/>
    <x v="2"/>
    <n v="689.67"/>
    <n v="0.05"/>
    <x v="2"/>
    <b v="1"/>
    <n v="2620.7459999999996"/>
    <n v="2620.7460000000001"/>
  </r>
  <r>
    <s v="SALE197"/>
    <x v="174"/>
    <x v="1"/>
    <s v="CUST1135"/>
    <x v="1"/>
    <x v="1"/>
    <x v="1"/>
    <s v="PROD44"/>
    <s v="Adjustable Jump Rope"/>
    <x v="0"/>
    <s v="Fitness"/>
    <s v="STORE11"/>
    <x v="2"/>
    <x v="0"/>
    <n v="541.24"/>
    <n v="0.03"/>
    <x v="1"/>
    <b v="1"/>
    <n v="525.00279999999998"/>
    <n v="525.00279999999998"/>
  </r>
  <r>
    <s v="SALE198"/>
    <x v="167"/>
    <x v="0"/>
    <s v="CUST1448"/>
    <x v="0"/>
    <x v="1"/>
    <x v="3"/>
    <s v="PROD81"/>
    <s v="Badminton Racket Set"/>
    <x v="0"/>
    <s v="Equipment"/>
    <s v="STORE6"/>
    <x v="3"/>
    <x v="0"/>
    <n v="454.71"/>
    <n v="0.16"/>
    <x v="1"/>
    <b v="1"/>
    <n v="381.95639999999997"/>
    <n v="381.95639999999997"/>
  </r>
  <r>
    <s v="SALE199"/>
    <x v="175"/>
    <x v="0"/>
    <s v="CUST1038"/>
    <x v="1"/>
    <x v="1"/>
    <x v="3"/>
    <s v="PROD66"/>
    <s v="Women's Hair Dryer Brush"/>
    <x v="2"/>
    <s v="Haircare"/>
    <s v="STORE5"/>
    <x v="0"/>
    <x v="3"/>
    <n v="397.63"/>
    <n v="0.26"/>
    <x v="0"/>
    <b v="1"/>
    <n v="588.49239999999998"/>
    <n v="588.49239999999998"/>
  </r>
  <r>
    <s v="SALE200"/>
    <x v="176"/>
    <x v="2"/>
    <s v="CUST1170"/>
    <x v="2"/>
    <x v="0"/>
    <x v="0"/>
    <s v="PROD83"/>
    <s v="Hydrating Face Cleanser"/>
    <x v="2"/>
    <s v="Skincare"/>
    <s v="STORE6"/>
    <x v="3"/>
    <x v="1"/>
    <n v="748.56"/>
    <n v="0.26"/>
    <x v="1"/>
    <b v="1"/>
    <n v="1661.8031999999998"/>
    <n v="1661.8032000000001"/>
  </r>
  <r>
    <s v="SALE201"/>
    <x v="177"/>
    <x v="2"/>
    <s v="CUST1144"/>
    <x v="0"/>
    <x v="1"/>
    <x v="3"/>
    <s v="PROD33"/>
    <s v="Modern Wall Clock"/>
    <x v="3"/>
    <s v="Decor"/>
    <s v="STORE4"/>
    <x v="2"/>
    <x v="0"/>
    <n v="885.72"/>
    <n v="0.15"/>
    <x v="0"/>
    <b v="1"/>
    <n v="752.86199999999997"/>
    <n v="752.86199999999997"/>
  </r>
  <r>
    <s v="SALE202"/>
    <x v="178"/>
    <x v="2"/>
    <s v="CUST1108"/>
    <x v="1"/>
    <x v="0"/>
    <x v="3"/>
    <s v="PROD62"/>
    <s v="Laptop Cooling Pad"/>
    <x v="1"/>
    <s v="Computer"/>
    <s v="STORE1"/>
    <x v="0"/>
    <x v="2"/>
    <n v="408.07"/>
    <n v="0.28000000000000003"/>
    <x v="2"/>
    <b v="1"/>
    <n v="1175.2415999999998"/>
    <n v="1175.2416000000001"/>
  </r>
  <r>
    <s v="SALE203"/>
    <x v="179"/>
    <x v="0"/>
    <s v="CUST1472"/>
    <x v="1"/>
    <x v="0"/>
    <x v="2"/>
    <s v="PROD34"/>
    <s v="Gaming Mechanical Keyboard"/>
    <x v="1"/>
    <s v="Computer"/>
    <s v="STORE9"/>
    <x v="2"/>
    <x v="3"/>
    <n v="597.07000000000005"/>
    <n v="0.28000000000000003"/>
    <x v="1"/>
    <b v="1"/>
    <n v="859.7808"/>
    <n v="859.7808"/>
  </r>
  <r>
    <s v="SALE204"/>
    <x v="180"/>
    <x v="0"/>
    <s v="CUST1022"/>
    <x v="1"/>
    <x v="1"/>
    <x v="2"/>
    <s v="PROD67"/>
    <s v="Smart LED Light Strip"/>
    <x v="1"/>
    <s v="Accessories"/>
    <s v="STORE9"/>
    <x v="2"/>
    <x v="1"/>
    <n v="723.47"/>
    <n v="0.12"/>
    <x v="2"/>
    <b v="1"/>
    <n v="1909.9607999999998"/>
    <n v="1909.9608000000001"/>
  </r>
  <r>
    <s v="SALE205"/>
    <x v="144"/>
    <x v="2"/>
    <s v="CUST1437"/>
    <x v="1"/>
    <x v="1"/>
    <x v="1"/>
    <s v="PROD88"/>
    <s v="Sports Wrist Sweatbands"/>
    <x v="0"/>
    <s v="Accessories"/>
    <s v="STORE5"/>
    <x v="0"/>
    <x v="0"/>
    <n v="479.93"/>
    <n v="0.22"/>
    <x v="0"/>
    <b v="1"/>
    <n v="374.34540000000004"/>
    <n v="374.34539999999998"/>
  </r>
  <r>
    <s v="SALE206"/>
    <x v="181"/>
    <x v="0"/>
    <s v="CUST1243"/>
    <x v="0"/>
    <x v="1"/>
    <x v="0"/>
    <s v="PROD34"/>
    <s v="Gaming Mechanical Keyboard"/>
    <x v="1"/>
    <s v="Computer"/>
    <s v="STORE16"/>
    <x v="1"/>
    <x v="2"/>
    <n v="362.81"/>
    <n v="0.21"/>
    <x v="2"/>
    <b v="1"/>
    <n v="1146.4796000000001"/>
    <n v="1146.4795999999999"/>
  </r>
  <r>
    <s v="SALE207"/>
    <x v="182"/>
    <x v="0"/>
    <s v="CUST1185"/>
    <x v="0"/>
    <x v="1"/>
    <x v="1"/>
    <s v="PROD79"/>
    <s v="Decorative Lamp Shade"/>
    <x v="3"/>
    <s v="Lighting"/>
    <s v="STORE3"/>
    <x v="0"/>
    <x v="0"/>
    <n v="127.11"/>
    <n v="0.01"/>
    <x v="1"/>
    <b v="1"/>
    <n v="125.8389"/>
    <n v="125.8389"/>
  </r>
  <r>
    <s v="SALE208"/>
    <x v="168"/>
    <x v="0"/>
    <s v="CUST1184"/>
    <x v="1"/>
    <x v="1"/>
    <x v="2"/>
    <s v="PROD34"/>
    <s v="Gaming Mechanical Keyboard"/>
    <x v="1"/>
    <s v="Computer"/>
    <s v="STORE17"/>
    <x v="0"/>
    <x v="2"/>
    <n v="931.26"/>
    <n v="0.04"/>
    <x v="0"/>
    <b v="1"/>
    <n v="3576.0383999999999"/>
    <n v="3576.0383999999999"/>
  </r>
  <r>
    <s v="SALE209"/>
    <x v="183"/>
    <x v="1"/>
    <s v="CUST1371"/>
    <x v="2"/>
    <x v="1"/>
    <x v="1"/>
    <s v="PROD67"/>
    <s v="Smart LED Light Strip"/>
    <x v="1"/>
    <s v="Accessories"/>
    <s v="STORE8"/>
    <x v="1"/>
    <x v="0"/>
    <n v="620.80999999999995"/>
    <n v="0.04"/>
    <x v="1"/>
    <b v="1"/>
    <n v="595.97759999999994"/>
    <n v="595.97759999999994"/>
  </r>
  <r>
    <s v="SALE210"/>
    <x v="184"/>
    <x v="0"/>
    <s v="CUST1094"/>
    <x v="1"/>
    <x v="1"/>
    <x v="0"/>
    <s v="PROD50"/>
    <s v="Boxing Hand Wraps"/>
    <x v="0"/>
    <s v="Fitness"/>
    <s v="STORE2"/>
    <x v="2"/>
    <x v="0"/>
    <n v="823.26"/>
    <n v="0.27"/>
    <x v="2"/>
    <b v="1"/>
    <n v="600.97979999999995"/>
    <n v="600.97979999999995"/>
  </r>
  <r>
    <s v="SALE211"/>
    <x v="185"/>
    <x v="2"/>
    <s v="CUST1012"/>
    <x v="0"/>
    <x v="1"/>
    <x v="1"/>
    <s v="PROD27"/>
    <s v="Decorative Floor Vase"/>
    <x v="3"/>
    <s v="Decor"/>
    <s v="STORE8"/>
    <x v="1"/>
    <x v="1"/>
    <n v="681.01"/>
    <n v="0.27"/>
    <x v="2"/>
    <b v="1"/>
    <n v="1491.4118999999998"/>
    <n v="1491.4119000000001"/>
  </r>
  <r>
    <s v="SALE212"/>
    <x v="72"/>
    <x v="2"/>
    <s v="CUST1442"/>
    <x v="1"/>
    <x v="1"/>
    <x v="3"/>
    <s v="PROD56"/>
    <s v="Premium Blanket Throw"/>
    <x v="3"/>
    <s v="Decor"/>
    <s v="STORE19"/>
    <x v="3"/>
    <x v="2"/>
    <n v="119.83"/>
    <n v="0.13"/>
    <x v="0"/>
    <b v="1"/>
    <n v="417.00839999999999"/>
    <n v="417.00839999999999"/>
  </r>
  <r>
    <s v="SALE213"/>
    <x v="158"/>
    <x v="0"/>
    <s v="CUST1307"/>
    <x v="0"/>
    <x v="1"/>
    <x v="3"/>
    <s v="PROD78"/>
    <s v="Essential Oil Diffuser"/>
    <x v="3"/>
    <s v="Decor"/>
    <s v="STORE2"/>
    <x v="2"/>
    <x v="0"/>
    <n v="575.66"/>
    <n v="0.03"/>
    <x v="1"/>
    <b v="1"/>
    <n v="558.39019999999994"/>
    <n v="558.39019999999994"/>
  </r>
  <r>
    <s v="SALE214"/>
    <x v="186"/>
    <x v="2"/>
    <s v="CUST1199"/>
    <x v="1"/>
    <x v="0"/>
    <x v="3"/>
    <s v="PROD48"/>
    <s v="Car Dashboard Phone Holder"/>
    <x v="1"/>
    <s v="Accessories"/>
    <s v="STORE16"/>
    <x v="1"/>
    <x v="0"/>
    <n v="775.84"/>
    <n v="0.26"/>
    <x v="0"/>
    <b v="1"/>
    <n v="574.12160000000006"/>
    <n v="574.12160000000006"/>
  </r>
  <r>
    <s v="SALE215"/>
    <x v="187"/>
    <x v="0"/>
    <s v="CUST1443"/>
    <x v="0"/>
    <x v="0"/>
    <x v="2"/>
    <s v="PROD14"/>
    <s v="Decorative Wall Mirror"/>
    <x v="3"/>
    <s v="Decor"/>
    <s v="STORE9"/>
    <x v="2"/>
    <x v="1"/>
    <n v="318.43"/>
    <n v="0.05"/>
    <x v="0"/>
    <b v="1"/>
    <n v="907.52549999999997"/>
    <n v="907.52549999999997"/>
  </r>
  <r>
    <s v="SALE216"/>
    <x v="58"/>
    <x v="2"/>
    <s v="CUST1153"/>
    <x v="1"/>
    <x v="0"/>
    <x v="3"/>
    <s v="PROD72"/>
    <s v="Professional Jump Rope"/>
    <x v="0"/>
    <s v="Fitness"/>
    <s v="STORE8"/>
    <x v="1"/>
    <x v="1"/>
    <n v="141.6"/>
    <n v="0.08"/>
    <x v="2"/>
    <b v="1"/>
    <n v="390.81599999999997"/>
    <n v="390.81599999999997"/>
  </r>
  <r>
    <s v="SALE217"/>
    <x v="188"/>
    <x v="1"/>
    <s v="CUST1266"/>
    <x v="1"/>
    <x v="1"/>
    <x v="3"/>
    <s v="PROD15"/>
    <s v="4K Home Projector"/>
    <x v="1"/>
    <s v="Appliances"/>
    <s v="STORE19"/>
    <x v="3"/>
    <x v="0"/>
    <n v="332.82"/>
    <n v="0.14000000000000001"/>
    <x v="1"/>
    <b v="1"/>
    <n v="286.22519999999997"/>
    <n v="286.22519999999997"/>
  </r>
  <r>
    <s v="SALE218"/>
    <x v="21"/>
    <x v="0"/>
    <s v="CUST1246"/>
    <x v="0"/>
    <x v="0"/>
    <x v="3"/>
    <s v="PROD72"/>
    <s v="Professional Jump Rope"/>
    <x v="0"/>
    <s v="Fitness"/>
    <s v="STORE1"/>
    <x v="0"/>
    <x v="2"/>
    <n v="640.97"/>
    <n v="0.11"/>
    <x v="2"/>
    <b v="1"/>
    <n v="2281.8532"/>
    <n v="2281.8532"/>
  </r>
  <r>
    <s v="SALE219"/>
    <x v="189"/>
    <x v="1"/>
    <s v="CUST1203"/>
    <x v="1"/>
    <x v="0"/>
    <x v="1"/>
    <s v="PROD90"/>
    <s v="Gaming Mouse Pad XL"/>
    <x v="1"/>
    <s v="Accessories"/>
    <s v="STORE15"/>
    <x v="0"/>
    <x v="2"/>
    <n v="75.37"/>
    <n v="0.02"/>
    <x v="2"/>
    <b v="1"/>
    <n v="295.4504"/>
    <n v="295.4504"/>
  </r>
  <r>
    <s v="SALE220"/>
    <x v="190"/>
    <x v="2"/>
    <s v="CUST1075"/>
    <x v="0"/>
    <x v="1"/>
    <x v="0"/>
    <s v="PROD16"/>
    <s v="Beard Grooming Kit"/>
    <x v="2"/>
    <s v="Grooming"/>
    <s v="STORE18"/>
    <x v="3"/>
    <x v="1"/>
    <n v="434.55"/>
    <n v="0.08"/>
    <x v="2"/>
    <b v="1"/>
    <n v="1199.3580000000002"/>
    <n v="1199.3579999999999"/>
  </r>
  <r>
    <s v="SALE221"/>
    <x v="148"/>
    <x v="2"/>
    <s v="CUST1099"/>
    <x v="1"/>
    <x v="0"/>
    <x v="2"/>
    <s v="PROD26"/>
    <s v="Wireless Bluetooth Speaker"/>
    <x v="1"/>
    <s v="Audio"/>
    <s v="STORE14"/>
    <x v="2"/>
    <x v="2"/>
    <n v="652.28"/>
    <n v="0.15"/>
    <x v="0"/>
    <b v="1"/>
    <n v="2217.752"/>
    <n v="2217.752"/>
  </r>
  <r>
    <s v="SALE222"/>
    <x v="0"/>
    <x v="0"/>
    <s v="CUST1269"/>
    <x v="1"/>
    <x v="1"/>
    <x v="2"/>
    <s v="PROD76"/>
    <s v="Wireless Mouse"/>
    <x v="1"/>
    <s v="Computer"/>
    <s v="STORE17"/>
    <x v="0"/>
    <x v="1"/>
    <n v="207.8"/>
    <n v="0.15"/>
    <x v="0"/>
    <b v="1"/>
    <n v="529.8900000000001"/>
    <n v="529.8900000000001"/>
  </r>
  <r>
    <s v="SALE223"/>
    <x v="191"/>
    <x v="0"/>
    <s v="CUST1495"/>
    <x v="2"/>
    <x v="1"/>
    <x v="3"/>
    <s v="PROD61"/>
    <s v="Tennis Ball 3-Pack"/>
    <x v="0"/>
    <s v="Equipment"/>
    <s v="STORE15"/>
    <x v="0"/>
    <x v="2"/>
    <n v="385.5"/>
    <n v="0.03"/>
    <x v="1"/>
    <b v="1"/>
    <n v="1495.74"/>
    <n v="1495.74"/>
  </r>
  <r>
    <s v="SALE224"/>
    <x v="192"/>
    <x v="2"/>
    <s v="CUST1096"/>
    <x v="2"/>
    <x v="1"/>
    <x v="1"/>
    <s v="PROD65"/>
    <s v="Adjustable Dumbbells 20kg"/>
    <x v="0"/>
    <s v="Fitness"/>
    <s v="STORE6"/>
    <x v="3"/>
    <x v="1"/>
    <n v="548.19000000000005"/>
    <n v="0.12"/>
    <x v="0"/>
    <b v="1"/>
    <n v="1447.2216000000001"/>
    <n v="1447.2216000000001"/>
  </r>
  <r>
    <s v="SALE225"/>
    <x v="48"/>
    <x v="0"/>
    <s v="CUST1069"/>
    <x v="2"/>
    <x v="1"/>
    <x v="1"/>
    <s v="PROD73"/>
    <s v="Shin Guards – Adult"/>
    <x v="0"/>
    <s v="Team Sports"/>
    <s v="STORE9"/>
    <x v="2"/>
    <x v="1"/>
    <n v="927.6"/>
    <n v="0.09"/>
    <x v="0"/>
    <b v="1"/>
    <n v="2532.3480000000004"/>
    <n v="2532.348"/>
  </r>
  <r>
    <s v="SALE226"/>
    <x v="193"/>
    <x v="2"/>
    <s v="CUST1266"/>
    <x v="1"/>
    <x v="1"/>
    <x v="3"/>
    <s v="PROD61"/>
    <s v="Tennis Ball 3-Pack"/>
    <x v="0"/>
    <s v="Equipment"/>
    <s v="STORE3"/>
    <x v="0"/>
    <x v="2"/>
    <n v="585.04"/>
    <n v="0.22"/>
    <x v="1"/>
    <b v="1"/>
    <n v="1825.3247999999999"/>
    <n v="1825.3248000000001"/>
  </r>
  <r>
    <s v="SALE227"/>
    <x v="194"/>
    <x v="0"/>
    <s v="CUST1499"/>
    <x v="2"/>
    <x v="1"/>
    <x v="1"/>
    <s v="PROD39"/>
    <s v="Portable Power Bank"/>
    <x v="1"/>
    <s v="Mobile"/>
    <s v="STORE2"/>
    <x v="2"/>
    <x v="3"/>
    <n v="999.89"/>
    <n v="0.09"/>
    <x v="0"/>
    <b v="1"/>
    <n v="1819.7998"/>
    <n v="1819.7998"/>
  </r>
  <r>
    <s v="SALE228"/>
    <x v="195"/>
    <x v="1"/>
    <s v="CUST1107"/>
    <x v="0"/>
    <x v="1"/>
    <x v="1"/>
    <s v="PROD75"/>
    <s v="Women's Ankle Boots"/>
    <x v="4"/>
    <s v="Footwear"/>
    <s v="STORE3"/>
    <x v="0"/>
    <x v="3"/>
    <n v="848.98"/>
    <n v="0.04"/>
    <x v="1"/>
    <b v="1"/>
    <n v="1630.0416"/>
    <n v="1630.0416"/>
  </r>
  <r>
    <s v="SALE229"/>
    <x v="196"/>
    <x v="0"/>
    <s v="CUST1142"/>
    <x v="1"/>
    <x v="0"/>
    <x v="3"/>
    <s v="PROD60"/>
    <s v="Luxury Perfume Spray"/>
    <x v="2"/>
    <s v="Fragrance"/>
    <s v="STORE14"/>
    <x v="2"/>
    <x v="1"/>
    <n v="769.56"/>
    <n v="0.08"/>
    <x v="0"/>
    <b v="1"/>
    <n v="2123.9856"/>
    <n v="2123.9856"/>
  </r>
  <r>
    <s v="SALE230"/>
    <x v="197"/>
    <x v="2"/>
    <s v="CUST1049"/>
    <x v="1"/>
    <x v="1"/>
    <x v="0"/>
    <s v="PROD48"/>
    <s v="Car Dashboard Phone Holder"/>
    <x v="1"/>
    <s v="Accessories"/>
    <s v="STORE13"/>
    <x v="3"/>
    <x v="1"/>
    <n v="449.88"/>
    <n v="0.1"/>
    <x v="1"/>
    <b v="1"/>
    <n v="1214.6759999999999"/>
    <n v="1214.6759999999999"/>
  </r>
  <r>
    <s v="SALE231"/>
    <x v="198"/>
    <x v="2"/>
    <s v="CUST1275"/>
    <x v="2"/>
    <x v="0"/>
    <x v="0"/>
    <s v="PROD69"/>
    <s v="Men's Sports Shorts"/>
    <x v="4"/>
    <s v="Bottoms"/>
    <s v="STORE12"/>
    <x v="0"/>
    <x v="2"/>
    <n v="383.74"/>
    <n v="0.01"/>
    <x v="0"/>
    <b v="1"/>
    <n v="1519.6104"/>
    <n v="1519.6104"/>
  </r>
  <r>
    <s v="SALE232"/>
    <x v="199"/>
    <x v="0"/>
    <s v="CUST1148"/>
    <x v="1"/>
    <x v="1"/>
    <x v="3"/>
    <s v="PROD58"/>
    <s v="Womens Cotton Scarf"/>
    <x v="4"/>
    <s v="Accessories"/>
    <s v="STORE10"/>
    <x v="3"/>
    <x v="2"/>
    <n v="794.97"/>
    <n v="0.24"/>
    <x v="1"/>
    <b v="1"/>
    <n v="2416.7088000000003"/>
    <n v="2416.7087999999999"/>
  </r>
  <r>
    <s v="SALE233"/>
    <x v="200"/>
    <x v="2"/>
    <s v="CUST1010"/>
    <x v="0"/>
    <x v="0"/>
    <x v="3"/>
    <s v="PROD79"/>
    <s v="Decorative Lamp Shade"/>
    <x v="3"/>
    <s v="Lighting"/>
    <s v="STORE5"/>
    <x v="0"/>
    <x v="0"/>
    <n v="989.63"/>
    <n v="0.05"/>
    <x v="1"/>
    <b v="1"/>
    <n v="940.1484999999999"/>
    <n v="940.1484999999999"/>
  </r>
  <r>
    <s v="SALE234"/>
    <x v="201"/>
    <x v="2"/>
    <s v="CUST1335"/>
    <x v="1"/>
    <x v="0"/>
    <x v="1"/>
    <s v="PROD54"/>
    <s v="Sports Stopwatch Pro"/>
    <x v="0"/>
    <s v="Accessories"/>
    <s v="STORE0"/>
    <x v="3"/>
    <x v="0"/>
    <n v="447.16"/>
    <n v="0.22"/>
    <x v="2"/>
    <b v="1"/>
    <n v="348.78480000000002"/>
    <n v="348.78480000000002"/>
  </r>
  <r>
    <s v="SALE235"/>
    <x v="202"/>
    <x v="2"/>
    <s v="CUST1008"/>
    <x v="0"/>
    <x v="1"/>
    <x v="0"/>
    <s v="PROD94"/>
    <s v="Vitamin E Body Lotion"/>
    <x v="2"/>
    <s v="Skincare"/>
    <s v="STORE6"/>
    <x v="3"/>
    <x v="0"/>
    <n v="946.9"/>
    <n v="0.28999999999999998"/>
    <x v="2"/>
    <b v="1"/>
    <n v="672.29899999999998"/>
    <n v="672.29899999999998"/>
  </r>
  <r>
    <s v="SALE236"/>
    <x v="203"/>
    <x v="2"/>
    <s v="CUST1169"/>
    <x v="0"/>
    <x v="0"/>
    <x v="3"/>
    <s v="PROD17"/>
    <s v="Soccer Training Cone Set"/>
    <x v="0"/>
    <s v="Accessories"/>
    <s v="STORE0"/>
    <x v="3"/>
    <x v="2"/>
    <n v="469.68"/>
    <n v="0.19"/>
    <x v="0"/>
    <b v="1"/>
    <n v="1521.7632000000001"/>
    <n v="1521.7632000000001"/>
  </r>
  <r>
    <s v="SALE237"/>
    <x v="204"/>
    <x v="0"/>
    <s v="CUST1494"/>
    <x v="2"/>
    <x v="0"/>
    <x v="0"/>
    <s v="PROD28"/>
    <s v="Sports Stopwatch Timer"/>
    <x v="0"/>
    <s v="Accessories"/>
    <s v="STORE17"/>
    <x v="0"/>
    <x v="2"/>
    <n v="320.64"/>
    <n v="0.2"/>
    <x v="2"/>
    <b v="1"/>
    <n v="1026.048"/>
    <n v="1026.048"/>
  </r>
  <r>
    <s v="SALE238"/>
    <x v="205"/>
    <x v="1"/>
    <s v="CUST1135"/>
    <x v="1"/>
    <x v="1"/>
    <x v="1"/>
    <s v="PROD15"/>
    <s v="4K Home Projector"/>
    <x v="1"/>
    <s v="Appliances"/>
    <s v="STORE5"/>
    <x v="0"/>
    <x v="0"/>
    <n v="594.44000000000005"/>
    <n v="0.21"/>
    <x v="0"/>
    <b v="1"/>
    <n v="469.60760000000005"/>
    <n v="469.60759999999999"/>
  </r>
  <r>
    <s v="SALE239"/>
    <x v="206"/>
    <x v="2"/>
    <s v="CUST1216"/>
    <x v="1"/>
    <x v="0"/>
    <x v="1"/>
    <s v="PROD86"/>
    <s v="Kitchen Cutting Board"/>
    <x v="3"/>
    <s v="Kitchen"/>
    <s v="STORE8"/>
    <x v="1"/>
    <x v="1"/>
    <n v="91.7"/>
    <n v="0.08"/>
    <x v="2"/>
    <b v="1"/>
    <n v="253.09200000000004"/>
    <n v="253.09200000000001"/>
  </r>
  <r>
    <s v="SALE240"/>
    <x v="207"/>
    <x v="2"/>
    <s v="CUST1031"/>
    <x v="1"/>
    <x v="0"/>
    <x v="2"/>
    <s v="PROD62"/>
    <s v="Laptop Cooling Pad"/>
    <x v="1"/>
    <s v="Computer"/>
    <s v="STORE12"/>
    <x v="0"/>
    <x v="1"/>
    <n v="741.33"/>
    <n v="0.03"/>
    <x v="0"/>
    <b v="1"/>
    <n v="2157.2703000000001"/>
    <n v="2157.2703000000001"/>
  </r>
  <r>
    <s v="SALE241"/>
    <x v="190"/>
    <x v="2"/>
    <s v="CUST1476"/>
    <x v="1"/>
    <x v="1"/>
    <x v="0"/>
    <s v="PROD16"/>
    <s v="Beard Grooming Kit"/>
    <x v="2"/>
    <s v="Grooming"/>
    <s v="STORE19"/>
    <x v="3"/>
    <x v="0"/>
    <n v="922.78"/>
    <n v="0.28999999999999998"/>
    <x v="2"/>
    <b v="1"/>
    <n v="655.17379999999991"/>
    <n v="655.17379999999991"/>
  </r>
  <r>
    <s v="SALE242"/>
    <x v="86"/>
    <x v="0"/>
    <s v="CUST1325"/>
    <x v="0"/>
    <x v="0"/>
    <x v="3"/>
    <s v="PROD8"/>
    <s v="Wireless Bluetooth Earbuds"/>
    <x v="1"/>
    <s v="Audio"/>
    <s v="STORE16"/>
    <x v="1"/>
    <x v="0"/>
    <n v="394.35"/>
    <n v="0.09"/>
    <x v="1"/>
    <b v="1"/>
    <n v="358.85850000000005"/>
    <n v="358.85849999999999"/>
  </r>
  <r>
    <s v="SALE243"/>
    <x v="0"/>
    <x v="0"/>
    <s v="CUST1364"/>
    <x v="0"/>
    <x v="0"/>
    <x v="3"/>
    <s v="PROD65"/>
    <s v="Adjustable Dumbbells 20kg"/>
    <x v="0"/>
    <s v="Fitness"/>
    <s v="STORE11"/>
    <x v="2"/>
    <x v="3"/>
    <n v="703.95"/>
    <n v="0.03"/>
    <x v="0"/>
    <b v="1"/>
    <n v="1365.663"/>
    <n v="1365.663"/>
  </r>
  <r>
    <s v="SALE244"/>
    <x v="208"/>
    <x v="2"/>
    <s v="CUST1200"/>
    <x v="2"/>
    <x v="0"/>
    <x v="1"/>
    <s v="PROD14"/>
    <s v="Decorative Wall Mirror"/>
    <x v="3"/>
    <s v="Decor"/>
    <s v="STORE0"/>
    <x v="3"/>
    <x v="2"/>
    <n v="452.67"/>
    <n v="0.28000000000000003"/>
    <x v="1"/>
    <b v="1"/>
    <n v="1303.6895999999999"/>
    <n v="1303.6895999999999"/>
  </r>
  <r>
    <s v="SALE245"/>
    <x v="209"/>
    <x v="0"/>
    <s v="CUST1463"/>
    <x v="1"/>
    <x v="1"/>
    <x v="3"/>
    <s v="PROD8"/>
    <s v="Wireless Bluetooth Earbuds"/>
    <x v="1"/>
    <s v="Audio"/>
    <s v="STORE7"/>
    <x v="2"/>
    <x v="3"/>
    <n v="377.3"/>
    <n v="0.15"/>
    <x v="1"/>
    <b v="1"/>
    <n v="641.41"/>
    <n v="641.41"/>
  </r>
  <r>
    <s v="SALE246"/>
    <x v="210"/>
    <x v="2"/>
    <s v="CUST1344"/>
    <x v="1"/>
    <x v="0"/>
    <x v="0"/>
    <s v="PROD74"/>
    <s v="Bluetooth Car Audio System"/>
    <x v="1"/>
    <s v="Audio"/>
    <s v="STORE7"/>
    <x v="2"/>
    <x v="3"/>
    <n v="130.47999999999999"/>
    <n v="0.23"/>
    <x v="1"/>
    <b v="1"/>
    <n v="200.9392"/>
    <n v="200.9392"/>
  </r>
  <r>
    <s v="SALE247"/>
    <x v="148"/>
    <x v="2"/>
    <s v="CUST1435"/>
    <x v="1"/>
    <x v="1"/>
    <x v="2"/>
    <s v="PROD94"/>
    <s v="Vitamin E Body Lotion"/>
    <x v="2"/>
    <s v="Skincare"/>
    <s v="STORE12"/>
    <x v="0"/>
    <x v="0"/>
    <n v="809.45"/>
    <n v="0.09"/>
    <x v="2"/>
    <b v="1"/>
    <n v="736.59950000000003"/>
    <n v="736.59950000000003"/>
  </r>
  <r>
    <s v="SALE248"/>
    <x v="211"/>
    <x v="2"/>
    <s v="CUST1083"/>
    <x v="1"/>
    <x v="1"/>
    <x v="3"/>
    <s v="PROD45"/>
    <s v="High-Grip Football"/>
    <x v="0"/>
    <s v="Team Sports"/>
    <s v="STORE9"/>
    <x v="2"/>
    <x v="1"/>
    <n v="499.12"/>
    <n v="0.05"/>
    <x v="1"/>
    <b v="1"/>
    <n v="1422.492"/>
    <n v="1422.492"/>
  </r>
  <r>
    <s v="SALE249"/>
    <x v="45"/>
    <x v="0"/>
    <s v="CUST1023"/>
    <x v="0"/>
    <x v="1"/>
    <x v="2"/>
    <s v="PROD68"/>
    <s v="Wooden Nightstand"/>
    <x v="3"/>
    <s v="Furniture"/>
    <s v="STORE3"/>
    <x v="0"/>
    <x v="3"/>
    <n v="894.58"/>
    <n v="0.25"/>
    <x v="0"/>
    <b v="1"/>
    <n v="1341.8700000000001"/>
    <n v="1341.87"/>
  </r>
  <r>
    <s v="SALE250"/>
    <x v="212"/>
    <x v="0"/>
    <s v="CUST1131"/>
    <x v="1"/>
    <x v="1"/>
    <x v="3"/>
    <s v="PROD75"/>
    <s v="Women's Ankle Boots"/>
    <x v="4"/>
    <s v="Footwear"/>
    <s v="STORE9"/>
    <x v="2"/>
    <x v="2"/>
    <n v="578.39"/>
    <n v="0.01"/>
    <x v="0"/>
    <b v="1"/>
    <n v="2290.4243999999999"/>
    <n v="2290.4243999999999"/>
  </r>
  <r>
    <s v="SALE251"/>
    <x v="187"/>
    <x v="0"/>
    <s v="CUST1485"/>
    <x v="1"/>
    <x v="1"/>
    <x v="3"/>
    <s v="PROD41"/>
    <s v="Yoga Exercise Mat"/>
    <x v="0"/>
    <s v="Fitness"/>
    <s v="STORE17"/>
    <x v="0"/>
    <x v="2"/>
    <n v="982.45"/>
    <n v="0.2"/>
    <x v="1"/>
    <b v="1"/>
    <n v="3143.84"/>
    <n v="3143.84"/>
  </r>
  <r>
    <s v="SALE252"/>
    <x v="108"/>
    <x v="2"/>
    <s v="CUST1449"/>
    <x v="2"/>
    <x v="0"/>
    <x v="3"/>
    <s v="PROD98"/>
    <s v="Portable Bluetooth Speaker"/>
    <x v="1"/>
    <s v="Audio"/>
    <s v="STORE19"/>
    <x v="3"/>
    <x v="0"/>
    <n v="549.52"/>
    <n v="0.1"/>
    <x v="1"/>
    <b v="1"/>
    <n v="494.56799999999998"/>
    <n v="494.56799999999998"/>
  </r>
  <r>
    <s v="SALE253"/>
    <x v="213"/>
    <x v="2"/>
    <s v="CUST1240"/>
    <x v="0"/>
    <x v="1"/>
    <x v="1"/>
    <s v="PROD92"/>
    <s v="Microwave Oven"/>
    <x v="3"/>
    <s v="Appliances"/>
    <s v="STORE18"/>
    <x v="3"/>
    <x v="3"/>
    <n v="239.92"/>
    <n v="0.16"/>
    <x v="0"/>
    <b v="1"/>
    <n v="403.06559999999996"/>
    <n v="403.06560000000002"/>
  </r>
  <r>
    <s v="SALE254"/>
    <x v="214"/>
    <x v="0"/>
    <s v="CUST1082"/>
    <x v="0"/>
    <x v="0"/>
    <x v="3"/>
    <s v="PROD92"/>
    <s v="Microwave Oven"/>
    <x v="3"/>
    <s v="Appliances"/>
    <s v="STORE6"/>
    <x v="3"/>
    <x v="3"/>
    <n v="878.05"/>
    <n v="0.11"/>
    <x v="1"/>
    <b v="1"/>
    <n v="1562.9289999999999"/>
    <n v="1562.9290000000001"/>
  </r>
  <r>
    <s v="SALE255"/>
    <x v="215"/>
    <x v="2"/>
    <s v="CUST1044"/>
    <x v="1"/>
    <x v="0"/>
    <x v="3"/>
    <s v="PROD1"/>
    <s v="Men's Graphic T-Shirt"/>
    <x v="4"/>
    <s v="Tops"/>
    <s v="STORE9"/>
    <x v="2"/>
    <x v="1"/>
    <n v="546.96"/>
    <n v="0.19"/>
    <x v="0"/>
    <b v="1"/>
    <n v="1329.1128000000001"/>
    <n v="1329.1128000000001"/>
  </r>
  <r>
    <s v="SALE256"/>
    <x v="52"/>
    <x v="2"/>
    <s v="CUST1471"/>
    <x v="1"/>
    <x v="0"/>
    <x v="1"/>
    <s v="PROD17"/>
    <s v="Soccer Training Cone Set"/>
    <x v="0"/>
    <s v="Accessories"/>
    <s v="STORE10"/>
    <x v="3"/>
    <x v="3"/>
    <n v="71.77"/>
    <n v="0.22"/>
    <x v="0"/>
    <b v="1"/>
    <n v="111.96119999999999"/>
    <n v="111.96120000000001"/>
  </r>
  <r>
    <s v="SALE257"/>
    <x v="216"/>
    <x v="2"/>
    <s v="CUST1013"/>
    <x v="1"/>
    <x v="1"/>
    <x v="2"/>
    <s v="PROD24"/>
    <s v="Foldable Camping Chair"/>
    <x v="0"/>
    <s v="Outdoor"/>
    <s v="STORE1"/>
    <x v="0"/>
    <x v="3"/>
    <n v="679.86"/>
    <n v="0.22"/>
    <x v="2"/>
    <b v="1"/>
    <n v="1060.5816"/>
    <n v="1060.5816"/>
  </r>
  <r>
    <s v="SALE258"/>
    <x v="217"/>
    <x v="0"/>
    <s v="CUST1136"/>
    <x v="2"/>
    <x v="0"/>
    <x v="2"/>
    <s v="PROD35"/>
    <s v="Bedroom Table Lamp"/>
    <x v="3"/>
    <s v="Lighting"/>
    <s v="STORE17"/>
    <x v="0"/>
    <x v="0"/>
    <n v="222.94"/>
    <n v="0.19"/>
    <x v="0"/>
    <b v="1"/>
    <n v="180.5814"/>
    <n v="180.5814"/>
  </r>
  <r>
    <s v="SALE259"/>
    <x v="218"/>
    <x v="2"/>
    <s v="CUST1248"/>
    <x v="2"/>
    <x v="0"/>
    <x v="0"/>
    <s v="PROD35"/>
    <s v="Bedroom Table Lamp"/>
    <x v="3"/>
    <s v="Lighting"/>
    <s v="STORE2"/>
    <x v="2"/>
    <x v="3"/>
    <n v="355.3"/>
    <n v="0.17000000000000004"/>
    <x v="1"/>
    <b v="1"/>
    <n v="589.798"/>
    <n v="589.798"/>
  </r>
  <r>
    <s v="SALE260"/>
    <x v="184"/>
    <x v="0"/>
    <s v="CUST1103"/>
    <x v="2"/>
    <x v="0"/>
    <x v="3"/>
    <s v="PROD89"/>
    <s v="Face Foundation Kit"/>
    <x v="2"/>
    <s v="Makeup"/>
    <s v="STORE19"/>
    <x v="3"/>
    <x v="2"/>
    <n v="611.29999999999995"/>
    <n v="0.11"/>
    <x v="1"/>
    <b v="1"/>
    <n v="2176.2280000000001"/>
    <n v="2176.2280000000001"/>
  </r>
  <r>
    <s v="SALE261"/>
    <x v="177"/>
    <x v="2"/>
    <s v="CUST1333"/>
    <x v="0"/>
    <x v="1"/>
    <x v="0"/>
    <s v="PROD0"/>
    <s v="Brother Laser Printer"/>
    <x v="1"/>
    <s v="Computer"/>
    <s v="STORE8"/>
    <x v="1"/>
    <x v="2"/>
    <n v="849.21"/>
    <n v="7.0000000000000007E-2"/>
    <x v="0"/>
    <b v="1"/>
    <n v="3159.0612000000001"/>
    <n v="3159.0612000000001"/>
  </r>
  <r>
    <s v="SALE262"/>
    <x v="219"/>
    <x v="2"/>
    <s v="CUST1209"/>
    <x v="1"/>
    <x v="1"/>
    <x v="1"/>
    <s v="PROD42"/>
    <s v="Smart Home WiFi Camera"/>
    <x v="1"/>
    <s v="Accessories"/>
    <s v="STORE7"/>
    <x v="2"/>
    <x v="1"/>
    <n v="553.12"/>
    <n v="0.28000000000000003"/>
    <x v="2"/>
    <b v="1"/>
    <n v="1194.7392"/>
    <n v="1194.7392"/>
  </r>
  <r>
    <s v="SALE263"/>
    <x v="220"/>
    <x v="2"/>
    <s v="CUST1282"/>
    <x v="1"/>
    <x v="1"/>
    <x v="0"/>
    <s v="PROD91"/>
    <s v="Women's High Heels"/>
    <x v="4"/>
    <s v="Footwear"/>
    <s v="STORE9"/>
    <x v="2"/>
    <x v="3"/>
    <n v="903.08"/>
    <n v="0.18"/>
    <x v="2"/>
    <b v="1"/>
    <n v="1481.0512000000001"/>
    <n v="1481.0512000000001"/>
  </r>
  <r>
    <s v="SALE264"/>
    <x v="221"/>
    <x v="0"/>
    <s v="CUST1478"/>
    <x v="0"/>
    <x v="0"/>
    <x v="0"/>
    <s v="PROD16"/>
    <s v="Beard Grooming Kit"/>
    <x v="2"/>
    <s v="Grooming"/>
    <s v="STORE11"/>
    <x v="2"/>
    <x v="2"/>
    <n v="640.23"/>
    <n v="0.06"/>
    <x v="2"/>
    <b v="1"/>
    <n v="2407.2647999999999"/>
    <n v="2407.2647999999999"/>
  </r>
  <r>
    <s v="SALE265"/>
    <x v="222"/>
    <x v="2"/>
    <s v="CUST1141"/>
    <x v="2"/>
    <x v="0"/>
    <x v="3"/>
    <s v="PROD21"/>
    <s v="Multi-Purpose Storage Box"/>
    <x v="3"/>
    <s v="Storage"/>
    <s v="STORE6"/>
    <x v="3"/>
    <x v="0"/>
    <n v="518"/>
    <n v="0.25"/>
    <x v="0"/>
    <b v="1"/>
    <n v="388.5"/>
    <n v="388.5"/>
  </r>
  <r>
    <s v="SALE266"/>
    <x v="223"/>
    <x v="0"/>
    <s v="CUST1433"/>
    <x v="0"/>
    <x v="1"/>
    <x v="2"/>
    <s v="PROD64"/>
    <s v="Matte Lipstick Set"/>
    <x v="2"/>
    <s v="Makeup"/>
    <s v="STORE4"/>
    <x v="2"/>
    <x v="2"/>
    <n v="779.25"/>
    <n v="0.25"/>
    <x v="0"/>
    <b v="1"/>
    <n v="2337.75"/>
    <n v="2337.75"/>
  </r>
  <r>
    <s v="SALE267"/>
    <x v="185"/>
    <x v="2"/>
    <s v="CUST1118"/>
    <x v="1"/>
    <x v="0"/>
    <x v="1"/>
    <s v="PROD83"/>
    <s v="Hydrating Face Cleanser"/>
    <x v="2"/>
    <s v="Skincare"/>
    <s v="STORE7"/>
    <x v="2"/>
    <x v="3"/>
    <n v="467.75"/>
    <n v="0.26"/>
    <x v="0"/>
    <b v="1"/>
    <n v="692.27"/>
    <n v="692.27"/>
  </r>
  <r>
    <s v="SALE268"/>
    <x v="224"/>
    <x v="0"/>
    <s v="CUST1406"/>
    <x v="2"/>
    <x v="1"/>
    <x v="0"/>
    <s v="PROD90"/>
    <s v="Gaming Mouse Pad XL"/>
    <x v="1"/>
    <s v="Accessories"/>
    <s v="STORE18"/>
    <x v="3"/>
    <x v="1"/>
    <n v="111.79"/>
    <n v="0.06"/>
    <x v="0"/>
    <b v="1"/>
    <n v="315.24779999999998"/>
    <n v="315.24779999999998"/>
  </r>
  <r>
    <s v="SALE269"/>
    <x v="225"/>
    <x v="2"/>
    <s v="CUST1219"/>
    <x v="1"/>
    <x v="1"/>
    <x v="0"/>
    <s v="PROD37"/>
    <s v="Men's Casual Sneakers"/>
    <x v="4"/>
    <s v="Footwear"/>
    <s v="STORE0"/>
    <x v="3"/>
    <x v="2"/>
    <n v="747.01"/>
    <n v="0.13"/>
    <x v="1"/>
    <b v="1"/>
    <n v="2599.5947999999999"/>
    <n v="2599.5947999999999"/>
  </r>
  <r>
    <s v="SALE270"/>
    <x v="226"/>
    <x v="2"/>
    <s v="CUST1101"/>
    <x v="2"/>
    <x v="0"/>
    <x v="0"/>
    <s v="PROD89"/>
    <s v="Face Foundation Kit"/>
    <x v="2"/>
    <s v="Makeup"/>
    <s v="STORE12"/>
    <x v="0"/>
    <x v="2"/>
    <n v="461.83"/>
    <n v="0.28000000000000003"/>
    <x v="1"/>
    <b v="1"/>
    <n v="1330.0703999999998"/>
    <n v="1330.0704000000001"/>
  </r>
  <r>
    <s v="SALE271"/>
    <x v="178"/>
    <x v="2"/>
    <s v="CUST1134"/>
    <x v="0"/>
    <x v="0"/>
    <x v="0"/>
    <s v="PROD70"/>
    <s v="Kitchen Storage Rack"/>
    <x v="3"/>
    <s v="Storage"/>
    <s v="STORE8"/>
    <x v="1"/>
    <x v="3"/>
    <n v="105.15"/>
    <n v="0.06"/>
    <x v="0"/>
    <b v="1"/>
    <n v="197.68199999999999"/>
    <n v="197.68199999999999"/>
  </r>
  <r>
    <s v="SALE272"/>
    <x v="227"/>
    <x v="2"/>
    <s v="CUST1033"/>
    <x v="2"/>
    <x v="0"/>
    <x v="1"/>
    <s v="PROD23"/>
    <s v="Men's Formal Shirt"/>
    <x v="4"/>
    <s v="Tops"/>
    <s v="STORE3"/>
    <x v="0"/>
    <x v="1"/>
    <n v="610.24"/>
    <n v="0.17"/>
    <x v="2"/>
    <b v="1"/>
    <n v="1519.4975999999999"/>
    <n v="1519.4975999999999"/>
  </r>
  <r>
    <s v="SALE273"/>
    <x v="228"/>
    <x v="2"/>
    <s v="CUST1312"/>
    <x v="1"/>
    <x v="1"/>
    <x v="2"/>
    <s v="PROD74"/>
    <s v="Bluetooth Car Audio System"/>
    <x v="1"/>
    <s v="Audio"/>
    <s v="STORE8"/>
    <x v="1"/>
    <x v="0"/>
    <n v="872.12"/>
    <n v="7.0000000000000007E-2"/>
    <x v="1"/>
    <b v="1"/>
    <n v="811.07159999999999"/>
    <n v="811.07159999999999"/>
  </r>
  <r>
    <s v="SALE274"/>
    <x v="229"/>
    <x v="0"/>
    <s v="CUST1433"/>
    <x v="0"/>
    <x v="1"/>
    <x v="2"/>
    <s v="PROD10"/>
    <s v="Ceramic Kitchen Bowl Set"/>
    <x v="3"/>
    <s v="Kitchen"/>
    <s v="STORE1"/>
    <x v="0"/>
    <x v="0"/>
    <n v="406.79"/>
    <n v="0.03"/>
    <x v="2"/>
    <b v="1"/>
    <n v="394.58629999999999"/>
    <n v="394.58629999999999"/>
  </r>
  <r>
    <s v="SALE275"/>
    <x v="230"/>
    <x v="2"/>
    <s v="CUST1372"/>
    <x v="2"/>
    <x v="0"/>
    <x v="3"/>
    <s v="PROD54"/>
    <s v="Sports Stopwatch Pro"/>
    <x v="0"/>
    <s v="Accessories"/>
    <s v="STORE14"/>
    <x v="2"/>
    <x v="0"/>
    <n v="606.01"/>
    <n v="0.04"/>
    <x v="1"/>
    <b v="1"/>
    <n v="581.76959999999997"/>
    <n v="581.76959999999997"/>
  </r>
  <r>
    <s v="SALE276"/>
    <x v="231"/>
    <x v="0"/>
    <s v="CUST1349"/>
    <x v="1"/>
    <x v="0"/>
    <x v="3"/>
    <s v="PROD17"/>
    <s v="Soccer Training Cone Set"/>
    <x v="0"/>
    <s v="Accessories"/>
    <s v="STORE5"/>
    <x v="0"/>
    <x v="2"/>
    <n v="322.58"/>
    <n v="0.06"/>
    <x v="0"/>
    <b v="1"/>
    <n v="1212.9007999999999"/>
    <n v="1212.9007999999999"/>
  </r>
  <r>
    <s v="SALE277"/>
    <x v="232"/>
    <x v="2"/>
    <s v="CUST1484"/>
    <x v="1"/>
    <x v="0"/>
    <x v="3"/>
    <s v="PROD77"/>
    <s v="WiFi Mesh Router"/>
    <x v="1"/>
    <s v="Appliances"/>
    <s v="STORE18"/>
    <x v="3"/>
    <x v="2"/>
    <n v="463.17"/>
    <n v="0.06"/>
    <x v="1"/>
    <b v="1"/>
    <n v="1741.5192"/>
    <n v="1741.5192"/>
  </r>
  <r>
    <s v="SALE278"/>
    <x v="104"/>
    <x v="2"/>
    <s v="CUST1316"/>
    <x v="1"/>
    <x v="0"/>
    <x v="0"/>
    <s v="PROD25"/>
    <s v="Women's Scarf Set"/>
    <x v="4"/>
    <s v="Accessories"/>
    <s v="STORE7"/>
    <x v="2"/>
    <x v="2"/>
    <n v="285.82"/>
    <n v="0.18"/>
    <x v="1"/>
    <b v="1"/>
    <n v="937.4896"/>
    <n v="937.4896"/>
  </r>
  <r>
    <s v="SALE279"/>
    <x v="233"/>
    <x v="2"/>
    <s v="CUST1326"/>
    <x v="0"/>
    <x v="1"/>
    <x v="0"/>
    <s v="PROD37"/>
    <s v="Men's Casual Sneakers"/>
    <x v="4"/>
    <s v="Footwear"/>
    <s v="STORE11"/>
    <x v="2"/>
    <x v="1"/>
    <n v="995.38"/>
    <n v="0.1"/>
    <x v="1"/>
    <b v="1"/>
    <n v="2687.5259999999998"/>
    <n v="2687.5259999999998"/>
  </r>
  <r>
    <s v="SALE280"/>
    <x v="234"/>
    <x v="2"/>
    <s v="CUST1119"/>
    <x v="1"/>
    <x v="0"/>
    <x v="3"/>
    <s v="PROD62"/>
    <s v="Laptop Cooling Pad"/>
    <x v="1"/>
    <s v="Computer"/>
    <s v="STORE8"/>
    <x v="1"/>
    <x v="0"/>
    <n v="329.31"/>
    <n v="0.09"/>
    <x v="0"/>
    <b v="1"/>
    <n v="299.6721"/>
    <n v="299.6721"/>
  </r>
  <r>
    <s v="SALE281"/>
    <x v="235"/>
    <x v="0"/>
    <s v="CUST1490"/>
    <x v="2"/>
    <x v="0"/>
    <x v="1"/>
    <s v="PROD47"/>
    <s v="Makeup Brush Set"/>
    <x v="2"/>
    <s v="Makeup"/>
    <s v="STORE16"/>
    <x v="1"/>
    <x v="1"/>
    <n v="64.2"/>
    <n v="0.08"/>
    <x v="2"/>
    <b v="1"/>
    <n v="177.19200000000004"/>
    <n v="177.19200000000001"/>
  </r>
  <r>
    <s v="SALE282"/>
    <x v="14"/>
    <x v="2"/>
    <s v="CUST1262"/>
    <x v="0"/>
    <x v="1"/>
    <x v="2"/>
    <s v="PROD11"/>
    <s v="HD Smart TV Stick"/>
    <x v="1"/>
    <s v="Accessories"/>
    <s v="STORE13"/>
    <x v="3"/>
    <x v="1"/>
    <n v="697.13"/>
    <n v="0.25"/>
    <x v="2"/>
    <b v="1"/>
    <n v="1568.5425"/>
    <n v="1568.5425"/>
  </r>
  <r>
    <s v="SALE283"/>
    <x v="236"/>
    <x v="0"/>
    <s v="CUST1022"/>
    <x v="1"/>
    <x v="1"/>
    <x v="2"/>
    <s v="PROD9"/>
    <s v="Adjustable Dumbbell Set"/>
    <x v="0"/>
    <s v="Fitness"/>
    <s v="STORE5"/>
    <x v="0"/>
    <x v="1"/>
    <n v="134.30000000000001"/>
    <n v="0.14000000000000001"/>
    <x v="0"/>
    <b v="1"/>
    <n v="346.49400000000003"/>
    <n v="346.49400000000003"/>
  </r>
  <r>
    <s v="SALE284"/>
    <x v="79"/>
    <x v="0"/>
    <s v="CUST1260"/>
    <x v="0"/>
    <x v="1"/>
    <x v="1"/>
    <s v="PROD84"/>
    <s v="Wooden Bookshelf"/>
    <x v="3"/>
    <s v="Furniture"/>
    <s v="STORE13"/>
    <x v="3"/>
    <x v="0"/>
    <n v="520.92999999999995"/>
    <n v="0.15"/>
    <x v="0"/>
    <b v="1"/>
    <n v="442.79049999999995"/>
    <n v="442.79050000000001"/>
  </r>
  <r>
    <s v="SALE285"/>
    <x v="237"/>
    <x v="2"/>
    <s v="CUST1225"/>
    <x v="1"/>
    <x v="1"/>
    <x v="1"/>
    <s v="PROD19"/>
    <s v="Knee Support Brace"/>
    <x v="0"/>
    <s v="Equipment"/>
    <s v="STORE7"/>
    <x v="2"/>
    <x v="3"/>
    <n v="350.12"/>
    <n v="0.21"/>
    <x v="2"/>
    <b v="1"/>
    <n v="553.18960000000004"/>
    <n v="553.18960000000004"/>
  </r>
  <r>
    <s v="SALE286"/>
    <x v="238"/>
    <x v="0"/>
    <s v="CUST1466"/>
    <x v="2"/>
    <x v="0"/>
    <x v="2"/>
    <s v="PROD48"/>
    <s v="Car Dashboard Phone Holder"/>
    <x v="1"/>
    <s v="Accessories"/>
    <s v="STORE19"/>
    <x v="3"/>
    <x v="1"/>
    <n v="807.95"/>
    <n v="0.1"/>
    <x v="1"/>
    <b v="1"/>
    <n v="2181.4650000000006"/>
    <n v="2181.4650000000011"/>
  </r>
  <r>
    <s v="SALE287"/>
    <x v="69"/>
    <x v="2"/>
    <s v="CUST1335"/>
    <x v="1"/>
    <x v="0"/>
    <x v="1"/>
    <s v="PROD38"/>
    <s v="Sports Water Hydration Pack"/>
    <x v="0"/>
    <s v="Outdoor"/>
    <s v="STORE6"/>
    <x v="3"/>
    <x v="2"/>
    <n v="766.03"/>
    <n v="0.28999999999999998"/>
    <x v="1"/>
    <b v="1"/>
    <n v="2175.5252"/>
    <n v="2175.5252"/>
  </r>
  <r>
    <s v="SALE288"/>
    <x v="239"/>
    <x v="0"/>
    <s v="CUST1182"/>
    <x v="2"/>
    <x v="1"/>
    <x v="2"/>
    <s v="PROD57"/>
    <s v="Foam Roller"/>
    <x v="0"/>
    <s v="Fitness"/>
    <s v="STORE8"/>
    <x v="1"/>
    <x v="1"/>
    <n v="545.1"/>
    <n v="0.08"/>
    <x v="2"/>
    <b v="1"/>
    <n v="1504.4760000000003"/>
    <n v="1504.4760000000001"/>
  </r>
  <r>
    <s v="SALE289"/>
    <x v="240"/>
    <x v="0"/>
    <s v="CUST1263"/>
    <x v="1"/>
    <x v="0"/>
    <x v="3"/>
    <s v="PROD65"/>
    <s v="Adjustable Dumbbells 20kg"/>
    <x v="0"/>
    <s v="Fitness"/>
    <s v="STORE7"/>
    <x v="2"/>
    <x v="0"/>
    <n v="203.61"/>
    <n v="0.24"/>
    <x v="2"/>
    <b v="1"/>
    <n v="154.74360000000001"/>
    <n v="154.74359999999999"/>
  </r>
  <r>
    <s v="SALE290"/>
    <x v="241"/>
    <x v="2"/>
    <s v="CUST1417"/>
    <x v="0"/>
    <x v="1"/>
    <x v="3"/>
    <s v="PROD97"/>
    <s v="Cricket Bat"/>
    <x v="0"/>
    <s v="Team Sports"/>
    <s v="STORE15"/>
    <x v="0"/>
    <x v="2"/>
    <n v="493.8"/>
    <n v="0.24"/>
    <x v="2"/>
    <b v="1"/>
    <n v="1501.152"/>
    <n v="1501.152"/>
  </r>
  <r>
    <s v="SALE291"/>
    <x v="242"/>
    <x v="0"/>
    <s v="CUST1017"/>
    <x v="0"/>
    <x v="1"/>
    <x v="1"/>
    <s v="PROD41"/>
    <s v="Yoga Exercise Mat"/>
    <x v="0"/>
    <s v="Fitness"/>
    <s v="STORE17"/>
    <x v="0"/>
    <x v="0"/>
    <n v="640.54999999999995"/>
    <n v="0.25"/>
    <x v="0"/>
    <b v="1"/>
    <n v="480.41249999999997"/>
    <n v="480.41250000000002"/>
  </r>
  <r>
    <s v="SALE292"/>
    <x v="81"/>
    <x v="0"/>
    <s v="CUST1119"/>
    <x v="1"/>
    <x v="0"/>
    <x v="3"/>
    <s v="PROD74"/>
    <s v="Bluetooth Car Audio System"/>
    <x v="1"/>
    <s v="Audio"/>
    <s v="STORE4"/>
    <x v="2"/>
    <x v="0"/>
    <n v="702.53"/>
    <n v="0.3"/>
    <x v="0"/>
    <b v="1"/>
    <n v="491.77099999999996"/>
    <n v="491.77100000000002"/>
  </r>
  <r>
    <s v="SALE293"/>
    <x v="220"/>
    <x v="2"/>
    <s v="CUST1224"/>
    <x v="2"/>
    <x v="0"/>
    <x v="2"/>
    <s v="PROD39"/>
    <s v="Portable Power Bank"/>
    <x v="1"/>
    <s v="Mobile"/>
    <s v="STORE8"/>
    <x v="1"/>
    <x v="2"/>
    <n v="139.94"/>
    <n v="0.24"/>
    <x v="0"/>
    <b v="1"/>
    <n v="425.41759999999999"/>
    <n v="425.41759999999999"/>
  </r>
  <r>
    <s v="SALE294"/>
    <x v="243"/>
    <x v="0"/>
    <s v="CUST1277"/>
    <x v="2"/>
    <x v="1"/>
    <x v="1"/>
    <s v="PROD19"/>
    <s v="Knee Support Brace"/>
    <x v="0"/>
    <s v="Equipment"/>
    <s v="STORE8"/>
    <x v="1"/>
    <x v="3"/>
    <n v="230.85"/>
    <n v="0.18"/>
    <x v="0"/>
    <b v="1"/>
    <n v="378.59399999999999"/>
    <n v="378.59399999999999"/>
  </r>
  <r>
    <s v="SALE295"/>
    <x v="90"/>
    <x v="0"/>
    <s v="CUST1211"/>
    <x v="2"/>
    <x v="1"/>
    <x v="2"/>
    <s v="PROD85"/>
    <s v="Women's Beanie Hat"/>
    <x v="4"/>
    <s v="Accessories"/>
    <s v="STORE17"/>
    <x v="0"/>
    <x v="2"/>
    <n v="626.35"/>
    <n v="0.25"/>
    <x v="2"/>
    <b v="1"/>
    <n v="1879.0500000000002"/>
    <n v="1879.05"/>
  </r>
  <r>
    <s v="SALE296"/>
    <x v="244"/>
    <x v="0"/>
    <s v="CUST1082"/>
    <x v="0"/>
    <x v="0"/>
    <x v="3"/>
    <s v="PROD41"/>
    <s v="Yoga Exercise Mat"/>
    <x v="0"/>
    <s v="Fitness"/>
    <s v="STORE14"/>
    <x v="2"/>
    <x v="2"/>
    <n v="108.55"/>
    <n v="0.18"/>
    <x v="1"/>
    <b v="1"/>
    <n v="356.04400000000004"/>
    <n v="356.04399999999998"/>
  </r>
  <r>
    <s v="SALE297"/>
    <x v="245"/>
    <x v="2"/>
    <s v="CUST1191"/>
    <x v="2"/>
    <x v="1"/>
    <x v="3"/>
    <s v="PROD17"/>
    <s v="Soccer Training Cone Set"/>
    <x v="0"/>
    <s v="Accessories"/>
    <s v="STORE1"/>
    <x v="0"/>
    <x v="2"/>
    <n v="353.67"/>
    <n v="0.03"/>
    <x v="2"/>
    <b v="1"/>
    <n v="1372.2396000000001"/>
    <n v="1372.2396000000001"/>
  </r>
  <r>
    <s v="SALE298"/>
    <x v="246"/>
    <x v="0"/>
    <s v="CUST1065"/>
    <x v="2"/>
    <x v="1"/>
    <x v="2"/>
    <s v="PROD90"/>
    <s v="Gaming Mouse Pad XL"/>
    <x v="1"/>
    <s v="Accessories"/>
    <s v="STORE1"/>
    <x v="0"/>
    <x v="2"/>
    <n v="61.98"/>
    <n v="0.16"/>
    <x v="0"/>
    <b v="1"/>
    <n v="208.25279999999998"/>
    <n v="208.25280000000001"/>
  </r>
  <r>
    <s v="SALE299"/>
    <x v="196"/>
    <x v="0"/>
    <s v="CUST1216"/>
    <x v="1"/>
    <x v="0"/>
    <x v="1"/>
    <s v="PROD22"/>
    <s v="Carbon Fiber Tennis Racket"/>
    <x v="0"/>
    <s v="Equipment"/>
    <s v="STORE19"/>
    <x v="3"/>
    <x v="3"/>
    <n v="873.1"/>
    <n v="0.12"/>
    <x v="1"/>
    <b v="1"/>
    <n v="1536.6559999999999"/>
    <n v="1536.6559999999999"/>
  </r>
  <r>
    <s v="SALE300"/>
    <x v="76"/>
    <x v="1"/>
    <s v="CUST1198"/>
    <x v="0"/>
    <x v="0"/>
    <x v="3"/>
    <s v="PROD12"/>
    <s v="Hair Strengthening Shampoo"/>
    <x v="2"/>
    <s v="Haircare"/>
    <s v="STORE15"/>
    <x v="0"/>
    <x v="2"/>
    <n v="889.47"/>
    <n v="0.24"/>
    <x v="0"/>
    <b v="1"/>
    <n v="2703.9888000000001"/>
    <n v="2703.9888000000001"/>
  </r>
  <r>
    <s v="SALE301"/>
    <x v="247"/>
    <x v="0"/>
    <s v="CUST1028"/>
    <x v="2"/>
    <x v="1"/>
    <x v="1"/>
    <s v="PROD74"/>
    <s v="Bluetooth Car Audio System"/>
    <x v="1"/>
    <s v="Audio"/>
    <s v="STORE11"/>
    <x v="2"/>
    <x v="1"/>
    <n v="803.76"/>
    <n v="0.19"/>
    <x v="2"/>
    <b v="1"/>
    <n v="1953.1368"/>
    <n v="1953.1368"/>
  </r>
  <r>
    <s v="SALE302"/>
    <x v="248"/>
    <x v="0"/>
    <s v="CUST1468"/>
    <x v="1"/>
    <x v="0"/>
    <x v="3"/>
    <s v="PROD75"/>
    <s v="Women's Ankle Boots"/>
    <x v="4"/>
    <s v="Footwear"/>
    <s v="STORE5"/>
    <x v="0"/>
    <x v="3"/>
    <n v="865.14"/>
    <n v="0.2"/>
    <x v="1"/>
    <b v="1"/>
    <n v="1384.2240000000002"/>
    <n v="1384.2239999999999"/>
  </r>
  <r>
    <s v="SALE303"/>
    <x v="249"/>
    <x v="2"/>
    <s v="CUST1097"/>
    <x v="1"/>
    <x v="0"/>
    <x v="2"/>
    <s v="PROD31"/>
    <s v="Basketball"/>
    <x v="0"/>
    <s v="Team Sports"/>
    <s v="STORE9"/>
    <x v="2"/>
    <x v="3"/>
    <n v="916.49"/>
    <n v="0.3"/>
    <x v="2"/>
    <b v="1"/>
    <n v="1283.086"/>
    <n v="1283.086"/>
  </r>
  <r>
    <s v="SALE304"/>
    <x v="250"/>
    <x v="0"/>
    <s v="CUST1042"/>
    <x v="2"/>
    <x v="0"/>
    <x v="1"/>
    <s v="PROD51"/>
    <s v="HDMI Cable – 2m"/>
    <x v="1"/>
    <s v="Accessories"/>
    <s v="STORE12"/>
    <x v="0"/>
    <x v="1"/>
    <n v="781.39"/>
    <n v="0.12"/>
    <x v="0"/>
    <b v="1"/>
    <n v="2062.8696"/>
    <n v="2062.8696"/>
  </r>
  <r>
    <s v="SALE305"/>
    <x v="251"/>
    <x v="0"/>
    <s v="CUST1211"/>
    <x v="2"/>
    <x v="1"/>
    <x v="2"/>
    <s v="PROD38"/>
    <s v="Sports Water Hydration Pack"/>
    <x v="0"/>
    <s v="Outdoor"/>
    <s v="STORE12"/>
    <x v="0"/>
    <x v="2"/>
    <n v="619.74"/>
    <n v="0.13"/>
    <x v="2"/>
    <b v="1"/>
    <n v="2156.6952000000001"/>
    <n v="2156.6952000000001"/>
  </r>
  <r>
    <s v="SALE306"/>
    <x v="252"/>
    <x v="2"/>
    <s v="CUST1481"/>
    <x v="2"/>
    <x v="0"/>
    <x v="0"/>
    <s v="PROD62"/>
    <s v="Laptop Cooling Pad"/>
    <x v="1"/>
    <s v="Computer"/>
    <s v="STORE14"/>
    <x v="2"/>
    <x v="3"/>
    <n v="837.76"/>
    <n v="0.03"/>
    <x v="2"/>
    <b v="1"/>
    <n v="1625.2544"/>
    <n v="1625.2544"/>
  </r>
  <r>
    <s v="SALE307"/>
    <x v="253"/>
    <x v="2"/>
    <s v="CUST1451"/>
    <x v="1"/>
    <x v="0"/>
    <x v="0"/>
    <s v="PROD90"/>
    <s v="Gaming Mouse Pad XL"/>
    <x v="1"/>
    <s v="Accessories"/>
    <s v="STORE1"/>
    <x v="0"/>
    <x v="1"/>
    <n v="135.94"/>
    <n v="0.2"/>
    <x v="0"/>
    <b v="1"/>
    <n v="326.25600000000003"/>
    <n v="326.25599999999997"/>
  </r>
  <r>
    <s v="SALE308"/>
    <x v="254"/>
    <x v="2"/>
    <s v="CUST1479"/>
    <x v="1"/>
    <x v="0"/>
    <x v="3"/>
    <s v="PROD74"/>
    <s v="Bluetooth Car Audio System"/>
    <x v="1"/>
    <s v="Audio"/>
    <s v="STORE1"/>
    <x v="0"/>
    <x v="2"/>
    <n v="396.53"/>
    <n v="7.0000000000000007E-2"/>
    <x v="1"/>
    <b v="1"/>
    <n v="1475.0915999999997"/>
    <n v="1475.0916"/>
  </r>
  <r>
    <s v="SALE309"/>
    <x v="39"/>
    <x v="1"/>
    <s v="CUST1220"/>
    <x v="1"/>
    <x v="1"/>
    <x v="3"/>
    <s v="PROD29"/>
    <s v="Fabric Sofa Throw Blanket"/>
    <x v="3"/>
    <s v="Decor"/>
    <s v="STORE14"/>
    <x v="2"/>
    <x v="3"/>
    <n v="722.45"/>
    <n v="0.22"/>
    <x v="1"/>
    <b v="1"/>
    <n v="1127.0220000000002"/>
    <n v="1127.0219999999999"/>
  </r>
  <r>
    <s v="SALE310"/>
    <x v="255"/>
    <x v="0"/>
    <s v="CUST1047"/>
    <x v="0"/>
    <x v="1"/>
    <x v="2"/>
    <s v="PROD64"/>
    <s v="Matte Lipstick Set"/>
    <x v="2"/>
    <s v="Makeup"/>
    <s v="STORE2"/>
    <x v="2"/>
    <x v="3"/>
    <n v="138.41"/>
    <n v="0.02"/>
    <x v="0"/>
    <b v="1"/>
    <n v="271.28359999999998"/>
    <n v="271.28359999999998"/>
  </r>
  <r>
    <s v="SALE311"/>
    <x v="252"/>
    <x v="2"/>
    <s v="CUST1126"/>
    <x v="0"/>
    <x v="1"/>
    <x v="0"/>
    <s v="PROD80"/>
    <s v="Wall-Mounted Spice Rack"/>
    <x v="3"/>
    <s v="Kitchen"/>
    <s v="STORE2"/>
    <x v="2"/>
    <x v="2"/>
    <n v="741.51"/>
    <n v="0.09"/>
    <x v="2"/>
    <b v="1"/>
    <n v="2699.0963999999999"/>
    <n v="2699.0963999999999"/>
  </r>
  <r>
    <s v="SALE312"/>
    <x v="256"/>
    <x v="0"/>
    <s v="CUST1023"/>
    <x v="0"/>
    <x v="1"/>
    <x v="2"/>
    <s v="PROD80"/>
    <s v="Wall-Mounted Spice Rack"/>
    <x v="3"/>
    <s v="Kitchen"/>
    <s v="STORE17"/>
    <x v="0"/>
    <x v="3"/>
    <n v="588.9"/>
    <n v="0.19"/>
    <x v="1"/>
    <b v="1"/>
    <n v="954.01800000000003"/>
    <n v="954.01800000000003"/>
  </r>
  <r>
    <s v="SALE313"/>
    <x v="257"/>
    <x v="0"/>
    <s v="CUST1304"/>
    <x v="1"/>
    <x v="0"/>
    <x v="2"/>
    <s v="PROD50"/>
    <s v="Boxing Hand Wraps"/>
    <x v="0"/>
    <s v="Fitness"/>
    <s v="STORE2"/>
    <x v="2"/>
    <x v="0"/>
    <n v="88.92"/>
    <n v="0.19"/>
    <x v="1"/>
    <b v="1"/>
    <n v="72.025200000000012"/>
    <n v="72.025200000000012"/>
  </r>
  <r>
    <s v="SALE314"/>
    <x v="258"/>
    <x v="0"/>
    <s v="CUST1118"/>
    <x v="1"/>
    <x v="0"/>
    <x v="1"/>
    <s v="PROD61"/>
    <s v="Tennis Ball 3-Pack"/>
    <x v="0"/>
    <s v="Equipment"/>
    <s v="STORE16"/>
    <x v="1"/>
    <x v="0"/>
    <n v="299.13"/>
    <n v="0.1"/>
    <x v="2"/>
    <b v="1"/>
    <n v="269.21699999999998"/>
    <n v="269.21699999999998"/>
  </r>
  <r>
    <s v="SALE315"/>
    <x v="138"/>
    <x v="0"/>
    <s v="CUST1116"/>
    <x v="2"/>
    <x v="1"/>
    <x v="1"/>
    <s v="PROD77"/>
    <s v="WiFi Mesh Router"/>
    <x v="1"/>
    <s v="Appliances"/>
    <s v="STORE3"/>
    <x v="0"/>
    <x v="3"/>
    <n v="548.29999999999995"/>
    <n v="0.23"/>
    <x v="0"/>
    <b v="1"/>
    <n v="844.38199999999995"/>
    <n v="844.38199999999995"/>
  </r>
  <r>
    <s v="SALE316"/>
    <x v="259"/>
    <x v="0"/>
    <s v="CUST1262"/>
    <x v="0"/>
    <x v="1"/>
    <x v="2"/>
    <s v="PROD54"/>
    <s v="Sports Stopwatch Pro"/>
    <x v="0"/>
    <s v="Accessories"/>
    <s v="STORE10"/>
    <x v="3"/>
    <x v="1"/>
    <n v="977.55"/>
    <n v="0.02"/>
    <x v="1"/>
    <b v="1"/>
    <n v="2873.9969999999994"/>
    <n v="2873.9969999999989"/>
  </r>
  <r>
    <s v="SALE317"/>
    <x v="260"/>
    <x v="2"/>
    <s v="CUST1346"/>
    <x v="0"/>
    <x v="1"/>
    <x v="1"/>
    <s v="PROD44"/>
    <s v="Adjustable Jump Rope"/>
    <x v="0"/>
    <s v="Fitness"/>
    <s v="STORE18"/>
    <x v="3"/>
    <x v="0"/>
    <n v="459.42"/>
    <n v="0.28000000000000003"/>
    <x v="2"/>
    <b v="1"/>
    <n v="330.7824"/>
    <n v="330.7824"/>
  </r>
  <r>
    <s v="SALE318"/>
    <x v="261"/>
    <x v="2"/>
    <s v="CUST1088"/>
    <x v="0"/>
    <x v="0"/>
    <x v="2"/>
    <s v="PROD2"/>
    <s v="Women's Casual Hoodie"/>
    <x v="4"/>
    <s v="Outerwear"/>
    <s v="STORE4"/>
    <x v="2"/>
    <x v="3"/>
    <n v="123.19"/>
    <n v="0.19"/>
    <x v="0"/>
    <b v="1"/>
    <n v="199.56780000000001"/>
    <n v="199.56780000000001"/>
  </r>
  <r>
    <s v="SALE319"/>
    <x v="262"/>
    <x v="2"/>
    <s v="CUST1358"/>
    <x v="0"/>
    <x v="1"/>
    <x v="0"/>
    <s v="PROD55"/>
    <s v="Ceramic Plant Pot"/>
    <x v="3"/>
    <s v="Decor"/>
    <s v="STORE19"/>
    <x v="3"/>
    <x v="0"/>
    <n v="222.95"/>
    <n v="0.02"/>
    <x v="1"/>
    <b v="1"/>
    <n v="218.49099999999999"/>
    <n v="218.49100000000001"/>
  </r>
  <r>
    <s v="SALE320"/>
    <x v="263"/>
    <x v="2"/>
    <s v="CUST1332"/>
    <x v="1"/>
    <x v="1"/>
    <x v="3"/>
    <s v="PROD32"/>
    <s v="Vitamin C Face Serum"/>
    <x v="2"/>
    <s v="Skincare"/>
    <s v="STORE4"/>
    <x v="2"/>
    <x v="1"/>
    <n v="601.92999999999995"/>
    <n v="0.14000000000000001"/>
    <x v="0"/>
    <b v="1"/>
    <n v="1552.9793999999999"/>
    <n v="1552.9793999999999"/>
  </r>
  <r>
    <s v="SALE321"/>
    <x v="264"/>
    <x v="0"/>
    <s v="CUST1297"/>
    <x v="1"/>
    <x v="1"/>
    <x v="2"/>
    <s v="PROD69"/>
    <s v="Men's Sports Shorts"/>
    <x v="4"/>
    <s v="Bottoms"/>
    <s v="STORE2"/>
    <x v="2"/>
    <x v="0"/>
    <n v="564.1"/>
    <n v="0.03"/>
    <x v="0"/>
    <b v="1"/>
    <n v="547.17700000000002"/>
    <n v="547.17700000000002"/>
  </r>
  <r>
    <s v="SALE322"/>
    <x v="265"/>
    <x v="2"/>
    <s v="CUST1095"/>
    <x v="0"/>
    <x v="1"/>
    <x v="1"/>
    <s v="PROD80"/>
    <s v="Wall-Mounted Spice Rack"/>
    <x v="3"/>
    <s v="Kitchen"/>
    <s v="STORE5"/>
    <x v="0"/>
    <x v="0"/>
    <n v="516.62"/>
    <n v="0.18"/>
    <x v="0"/>
    <b v="1"/>
    <n v="423.62840000000006"/>
    <n v="423.62840000000011"/>
  </r>
  <r>
    <s v="SALE323"/>
    <x v="184"/>
    <x v="0"/>
    <s v="CUST1438"/>
    <x v="0"/>
    <x v="1"/>
    <x v="1"/>
    <s v="PROD63"/>
    <s v="Organic Sunscreen Lotion"/>
    <x v="2"/>
    <s v="Skincare"/>
    <s v="STORE12"/>
    <x v="0"/>
    <x v="0"/>
    <n v="934.75"/>
    <n v="0.11"/>
    <x v="1"/>
    <b v="1"/>
    <n v="831.92750000000001"/>
    <n v="831.92750000000001"/>
  </r>
  <r>
    <s v="SALE324"/>
    <x v="266"/>
    <x v="0"/>
    <s v="CUST1234"/>
    <x v="1"/>
    <x v="1"/>
    <x v="0"/>
    <s v="PROD98"/>
    <s v="Portable Bluetooth Speaker"/>
    <x v="1"/>
    <s v="Audio"/>
    <s v="STORE7"/>
    <x v="2"/>
    <x v="2"/>
    <n v="548.44000000000005"/>
    <n v="0.05"/>
    <x v="1"/>
    <b v="1"/>
    <n v="2084.0720000000001"/>
    <n v="2084.0720000000001"/>
  </r>
  <r>
    <s v="SALE325"/>
    <x v="267"/>
    <x v="2"/>
    <s v="CUST1013"/>
    <x v="1"/>
    <x v="1"/>
    <x v="2"/>
    <s v="PROD37"/>
    <s v="Men's Casual Sneakers"/>
    <x v="4"/>
    <s v="Footwear"/>
    <s v="STORE3"/>
    <x v="0"/>
    <x v="1"/>
    <n v="361.11"/>
    <n v="0.06"/>
    <x v="0"/>
    <b v="1"/>
    <n v="1018.3301999999999"/>
    <n v="1018.3302"/>
  </r>
  <r>
    <s v="SALE326"/>
    <x v="268"/>
    <x v="2"/>
    <s v="CUST1187"/>
    <x v="0"/>
    <x v="1"/>
    <x v="1"/>
    <s v="PROD13"/>
    <s v="USB-C Fast Charger"/>
    <x v="1"/>
    <s v="Accessories"/>
    <s v="STORE1"/>
    <x v="0"/>
    <x v="3"/>
    <n v="610.37"/>
    <n v="0.1"/>
    <x v="1"/>
    <b v="1"/>
    <n v="1098.6659999999999"/>
    <n v="1098.6659999999999"/>
  </r>
  <r>
    <s v="SALE327"/>
    <x v="269"/>
    <x v="1"/>
    <s v="CUST1334"/>
    <x v="1"/>
    <x v="1"/>
    <x v="2"/>
    <s v="PROD51"/>
    <s v="HDMI Cable – 2m"/>
    <x v="1"/>
    <s v="Accessories"/>
    <s v="STORE16"/>
    <x v="1"/>
    <x v="0"/>
    <n v="272.2"/>
    <n v="0.3"/>
    <x v="0"/>
    <b v="1"/>
    <n v="190.54"/>
    <n v="190.54"/>
  </r>
  <r>
    <s v="SALE328"/>
    <x v="209"/>
    <x v="0"/>
    <s v="CUST1438"/>
    <x v="0"/>
    <x v="1"/>
    <x v="1"/>
    <s v="PROD77"/>
    <s v="WiFi Mesh Router"/>
    <x v="1"/>
    <s v="Appliances"/>
    <s v="STORE6"/>
    <x v="3"/>
    <x v="1"/>
    <n v="573.1"/>
    <n v="0.16"/>
    <x v="2"/>
    <b v="1"/>
    <n v="1444.212"/>
    <n v="1444.212"/>
  </r>
  <r>
    <s v="SALE329"/>
    <x v="131"/>
    <x v="2"/>
    <s v="CUST1322"/>
    <x v="0"/>
    <x v="0"/>
    <x v="3"/>
    <s v="PROD6"/>
    <s v="Herbal Face Moisturizer"/>
    <x v="2"/>
    <s v="Skincare"/>
    <s v="STORE0"/>
    <x v="3"/>
    <x v="2"/>
    <n v="24.72"/>
    <n v="0.28000000000000003"/>
    <x v="0"/>
    <b v="1"/>
    <n v="71.193599999999989"/>
    <n v="71.193599999999989"/>
  </r>
  <r>
    <s v="SALE330"/>
    <x v="270"/>
    <x v="0"/>
    <s v="CUST1251"/>
    <x v="0"/>
    <x v="0"/>
    <x v="2"/>
    <s v="PROD9"/>
    <s v="Adjustable Dumbbell Set"/>
    <x v="0"/>
    <s v="Fitness"/>
    <s v="STORE9"/>
    <x v="2"/>
    <x v="1"/>
    <n v="268.89"/>
    <n v="7.0000000000000007E-2"/>
    <x v="2"/>
    <b v="1"/>
    <n v="750.20309999999995"/>
    <n v="750.20309999999995"/>
  </r>
  <r>
    <s v="SALE331"/>
    <x v="271"/>
    <x v="2"/>
    <s v="CUST1257"/>
    <x v="1"/>
    <x v="0"/>
    <x v="2"/>
    <s v="PROD68"/>
    <s v="Wooden Nightstand"/>
    <x v="3"/>
    <s v="Furniture"/>
    <s v="STORE9"/>
    <x v="2"/>
    <x v="0"/>
    <n v="78.5"/>
    <n v="0.17"/>
    <x v="2"/>
    <b v="1"/>
    <n v="65.155000000000001"/>
    <n v="65.155000000000001"/>
  </r>
  <r>
    <s v="SALE332"/>
    <x v="272"/>
    <x v="2"/>
    <s v="CUST1133"/>
    <x v="0"/>
    <x v="1"/>
    <x v="3"/>
    <s v="PROD36"/>
    <s v="Women's Summer Dress"/>
    <x v="4"/>
    <s v="Tops"/>
    <s v="STORE4"/>
    <x v="2"/>
    <x v="1"/>
    <n v="399.42"/>
    <n v="0.02"/>
    <x v="0"/>
    <b v="1"/>
    <n v="1174.2947999999999"/>
    <n v="1174.2947999999999"/>
  </r>
  <r>
    <s v="SALE333"/>
    <x v="99"/>
    <x v="2"/>
    <s v="CUST1085"/>
    <x v="1"/>
    <x v="0"/>
    <x v="2"/>
    <s v="PROD31"/>
    <s v="Basketball"/>
    <x v="0"/>
    <s v="Team Sports"/>
    <s v="STORE19"/>
    <x v="3"/>
    <x v="1"/>
    <n v="455.82"/>
    <n v="0.01"/>
    <x v="1"/>
    <b v="1"/>
    <n v="1353.7854"/>
    <n v="1353.7854"/>
  </r>
  <r>
    <s v="SALE334"/>
    <x v="75"/>
    <x v="0"/>
    <s v="CUST1349"/>
    <x v="1"/>
    <x v="0"/>
    <x v="3"/>
    <s v="PROD50"/>
    <s v="Boxing Hand Wraps"/>
    <x v="0"/>
    <s v="Fitness"/>
    <s v="STORE5"/>
    <x v="0"/>
    <x v="3"/>
    <n v="613.23"/>
    <n v="0.15"/>
    <x v="1"/>
    <b v="1"/>
    <n v="1042.491"/>
    <n v="1042.491"/>
  </r>
  <r>
    <s v="SALE335"/>
    <x v="273"/>
    <x v="0"/>
    <s v="CUST1458"/>
    <x v="0"/>
    <x v="1"/>
    <x v="2"/>
    <s v="PROD2"/>
    <s v="Women's Casual Hoodie"/>
    <x v="4"/>
    <s v="Outerwear"/>
    <s v="STORE14"/>
    <x v="2"/>
    <x v="2"/>
    <n v="971.9"/>
    <n v="0.28000000000000003"/>
    <x v="1"/>
    <b v="1"/>
    <n v="2799.0719999999997"/>
    <n v="2799.0720000000001"/>
  </r>
  <r>
    <s v="SALE336"/>
    <x v="274"/>
    <x v="0"/>
    <s v="CUST1034"/>
    <x v="2"/>
    <x v="1"/>
    <x v="1"/>
    <s v="PROD28"/>
    <s v="Sports Stopwatch Timer"/>
    <x v="0"/>
    <s v="Accessories"/>
    <s v="STORE7"/>
    <x v="2"/>
    <x v="1"/>
    <n v="884.92"/>
    <n v="0.06"/>
    <x v="1"/>
    <b v="1"/>
    <n v="2495.4743999999996"/>
    <n v="2495.4744000000001"/>
  </r>
  <r>
    <s v="SALE337"/>
    <x v="275"/>
    <x v="2"/>
    <s v="CUST1087"/>
    <x v="0"/>
    <x v="1"/>
    <x v="3"/>
    <s v="PROD8"/>
    <s v="Wireless Bluetooth Earbuds"/>
    <x v="1"/>
    <s v="Audio"/>
    <s v="STORE9"/>
    <x v="2"/>
    <x v="0"/>
    <n v="125"/>
    <n v="0.23"/>
    <x v="0"/>
    <b v="1"/>
    <n v="96.25"/>
    <n v="96.25"/>
  </r>
  <r>
    <s v="SALE338"/>
    <x v="180"/>
    <x v="0"/>
    <s v="CUST1128"/>
    <x v="1"/>
    <x v="0"/>
    <x v="2"/>
    <s v="PROD10"/>
    <s v="Ceramic Kitchen Bowl Set"/>
    <x v="3"/>
    <s v="Kitchen"/>
    <s v="STORE15"/>
    <x v="0"/>
    <x v="3"/>
    <n v="188.25"/>
    <n v="0.08"/>
    <x v="1"/>
    <b v="1"/>
    <n v="346.38"/>
    <n v="346.38"/>
  </r>
  <r>
    <s v="SALE339"/>
    <x v="276"/>
    <x v="0"/>
    <s v="CUST1222"/>
    <x v="1"/>
    <x v="0"/>
    <x v="1"/>
    <s v="PROD46"/>
    <s v="Men's Winter Jacket"/>
    <x v="4"/>
    <s v="Outerwear"/>
    <s v="STORE6"/>
    <x v="3"/>
    <x v="2"/>
    <n v="344.12"/>
    <n v="0.25"/>
    <x v="1"/>
    <b v="1"/>
    <n v="1032.3600000000001"/>
    <n v="1032.3599999999999"/>
  </r>
  <r>
    <s v="SALE340"/>
    <x v="47"/>
    <x v="1"/>
    <s v="CUST1047"/>
    <x v="0"/>
    <x v="1"/>
    <x v="2"/>
    <s v="PROD17"/>
    <s v="Soccer Training Cone Set"/>
    <x v="0"/>
    <s v="Accessories"/>
    <s v="STORE19"/>
    <x v="3"/>
    <x v="1"/>
    <n v="997.95"/>
    <n v="0.09"/>
    <x v="2"/>
    <b v="1"/>
    <n v="2724.4035000000003"/>
    <n v="2724.4034999999999"/>
  </r>
  <r>
    <s v="SALE341"/>
    <x v="277"/>
    <x v="2"/>
    <s v="CUST1150"/>
    <x v="2"/>
    <x v="0"/>
    <x v="0"/>
    <s v="PROD11"/>
    <s v="HD Smart TV Stick"/>
    <x v="1"/>
    <s v="Accessories"/>
    <s v="STORE15"/>
    <x v="0"/>
    <x v="1"/>
    <n v="121.64"/>
    <n v="7.0000000000000007E-2"/>
    <x v="1"/>
    <b v="1"/>
    <n v="339.37560000000002"/>
    <n v="339.37560000000002"/>
  </r>
  <r>
    <s v="SALE342"/>
    <x v="278"/>
    <x v="0"/>
    <s v="CUST1221"/>
    <x v="1"/>
    <x v="0"/>
    <x v="1"/>
    <s v="PROD68"/>
    <s v="Wooden Nightstand"/>
    <x v="3"/>
    <s v="Furniture"/>
    <s v="STORE10"/>
    <x v="3"/>
    <x v="3"/>
    <n v="692.72"/>
    <n v="0.13"/>
    <x v="1"/>
    <b v="1"/>
    <n v="1205.3328000000001"/>
    <n v="1205.3327999999999"/>
  </r>
  <r>
    <s v="SALE343"/>
    <x v="279"/>
    <x v="0"/>
    <s v="CUST1027"/>
    <x v="1"/>
    <x v="0"/>
    <x v="1"/>
    <s v="PROD24"/>
    <s v="Foldable Camping Chair"/>
    <x v="0"/>
    <s v="Outdoor"/>
    <s v="STORE19"/>
    <x v="3"/>
    <x v="1"/>
    <n v="794.59"/>
    <n v="0.03"/>
    <x v="1"/>
    <b v="1"/>
    <n v="2312.2568999999999"/>
    <n v="2312.2568999999999"/>
  </r>
  <r>
    <s v="SALE344"/>
    <x v="183"/>
    <x v="1"/>
    <s v="CUST1014"/>
    <x v="0"/>
    <x v="1"/>
    <x v="2"/>
    <s v="PROD26"/>
    <s v="Wireless Bluetooth Speaker"/>
    <x v="1"/>
    <s v="Audio"/>
    <s v="STORE9"/>
    <x v="2"/>
    <x v="0"/>
    <n v="907.95"/>
    <n v="0.1"/>
    <x v="1"/>
    <b v="1"/>
    <n v="817.15500000000009"/>
    <n v="817.15500000000009"/>
  </r>
  <r>
    <s v="SALE345"/>
    <x v="280"/>
    <x v="2"/>
    <s v="CUST1287"/>
    <x v="2"/>
    <x v="1"/>
    <x v="0"/>
    <s v="PROD50"/>
    <s v="Boxing Hand Wraps"/>
    <x v="0"/>
    <s v="Fitness"/>
    <s v="STORE0"/>
    <x v="3"/>
    <x v="3"/>
    <n v="660.81"/>
    <n v="0.18"/>
    <x v="0"/>
    <b v="1"/>
    <n v="1083.7284"/>
    <n v="1083.7284"/>
  </r>
  <r>
    <s v="SALE346"/>
    <x v="192"/>
    <x v="2"/>
    <s v="CUST1061"/>
    <x v="2"/>
    <x v="0"/>
    <x v="2"/>
    <s v="PROD51"/>
    <s v="HDMI Cable – 2m"/>
    <x v="1"/>
    <s v="Accessories"/>
    <s v="STORE8"/>
    <x v="1"/>
    <x v="1"/>
    <n v="564.94000000000005"/>
    <n v="0.22"/>
    <x v="2"/>
    <b v="1"/>
    <n v="1321.9596000000001"/>
    <n v="1321.9595999999999"/>
  </r>
  <r>
    <s v="SALE347"/>
    <x v="281"/>
    <x v="0"/>
    <s v="CUST1054"/>
    <x v="2"/>
    <x v="0"/>
    <x v="1"/>
    <s v="PROD15"/>
    <s v="4K Home Projector"/>
    <x v="1"/>
    <s v="Appliances"/>
    <s v="STORE15"/>
    <x v="0"/>
    <x v="3"/>
    <n v="280.37"/>
    <n v="0.22"/>
    <x v="2"/>
    <b v="1"/>
    <n v="437.37720000000002"/>
    <n v="437.37720000000002"/>
  </r>
  <r>
    <s v="SALE348"/>
    <x v="282"/>
    <x v="0"/>
    <s v="CUST1372"/>
    <x v="2"/>
    <x v="0"/>
    <x v="3"/>
    <s v="PROD50"/>
    <s v="Boxing Hand Wraps"/>
    <x v="0"/>
    <s v="Fitness"/>
    <s v="STORE3"/>
    <x v="0"/>
    <x v="3"/>
    <n v="85.23"/>
    <n v="0.13"/>
    <x v="0"/>
    <b v="1"/>
    <n v="148.30020000000002"/>
    <n v="148.30019999999999"/>
  </r>
  <r>
    <s v="SALE349"/>
    <x v="283"/>
    <x v="2"/>
    <s v="CUST1312"/>
    <x v="1"/>
    <x v="1"/>
    <x v="2"/>
    <s v="PROD27"/>
    <s v="Decorative Floor Vase"/>
    <x v="3"/>
    <s v="Decor"/>
    <s v="STORE13"/>
    <x v="3"/>
    <x v="3"/>
    <n v="563.29999999999995"/>
    <n v="0.26"/>
    <x v="0"/>
    <b v="1"/>
    <n v="833.68399999999997"/>
    <n v="833.68399999999997"/>
  </r>
  <r>
    <s v="SALE350"/>
    <x v="273"/>
    <x v="0"/>
    <s v="CUST1033"/>
    <x v="2"/>
    <x v="0"/>
    <x v="1"/>
    <s v="PROD80"/>
    <s v="Wall-Mounted Spice Rack"/>
    <x v="3"/>
    <s v="Kitchen"/>
    <s v="STORE18"/>
    <x v="3"/>
    <x v="3"/>
    <n v="827.81"/>
    <n v="0.04"/>
    <x v="1"/>
    <b v="1"/>
    <n v="1589.3951999999999"/>
    <n v="1589.3951999999999"/>
  </r>
  <r>
    <s v="SALE351"/>
    <x v="284"/>
    <x v="0"/>
    <s v="CUST1214"/>
    <x v="0"/>
    <x v="0"/>
    <x v="0"/>
    <s v="PROD12"/>
    <s v="Hair Strengthening Shampoo"/>
    <x v="2"/>
    <s v="Haircare"/>
    <s v="STORE18"/>
    <x v="3"/>
    <x v="1"/>
    <n v="877.71"/>
    <n v="0.12"/>
    <x v="1"/>
    <b v="1"/>
    <n v="2317.1543999999999"/>
    <n v="2317.1543999999999"/>
  </r>
  <r>
    <s v="SALE352"/>
    <x v="285"/>
    <x v="0"/>
    <s v="CUST1257"/>
    <x v="1"/>
    <x v="0"/>
    <x v="2"/>
    <s v="PROD57"/>
    <s v="Foam Roller"/>
    <x v="0"/>
    <s v="Fitness"/>
    <s v="STORE9"/>
    <x v="2"/>
    <x v="2"/>
    <n v="488.56"/>
    <n v="0.26"/>
    <x v="2"/>
    <b v="1"/>
    <n v="1446.1376"/>
    <n v="1446.1376"/>
  </r>
  <r>
    <s v="SALE353"/>
    <x v="286"/>
    <x v="0"/>
    <s v="CUST1104"/>
    <x v="0"/>
    <x v="0"/>
    <x v="2"/>
    <s v="PROD25"/>
    <s v="Women's Scarf Set"/>
    <x v="4"/>
    <s v="Accessories"/>
    <s v="STORE12"/>
    <x v="0"/>
    <x v="2"/>
    <n v="175.91"/>
    <n v="0.13"/>
    <x v="1"/>
    <b v="1"/>
    <n v="612.16679999999997"/>
    <n v="612.16679999999997"/>
  </r>
  <r>
    <s v="SALE354"/>
    <x v="287"/>
    <x v="0"/>
    <s v="CUST1248"/>
    <x v="2"/>
    <x v="0"/>
    <x v="0"/>
    <s v="PROD87"/>
    <s v="LED Bedside Lamp"/>
    <x v="3"/>
    <s v="Lighting"/>
    <s v="STORE8"/>
    <x v="1"/>
    <x v="2"/>
    <n v="289.66000000000003"/>
    <n v="0.25"/>
    <x v="2"/>
    <b v="1"/>
    <n v="868.98"/>
    <n v="868.98"/>
  </r>
  <r>
    <s v="SALE355"/>
    <x v="288"/>
    <x v="0"/>
    <s v="CUST1241"/>
    <x v="1"/>
    <x v="0"/>
    <x v="1"/>
    <s v="PROD15"/>
    <s v="4K Home Projector"/>
    <x v="1"/>
    <s v="Appliances"/>
    <s v="STORE15"/>
    <x v="0"/>
    <x v="3"/>
    <n v="899.27"/>
    <n v="0.17"/>
    <x v="0"/>
    <b v="1"/>
    <n v="1492.7882"/>
    <n v="1492.7882"/>
  </r>
  <r>
    <s v="SALE356"/>
    <x v="289"/>
    <x v="0"/>
    <s v="CUST1065"/>
    <x v="2"/>
    <x v="1"/>
    <x v="2"/>
    <s v="PROD18"/>
    <s v="Women's Denim Jeans"/>
    <x v="4"/>
    <s v="Bottoms"/>
    <s v="STORE1"/>
    <x v="0"/>
    <x v="0"/>
    <n v="691.38"/>
    <n v="0.11"/>
    <x v="2"/>
    <b v="1"/>
    <n v="615.32820000000004"/>
    <n v="615.32820000000004"/>
  </r>
  <r>
    <s v="SALE357"/>
    <x v="290"/>
    <x v="0"/>
    <s v="CUST1165"/>
    <x v="1"/>
    <x v="1"/>
    <x v="1"/>
    <s v="PROD27"/>
    <s v="Decorative Floor Vase"/>
    <x v="3"/>
    <s v="Decor"/>
    <s v="STORE0"/>
    <x v="3"/>
    <x v="1"/>
    <n v="158.72"/>
    <n v="0.13"/>
    <x v="0"/>
    <b v="1"/>
    <n v="414.25919999999996"/>
    <n v="414.25920000000002"/>
  </r>
  <r>
    <s v="SALE358"/>
    <x v="106"/>
    <x v="0"/>
    <s v="CUST1210"/>
    <x v="1"/>
    <x v="0"/>
    <x v="2"/>
    <s v="PROD60"/>
    <s v="Luxury Perfume Spray"/>
    <x v="2"/>
    <s v="Fragrance"/>
    <s v="STORE16"/>
    <x v="1"/>
    <x v="2"/>
    <n v="537.15"/>
    <n v="0.06"/>
    <x v="2"/>
    <b v="1"/>
    <n v="2019.6839999999997"/>
    <n v="2019.684"/>
  </r>
  <r>
    <s v="SALE359"/>
    <x v="0"/>
    <x v="0"/>
    <s v="CUST1417"/>
    <x v="0"/>
    <x v="1"/>
    <x v="3"/>
    <s v="PROD41"/>
    <s v="Yoga Exercise Mat"/>
    <x v="0"/>
    <s v="Fitness"/>
    <s v="STORE9"/>
    <x v="2"/>
    <x v="1"/>
    <n v="771.7"/>
    <n v="0.05"/>
    <x v="2"/>
    <b v="1"/>
    <n v="2199.3450000000003"/>
    <n v="2199.3449999999998"/>
  </r>
  <r>
    <s v="SALE360"/>
    <x v="291"/>
    <x v="0"/>
    <s v="CUST1108"/>
    <x v="1"/>
    <x v="0"/>
    <x v="3"/>
    <s v="PROD88"/>
    <s v="Sports Wrist Sweatbands"/>
    <x v="0"/>
    <s v="Accessories"/>
    <s v="STORE1"/>
    <x v="0"/>
    <x v="2"/>
    <n v="677.25"/>
    <n v="0.14000000000000001"/>
    <x v="1"/>
    <b v="1"/>
    <n v="2329.7399999999998"/>
    <n v="2329.7399999999998"/>
  </r>
  <r>
    <s v="SALE361"/>
    <x v="171"/>
    <x v="2"/>
    <s v="CUST1102"/>
    <x v="1"/>
    <x v="1"/>
    <x v="3"/>
    <s v="PROD98"/>
    <s v="Portable Bluetooth Speaker"/>
    <x v="1"/>
    <s v="Audio"/>
    <s v="STORE11"/>
    <x v="2"/>
    <x v="0"/>
    <n v="645.48"/>
    <n v="0.26"/>
    <x v="2"/>
    <b v="1"/>
    <n v="477.65519999999998"/>
    <n v="477.65519999999998"/>
  </r>
  <r>
    <s v="SALE362"/>
    <x v="241"/>
    <x v="2"/>
    <s v="CUST1360"/>
    <x v="1"/>
    <x v="0"/>
    <x v="1"/>
    <s v="PROD73"/>
    <s v="Shin Guards – Adult"/>
    <x v="0"/>
    <s v="Team Sports"/>
    <s v="STORE2"/>
    <x v="2"/>
    <x v="3"/>
    <n v="934"/>
    <n v="0.3"/>
    <x v="2"/>
    <b v="1"/>
    <n v="1307.5999999999999"/>
    <n v="1307.5999999999999"/>
  </r>
  <r>
    <s v="SALE363"/>
    <x v="292"/>
    <x v="2"/>
    <s v="CUST1334"/>
    <x v="1"/>
    <x v="1"/>
    <x v="2"/>
    <s v="PROD46"/>
    <s v="Men's Winter Jacket"/>
    <x v="4"/>
    <s v="Outerwear"/>
    <s v="STORE2"/>
    <x v="2"/>
    <x v="0"/>
    <n v="669.53"/>
    <n v="0.2"/>
    <x v="0"/>
    <b v="1"/>
    <n v="535.62400000000002"/>
    <n v="535.62400000000002"/>
  </r>
  <r>
    <s v="SALE364"/>
    <x v="122"/>
    <x v="2"/>
    <s v="CUST1216"/>
    <x v="1"/>
    <x v="0"/>
    <x v="1"/>
    <s v="PROD35"/>
    <s v="Bedroom Table Lamp"/>
    <x v="3"/>
    <s v="Lighting"/>
    <s v="STORE18"/>
    <x v="3"/>
    <x v="0"/>
    <n v="213.69"/>
    <n v="0.28000000000000003"/>
    <x v="2"/>
    <b v="1"/>
    <n v="153.85679999999999"/>
    <n v="153.85679999999999"/>
  </r>
  <r>
    <s v="SALE365"/>
    <x v="52"/>
    <x v="2"/>
    <s v="CUST1077"/>
    <x v="2"/>
    <x v="0"/>
    <x v="0"/>
    <s v="PROD21"/>
    <s v="Multi-Purpose Storage Box"/>
    <x v="3"/>
    <s v="Storage"/>
    <s v="STORE19"/>
    <x v="3"/>
    <x v="3"/>
    <n v="99.1"/>
    <n v="0.2"/>
    <x v="1"/>
    <b v="1"/>
    <n v="158.56"/>
    <n v="158.56"/>
  </r>
  <r>
    <s v="SALE366"/>
    <x v="293"/>
    <x v="0"/>
    <s v="CUST1370"/>
    <x v="1"/>
    <x v="0"/>
    <x v="2"/>
    <s v="PROD37"/>
    <s v="Men's Casual Sneakers"/>
    <x v="4"/>
    <s v="Footwear"/>
    <s v="STORE16"/>
    <x v="1"/>
    <x v="0"/>
    <n v="628.98"/>
    <n v="0.03"/>
    <x v="2"/>
    <b v="1"/>
    <n v="610.11059999999998"/>
    <n v="610.11059999999998"/>
  </r>
  <r>
    <s v="SALE367"/>
    <x v="294"/>
    <x v="2"/>
    <s v="CUST1085"/>
    <x v="1"/>
    <x v="0"/>
    <x v="2"/>
    <s v="PROD84"/>
    <s v="Wooden Bookshelf"/>
    <x v="3"/>
    <s v="Furniture"/>
    <s v="STORE4"/>
    <x v="2"/>
    <x v="1"/>
    <n v="944.64"/>
    <n v="0.26"/>
    <x v="0"/>
    <b v="1"/>
    <n v="2097.1008000000002"/>
    <n v="2097.1008000000002"/>
  </r>
  <r>
    <s v="SALE368"/>
    <x v="260"/>
    <x v="2"/>
    <s v="CUST1471"/>
    <x v="1"/>
    <x v="0"/>
    <x v="1"/>
    <s v="PROD93"/>
    <s v="USB-C Laptop Charger"/>
    <x v="1"/>
    <s v="Computer"/>
    <s v="STORE12"/>
    <x v="0"/>
    <x v="3"/>
    <n v="121.7"/>
    <n v="0.06"/>
    <x v="2"/>
    <b v="1"/>
    <n v="228.79599999999999"/>
    <n v="228.79599999999999"/>
  </r>
  <r>
    <s v="SALE369"/>
    <x v="30"/>
    <x v="1"/>
    <s v="CUST1448"/>
    <x v="0"/>
    <x v="1"/>
    <x v="3"/>
    <s v="PROD65"/>
    <s v="Adjustable Dumbbells 20kg"/>
    <x v="0"/>
    <s v="Fitness"/>
    <s v="STORE3"/>
    <x v="0"/>
    <x v="2"/>
    <n v="269.49"/>
    <n v="7.0000000000000007E-2"/>
    <x v="1"/>
    <b v="1"/>
    <n v="1002.5028"/>
    <n v="1002.5028"/>
  </r>
  <r>
    <s v="SALE370"/>
    <x v="295"/>
    <x v="2"/>
    <s v="CUST1099"/>
    <x v="1"/>
    <x v="0"/>
    <x v="2"/>
    <s v="PROD22"/>
    <s v="Carbon Fiber Tennis Racket"/>
    <x v="0"/>
    <s v="Equipment"/>
    <s v="STORE18"/>
    <x v="3"/>
    <x v="0"/>
    <n v="678.2"/>
    <n v="0.14000000000000001"/>
    <x v="0"/>
    <b v="1"/>
    <n v="583.25200000000007"/>
    <n v="583.25200000000007"/>
  </r>
  <r>
    <s v="SALE371"/>
    <x v="296"/>
    <x v="0"/>
    <s v="CUST1231"/>
    <x v="2"/>
    <x v="1"/>
    <x v="3"/>
    <s v="PROD90"/>
    <s v="Gaming Mouse Pad XL"/>
    <x v="1"/>
    <s v="Accessories"/>
    <s v="STORE13"/>
    <x v="3"/>
    <x v="0"/>
    <n v="752.45"/>
    <n v="0.21"/>
    <x v="2"/>
    <b v="1"/>
    <n v="594.43550000000005"/>
    <n v="594.43550000000005"/>
  </r>
  <r>
    <s v="SALE372"/>
    <x v="297"/>
    <x v="0"/>
    <s v="CUST1037"/>
    <x v="2"/>
    <x v="1"/>
    <x v="1"/>
    <s v="PROD94"/>
    <s v="Vitamin E Body Lotion"/>
    <x v="2"/>
    <s v="Skincare"/>
    <s v="STORE13"/>
    <x v="3"/>
    <x v="3"/>
    <n v="209.66"/>
    <n v="0.21"/>
    <x v="0"/>
    <b v="1"/>
    <n v="331.26280000000003"/>
    <n v="331.26280000000003"/>
  </r>
  <r>
    <s v="SALE373"/>
    <x v="298"/>
    <x v="2"/>
    <s v="CUST1161"/>
    <x v="2"/>
    <x v="1"/>
    <x v="2"/>
    <s v="PROD97"/>
    <s v="Cricket Bat"/>
    <x v="0"/>
    <s v="Team Sports"/>
    <s v="STORE19"/>
    <x v="3"/>
    <x v="3"/>
    <n v="739.95"/>
    <n v="0.1"/>
    <x v="2"/>
    <b v="1"/>
    <n v="1331.91"/>
    <n v="1331.91"/>
  </r>
  <r>
    <s v="SALE374"/>
    <x v="149"/>
    <x v="1"/>
    <s v="CUST1469"/>
    <x v="2"/>
    <x v="0"/>
    <x v="0"/>
    <s v="PROD45"/>
    <s v="High-Grip Football"/>
    <x v="0"/>
    <s v="Team Sports"/>
    <s v="STORE15"/>
    <x v="0"/>
    <x v="0"/>
    <n v="496.19"/>
    <n v="0.08"/>
    <x v="2"/>
    <b v="1"/>
    <n v="456.4948"/>
    <n v="456.4948"/>
  </r>
  <r>
    <s v="SALE375"/>
    <x v="131"/>
    <x v="2"/>
    <s v="CUST1044"/>
    <x v="1"/>
    <x v="0"/>
    <x v="3"/>
    <s v="PROD9"/>
    <s v="Adjustable Dumbbell Set"/>
    <x v="0"/>
    <s v="Fitness"/>
    <s v="STORE12"/>
    <x v="0"/>
    <x v="0"/>
    <n v="306.36"/>
    <n v="0.01"/>
    <x v="1"/>
    <b v="1"/>
    <n v="303.29640000000001"/>
    <n v="303.29640000000001"/>
  </r>
  <r>
    <s v="SALE376"/>
    <x v="273"/>
    <x v="0"/>
    <s v="CUST1120"/>
    <x v="1"/>
    <x v="1"/>
    <x v="1"/>
    <s v="PROD73"/>
    <s v="Shin Guards – Adult"/>
    <x v="0"/>
    <s v="Team Sports"/>
    <s v="STORE4"/>
    <x v="2"/>
    <x v="2"/>
    <n v="693.16"/>
    <n v="0.05"/>
    <x v="1"/>
    <b v="1"/>
    <n v="2634.0079999999998"/>
    <n v="2634.0079999999998"/>
  </r>
  <r>
    <s v="SALE377"/>
    <x v="299"/>
    <x v="2"/>
    <s v="CUST1455"/>
    <x v="0"/>
    <x v="0"/>
    <x v="0"/>
    <s v="PROD83"/>
    <s v="Hydrating Face Cleanser"/>
    <x v="2"/>
    <s v="Skincare"/>
    <s v="STORE10"/>
    <x v="3"/>
    <x v="0"/>
    <n v="995.52"/>
    <n v="0.22"/>
    <x v="1"/>
    <b v="1"/>
    <n v="776.50559999999996"/>
    <n v="776.50559999999996"/>
  </r>
  <r>
    <s v="SALE378"/>
    <x v="300"/>
    <x v="0"/>
    <s v="CUST1125"/>
    <x v="0"/>
    <x v="1"/>
    <x v="1"/>
    <s v="PROD7"/>
    <s v="LED Table Lamp"/>
    <x v="3"/>
    <s v="Lighting"/>
    <s v="STORE18"/>
    <x v="3"/>
    <x v="2"/>
    <n v="241.32"/>
    <n v="0.28999999999999998"/>
    <x v="2"/>
    <b v="1"/>
    <n v="685.34879999999998"/>
    <n v="685.34879999999998"/>
  </r>
  <r>
    <s v="SALE379"/>
    <x v="269"/>
    <x v="1"/>
    <s v="CUST1239"/>
    <x v="0"/>
    <x v="1"/>
    <x v="1"/>
    <s v="PROD78"/>
    <s v="Essential Oil Diffuser"/>
    <x v="3"/>
    <s v="Decor"/>
    <s v="STORE1"/>
    <x v="0"/>
    <x v="1"/>
    <n v="636.03"/>
    <n v="0.06"/>
    <x v="2"/>
    <b v="1"/>
    <n v="1793.6045999999999"/>
    <n v="1793.6045999999999"/>
  </r>
  <r>
    <s v="SALE380"/>
    <x v="301"/>
    <x v="1"/>
    <s v="CUST1096"/>
    <x v="2"/>
    <x v="1"/>
    <x v="1"/>
    <s v="PROD4"/>
    <s v="Women's Yoga Pants"/>
    <x v="4"/>
    <s v="Bottoms"/>
    <s v="STORE19"/>
    <x v="3"/>
    <x v="2"/>
    <n v="603.30999999999995"/>
    <n v="0.15"/>
    <x v="0"/>
    <b v="1"/>
    <n v="2051.2539999999999"/>
    <n v="2051.2539999999999"/>
  </r>
  <r>
    <s v="SALE381"/>
    <x v="80"/>
    <x v="0"/>
    <s v="CUST1075"/>
    <x v="0"/>
    <x v="1"/>
    <x v="0"/>
    <s v="PROD89"/>
    <s v="Face Foundation Kit"/>
    <x v="2"/>
    <s v="Makeup"/>
    <s v="STORE10"/>
    <x v="3"/>
    <x v="1"/>
    <n v="437.96"/>
    <n v="0.27"/>
    <x v="2"/>
    <b v="1"/>
    <n v="959.13239999999985"/>
    <n v="959.13239999999985"/>
  </r>
  <r>
    <s v="SALE382"/>
    <x v="302"/>
    <x v="0"/>
    <s v="CUST1208"/>
    <x v="0"/>
    <x v="0"/>
    <x v="1"/>
    <s v="PROD34"/>
    <s v="Gaming Mechanical Keyboard"/>
    <x v="1"/>
    <s v="Computer"/>
    <s v="STORE4"/>
    <x v="2"/>
    <x v="3"/>
    <n v="56.91"/>
    <n v="0.08"/>
    <x v="2"/>
    <b v="1"/>
    <n v="104.7144"/>
    <n v="104.7144"/>
  </r>
  <r>
    <s v="SALE383"/>
    <x v="303"/>
    <x v="1"/>
    <s v="CUST1334"/>
    <x v="1"/>
    <x v="1"/>
    <x v="2"/>
    <s v="PROD76"/>
    <s v="Wireless Mouse"/>
    <x v="1"/>
    <s v="Computer"/>
    <s v="STORE6"/>
    <x v="3"/>
    <x v="0"/>
    <n v="141.79"/>
    <n v="0.1"/>
    <x v="0"/>
    <b v="1"/>
    <n v="127.61099999999999"/>
    <n v="127.611"/>
  </r>
  <r>
    <s v="SALE384"/>
    <x v="29"/>
    <x v="0"/>
    <s v="CUST1483"/>
    <x v="1"/>
    <x v="0"/>
    <x v="0"/>
    <s v="PROD9"/>
    <s v="Adjustable Dumbbell Set"/>
    <x v="0"/>
    <s v="Fitness"/>
    <s v="STORE15"/>
    <x v="0"/>
    <x v="2"/>
    <n v="355.14"/>
    <n v="0.16"/>
    <x v="2"/>
    <b v="1"/>
    <n v="1193.2703999999999"/>
    <n v="1193.2704000000001"/>
  </r>
  <r>
    <s v="SALE385"/>
    <x v="96"/>
    <x v="2"/>
    <s v="CUST1211"/>
    <x v="2"/>
    <x v="1"/>
    <x v="2"/>
    <s v="PROD38"/>
    <s v="Sports Water Hydration Pack"/>
    <x v="0"/>
    <s v="Outdoor"/>
    <s v="STORE6"/>
    <x v="3"/>
    <x v="2"/>
    <n v="960.38"/>
    <n v="0.15"/>
    <x v="2"/>
    <b v="1"/>
    <n v="3265.2919999999999"/>
    <n v="3265.2919999999999"/>
  </r>
  <r>
    <s v="SALE386"/>
    <x v="138"/>
    <x v="0"/>
    <s v="CUST1420"/>
    <x v="0"/>
    <x v="0"/>
    <x v="3"/>
    <s v="PROD69"/>
    <s v="Men's Sports Shorts"/>
    <x v="4"/>
    <s v="Bottoms"/>
    <s v="STORE16"/>
    <x v="1"/>
    <x v="1"/>
    <n v="847.21"/>
    <n v="0.06"/>
    <x v="1"/>
    <b v="1"/>
    <n v="2389.1322"/>
    <n v="2389.1322"/>
  </r>
  <r>
    <s v="SALE387"/>
    <x v="304"/>
    <x v="2"/>
    <s v="CUST1066"/>
    <x v="2"/>
    <x v="1"/>
    <x v="2"/>
    <s v="PROD80"/>
    <s v="Wall-Mounted Spice Rack"/>
    <x v="3"/>
    <s v="Kitchen"/>
    <s v="STORE10"/>
    <x v="3"/>
    <x v="2"/>
    <n v="773.81"/>
    <n v="0.08"/>
    <x v="2"/>
    <b v="1"/>
    <n v="2847.6208000000001"/>
    <n v="2847.6208000000001"/>
  </r>
  <r>
    <s v="SALE388"/>
    <x v="208"/>
    <x v="2"/>
    <s v="CUST1000"/>
    <x v="0"/>
    <x v="0"/>
    <x v="1"/>
    <s v="PROD63"/>
    <s v="Organic Sunscreen Lotion"/>
    <x v="2"/>
    <s v="Skincare"/>
    <s v="STORE16"/>
    <x v="1"/>
    <x v="0"/>
    <n v="664.71"/>
    <n v="0.1"/>
    <x v="1"/>
    <b v="1"/>
    <n v="598.23900000000003"/>
    <n v="598.23900000000003"/>
  </r>
  <r>
    <s v="SALE389"/>
    <x v="305"/>
    <x v="1"/>
    <s v="CUST1347"/>
    <x v="1"/>
    <x v="1"/>
    <x v="0"/>
    <s v="PROD37"/>
    <s v="Men's Casual Sneakers"/>
    <x v="4"/>
    <s v="Footwear"/>
    <s v="STORE7"/>
    <x v="2"/>
    <x v="2"/>
    <n v="482.06"/>
    <n v="7.0000000000000007E-2"/>
    <x v="1"/>
    <b v="1"/>
    <n v="1793.2631999999999"/>
    <n v="1793.2632000000001"/>
  </r>
  <r>
    <s v="SALE390"/>
    <x v="177"/>
    <x v="2"/>
    <s v="CUST1089"/>
    <x v="1"/>
    <x v="0"/>
    <x v="1"/>
    <s v="PROD57"/>
    <s v="Foam Roller"/>
    <x v="0"/>
    <s v="Fitness"/>
    <s v="STORE3"/>
    <x v="0"/>
    <x v="2"/>
    <n v="995.55"/>
    <n v="0.19"/>
    <x v="1"/>
    <b v="1"/>
    <n v="3225.5819999999999"/>
    <n v="3225.5819999999999"/>
  </r>
  <r>
    <s v="SALE391"/>
    <x v="270"/>
    <x v="0"/>
    <s v="CUST1141"/>
    <x v="2"/>
    <x v="0"/>
    <x v="3"/>
    <s v="PROD93"/>
    <s v="USB-C Laptop Charger"/>
    <x v="1"/>
    <s v="Computer"/>
    <s v="STORE13"/>
    <x v="3"/>
    <x v="3"/>
    <n v="153.84"/>
    <n v="0.27"/>
    <x v="1"/>
    <b v="1"/>
    <n v="224.60640000000001"/>
    <n v="224.60640000000001"/>
  </r>
  <r>
    <s v="SALE392"/>
    <x v="306"/>
    <x v="2"/>
    <s v="CUST1153"/>
    <x v="1"/>
    <x v="0"/>
    <x v="3"/>
    <s v="PROD78"/>
    <s v="Essential Oil Diffuser"/>
    <x v="3"/>
    <s v="Decor"/>
    <s v="STORE6"/>
    <x v="3"/>
    <x v="1"/>
    <n v="362.11"/>
    <n v="0.23"/>
    <x v="2"/>
    <b v="1"/>
    <n v="836.47409999999991"/>
    <n v="836.47409999999991"/>
  </r>
  <r>
    <s v="SALE393"/>
    <x v="307"/>
    <x v="0"/>
    <s v="CUST1472"/>
    <x v="1"/>
    <x v="0"/>
    <x v="2"/>
    <s v="PROD43"/>
    <s v="USB External Hard Drive"/>
    <x v="1"/>
    <s v="Computer"/>
    <s v="STORE8"/>
    <x v="1"/>
    <x v="1"/>
    <n v="112.26"/>
    <n v="0.11"/>
    <x v="0"/>
    <b v="1"/>
    <n v="299.73420000000004"/>
    <n v="299.73419999999999"/>
  </r>
  <r>
    <s v="SALE394"/>
    <x v="38"/>
    <x v="0"/>
    <s v="CUST1203"/>
    <x v="1"/>
    <x v="0"/>
    <x v="1"/>
    <s v="PROD94"/>
    <s v="Vitamin E Body Lotion"/>
    <x v="2"/>
    <s v="Skincare"/>
    <s v="STORE19"/>
    <x v="3"/>
    <x v="3"/>
    <n v="962.81"/>
    <n v="0.06"/>
    <x v="2"/>
    <b v="1"/>
    <n v="1810.0827999999999"/>
    <n v="1810.0827999999999"/>
  </r>
  <r>
    <s v="SALE395"/>
    <x v="238"/>
    <x v="0"/>
    <s v="CUST1213"/>
    <x v="1"/>
    <x v="1"/>
    <x v="1"/>
    <s v="PROD21"/>
    <s v="Multi-Purpose Storage Box"/>
    <x v="3"/>
    <s v="Storage"/>
    <s v="STORE0"/>
    <x v="3"/>
    <x v="2"/>
    <n v="276.23"/>
    <n v="0.12"/>
    <x v="0"/>
    <b v="1"/>
    <n v="972.32960000000003"/>
    <n v="972.32960000000003"/>
  </r>
  <r>
    <s v="SALE396"/>
    <x v="266"/>
    <x v="0"/>
    <s v="CUST1015"/>
    <x v="1"/>
    <x v="1"/>
    <x v="1"/>
    <s v="PROD18"/>
    <s v="Women's Denim Jeans"/>
    <x v="4"/>
    <s v="Bottoms"/>
    <s v="STORE14"/>
    <x v="2"/>
    <x v="1"/>
    <n v="991.37"/>
    <n v="0.1"/>
    <x v="1"/>
    <b v="1"/>
    <n v="2676.6990000000001"/>
    <n v="2676.6990000000001"/>
  </r>
  <r>
    <s v="SALE397"/>
    <x v="308"/>
    <x v="2"/>
    <s v="CUST1168"/>
    <x v="1"/>
    <x v="1"/>
    <x v="1"/>
    <s v="PROD21"/>
    <s v="Multi-Purpose Storage Box"/>
    <x v="3"/>
    <s v="Storage"/>
    <s v="STORE13"/>
    <x v="3"/>
    <x v="1"/>
    <n v="977.47"/>
    <n v="0.05"/>
    <x v="0"/>
    <b v="1"/>
    <n v="2785.7894999999999"/>
    <n v="2785.7894999999999"/>
  </r>
  <r>
    <s v="SALE398"/>
    <x v="309"/>
    <x v="2"/>
    <s v="CUST1206"/>
    <x v="2"/>
    <x v="1"/>
    <x v="2"/>
    <s v="PROD94"/>
    <s v="Vitamin E Body Lotion"/>
    <x v="2"/>
    <s v="Skincare"/>
    <s v="STORE12"/>
    <x v="0"/>
    <x v="3"/>
    <n v="308.7"/>
    <n v="0.2"/>
    <x v="1"/>
    <b v="1"/>
    <n v="493.92"/>
    <n v="493.92"/>
  </r>
  <r>
    <s v="SALE399"/>
    <x v="140"/>
    <x v="0"/>
    <s v="CUST1037"/>
    <x v="2"/>
    <x v="1"/>
    <x v="1"/>
    <s v="PROD6"/>
    <s v="Herbal Face Moisturizer"/>
    <x v="2"/>
    <s v="Skincare"/>
    <s v="STORE16"/>
    <x v="1"/>
    <x v="3"/>
    <n v="733.87"/>
    <n v="0.1"/>
    <x v="1"/>
    <b v="1"/>
    <n v="1320.9660000000001"/>
    <n v="1320.9659999999999"/>
  </r>
  <r>
    <s v="SALE400"/>
    <x v="174"/>
    <x v="1"/>
    <s v="CUST1095"/>
    <x v="0"/>
    <x v="1"/>
    <x v="1"/>
    <s v="PROD19"/>
    <s v="Knee Support Brace"/>
    <x v="0"/>
    <s v="Equipment"/>
    <s v="STORE16"/>
    <x v="1"/>
    <x v="3"/>
    <n v="22.47"/>
    <n v="0.22"/>
    <x v="1"/>
    <b v="1"/>
    <n v="35.053199999999997"/>
    <n v="35.053199999999997"/>
  </r>
  <r>
    <s v="SALE401"/>
    <x v="264"/>
    <x v="0"/>
    <s v="CUST1348"/>
    <x v="0"/>
    <x v="0"/>
    <x v="2"/>
    <s v="PROD57"/>
    <s v="Foam Roller"/>
    <x v="0"/>
    <s v="Fitness"/>
    <s v="STORE13"/>
    <x v="3"/>
    <x v="2"/>
    <n v="651.36"/>
    <n v="0.13"/>
    <x v="0"/>
    <b v="1"/>
    <n v="2266.7328000000002"/>
    <n v="2266.7328000000002"/>
  </r>
  <r>
    <s v="SALE402"/>
    <x v="310"/>
    <x v="2"/>
    <s v="CUST1296"/>
    <x v="2"/>
    <x v="1"/>
    <x v="3"/>
    <s v="PROD14"/>
    <s v="Decorative Wall Mirror"/>
    <x v="3"/>
    <s v="Decor"/>
    <s v="STORE10"/>
    <x v="3"/>
    <x v="0"/>
    <n v="753.39"/>
    <n v="0.04"/>
    <x v="2"/>
    <b v="1"/>
    <n v="723.25439999999992"/>
    <n v="723.25439999999992"/>
  </r>
  <r>
    <s v="SALE403"/>
    <x v="311"/>
    <x v="0"/>
    <s v="CUST1201"/>
    <x v="2"/>
    <x v="1"/>
    <x v="3"/>
    <s v="PROD71"/>
    <s v="Hair Repair Oil Treatment"/>
    <x v="2"/>
    <s v="Haircare"/>
    <s v="STORE12"/>
    <x v="0"/>
    <x v="2"/>
    <n v="849.17"/>
    <n v="0.12"/>
    <x v="2"/>
    <b v="1"/>
    <n v="2989.0783999999999"/>
    <n v="2989.0783999999999"/>
  </r>
  <r>
    <s v="SALE404"/>
    <x v="123"/>
    <x v="0"/>
    <s v="CUST1379"/>
    <x v="1"/>
    <x v="1"/>
    <x v="0"/>
    <s v="PROD20"/>
    <s v="Outdoor Sports Water Bottle"/>
    <x v="0"/>
    <s v="Accessories"/>
    <s v="STORE0"/>
    <x v="3"/>
    <x v="2"/>
    <n v="585.45000000000005"/>
    <n v="0.25"/>
    <x v="2"/>
    <b v="1"/>
    <n v="1756.3500000000001"/>
    <n v="1756.35"/>
  </r>
  <r>
    <s v="SALE405"/>
    <x v="312"/>
    <x v="0"/>
    <s v="CUST1476"/>
    <x v="1"/>
    <x v="1"/>
    <x v="0"/>
    <s v="PROD75"/>
    <s v="Women's Ankle Boots"/>
    <x v="4"/>
    <s v="Footwear"/>
    <s v="STORE16"/>
    <x v="1"/>
    <x v="0"/>
    <n v="745.15"/>
    <n v="0.25"/>
    <x v="2"/>
    <b v="1"/>
    <n v="558.86249999999995"/>
    <n v="558.86249999999995"/>
  </r>
  <r>
    <s v="SALE406"/>
    <x v="313"/>
    <x v="1"/>
    <s v="CUST1050"/>
    <x v="0"/>
    <x v="1"/>
    <x v="0"/>
    <s v="PROD99"/>
    <s v="Stainless Steel Cookware Set"/>
    <x v="3"/>
    <s v="Kitchen"/>
    <s v="STORE2"/>
    <x v="2"/>
    <x v="0"/>
    <n v="848.69"/>
    <n v="0.04"/>
    <x v="2"/>
    <b v="1"/>
    <n v="814.74239999999998"/>
    <n v="814.74239999999998"/>
  </r>
  <r>
    <s v="SALE407"/>
    <x v="314"/>
    <x v="0"/>
    <s v="CUST1413"/>
    <x v="0"/>
    <x v="1"/>
    <x v="3"/>
    <s v="PROD70"/>
    <s v="Kitchen Storage Rack"/>
    <x v="3"/>
    <s v="Storage"/>
    <s v="STORE14"/>
    <x v="2"/>
    <x v="3"/>
    <n v="247.67"/>
    <n v="0.1"/>
    <x v="1"/>
    <b v="1"/>
    <n v="445.80599999999998"/>
    <n v="445.80599999999998"/>
  </r>
  <r>
    <s v="SALE408"/>
    <x v="180"/>
    <x v="0"/>
    <s v="CUST1039"/>
    <x v="0"/>
    <x v="1"/>
    <x v="0"/>
    <s v="PROD74"/>
    <s v="Bluetooth Car Audio System"/>
    <x v="1"/>
    <s v="Audio"/>
    <s v="STORE3"/>
    <x v="0"/>
    <x v="1"/>
    <n v="220.51"/>
    <n v="0.02"/>
    <x v="1"/>
    <b v="1"/>
    <n v="648.29939999999999"/>
    <n v="648.29939999999999"/>
  </r>
  <r>
    <s v="SALE409"/>
    <x v="315"/>
    <x v="2"/>
    <s v="CUST1327"/>
    <x v="0"/>
    <x v="1"/>
    <x v="3"/>
    <s v="PROD15"/>
    <s v="4K Home Projector"/>
    <x v="1"/>
    <s v="Appliances"/>
    <s v="STORE16"/>
    <x v="1"/>
    <x v="2"/>
    <n v="370.63"/>
    <n v="0.08"/>
    <x v="0"/>
    <b v="1"/>
    <n v="1363.9184"/>
    <n v="1363.9184"/>
  </r>
  <r>
    <s v="SALE410"/>
    <x v="52"/>
    <x v="2"/>
    <s v="CUST1391"/>
    <x v="1"/>
    <x v="1"/>
    <x v="3"/>
    <s v="PROD29"/>
    <s v="Fabric Sofa Throw Blanket"/>
    <x v="3"/>
    <s v="Decor"/>
    <s v="STORE19"/>
    <x v="3"/>
    <x v="2"/>
    <n v="349.84"/>
    <n v="0.11"/>
    <x v="0"/>
    <b v="1"/>
    <n v="1245.4304"/>
    <n v="1245.4304"/>
  </r>
  <r>
    <s v="SALE411"/>
    <x v="260"/>
    <x v="2"/>
    <s v="CUST1043"/>
    <x v="1"/>
    <x v="0"/>
    <x v="0"/>
    <s v="PROD39"/>
    <s v="Portable Power Bank"/>
    <x v="1"/>
    <s v="Mobile"/>
    <s v="STORE12"/>
    <x v="0"/>
    <x v="0"/>
    <n v="770.87"/>
    <n v="0.1"/>
    <x v="2"/>
    <b v="1"/>
    <n v="693.78300000000002"/>
    <n v="693.78300000000002"/>
  </r>
  <r>
    <s v="SALE412"/>
    <x v="79"/>
    <x v="0"/>
    <s v="CUST1479"/>
    <x v="1"/>
    <x v="0"/>
    <x v="3"/>
    <s v="PROD99"/>
    <s v="Stainless Steel Cookware Set"/>
    <x v="3"/>
    <s v="Kitchen"/>
    <s v="STORE17"/>
    <x v="0"/>
    <x v="1"/>
    <n v="507.33"/>
    <n v="0.06"/>
    <x v="1"/>
    <b v="1"/>
    <n v="1430.6705999999999"/>
    <n v="1430.6705999999999"/>
  </r>
  <r>
    <s v="SALE413"/>
    <x v="198"/>
    <x v="2"/>
    <s v="CUST1185"/>
    <x v="0"/>
    <x v="1"/>
    <x v="1"/>
    <s v="PROD66"/>
    <s v="Women's Hair Dryer Brush"/>
    <x v="2"/>
    <s v="Haircare"/>
    <s v="STORE9"/>
    <x v="2"/>
    <x v="0"/>
    <n v="87.78"/>
    <n v="0.06"/>
    <x v="0"/>
    <b v="1"/>
    <n v="82.513199999999998"/>
    <n v="82.513199999999998"/>
  </r>
  <r>
    <s v="SALE414"/>
    <x v="193"/>
    <x v="2"/>
    <s v="CUST1006"/>
    <x v="2"/>
    <x v="1"/>
    <x v="1"/>
    <s v="PROD93"/>
    <s v="USB-C Laptop Charger"/>
    <x v="1"/>
    <s v="Computer"/>
    <s v="STORE4"/>
    <x v="2"/>
    <x v="3"/>
    <n v="772.24"/>
    <n v="0.22"/>
    <x v="0"/>
    <b v="1"/>
    <n v="1204.6944000000001"/>
    <n v="1204.6944000000001"/>
  </r>
  <r>
    <s v="SALE415"/>
    <x v="249"/>
    <x v="2"/>
    <s v="CUST1047"/>
    <x v="0"/>
    <x v="1"/>
    <x v="2"/>
    <s v="PROD70"/>
    <s v="Kitchen Storage Rack"/>
    <x v="3"/>
    <s v="Storage"/>
    <s v="STORE14"/>
    <x v="2"/>
    <x v="0"/>
    <n v="108.27"/>
    <n v="0.1"/>
    <x v="2"/>
    <b v="1"/>
    <n v="97.442999999999998"/>
    <n v="97.442999999999998"/>
  </r>
  <r>
    <s v="SALE416"/>
    <x v="56"/>
    <x v="0"/>
    <s v="CUST1347"/>
    <x v="1"/>
    <x v="1"/>
    <x v="0"/>
    <s v="PROD38"/>
    <s v="Sports Water Hydration Pack"/>
    <x v="0"/>
    <s v="Outdoor"/>
    <s v="STORE17"/>
    <x v="0"/>
    <x v="3"/>
    <n v="839.24"/>
    <n v="0.21"/>
    <x v="1"/>
    <b v="1"/>
    <n v="1325.9992"/>
    <n v="1325.9992"/>
  </r>
  <r>
    <s v="SALE417"/>
    <x v="316"/>
    <x v="0"/>
    <s v="CUST1383"/>
    <x v="2"/>
    <x v="1"/>
    <x v="2"/>
    <s v="PROD58"/>
    <s v="Womens Cotton Scarf"/>
    <x v="4"/>
    <s v="Accessories"/>
    <s v="STORE10"/>
    <x v="3"/>
    <x v="3"/>
    <n v="466.27"/>
    <n v="0.11"/>
    <x v="1"/>
    <b v="1"/>
    <n v="829.9606"/>
    <n v="829.9606"/>
  </r>
  <r>
    <s v="SALE418"/>
    <x v="72"/>
    <x v="2"/>
    <s v="CUST1398"/>
    <x v="0"/>
    <x v="0"/>
    <x v="3"/>
    <s v="PROD62"/>
    <s v="Laptop Cooling Pad"/>
    <x v="1"/>
    <s v="Computer"/>
    <s v="STORE14"/>
    <x v="2"/>
    <x v="1"/>
    <n v="969.83"/>
    <n v="0.02"/>
    <x v="0"/>
    <b v="1"/>
    <n v="2851.3002000000001"/>
    <n v="2851.3002000000001"/>
  </r>
  <r>
    <s v="SALE419"/>
    <x v="317"/>
    <x v="2"/>
    <s v="CUST1417"/>
    <x v="0"/>
    <x v="1"/>
    <x v="3"/>
    <s v="PROD91"/>
    <s v="Women's High Heels"/>
    <x v="4"/>
    <s v="Footwear"/>
    <s v="STORE19"/>
    <x v="3"/>
    <x v="3"/>
    <n v="782.11"/>
    <n v="0.17"/>
    <x v="1"/>
    <b v="1"/>
    <n v="1298.3026"/>
    <n v="1298.3026"/>
  </r>
  <r>
    <s v="SALE420"/>
    <x v="275"/>
    <x v="2"/>
    <s v="CUST1451"/>
    <x v="1"/>
    <x v="0"/>
    <x v="0"/>
    <s v="PROD40"/>
    <s v="Noise-Canceling Headphones"/>
    <x v="1"/>
    <s v="Audio"/>
    <s v="STORE11"/>
    <x v="2"/>
    <x v="3"/>
    <n v="74.63"/>
    <n v="0.01"/>
    <x v="1"/>
    <b v="1"/>
    <n v="147.76739999999998"/>
    <n v="147.76740000000001"/>
  </r>
  <r>
    <s v="SALE421"/>
    <x v="318"/>
    <x v="2"/>
    <s v="CUST1041"/>
    <x v="2"/>
    <x v="0"/>
    <x v="1"/>
    <s v="PROD85"/>
    <s v="Women's Beanie Hat"/>
    <x v="4"/>
    <s v="Accessories"/>
    <s v="STORE6"/>
    <x v="3"/>
    <x v="1"/>
    <n v="522.78"/>
    <n v="0.25"/>
    <x v="1"/>
    <b v="1"/>
    <n v="1176.2549999999999"/>
    <n v="1176.2550000000001"/>
  </r>
  <r>
    <s v="SALE422"/>
    <x v="319"/>
    <x v="2"/>
    <s v="CUST1338"/>
    <x v="1"/>
    <x v="1"/>
    <x v="2"/>
    <s v="PROD13"/>
    <s v="USB-C Fast Charger"/>
    <x v="1"/>
    <s v="Accessories"/>
    <s v="STORE15"/>
    <x v="0"/>
    <x v="0"/>
    <n v="206.45"/>
    <n v="0.15"/>
    <x v="1"/>
    <b v="1"/>
    <n v="175.48249999999999"/>
    <n v="175.48249999999999"/>
  </r>
  <r>
    <s v="SALE423"/>
    <x v="93"/>
    <x v="0"/>
    <s v="CUST1145"/>
    <x v="1"/>
    <x v="0"/>
    <x v="1"/>
    <s v="PROD69"/>
    <s v="Men's Sports Shorts"/>
    <x v="4"/>
    <s v="Bottoms"/>
    <s v="STORE5"/>
    <x v="0"/>
    <x v="0"/>
    <n v="815.53"/>
    <n v="0.3"/>
    <x v="1"/>
    <b v="1"/>
    <n v="570.87099999999998"/>
    <n v="570.87099999999998"/>
  </r>
  <r>
    <s v="SALE424"/>
    <x v="320"/>
    <x v="1"/>
    <s v="CUST1037"/>
    <x v="2"/>
    <x v="1"/>
    <x v="1"/>
    <s v="PROD79"/>
    <s v="Decorative Lamp Shade"/>
    <x v="3"/>
    <s v="Lighting"/>
    <s v="STORE13"/>
    <x v="3"/>
    <x v="0"/>
    <n v="823.61"/>
    <n v="0.28000000000000003"/>
    <x v="2"/>
    <b v="1"/>
    <n v="592.99919999999997"/>
    <n v="592.99919999999997"/>
  </r>
  <r>
    <s v="SALE425"/>
    <x v="185"/>
    <x v="2"/>
    <s v="CUST1478"/>
    <x v="0"/>
    <x v="0"/>
    <x v="0"/>
    <s v="PROD87"/>
    <s v="LED Bedside Lamp"/>
    <x v="3"/>
    <s v="Lighting"/>
    <s v="STORE9"/>
    <x v="2"/>
    <x v="3"/>
    <n v="209.96"/>
    <n v="0"/>
    <x v="0"/>
    <b v="1"/>
    <n v="419.92"/>
    <n v="419.92"/>
  </r>
  <r>
    <s v="SALE426"/>
    <x v="55"/>
    <x v="0"/>
    <s v="CUST1175"/>
    <x v="0"/>
    <x v="0"/>
    <x v="1"/>
    <s v="PROD0"/>
    <s v="Brother Laser Printer"/>
    <x v="1"/>
    <s v="Computer"/>
    <s v="STORE16"/>
    <x v="1"/>
    <x v="2"/>
    <n v="897.93"/>
    <n v="0.05"/>
    <x v="2"/>
    <b v="1"/>
    <n v="3412.1339999999996"/>
    <n v="3412.134"/>
  </r>
  <r>
    <s v="SALE427"/>
    <x v="175"/>
    <x v="0"/>
    <s v="CUST1181"/>
    <x v="0"/>
    <x v="0"/>
    <x v="3"/>
    <s v="PROD63"/>
    <s v="Organic Sunscreen Lotion"/>
    <x v="2"/>
    <s v="Skincare"/>
    <s v="STORE0"/>
    <x v="3"/>
    <x v="2"/>
    <n v="925.95"/>
    <n v="0.16"/>
    <x v="2"/>
    <b v="1"/>
    <n v="3111.192"/>
    <n v="3111.192"/>
  </r>
  <r>
    <s v="SALE428"/>
    <x v="296"/>
    <x v="0"/>
    <s v="CUST1084"/>
    <x v="2"/>
    <x v="1"/>
    <x v="1"/>
    <s v="PROD51"/>
    <s v="HDMI Cable – 2m"/>
    <x v="1"/>
    <s v="Accessories"/>
    <s v="STORE6"/>
    <x v="3"/>
    <x v="3"/>
    <n v="573.09"/>
    <n v="0.03"/>
    <x v="2"/>
    <b v="1"/>
    <n v="1111.7945999999999"/>
    <n v="1111.7945999999999"/>
  </r>
  <r>
    <s v="SALE429"/>
    <x v="201"/>
    <x v="2"/>
    <s v="CUST1183"/>
    <x v="2"/>
    <x v="0"/>
    <x v="1"/>
    <s v="PROD7"/>
    <s v="LED Table Lamp"/>
    <x v="3"/>
    <s v="Lighting"/>
    <s v="STORE4"/>
    <x v="2"/>
    <x v="2"/>
    <n v="149.83000000000001"/>
    <n v="0.02"/>
    <x v="0"/>
    <b v="1"/>
    <n v="587.33360000000005"/>
    <n v="587.33360000000005"/>
  </r>
  <r>
    <s v="SALE430"/>
    <x v="181"/>
    <x v="0"/>
    <s v="CUST1001"/>
    <x v="2"/>
    <x v="1"/>
    <x v="1"/>
    <s v="PROD51"/>
    <s v="HDMI Cable – 2m"/>
    <x v="1"/>
    <s v="Accessories"/>
    <s v="STORE14"/>
    <x v="2"/>
    <x v="1"/>
    <n v="287.70999999999998"/>
    <n v="0.03"/>
    <x v="2"/>
    <b v="1"/>
    <n v="837.23609999999985"/>
    <n v="837.23609999999985"/>
  </r>
  <r>
    <s v="SALE431"/>
    <x v="321"/>
    <x v="2"/>
    <s v="CUST1094"/>
    <x v="1"/>
    <x v="1"/>
    <x v="0"/>
    <s v="PROD67"/>
    <s v="Smart LED Light Strip"/>
    <x v="1"/>
    <s v="Accessories"/>
    <s v="STORE6"/>
    <x v="3"/>
    <x v="3"/>
    <n v="849.8"/>
    <n v="0.06"/>
    <x v="2"/>
    <b v="1"/>
    <n v="1597.6239999999998"/>
    <n v="1597.624"/>
  </r>
  <r>
    <s v="SALE432"/>
    <x v="176"/>
    <x v="2"/>
    <s v="CUST1016"/>
    <x v="2"/>
    <x v="1"/>
    <x v="3"/>
    <s v="PROD41"/>
    <s v="Yoga Exercise Mat"/>
    <x v="0"/>
    <s v="Fitness"/>
    <s v="STORE3"/>
    <x v="0"/>
    <x v="1"/>
    <n v="482.58"/>
    <n v="0.28000000000000003"/>
    <x v="1"/>
    <b v="1"/>
    <n v="1042.3727999999999"/>
    <n v="1042.3728000000001"/>
  </r>
  <r>
    <s v="SALE433"/>
    <x v="322"/>
    <x v="2"/>
    <s v="CUST1114"/>
    <x v="2"/>
    <x v="0"/>
    <x v="3"/>
    <s v="PROD59"/>
    <s v="Men's Hair Styling Gel"/>
    <x v="2"/>
    <s v="Haircare"/>
    <s v="STORE2"/>
    <x v="2"/>
    <x v="3"/>
    <n v="64.7"/>
    <n v="0"/>
    <x v="0"/>
    <b v="1"/>
    <n v="129.4"/>
    <n v="129.4"/>
  </r>
  <r>
    <s v="SALE434"/>
    <x v="303"/>
    <x v="1"/>
    <s v="CUST1148"/>
    <x v="1"/>
    <x v="1"/>
    <x v="3"/>
    <s v="PROD5"/>
    <s v="Men's Leather Belt"/>
    <x v="4"/>
    <s v="Accessories"/>
    <s v="STORE5"/>
    <x v="0"/>
    <x v="1"/>
    <n v="589.83000000000004"/>
    <n v="0.26"/>
    <x v="0"/>
    <b v="1"/>
    <n v="1309.4226000000001"/>
    <n v="1309.4226000000001"/>
  </r>
  <r>
    <s v="SALE435"/>
    <x v="69"/>
    <x v="2"/>
    <s v="CUST1288"/>
    <x v="0"/>
    <x v="0"/>
    <x v="0"/>
    <s v="PROD3"/>
    <s v="Men's Running Jacket"/>
    <x v="4"/>
    <s v="Outerwear"/>
    <s v="STORE9"/>
    <x v="2"/>
    <x v="2"/>
    <n v="758.49"/>
    <n v="0.16"/>
    <x v="2"/>
    <b v="1"/>
    <n v="2548.5263999999997"/>
    <n v="2548.5264000000002"/>
  </r>
  <r>
    <s v="SALE436"/>
    <x v="224"/>
    <x v="0"/>
    <s v="CUST1053"/>
    <x v="1"/>
    <x v="1"/>
    <x v="0"/>
    <s v="PROD37"/>
    <s v="Men's Casual Sneakers"/>
    <x v="4"/>
    <s v="Footwear"/>
    <s v="STORE12"/>
    <x v="0"/>
    <x v="2"/>
    <n v="747.56"/>
    <n v="0.09"/>
    <x v="2"/>
    <b v="1"/>
    <n v="2721.1183999999998"/>
    <n v="2721.1183999999998"/>
  </r>
  <r>
    <s v="SALE437"/>
    <x v="249"/>
    <x v="2"/>
    <s v="CUST1253"/>
    <x v="1"/>
    <x v="0"/>
    <x v="3"/>
    <s v="PROD40"/>
    <s v="Noise-Canceling Headphones"/>
    <x v="1"/>
    <s v="Audio"/>
    <s v="STORE17"/>
    <x v="0"/>
    <x v="1"/>
    <n v="551.22"/>
    <n v="0.12"/>
    <x v="1"/>
    <b v="1"/>
    <n v="1455.2208000000001"/>
    <n v="1455.2208000000001"/>
  </r>
  <r>
    <s v="SALE438"/>
    <x v="323"/>
    <x v="2"/>
    <s v="CUST1159"/>
    <x v="1"/>
    <x v="1"/>
    <x v="0"/>
    <s v="PROD69"/>
    <s v="Men's Sports Shorts"/>
    <x v="4"/>
    <s v="Bottoms"/>
    <s v="STORE14"/>
    <x v="2"/>
    <x v="3"/>
    <n v="527.05999999999995"/>
    <n v="0.17"/>
    <x v="1"/>
    <b v="1"/>
    <n v="874.91959999999983"/>
    <n v="874.91959999999983"/>
  </r>
  <r>
    <s v="SALE439"/>
    <x v="161"/>
    <x v="2"/>
    <s v="CUST1098"/>
    <x v="2"/>
    <x v="0"/>
    <x v="0"/>
    <s v="PROD62"/>
    <s v="Laptop Cooling Pad"/>
    <x v="1"/>
    <s v="Computer"/>
    <s v="STORE5"/>
    <x v="0"/>
    <x v="2"/>
    <n v="875.41"/>
    <n v="0.27"/>
    <x v="0"/>
    <b v="1"/>
    <n v="2556.1972000000001"/>
    <n v="2556.1972000000001"/>
  </r>
  <r>
    <s v="SALE440"/>
    <x v="324"/>
    <x v="2"/>
    <s v="CUST1007"/>
    <x v="2"/>
    <x v="1"/>
    <x v="3"/>
    <s v="PROD85"/>
    <s v="Women's Beanie Hat"/>
    <x v="4"/>
    <s v="Accessories"/>
    <s v="STORE0"/>
    <x v="3"/>
    <x v="3"/>
    <n v="226.43"/>
    <n v="0.03"/>
    <x v="0"/>
    <b v="1"/>
    <n v="439.27420000000001"/>
    <n v="439.27420000000001"/>
  </r>
  <r>
    <s v="SALE441"/>
    <x v="0"/>
    <x v="0"/>
    <s v="CUST1035"/>
    <x v="0"/>
    <x v="0"/>
    <x v="2"/>
    <s v="PROD79"/>
    <s v="Decorative Lamp Shade"/>
    <x v="3"/>
    <s v="Lighting"/>
    <s v="STORE5"/>
    <x v="0"/>
    <x v="3"/>
    <n v="285.39"/>
    <n v="0.1"/>
    <x v="0"/>
    <b v="1"/>
    <n v="513.702"/>
    <n v="513.702"/>
  </r>
  <r>
    <s v="SALE442"/>
    <x v="308"/>
    <x v="2"/>
    <s v="CUST1334"/>
    <x v="1"/>
    <x v="1"/>
    <x v="2"/>
    <s v="PROD11"/>
    <s v="HD Smart TV Stick"/>
    <x v="1"/>
    <s v="Accessories"/>
    <s v="STORE15"/>
    <x v="0"/>
    <x v="3"/>
    <n v="298.01"/>
    <n v="0.05"/>
    <x v="0"/>
    <b v="1"/>
    <n v="566.21899999999994"/>
    <n v="566.21899999999994"/>
  </r>
  <r>
    <s v="SALE443"/>
    <x v="71"/>
    <x v="0"/>
    <s v="CUST1159"/>
    <x v="1"/>
    <x v="1"/>
    <x v="0"/>
    <s v="PROD40"/>
    <s v="Noise-Canceling Headphones"/>
    <x v="1"/>
    <s v="Audio"/>
    <s v="STORE4"/>
    <x v="2"/>
    <x v="2"/>
    <n v="753.49"/>
    <n v="0.26"/>
    <x v="2"/>
    <b v="1"/>
    <n v="2230.3303999999998"/>
    <n v="2230.3303999999998"/>
  </r>
  <r>
    <s v="SALE444"/>
    <x v="325"/>
    <x v="0"/>
    <s v="CUST1488"/>
    <x v="2"/>
    <x v="1"/>
    <x v="1"/>
    <s v="PROD78"/>
    <s v="Essential Oil Diffuser"/>
    <x v="3"/>
    <s v="Decor"/>
    <s v="STORE12"/>
    <x v="0"/>
    <x v="3"/>
    <n v="130.38999999999999"/>
    <n v="0.17"/>
    <x v="1"/>
    <b v="1"/>
    <n v="216.44739999999996"/>
    <n v="216.44739999999999"/>
  </r>
  <r>
    <s v="SALE445"/>
    <x v="326"/>
    <x v="2"/>
    <s v="CUST1345"/>
    <x v="1"/>
    <x v="0"/>
    <x v="3"/>
    <s v="PROD22"/>
    <s v="Carbon Fiber Tennis Racket"/>
    <x v="0"/>
    <s v="Equipment"/>
    <s v="STORE9"/>
    <x v="2"/>
    <x v="2"/>
    <n v="164.02"/>
    <n v="0.01"/>
    <x v="1"/>
    <b v="1"/>
    <n v="649.51920000000007"/>
    <n v="649.51920000000007"/>
  </r>
  <r>
    <s v="SALE446"/>
    <x v="327"/>
    <x v="0"/>
    <s v="CUST1164"/>
    <x v="1"/>
    <x v="1"/>
    <x v="2"/>
    <s v="PROD29"/>
    <s v="Fabric Sofa Throw Blanket"/>
    <x v="3"/>
    <s v="Decor"/>
    <s v="STORE4"/>
    <x v="2"/>
    <x v="3"/>
    <n v="527.51"/>
    <n v="0.18"/>
    <x v="1"/>
    <b v="1"/>
    <n v="865.1164"/>
    <n v="865.1164"/>
  </r>
  <r>
    <s v="SALE447"/>
    <x v="328"/>
    <x v="2"/>
    <s v="CUST1253"/>
    <x v="1"/>
    <x v="0"/>
    <x v="3"/>
    <s v="PROD57"/>
    <s v="Foam Roller"/>
    <x v="0"/>
    <s v="Fitness"/>
    <s v="STORE13"/>
    <x v="3"/>
    <x v="1"/>
    <n v="628.17999999999995"/>
    <n v="0.26"/>
    <x v="0"/>
    <b v="1"/>
    <n v="1394.5596"/>
    <n v="1394.5596"/>
  </r>
  <r>
    <s v="SALE448"/>
    <x v="329"/>
    <x v="0"/>
    <s v="CUST1269"/>
    <x v="1"/>
    <x v="1"/>
    <x v="2"/>
    <s v="PROD56"/>
    <s v="Premium Blanket Throw"/>
    <x v="3"/>
    <s v="Decor"/>
    <s v="STORE3"/>
    <x v="0"/>
    <x v="0"/>
    <n v="862.31"/>
    <n v="0.06"/>
    <x v="0"/>
    <b v="1"/>
    <n v="810.57139999999993"/>
    <n v="810.57139999999993"/>
  </r>
  <r>
    <s v="SALE449"/>
    <x v="330"/>
    <x v="2"/>
    <s v="CUST1071"/>
    <x v="0"/>
    <x v="1"/>
    <x v="0"/>
    <s v="PROD83"/>
    <s v="Hydrating Face Cleanser"/>
    <x v="2"/>
    <s v="Skincare"/>
    <s v="STORE14"/>
    <x v="2"/>
    <x v="3"/>
    <n v="541.39"/>
    <n v="0.03"/>
    <x v="2"/>
    <b v="1"/>
    <n v="1050.2965999999999"/>
    <n v="1050.2965999999999"/>
  </r>
  <r>
    <s v="SALE450"/>
    <x v="323"/>
    <x v="2"/>
    <s v="CUST1477"/>
    <x v="1"/>
    <x v="1"/>
    <x v="1"/>
    <s v="PROD76"/>
    <s v="Wireless Mouse"/>
    <x v="1"/>
    <s v="Computer"/>
    <s v="STORE16"/>
    <x v="1"/>
    <x v="1"/>
    <n v="761.8"/>
    <n v="0.06"/>
    <x v="2"/>
    <b v="1"/>
    <n v="2148.2759999999994"/>
    <n v="2148.2759999999989"/>
  </r>
  <r>
    <s v="SALE451"/>
    <x v="151"/>
    <x v="0"/>
    <s v="CUST1422"/>
    <x v="1"/>
    <x v="1"/>
    <x v="1"/>
    <s v="PROD49"/>
    <s v="Men's Roll-On Perfume"/>
    <x v="2"/>
    <s v="Fragrance"/>
    <s v="STORE2"/>
    <x v="2"/>
    <x v="2"/>
    <n v="829.36"/>
    <n v="0.11"/>
    <x v="1"/>
    <b v="1"/>
    <n v="2952.5216"/>
    <n v="2952.5216"/>
  </r>
  <r>
    <s v="SALE452"/>
    <x v="325"/>
    <x v="0"/>
    <s v="CUST1404"/>
    <x v="2"/>
    <x v="1"/>
    <x v="2"/>
    <s v="PROD23"/>
    <s v="Men's Formal Shirt"/>
    <x v="4"/>
    <s v="Tops"/>
    <s v="STORE16"/>
    <x v="1"/>
    <x v="3"/>
    <n v="425.06"/>
    <n v="0.09"/>
    <x v="1"/>
    <b v="1"/>
    <n v="773.60919999999999"/>
    <n v="773.60919999999999"/>
  </r>
  <r>
    <s v="SALE453"/>
    <x v="331"/>
    <x v="0"/>
    <s v="CUST1127"/>
    <x v="1"/>
    <x v="0"/>
    <x v="1"/>
    <s v="PROD55"/>
    <s v="Ceramic Plant Pot"/>
    <x v="3"/>
    <s v="Decor"/>
    <s v="STORE0"/>
    <x v="3"/>
    <x v="3"/>
    <n v="911.14"/>
    <n v="0.1"/>
    <x v="0"/>
    <b v="1"/>
    <n v="1640.0519999999999"/>
    <n v="1640.0519999999999"/>
  </r>
  <r>
    <s v="SALE454"/>
    <x v="332"/>
    <x v="2"/>
    <s v="CUST1084"/>
    <x v="2"/>
    <x v="1"/>
    <x v="1"/>
    <s v="PROD68"/>
    <s v="Wooden Nightstand"/>
    <x v="3"/>
    <s v="Furniture"/>
    <s v="STORE8"/>
    <x v="1"/>
    <x v="1"/>
    <n v="811.96"/>
    <n v="0.28999999999999998"/>
    <x v="0"/>
    <b v="1"/>
    <n v="1729.4748"/>
    <n v="1729.4748"/>
  </r>
  <r>
    <s v="SALE455"/>
    <x v="264"/>
    <x v="0"/>
    <s v="CUST1273"/>
    <x v="2"/>
    <x v="0"/>
    <x v="3"/>
    <s v="PROD31"/>
    <s v="Basketball"/>
    <x v="0"/>
    <s v="Team Sports"/>
    <s v="STORE10"/>
    <x v="3"/>
    <x v="3"/>
    <n v="780.05"/>
    <n v="0.12"/>
    <x v="2"/>
    <b v="1"/>
    <n v="1372.8879999999999"/>
    <n v="1372.8879999999999"/>
  </r>
  <r>
    <s v="SALE456"/>
    <x v="333"/>
    <x v="0"/>
    <s v="CUST1215"/>
    <x v="1"/>
    <x v="1"/>
    <x v="0"/>
    <s v="PROD32"/>
    <s v="Vitamin C Face Serum"/>
    <x v="2"/>
    <s v="Skincare"/>
    <s v="STORE9"/>
    <x v="2"/>
    <x v="2"/>
    <n v="315.95"/>
    <n v="0.19"/>
    <x v="2"/>
    <b v="1"/>
    <n v="1023.678"/>
    <n v="1023.678"/>
  </r>
  <r>
    <s v="SALE457"/>
    <x v="254"/>
    <x v="2"/>
    <s v="CUST1229"/>
    <x v="1"/>
    <x v="1"/>
    <x v="3"/>
    <s v="PROD52"/>
    <s v="Rugby Ball"/>
    <x v="0"/>
    <s v="Team Sports"/>
    <s v="STORE9"/>
    <x v="2"/>
    <x v="3"/>
    <n v="810.17"/>
    <n v="0.27"/>
    <x v="0"/>
    <b v="1"/>
    <n v="1182.8481999999999"/>
    <n v="1182.8481999999999"/>
  </r>
  <r>
    <s v="SALE458"/>
    <x v="257"/>
    <x v="0"/>
    <s v="CUST1205"/>
    <x v="1"/>
    <x v="1"/>
    <x v="0"/>
    <s v="PROD84"/>
    <s v="Wooden Bookshelf"/>
    <x v="3"/>
    <s v="Furniture"/>
    <s v="STORE4"/>
    <x v="2"/>
    <x v="1"/>
    <n v="505.01"/>
    <n v="0.02"/>
    <x v="1"/>
    <b v="1"/>
    <n v="1484.7293999999999"/>
    <n v="1484.7293999999999"/>
  </r>
  <r>
    <s v="SALE459"/>
    <x v="334"/>
    <x v="0"/>
    <s v="CUST1467"/>
    <x v="0"/>
    <x v="1"/>
    <x v="0"/>
    <s v="PROD72"/>
    <s v="Professional Jump Rope"/>
    <x v="0"/>
    <s v="Fitness"/>
    <s v="STORE17"/>
    <x v="0"/>
    <x v="3"/>
    <n v="736.75"/>
    <n v="0.18"/>
    <x v="0"/>
    <b v="1"/>
    <n v="1208.27"/>
    <n v="1208.27"/>
  </r>
  <r>
    <s v="SALE460"/>
    <x v="331"/>
    <x v="0"/>
    <s v="CUST1027"/>
    <x v="1"/>
    <x v="0"/>
    <x v="1"/>
    <s v="PROD77"/>
    <s v="WiFi Mesh Router"/>
    <x v="1"/>
    <s v="Appliances"/>
    <s v="STORE9"/>
    <x v="2"/>
    <x v="2"/>
    <n v="700.31"/>
    <n v="0.2"/>
    <x v="1"/>
    <b v="1"/>
    <n v="2240.9919999999997"/>
    <n v="2240.9920000000002"/>
  </r>
  <r>
    <s v="SALE461"/>
    <x v="66"/>
    <x v="1"/>
    <s v="CUST1129"/>
    <x v="1"/>
    <x v="1"/>
    <x v="2"/>
    <s v="PROD91"/>
    <s v="Women's High Heels"/>
    <x v="4"/>
    <s v="Footwear"/>
    <s v="STORE11"/>
    <x v="2"/>
    <x v="2"/>
    <n v="202.46"/>
    <n v="0.24"/>
    <x v="0"/>
    <b v="1"/>
    <n v="615.47840000000008"/>
    <n v="615.47840000000008"/>
  </r>
  <r>
    <s v="SALE462"/>
    <x v="335"/>
    <x v="1"/>
    <s v="CUST1265"/>
    <x v="1"/>
    <x v="0"/>
    <x v="2"/>
    <s v="PROD87"/>
    <s v="LED Bedside Lamp"/>
    <x v="3"/>
    <s v="Lighting"/>
    <s v="STORE1"/>
    <x v="0"/>
    <x v="3"/>
    <n v="291.83999999999997"/>
    <n v="0.25"/>
    <x v="1"/>
    <b v="1"/>
    <n v="437.76"/>
    <n v="437.76"/>
  </r>
  <r>
    <s v="SALE463"/>
    <x v="336"/>
    <x v="1"/>
    <s v="CUST1163"/>
    <x v="2"/>
    <x v="0"/>
    <x v="3"/>
    <s v="PROD97"/>
    <s v="Cricket Bat"/>
    <x v="0"/>
    <s v="Team Sports"/>
    <s v="STORE5"/>
    <x v="0"/>
    <x v="3"/>
    <n v="261.48"/>
    <n v="0.17"/>
    <x v="0"/>
    <b v="1"/>
    <n v="434.05680000000001"/>
    <n v="434.05680000000001"/>
  </r>
  <r>
    <s v="SALE464"/>
    <x v="337"/>
    <x v="2"/>
    <s v="CUST1300"/>
    <x v="2"/>
    <x v="0"/>
    <x v="2"/>
    <s v="PROD36"/>
    <s v="Women's Summer Dress"/>
    <x v="4"/>
    <s v="Tops"/>
    <s v="STORE14"/>
    <x v="2"/>
    <x v="0"/>
    <n v="850.83"/>
    <n v="0.28000000000000003"/>
    <x v="1"/>
    <b v="1"/>
    <n v="612.59760000000006"/>
    <n v="612.59760000000006"/>
  </r>
  <r>
    <s v="SALE465"/>
    <x v="294"/>
    <x v="2"/>
    <s v="CUST1405"/>
    <x v="2"/>
    <x v="1"/>
    <x v="0"/>
    <s v="PROD46"/>
    <s v="Men's Winter Jacket"/>
    <x v="4"/>
    <s v="Outerwear"/>
    <s v="STORE9"/>
    <x v="2"/>
    <x v="0"/>
    <n v="83.83"/>
    <n v="0.05"/>
    <x v="0"/>
    <b v="1"/>
    <n v="79.638499999999993"/>
    <n v="79.638499999999993"/>
  </r>
  <r>
    <s v="SALE466"/>
    <x v="219"/>
    <x v="2"/>
    <s v="CUST1006"/>
    <x v="2"/>
    <x v="1"/>
    <x v="1"/>
    <s v="PROD88"/>
    <s v="Sports Wrist Sweatbands"/>
    <x v="0"/>
    <s v="Accessories"/>
    <s v="STORE16"/>
    <x v="1"/>
    <x v="1"/>
    <n v="649.95000000000005"/>
    <n v="0.28000000000000003"/>
    <x v="2"/>
    <b v="1"/>
    <n v="1403.8920000000001"/>
    <n v="1403.8920000000001"/>
  </r>
  <r>
    <s v="SALE467"/>
    <x v="338"/>
    <x v="0"/>
    <s v="CUST1366"/>
    <x v="1"/>
    <x v="1"/>
    <x v="1"/>
    <s v="PROD73"/>
    <s v="Shin Guards – Adult"/>
    <x v="0"/>
    <s v="Team Sports"/>
    <s v="STORE6"/>
    <x v="3"/>
    <x v="2"/>
    <n v="934.96"/>
    <n v="0.18"/>
    <x v="1"/>
    <b v="1"/>
    <n v="3066.6688000000004"/>
    <n v="3066.6687999999999"/>
  </r>
  <r>
    <s v="SALE468"/>
    <x v="335"/>
    <x v="1"/>
    <s v="CUST1206"/>
    <x v="2"/>
    <x v="1"/>
    <x v="2"/>
    <s v="PROD17"/>
    <s v="Soccer Training Cone Set"/>
    <x v="0"/>
    <s v="Accessories"/>
    <s v="STORE14"/>
    <x v="2"/>
    <x v="0"/>
    <n v="880.89"/>
    <n v="0.13"/>
    <x v="2"/>
    <b v="1"/>
    <n v="766.37429999999995"/>
    <n v="766.37429999999995"/>
  </r>
  <r>
    <s v="SALE469"/>
    <x v="339"/>
    <x v="0"/>
    <s v="CUST1477"/>
    <x v="1"/>
    <x v="1"/>
    <x v="1"/>
    <s v="PROD98"/>
    <s v="Portable Bluetooth Speaker"/>
    <x v="1"/>
    <s v="Audio"/>
    <s v="STORE8"/>
    <x v="1"/>
    <x v="2"/>
    <n v="610.6"/>
    <n v="0.1"/>
    <x v="1"/>
    <b v="1"/>
    <n v="2198.1600000000003"/>
    <n v="2198.16"/>
  </r>
  <r>
    <s v="SALE470"/>
    <x v="340"/>
    <x v="2"/>
    <s v="CUST1075"/>
    <x v="0"/>
    <x v="1"/>
    <x v="0"/>
    <s v="PROD28"/>
    <s v="Sports Stopwatch Timer"/>
    <x v="0"/>
    <s v="Accessories"/>
    <s v="STORE18"/>
    <x v="3"/>
    <x v="0"/>
    <n v="514.19000000000005"/>
    <n v="0.2"/>
    <x v="0"/>
    <b v="1"/>
    <n v="411.35200000000009"/>
    <n v="411.35200000000009"/>
  </r>
  <r>
    <s v="SALE471"/>
    <x v="298"/>
    <x v="2"/>
    <s v="CUST1399"/>
    <x v="2"/>
    <x v="0"/>
    <x v="3"/>
    <s v="PROD37"/>
    <s v="Men's Casual Sneakers"/>
    <x v="4"/>
    <s v="Footwear"/>
    <s v="STORE13"/>
    <x v="3"/>
    <x v="0"/>
    <n v="546.20000000000005"/>
    <n v="0.22"/>
    <x v="1"/>
    <b v="1"/>
    <n v="426.03600000000006"/>
    <n v="426.03600000000012"/>
  </r>
  <r>
    <s v="SALE472"/>
    <x v="341"/>
    <x v="0"/>
    <s v="CUST1197"/>
    <x v="1"/>
    <x v="1"/>
    <x v="1"/>
    <s v="PROD37"/>
    <s v="Men's Casual Sneakers"/>
    <x v="4"/>
    <s v="Footwear"/>
    <s v="STORE0"/>
    <x v="3"/>
    <x v="1"/>
    <n v="416.01"/>
    <n v="0.02"/>
    <x v="0"/>
    <b v="1"/>
    <n v="1223.0693999999999"/>
    <n v="1223.0694000000001"/>
  </r>
  <r>
    <s v="SALE473"/>
    <x v="342"/>
    <x v="2"/>
    <s v="CUST1384"/>
    <x v="0"/>
    <x v="1"/>
    <x v="3"/>
    <s v="PROD74"/>
    <s v="Bluetooth Car Audio System"/>
    <x v="1"/>
    <s v="Audio"/>
    <s v="STORE10"/>
    <x v="3"/>
    <x v="0"/>
    <n v="30.94"/>
    <n v="0.21"/>
    <x v="2"/>
    <b v="1"/>
    <n v="24.442600000000002"/>
    <n v="24.442599999999999"/>
  </r>
  <r>
    <s v="SALE474"/>
    <x v="13"/>
    <x v="2"/>
    <s v="CUST1200"/>
    <x v="2"/>
    <x v="0"/>
    <x v="1"/>
    <s v="PROD58"/>
    <s v="Womens Cotton Scarf"/>
    <x v="4"/>
    <s v="Accessories"/>
    <s v="STORE16"/>
    <x v="1"/>
    <x v="1"/>
    <n v="666.39"/>
    <n v="0.21"/>
    <x v="2"/>
    <b v="1"/>
    <n v="1579.3443000000002"/>
    <n v="1579.3443"/>
  </r>
  <r>
    <s v="SALE475"/>
    <x v="343"/>
    <x v="2"/>
    <s v="CUST1166"/>
    <x v="2"/>
    <x v="1"/>
    <x v="2"/>
    <s v="PROD81"/>
    <s v="Badminton Racket Set"/>
    <x v="0"/>
    <s v="Equipment"/>
    <s v="STORE10"/>
    <x v="3"/>
    <x v="3"/>
    <n v="145.26"/>
    <n v="0.19"/>
    <x v="1"/>
    <b v="1"/>
    <n v="235.3212"/>
    <n v="235.3212"/>
  </r>
  <r>
    <s v="SALE476"/>
    <x v="344"/>
    <x v="0"/>
    <s v="CUST1118"/>
    <x v="1"/>
    <x v="0"/>
    <x v="1"/>
    <s v="PROD91"/>
    <s v="Women's High Heels"/>
    <x v="4"/>
    <s v="Footwear"/>
    <s v="STORE5"/>
    <x v="0"/>
    <x v="2"/>
    <n v="940.77"/>
    <n v="0.24"/>
    <x v="2"/>
    <b v="1"/>
    <n v="2859.9407999999999"/>
    <n v="2859.9407999999999"/>
  </r>
  <r>
    <s v="SALE477"/>
    <x v="345"/>
    <x v="2"/>
    <s v="CUST1469"/>
    <x v="2"/>
    <x v="0"/>
    <x v="0"/>
    <s v="PROD46"/>
    <s v="Men's Winter Jacket"/>
    <x v="4"/>
    <s v="Outerwear"/>
    <s v="STORE17"/>
    <x v="0"/>
    <x v="0"/>
    <n v="708.88"/>
    <n v="0.09"/>
    <x v="0"/>
    <b v="1"/>
    <n v="645.08080000000007"/>
    <n v="645.08080000000007"/>
  </r>
  <r>
    <s v="SALE478"/>
    <x v="268"/>
    <x v="2"/>
    <s v="CUST1307"/>
    <x v="0"/>
    <x v="1"/>
    <x v="3"/>
    <s v="PROD30"/>
    <s v="Stainless Steel Cutlery Set"/>
    <x v="3"/>
    <s v="Kitchen"/>
    <s v="STORE2"/>
    <x v="2"/>
    <x v="0"/>
    <n v="790.73"/>
    <n v="0.24"/>
    <x v="1"/>
    <b v="1"/>
    <n v="600.95479999999998"/>
    <n v="600.95479999999998"/>
  </r>
  <r>
    <s v="SALE479"/>
    <x v="346"/>
    <x v="0"/>
    <s v="CUST1449"/>
    <x v="2"/>
    <x v="0"/>
    <x v="3"/>
    <s v="PROD15"/>
    <s v="4K Home Projector"/>
    <x v="1"/>
    <s v="Appliances"/>
    <s v="STORE9"/>
    <x v="2"/>
    <x v="1"/>
    <n v="635.13"/>
    <n v="0.09"/>
    <x v="1"/>
    <b v="1"/>
    <n v="1733.9049"/>
    <n v="1733.9049"/>
  </r>
  <r>
    <s v="SALE480"/>
    <x v="305"/>
    <x v="1"/>
    <s v="CUST1266"/>
    <x v="1"/>
    <x v="1"/>
    <x v="3"/>
    <s v="PROD93"/>
    <s v="USB-C Laptop Charger"/>
    <x v="1"/>
    <s v="Computer"/>
    <s v="STORE14"/>
    <x v="2"/>
    <x v="0"/>
    <n v="744.88"/>
    <n v="0.15"/>
    <x v="2"/>
    <b v="1"/>
    <n v="633.14800000000002"/>
    <n v="633.14800000000002"/>
  </r>
  <r>
    <s v="SALE481"/>
    <x v="142"/>
    <x v="2"/>
    <s v="CUST1183"/>
    <x v="2"/>
    <x v="0"/>
    <x v="1"/>
    <s v="PROD28"/>
    <s v="Sports Stopwatch Timer"/>
    <x v="0"/>
    <s v="Accessories"/>
    <s v="STORE1"/>
    <x v="0"/>
    <x v="1"/>
    <n v="205.34"/>
    <n v="0.25"/>
    <x v="0"/>
    <b v="1"/>
    <n v="462.01499999999999"/>
    <n v="462.01499999999999"/>
  </r>
  <r>
    <s v="SALE482"/>
    <x v="103"/>
    <x v="2"/>
    <s v="CUST1419"/>
    <x v="1"/>
    <x v="0"/>
    <x v="0"/>
    <s v="PROD29"/>
    <s v="Fabric Sofa Throw Blanket"/>
    <x v="3"/>
    <s v="Decor"/>
    <s v="STORE8"/>
    <x v="1"/>
    <x v="3"/>
    <n v="756.8"/>
    <n v="0.15"/>
    <x v="0"/>
    <b v="1"/>
    <n v="1286.56"/>
    <n v="1286.56"/>
  </r>
  <r>
    <s v="SALE483"/>
    <x v="238"/>
    <x v="0"/>
    <s v="CUST1044"/>
    <x v="1"/>
    <x v="0"/>
    <x v="3"/>
    <s v="PROD21"/>
    <s v="Multi-Purpose Storage Box"/>
    <x v="3"/>
    <s v="Storage"/>
    <s v="STORE10"/>
    <x v="3"/>
    <x v="0"/>
    <n v="771.73"/>
    <n v="0.2"/>
    <x v="0"/>
    <b v="1"/>
    <n v="617.38400000000001"/>
    <n v="617.38400000000001"/>
  </r>
  <r>
    <s v="SALE484"/>
    <x v="236"/>
    <x v="0"/>
    <s v="CUST1479"/>
    <x v="1"/>
    <x v="0"/>
    <x v="3"/>
    <s v="PROD66"/>
    <s v="Women's Hair Dryer Brush"/>
    <x v="2"/>
    <s v="Haircare"/>
    <s v="STORE17"/>
    <x v="0"/>
    <x v="0"/>
    <n v="440.19"/>
    <n v="0.03"/>
    <x v="1"/>
    <b v="1"/>
    <n v="426.98429999999996"/>
    <n v="426.98430000000002"/>
  </r>
  <r>
    <s v="SALE485"/>
    <x v="347"/>
    <x v="2"/>
    <s v="CUST1047"/>
    <x v="0"/>
    <x v="1"/>
    <x v="2"/>
    <s v="PROD4"/>
    <s v="Women's Yoga Pants"/>
    <x v="4"/>
    <s v="Bottoms"/>
    <s v="STORE2"/>
    <x v="2"/>
    <x v="3"/>
    <n v="409"/>
    <n v="0.17"/>
    <x v="0"/>
    <b v="1"/>
    <n v="678.93999999999994"/>
    <n v="678.93999999999994"/>
  </r>
  <r>
    <s v="SALE486"/>
    <x v="348"/>
    <x v="0"/>
    <s v="CUST1343"/>
    <x v="1"/>
    <x v="0"/>
    <x v="3"/>
    <s v="PROD38"/>
    <s v="Sports Water Hydration Pack"/>
    <x v="0"/>
    <s v="Outdoor"/>
    <s v="STORE19"/>
    <x v="3"/>
    <x v="1"/>
    <n v="134.58000000000001"/>
    <n v="0.04"/>
    <x v="2"/>
    <b v="1"/>
    <n v="387.59039999999999"/>
    <n v="387.59039999999999"/>
  </r>
  <r>
    <s v="SALE487"/>
    <x v="323"/>
    <x v="2"/>
    <s v="CUST1348"/>
    <x v="0"/>
    <x v="0"/>
    <x v="2"/>
    <s v="PROD39"/>
    <s v="Portable Power Bank"/>
    <x v="1"/>
    <s v="Mobile"/>
    <s v="STORE7"/>
    <x v="2"/>
    <x v="2"/>
    <n v="284.44"/>
    <n v="0.02"/>
    <x v="0"/>
    <b v="1"/>
    <n v="1115.0047999999999"/>
    <n v="1115.0047999999999"/>
  </r>
  <r>
    <s v="SALE488"/>
    <x v="349"/>
    <x v="2"/>
    <s v="CUST1405"/>
    <x v="2"/>
    <x v="1"/>
    <x v="0"/>
    <s v="PROD73"/>
    <s v="Shin Guards – Adult"/>
    <x v="0"/>
    <s v="Team Sports"/>
    <s v="STORE13"/>
    <x v="3"/>
    <x v="2"/>
    <n v="922.69"/>
    <n v="0.16"/>
    <x v="0"/>
    <b v="1"/>
    <n v="3100.2384000000002"/>
    <n v="3100.2384000000002"/>
  </r>
  <r>
    <s v="SALE489"/>
    <x v="350"/>
    <x v="0"/>
    <s v="CUST1275"/>
    <x v="2"/>
    <x v="0"/>
    <x v="0"/>
    <s v="PROD36"/>
    <s v="Women's Summer Dress"/>
    <x v="4"/>
    <s v="Tops"/>
    <s v="STORE6"/>
    <x v="3"/>
    <x v="3"/>
    <n v="992.55"/>
    <n v="0.28000000000000003"/>
    <x v="0"/>
    <b v="1"/>
    <n v="1429.2719999999999"/>
    <n v="1429.2719999999999"/>
  </r>
  <r>
    <s v="SALE490"/>
    <x v="160"/>
    <x v="0"/>
    <s v="CUST1418"/>
    <x v="0"/>
    <x v="1"/>
    <x v="2"/>
    <s v="PROD89"/>
    <s v="Face Foundation Kit"/>
    <x v="2"/>
    <s v="Makeup"/>
    <s v="STORE18"/>
    <x v="3"/>
    <x v="0"/>
    <n v="170.43"/>
    <n v="0.03"/>
    <x v="0"/>
    <b v="1"/>
    <n v="165.31710000000001"/>
    <n v="165.31710000000001"/>
  </r>
  <r>
    <s v="SALE491"/>
    <x v="55"/>
    <x v="0"/>
    <s v="CUST1223"/>
    <x v="1"/>
    <x v="0"/>
    <x v="1"/>
    <s v="PROD72"/>
    <s v="Professional Jump Rope"/>
    <x v="0"/>
    <s v="Fitness"/>
    <s v="STORE2"/>
    <x v="2"/>
    <x v="1"/>
    <n v="480.51"/>
    <n v="0.03"/>
    <x v="0"/>
    <b v="1"/>
    <n v="1398.2840999999999"/>
    <n v="1398.2841000000001"/>
  </r>
  <r>
    <s v="SALE492"/>
    <x v="351"/>
    <x v="0"/>
    <s v="CUST1156"/>
    <x v="1"/>
    <x v="0"/>
    <x v="3"/>
    <s v="PROD49"/>
    <s v="Men's Roll-On Perfume"/>
    <x v="2"/>
    <s v="Fragrance"/>
    <s v="STORE7"/>
    <x v="2"/>
    <x v="3"/>
    <n v="955.66"/>
    <n v="0.28999999999999998"/>
    <x v="2"/>
    <b v="1"/>
    <n v="1357.0372"/>
    <n v="1357.0372"/>
  </r>
  <r>
    <s v="SALE493"/>
    <x v="198"/>
    <x v="2"/>
    <s v="CUST1451"/>
    <x v="1"/>
    <x v="0"/>
    <x v="0"/>
    <s v="PROD72"/>
    <s v="Professional Jump Rope"/>
    <x v="0"/>
    <s v="Fitness"/>
    <s v="STORE0"/>
    <x v="3"/>
    <x v="3"/>
    <n v="488.02"/>
    <n v="0.27"/>
    <x v="1"/>
    <b v="1"/>
    <n v="712.50919999999996"/>
    <n v="712.50919999999996"/>
  </r>
  <r>
    <s v="SALE494"/>
    <x v="286"/>
    <x v="0"/>
    <s v="CUST1240"/>
    <x v="0"/>
    <x v="1"/>
    <x v="1"/>
    <s v="PROD18"/>
    <s v="Women's Denim Jeans"/>
    <x v="4"/>
    <s v="Bottoms"/>
    <s v="STORE0"/>
    <x v="3"/>
    <x v="0"/>
    <n v="917.17"/>
    <n v="0.13"/>
    <x v="2"/>
    <b v="1"/>
    <n v="797.93790000000001"/>
    <n v="797.93790000000001"/>
  </r>
  <r>
    <s v="SALE495"/>
    <x v="352"/>
    <x v="0"/>
    <s v="CUST1324"/>
    <x v="0"/>
    <x v="0"/>
    <x v="3"/>
    <s v="PROD8"/>
    <s v="Wireless Bluetooth Earbuds"/>
    <x v="1"/>
    <s v="Audio"/>
    <s v="STORE5"/>
    <x v="0"/>
    <x v="3"/>
    <n v="406.46"/>
    <n v="0.3"/>
    <x v="1"/>
    <b v="1"/>
    <n v="569.04399999999998"/>
    <n v="569.04399999999998"/>
  </r>
  <r>
    <s v="SALE496"/>
    <x v="353"/>
    <x v="1"/>
    <s v="CUST1232"/>
    <x v="2"/>
    <x v="1"/>
    <x v="1"/>
    <s v="PROD95"/>
    <s v="Sports Stopwatch Basic"/>
    <x v="0"/>
    <s v="Accessories"/>
    <s v="STORE0"/>
    <x v="3"/>
    <x v="3"/>
    <n v="264.39"/>
    <n v="0.11"/>
    <x v="2"/>
    <b v="1"/>
    <n v="470.61419999999998"/>
    <n v="470.61419999999998"/>
  </r>
  <r>
    <s v="SALE497"/>
    <x v="190"/>
    <x v="2"/>
    <s v="CUST1191"/>
    <x v="2"/>
    <x v="1"/>
    <x v="3"/>
    <s v="PROD68"/>
    <s v="Wooden Nightstand"/>
    <x v="3"/>
    <s v="Furniture"/>
    <s v="STORE16"/>
    <x v="1"/>
    <x v="0"/>
    <n v="414.97"/>
    <n v="0.22"/>
    <x v="1"/>
    <b v="1"/>
    <n v="323.67660000000001"/>
    <n v="323.67660000000001"/>
  </r>
  <r>
    <s v="SALE498"/>
    <x v="354"/>
    <x v="1"/>
    <s v="CUST1146"/>
    <x v="1"/>
    <x v="1"/>
    <x v="0"/>
    <s v="PROD25"/>
    <s v="Women's Scarf Set"/>
    <x v="4"/>
    <s v="Accessories"/>
    <s v="STORE12"/>
    <x v="0"/>
    <x v="3"/>
    <n v="583.51"/>
    <n v="0.2"/>
    <x v="2"/>
    <b v="1"/>
    <n v="933.61599999999999"/>
    <n v="933.61599999999999"/>
  </r>
  <r>
    <s v="SALE499"/>
    <x v="355"/>
    <x v="2"/>
    <s v="CUST1011"/>
    <x v="2"/>
    <x v="1"/>
    <x v="0"/>
    <s v="PROD31"/>
    <s v="Basketball"/>
    <x v="0"/>
    <s v="Team Sports"/>
    <s v="STORE17"/>
    <x v="0"/>
    <x v="0"/>
    <n v="659.27"/>
    <n v="0.15"/>
    <x v="1"/>
    <b v="1"/>
    <n v="560.37950000000001"/>
    <n v="560.37950000000001"/>
  </r>
  <r>
    <s v="SALE500"/>
    <x v="356"/>
    <x v="0"/>
    <s v="CUST1445"/>
    <x v="1"/>
    <x v="1"/>
    <x v="1"/>
    <s v="PROD2"/>
    <s v="Women's Casual Hoodie"/>
    <x v="4"/>
    <s v="Outerwear"/>
    <s v="STORE4"/>
    <x v="2"/>
    <x v="2"/>
    <n v="106.66"/>
    <n v="0.2"/>
    <x v="2"/>
    <b v="1"/>
    <n v="341.31200000000001"/>
    <n v="341.31200000000001"/>
  </r>
  <r>
    <s v="SALE501"/>
    <x v="136"/>
    <x v="0"/>
    <s v="CUST1163"/>
    <x v="2"/>
    <x v="0"/>
    <x v="3"/>
    <s v="PROD10"/>
    <s v="Ceramic Kitchen Bowl Set"/>
    <x v="3"/>
    <s v="Kitchen"/>
    <s v="STORE5"/>
    <x v="0"/>
    <x v="2"/>
    <n v="168.55"/>
    <n v="0.15"/>
    <x v="1"/>
    <b v="1"/>
    <n v="573.07000000000005"/>
    <n v="573.07000000000005"/>
  </r>
  <r>
    <s v="SALE502"/>
    <x v="357"/>
    <x v="2"/>
    <s v="CUST1488"/>
    <x v="2"/>
    <x v="1"/>
    <x v="1"/>
    <s v="PROD44"/>
    <s v="Adjustable Jump Rope"/>
    <x v="0"/>
    <s v="Fitness"/>
    <s v="STORE2"/>
    <x v="2"/>
    <x v="0"/>
    <n v="230.53"/>
    <n v="0.06"/>
    <x v="2"/>
    <b v="1"/>
    <n v="216.69819999999999"/>
    <n v="216.69820000000001"/>
  </r>
  <r>
    <s v="SALE503"/>
    <x v="69"/>
    <x v="2"/>
    <s v="CUST1007"/>
    <x v="2"/>
    <x v="1"/>
    <x v="3"/>
    <s v="PROD54"/>
    <s v="Sports Stopwatch Pro"/>
    <x v="0"/>
    <s v="Accessories"/>
    <s v="STORE1"/>
    <x v="0"/>
    <x v="3"/>
    <n v="355.41"/>
    <n v="0.13"/>
    <x v="2"/>
    <b v="1"/>
    <n v="618.41340000000002"/>
    <n v="618.41340000000002"/>
  </r>
  <r>
    <s v="SALE504"/>
    <x v="186"/>
    <x v="2"/>
    <s v="CUST1167"/>
    <x v="1"/>
    <x v="1"/>
    <x v="0"/>
    <s v="PROD47"/>
    <s v="Makeup Brush Set"/>
    <x v="2"/>
    <s v="Makeup"/>
    <s v="STORE2"/>
    <x v="2"/>
    <x v="1"/>
    <n v="843.44"/>
    <n v="0.22"/>
    <x v="0"/>
    <b v="1"/>
    <n v="1973.6496000000002"/>
    <n v="1973.6496"/>
  </r>
  <r>
    <s v="SALE505"/>
    <x v="358"/>
    <x v="0"/>
    <s v="CUST1163"/>
    <x v="2"/>
    <x v="0"/>
    <x v="3"/>
    <s v="PROD95"/>
    <s v="Sports Stopwatch Basic"/>
    <x v="0"/>
    <s v="Accessories"/>
    <s v="STORE1"/>
    <x v="0"/>
    <x v="0"/>
    <n v="301.60000000000002"/>
    <n v="0.27"/>
    <x v="0"/>
    <b v="1"/>
    <n v="220.16800000000001"/>
    <n v="220.16800000000001"/>
  </r>
  <r>
    <s v="SALE506"/>
    <x v="359"/>
    <x v="2"/>
    <s v="CUST1042"/>
    <x v="2"/>
    <x v="0"/>
    <x v="1"/>
    <s v="PROD89"/>
    <s v="Face Foundation Kit"/>
    <x v="2"/>
    <s v="Makeup"/>
    <s v="STORE2"/>
    <x v="2"/>
    <x v="1"/>
    <n v="21.59"/>
    <n v="0.16"/>
    <x v="2"/>
    <b v="1"/>
    <n v="54.406799999999997"/>
    <n v="54.406799999999997"/>
  </r>
  <r>
    <s v="SALE507"/>
    <x v="360"/>
    <x v="0"/>
    <s v="CUST1212"/>
    <x v="0"/>
    <x v="1"/>
    <x v="1"/>
    <s v="PROD13"/>
    <s v="USB-C Fast Charger"/>
    <x v="1"/>
    <s v="Accessories"/>
    <s v="STORE2"/>
    <x v="2"/>
    <x v="2"/>
    <n v="284.24"/>
    <n v="0.09"/>
    <x v="0"/>
    <b v="1"/>
    <n v="1034.6336000000001"/>
    <n v="1034.6335999999999"/>
  </r>
  <r>
    <s v="SALE508"/>
    <x v="361"/>
    <x v="0"/>
    <s v="CUST1368"/>
    <x v="1"/>
    <x v="1"/>
    <x v="1"/>
    <s v="PROD5"/>
    <s v="Men's Leather Belt"/>
    <x v="4"/>
    <s v="Accessories"/>
    <s v="STORE9"/>
    <x v="2"/>
    <x v="0"/>
    <n v="191.6"/>
    <n v="0.27"/>
    <x v="1"/>
    <b v="1"/>
    <n v="139.86799999999999"/>
    <n v="139.86799999999999"/>
  </r>
  <r>
    <s v="SALE509"/>
    <x v="362"/>
    <x v="2"/>
    <s v="CUST1311"/>
    <x v="1"/>
    <x v="0"/>
    <x v="1"/>
    <s v="PROD78"/>
    <s v="Essential Oil Diffuser"/>
    <x v="3"/>
    <s v="Decor"/>
    <s v="STORE12"/>
    <x v="0"/>
    <x v="3"/>
    <n v="616.97"/>
    <n v="0.22"/>
    <x v="0"/>
    <b v="1"/>
    <n v="962.47320000000002"/>
    <n v="962.47320000000002"/>
  </r>
  <r>
    <s v="SALE510"/>
    <x v="93"/>
    <x v="0"/>
    <s v="CUST1168"/>
    <x v="1"/>
    <x v="1"/>
    <x v="1"/>
    <s v="PROD28"/>
    <s v="Sports Stopwatch Timer"/>
    <x v="0"/>
    <s v="Accessories"/>
    <s v="STORE10"/>
    <x v="3"/>
    <x v="1"/>
    <n v="125.68"/>
    <n v="0.26"/>
    <x v="2"/>
    <b v="1"/>
    <n v="279.00960000000003"/>
    <n v="279.00959999999998"/>
  </r>
  <r>
    <s v="SALE511"/>
    <x v="197"/>
    <x v="2"/>
    <s v="CUST1352"/>
    <x v="0"/>
    <x v="1"/>
    <x v="2"/>
    <s v="PROD43"/>
    <s v="USB External Hard Drive"/>
    <x v="1"/>
    <s v="Computer"/>
    <s v="STORE4"/>
    <x v="2"/>
    <x v="1"/>
    <n v="307.48"/>
    <n v="0.24"/>
    <x v="0"/>
    <b v="1"/>
    <n v="701.0544000000001"/>
    <n v="701.0544000000001"/>
  </r>
  <r>
    <s v="SALE512"/>
    <x v="123"/>
    <x v="0"/>
    <s v="CUST1298"/>
    <x v="0"/>
    <x v="0"/>
    <x v="1"/>
    <s v="PROD2"/>
    <s v="Women's Casual Hoodie"/>
    <x v="4"/>
    <s v="Outerwear"/>
    <s v="STORE19"/>
    <x v="3"/>
    <x v="0"/>
    <n v="505.23"/>
    <n v="0.11"/>
    <x v="0"/>
    <b v="1"/>
    <n v="449.65470000000005"/>
    <n v="449.65469999999999"/>
  </r>
  <r>
    <s v="SALE513"/>
    <x v="226"/>
    <x v="2"/>
    <s v="CUST1365"/>
    <x v="0"/>
    <x v="1"/>
    <x v="1"/>
    <s v="PROD45"/>
    <s v="High-Grip Football"/>
    <x v="0"/>
    <s v="Team Sports"/>
    <s v="STORE16"/>
    <x v="1"/>
    <x v="0"/>
    <n v="853.12"/>
    <n v="0.19"/>
    <x v="2"/>
    <b v="1"/>
    <n v="691.02719999999999"/>
    <n v="691.02719999999999"/>
  </r>
  <r>
    <s v="SALE514"/>
    <x v="86"/>
    <x v="0"/>
    <s v="CUST1129"/>
    <x v="1"/>
    <x v="1"/>
    <x v="2"/>
    <s v="PROD0"/>
    <s v="Brother Laser Printer"/>
    <x v="1"/>
    <s v="Computer"/>
    <s v="STORE7"/>
    <x v="2"/>
    <x v="2"/>
    <n v="191.65"/>
    <n v="0.19"/>
    <x v="1"/>
    <b v="1"/>
    <n v="620.94600000000003"/>
    <n v="620.94600000000003"/>
  </r>
  <r>
    <s v="SALE515"/>
    <x v="363"/>
    <x v="1"/>
    <s v="CUST1160"/>
    <x v="1"/>
    <x v="1"/>
    <x v="1"/>
    <s v="PROD47"/>
    <s v="Makeup Brush Set"/>
    <x v="2"/>
    <s v="Makeup"/>
    <s v="STORE3"/>
    <x v="0"/>
    <x v="0"/>
    <n v="169.69"/>
    <n v="0.22"/>
    <x v="0"/>
    <b v="1"/>
    <n v="132.35820000000001"/>
    <n v="132.35820000000001"/>
  </r>
  <r>
    <s v="SALE516"/>
    <x v="364"/>
    <x v="0"/>
    <s v="CUST1175"/>
    <x v="0"/>
    <x v="0"/>
    <x v="1"/>
    <s v="PROD62"/>
    <s v="Laptop Cooling Pad"/>
    <x v="1"/>
    <s v="Computer"/>
    <s v="STORE14"/>
    <x v="2"/>
    <x v="0"/>
    <n v="145.43"/>
    <n v="0.08"/>
    <x v="0"/>
    <b v="1"/>
    <n v="133.79560000000001"/>
    <n v="133.79560000000001"/>
  </r>
  <r>
    <s v="SALE517"/>
    <x v="56"/>
    <x v="0"/>
    <s v="CUST1084"/>
    <x v="2"/>
    <x v="1"/>
    <x v="1"/>
    <s v="PROD93"/>
    <s v="USB-C Laptop Charger"/>
    <x v="1"/>
    <s v="Computer"/>
    <s v="STORE12"/>
    <x v="0"/>
    <x v="2"/>
    <n v="828.35"/>
    <n v="0.17"/>
    <x v="0"/>
    <b v="1"/>
    <n v="2750.1219999999998"/>
    <n v="2750.1219999999998"/>
  </r>
  <r>
    <s v="SALE518"/>
    <x v="118"/>
    <x v="0"/>
    <s v="CUST1362"/>
    <x v="0"/>
    <x v="0"/>
    <x v="0"/>
    <s v="PROD95"/>
    <s v="Sports Stopwatch Basic"/>
    <x v="0"/>
    <s v="Accessories"/>
    <s v="STORE7"/>
    <x v="2"/>
    <x v="1"/>
    <n v="268.76"/>
    <n v="0.01"/>
    <x v="1"/>
    <b v="1"/>
    <n v="798.21719999999993"/>
    <n v="798.21719999999993"/>
  </r>
  <r>
    <s v="SALE519"/>
    <x v="123"/>
    <x v="0"/>
    <s v="CUST1233"/>
    <x v="0"/>
    <x v="0"/>
    <x v="2"/>
    <s v="PROD88"/>
    <s v="Sports Wrist Sweatbands"/>
    <x v="0"/>
    <s v="Accessories"/>
    <s v="STORE0"/>
    <x v="3"/>
    <x v="2"/>
    <n v="370.09"/>
    <n v="0.22"/>
    <x v="2"/>
    <b v="1"/>
    <n v="1154.6807999999999"/>
    <n v="1154.6808000000001"/>
  </r>
  <r>
    <s v="SALE520"/>
    <x v="365"/>
    <x v="1"/>
    <s v="CUST1253"/>
    <x v="1"/>
    <x v="0"/>
    <x v="3"/>
    <s v="PROD78"/>
    <s v="Essential Oil Diffuser"/>
    <x v="3"/>
    <s v="Decor"/>
    <s v="STORE6"/>
    <x v="3"/>
    <x v="1"/>
    <n v="679.22"/>
    <n v="0.11"/>
    <x v="1"/>
    <b v="1"/>
    <n v="1813.5174000000002"/>
    <n v="1813.5174"/>
  </r>
  <r>
    <s v="SALE521"/>
    <x v="138"/>
    <x v="0"/>
    <s v="CUST1373"/>
    <x v="1"/>
    <x v="1"/>
    <x v="0"/>
    <s v="PROD73"/>
    <s v="Shin Guards – Adult"/>
    <x v="0"/>
    <s v="Team Sports"/>
    <s v="STORE0"/>
    <x v="3"/>
    <x v="1"/>
    <n v="780.69"/>
    <n v="0.1"/>
    <x v="2"/>
    <b v="1"/>
    <n v="2107.8630000000003"/>
    <n v="2107.8629999999998"/>
  </r>
  <r>
    <s v="SALE522"/>
    <x v="366"/>
    <x v="2"/>
    <s v="CUST1261"/>
    <x v="2"/>
    <x v="1"/>
    <x v="2"/>
    <s v="PROD42"/>
    <s v="Smart Home WiFi Camera"/>
    <x v="1"/>
    <s v="Accessories"/>
    <s v="STORE2"/>
    <x v="2"/>
    <x v="3"/>
    <n v="42.97"/>
    <n v="0.18"/>
    <x v="1"/>
    <b v="1"/>
    <n v="70.470799999999997"/>
    <n v="70.470799999999997"/>
  </r>
  <r>
    <s v="SALE523"/>
    <x v="236"/>
    <x v="0"/>
    <s v="CUST1286"/>
    <x v="2"/>
    <x v="0"/>
    <x v="2"/>
    <s v="PROD82"/>
    <s v="Fitness Resistance Bands"/>
    <x v="0"/>
    <s v="Fitness"/>
    <s v="STORE0"/>
    <x v="3"/>
    <x v="2"/>
    <n v="854.37"/>
    <n v="7.0000000000000007E-2"/>
    <x v="1"/>
    <b v="1"/>
    <n v="3178.2563999999998"/>
    <n v="3178.2564000000002"/>
  </r>
  <r>
    <s v="SALE524"/>
    <x v="367"/>
    <x v="2"/>
    <s v="CUST1100"/>
    <x v="0"/>
    <x v="1"/>
    <x v="1"/>
    <s v="PROD24"/>
    <s v="Foldable Camping Chair"/>
    <x v="0"/>
    <s v="Outdoor"/>
    <s v="STORE16"/>
    <x v="1"/>
    <x v="3"/>
    <n v="409.52"/>
    <n v="0.06"/>
    <x v="2"/>
    <b v="1"/>
    <n v="769.8975999999999"/>
    <n v="769.8975999999999"/>
  </r>
  <r>
    <s v="SALE525"/>
    <x v="368"/>
    <x v="0"/>
    <s v="CUST1164"/>
    <x v="1"/>
    <x v="1"/>
    <x v="2"/>
    <s v="PROD74"/>
    <s v="Bluetooth Car Audio System"/>
    <x v="1"/>
    <s v="Audio"/>
    <s v="STORE10"/>
    <x v="3"/>
    <x v="3"/>
    <n v="407.46"/>
    <n v="0.21"/>
    <x v="0"/>
    <b v="1"/>
    <n v="643.78679999999997"/>
    <n v="643.78679999999997"/>
  </r>
  <r>
    <s v="SALE526"/>
    <x v="241"/>
    <x v="2"/>
    <s v="CUST1228"/>
    <x v="0"/>
    <x v="1"/>
    <x v="0"/>
    <s v="PROD4"/>
    <s v="Women's Yoga Pants"/>
    <x v="4"/>
    <s v="Bottoms"/>
    <s v="STORE8"/>
    <x v="1"/>
    <x v="0"/>
    <n v="728.84"/>
    <n v="0.28000000000000003"/>
    <x v="1"/>
    <b v="1"/>
    <n v="524.76480000000004"/>
    <n v="524.76480000000004"/>
  </r>
  <r>
    <s v="SALE527"/>
    <x v="369"/>
    <x v="0"/>
    <s v="CUST1453"/>
    <x v="0"/>
    <x v="1"/>
    <x v="1"/>
    <s v="PROD78"/>
    <s v="Essential Oil Diffuser"/>
    <x v="3"/>
    <s v="Decor"/>
    <s v="STORE6"/>
    <x v="3"/>
    <x v="2"/>
    <n v="467.24"/>
    <n v="0.08"/>
    <x v="1"/>
    <b v="1"/>
    <n v="1719.4432000000002"/>
    <n v="1719.4431999999999"/>
  </r>
  <r>
    <s v="SALE528"/>
    <x v="370"/>
    <x v="0"/>
    <s v="CUST1092"/>
    <x v="1"/>
    <x v="1"/>
    <x v="1"/>
    <s v="PROD10"/>
    <s v="Ceramic Kitchen Bowl Set"/>
    <x v="3"/>
    <s v="Kitchen"/>
    <s v="STORE11"/>
    <x v="2"/>
    <x v="0"/>
    <n v="57.94"/>
    <n v="0.13"/>
    <x v="1"/>
    <b v="1"/>
    <n v="50.407799999999995"/>
    <n v="50.407799999999988"/>
  </r>
  <r>
    <s v="SALE529"/>
    <x v="214"/>
    <x v="0"/>
    <s v="CUST1344"/>
    <x v="1"/>
    <x v="0"/>
    <x v="0"/>
    <s v="PROD49"/>
    <s v="Men's Roll-On Perfume"/>
    <x v="2"/>
    <s v="Fragrance"/>
    <s v="STORE17"/>
    <x v="0"/>
    <x v="0"/>
    <n v="540.1"/>
    <n v="0.22"/>
    <x v="0"/>
    <b v="1"/>
    <n v="421.27800000000002"/>
    <n v="421.27800000000002"/>
  </r>
  <r>
    <s v="SALE530"/>
    <x v="25"/>
    <x v="0"/>
    <s v="CUST1077"/>
    <x v="2"/>
    <x v="0"/>
    <x v="0"/>
    <s v="PROD8"/>
    <s v="Wireless Bluetooth Earbuds"/>
    <x v="1"/>
    <s v="Audio"/>
    <s v="STORE19"/>
    <x v="3"/>
    <x v="2"/>
    <n v="816.28"/>
    <n v="0.15"/>
    <x v="2"/>
    <b v="1"/>
    <n v="2775.3519999999999"/>
    <n v="2775.3519999999999"/>
  </r>
  <r>
    <s v="SALE531"/>
    <x v="371"/>
    <x v="2"/>
    <s v="CUST1178"/>
    <x v="1"/>
    <x v="1"/>
    <x v="3"/>
    <s v="PROD42"/>
    <s v="Smart Home WiFi Camera"/>
    <x v="1"/>
    <s v="Accessories"/>
    <s v="STORE8"/>
    <x v="1"/>
    <x v="2"/>
    <n v="727.49"/>
    <n v="0.11"/>
    <x v="0"/>
    <b v="1"/>
    <n v="2589.8643999999999"/>
    <n v="2589.8643999999999"/>
  </r>
  <r>
    <s v="SALE532"/>
    <x v="21"/>
    <x v="0"/>
    <s v="CUST1171"/>
    <x v="1"/>
    <x v="1"/>
    <x v="1"/>
    <s v="PROD86"/>
    <s v="Kitchen Cutting Board"/>
    <x v="3"/>
    <s v="Kitchen"/>
    <s v="STORE13"/>
    <x v="3"/>
    <x v="2"/>
    <n v="817.92"/>
    <n v="0.21"/>
    <x v="0"/>
    <b v="1"/>
    <n v="2584.6271999999999"/>
    <n v="2584.6271999999999"/>
  </r>
  <r>
    <s v="SALE533"/>
    <x v="372"/>
    <x v="0"/>
    <s v="CUST1325"/>
    <x v="0"/>
    <x v="0"/>
    <x v="3"/>
    <s v="PROD38"/>
    <s v="Sports Water Hydration Pack"/>
    <x v="0"/>
    <s v="Outdoor"/>
    <s v="STORE7"/>
    <x v="2"/>
    <x v="3"/>
    <n v="358.45"/>
    <n v="7.0000000000000007E-2"/>
    <x v="2"/>
    <b v="1"/>
    <n v="666.71699999999998"/>
    <n v="666.71699999999998"/>
  </r>
  <r>
    <s v="SALE534"/>
    <x v="373"/>
    <x v="2"/>
    <s v="CUST1201"/>
    <x v="2"/>
    <x v="1"/>
    <x v="3"/>
    <s v="PROD87"/>
    <s v="LED Bedside Lamp"/>
    <x v="3"/>
    <s v="Lighting"/>
    <s v="STORE9"/>
    <x v="2"/>
    <x v="0"/>
    <n v="972.06"/>
    <n v="0.3"/>
    <x v="2"/>
    <b v="1"/>
    <n v="680.44199999999989"/>
    <n v="680.44199999999989"/>
  </r>
  <r>
    <s v="SALE535"/>
    <x v="374"/>
    <x v="1"/>
    <s v="CUST1032"/>
    <x v="1"/>
    <x v="1"/>
    <x v="0"/>
    <s v="PROD16"/>
    <s v="Beard Grooming Kit"/>
    <x v="2"/>
    <s v="Grooming"/>
    <s v="STORE0"/>
    <x v="3"/>
    <x v="0"/>
    <n v="791.36"/>
    <n v="0.06"/>
    <x v="1"/>
    <b v="1"/>
    <n v="743.87839999999994"/>
    <n v="743.87839999999994"/>
  </r>
  <r>
    <s v="SALE536"/>
    <x v="375"/>
    <x v="2"/>
    <s v="CUST1314"/>
    <x v="0"/>
    <x v="1"/>
    <x v="2"/>
    <s v="PROD64"/>
    <s v="Matte Lipstick Set"/>
    <x v="2"/>
    <s v="Makeup"/>
    <s v="STORE5"/>
    <x v="0"/>
    <x v="2"/>
    <n v="839.65"/>
    <n v="0.26"/>
    <x v="2"/>
    <b v="1"/>
    <n v="2485.364"/>
    <n v="2485.364"/>
  </r>
  <r>
    <s v="SALE537"/>
    <x v="376"/>
    <x v="2"/>
    <s v="CUST1255"/>
    <x v="2"/>
    <x v="0"/>
    <x v="0"/>
    <s v="PROD72"/>
    <s v="Professional Jump Rope"/>
    <x v="0"/>
    <s v="Fitness"/>
    <s v="STORE2"/>
    <x v="2"/>
    <x v="3"/>
    <n v="245.52"/>
    <n v="0.11"/>
    <x v="2"/>
    <b v="1"/>
    <n v="437.0256"/>
    <n v="437.0256"/>
  </r>
  <r>
    <s v="SALE538"/>
    <x v="377"/>
    <x v="2"/>
    <s v="CUST1388"/>
    <x v="0"/>
    <x v="0"/>
    <x v="1"/>
    <s v="PROD82"/>
    <s v="Fitness Resistance Bands"/>
    <x v="0"/>
    <s v="Fitness"/>
    <s v="STORE8"/>
    <x v="1"/>
    <x v="1"/>
    <n v="787.91"/>
    <n v="0.06"/>
    <x v="1"/>
    <b v="1"/>
    <n v="2221.9061999999999"/>
    <n v="2221.9061999999999"/>
  </r>
  <r>
    <s v="SALE539"/>
    <x v="271"/>
    <x v="2"/>
    <s v="CUST1053"/>
    <x v="1"/>
    <x v="1"/>
    <x v="0"/>
    <s v="PROD75"/>
    <s v="Women's Ankle Boots"/>
    <x v="4"/>
    <s v="Footwear"/>
    <s v="STORE4"/>
    <x v="2"/>
    <x v="3"/>
    <n v="709.17"/>
    <n v="0.22"/>
    <x v="0"/>
    <b v="1"/>
    <n v="1106.3052"/>
    <n v="1106.3052"/>
  </r>
  <r>
    <s v="SALE540"/>
    <x v="378"/>
    <x v="1"/>
    <s v="CUST1235"/>
    <x v="2"/>
    <x v="1"/>
    <x v="3"/>
    <s v="PROD91"/>
    <s v="Women's High Heels"/>
    <x v="4"/>
    <s v="Footwear"/>
    <s v="STORE7"/>
    <x v="2"/>
    <x v="3"/>
    <n v="533.91999999999996"/>
    <n v="0.13"/>
    <x v="0"/>
    <b v="1"/>
    <n v="929.02079999999989"/>
    <n v="929.02079999999989"/>
  </r>
  <r>
    <s v="SALE541"/>
    <x v="379"/>
    <x v="2"/>
    <s v="CUST1492"/>
    <x v="0"/>
    <x v="1"/>
    <x v="1"/>
    <s v="PROD42"/>
    <s v="Smart Home WiFi Camera"/>
    <x v="1"/>
    <s v="Accessories"/>
    <s v="STORE0"/>
    <x v="3"/>
    <x v="0"/>
    <n v="878.84"/>
    <n v="0.28000000000000003"/>
    <x v="2"/>
    <b v="1"/>
    <n v="632.76480000000004"/>
    <n v="632.76480000000004"/>
  </r>
  <r>
    <s v="SALE542"/>
    <x v="380"/>
    <x v="1"/>
    <s v="CUST1204"/>
    <x v="0"/>
    <x v="0"/>
    <x v="1"/>
    <s v="PROD44"/>
    <s v="Adjustable Jump Rope"/>
    <x v="0"/>
    <s v="Fitness"/>
    <s v="STORE16"/>
    <x v="1"/>
    <x v="0"/>
    <n v="442.36"/>
    <n v="0.14000000000000001"/>
    <x v="0"/>
    <b v="1"/>
    <n v="380.42959999999999"/>
    <n v="380.42959999999999"/>
  </r>
  <r>
    <s v="SALE543"/>
    <x v="294"/>
    <x v="2"/>
    <s v="CUST1333"/>
    <x v="0"/>
    <x v="1"/>
    <x v="0"/>
    <s v="PROD35"/>
    <s v="Bedroom Table Lamp"/>
    <x v="3"/>
    <s v="Lighting"/>
    <s v="STORE6"/>
    <x v="3"/>
    <x v="0"/>
    <n v="763.34"/>
    <n v="0.11"/>
    <x v="2"/>
    <b v="1"/>
    <n v="679.37260000000003"/>
    <n v="679.37260000000003"/>
  </r>
  <r>
    <s v="SALE544"/>
    <x v="253"/>
    <x v="2"/>
    <s v="CUST1166"/>
    <x v="2"/>
    <x v="1"/>
    <x v="2"/>
    <s v="PROD59"/>
    <s v="Men's Hair Styling Gel"/>
    <x v="2"/>
    <s v="Haircare"/>
    <s v="STORE18"/>
    <x v="3"/>
    <x v="1"/>
    <n v="178.22"/>
    <n v="0.15"/>
    <x v="2"/>
    <b v="1"/>
    <n v="454.46099999999996"/>
    <n v="454.46100000000001"/>
  </r>
  <r>
    <s v="SALE545"/>
    <x v="65"/>
    <x v="1"/>
    <s v="CUST1103"/>
    <x v="2"/>
    <x v="0"/>
    <x v="3"/>
    <s v="PROD26"/>
    <s v="Wireless Bluetooth Speaker"/>
    <x v="1"/>
    <s v="Audio"/>
    <s v="STORE1"/>
    <x v="0"/>
    <x v="2"/>
    <n v="90.32"/>
    <n v="0.08"/>
    <x v="1"/>
    <b v="1"/>
    <n v="332.37759999999997"/>
    <n v="332.37759999999997"/>
  </r>
  <r>
    <s v="SALE546"/>
    <x v="379"/>
    <x v="2"/>
    <s v="CUST1378"/>
    <x v="1"/>
    <x v="1"/>
    <x v="3"/>
    <s v="PROD10"/>
    <s v="Ceramic Kitchen Bowl Set"/>
    <x v="3"/>
    <s v="Kitchen"/>
    <s v="STORE6"/>
    <x v="3"/>
    <x v="1"/>
    <n v="370.93"/>
    <n v="0"/>
    <x v="0"/>
    <b v="1"/>
    <n v="1112.79"/>
    <n v="1112.79"/>
  </r>
  <r>
    <s v="SALE547"/>
    <x v="374"/>
    <x v="1"/>
    <s v="CUST1046"/>
    <x v="0"/>
    <x v="1"/>
    <x v="1"/>
    <s v="PROD23"/>
    <s v="Men's Formal Shirt"/>
    <x v="4"/>
    <s v="Tops"/>
    <s v="STORE15"/>
    <x v="0"/>
    <x v="0"/>
    <n v="352.43"/>
    <n v="0.14000000000000001"/>
    <x v="1"/>
    <b v="1"/>
    <n v="303.08980000000003"/>
    <n v="303.08980000000003"/>
  </r>
  <r>
    <s v="SALE548"/>
    <x v="381"/>
    <x v="0"/>
    <s v="CUST1123"/>
    <x v="1"/>
    <x v="0"/>
    <x v="2"/>
    <s v="PROD12"/>
    <s v="Hair Strengthening Shampoo"/>
    <x v="2"/>
    <s v="Haircare"/>
    <s v="STORE15"/>
    <x v="0"/>
    <x v="3"/>
    <n v="562.97"/>
    <n v="0.2"/>
    <x v="0"/>
    <b v="1"/>
    <n v="900.75200000000007"/>
    <n v="900.75200000000007"/>
  </r>
  <r>
    <s v="SALE549"/>
    <x v="382"/>
    <x v="1"/>
    <s v="CUST1157"/>
    <x v="0"/>
    <x v="0"/>
    <x v="1"/>
    <s v="PROD55"/>
    <s v="Ceramic Plant Pot"/>
    <x v="3"/>
    <s v="Decor"/>
    <s v="STORE7"/>
    <x v="2"/>
    <x v="0"/>
    <n v="522.85"/>
    <n v="0.12"/>
    <x v="1"/>
    <b v="1"/>
    <n v="460.108"/>
    <n v="460.108"/>
  </r>
  <r>
    <s v="SALE550"/>
    <x v="103"/>
    <x v="2"/>
    <s v="CUST1349"/>
    <x v="1"/>
    <x v="0"/>
    <x v="3"/>
    <s v="PROD21"/>
    <s v="Multi-Purpose Storage Box"/>
    <x v="3"/>
    <s v="Storage"/>
    <s v="STORE16"/>
    <x v="1"/>
    <x v="2"/>
    <n v="714.89"/>
    <n v="0.15"/>
    <x v="0"/>
    <b v="1"/>
    <n v="2430.6259999999997"/>
    <n v="2430.6260000000002"/>
  </r>
  <r>
    <s v="SALE551"/>
    <x v="383"/>
    <x v="1"/>
    <s v="CUST1187"/>
    <x v="0"/>
    <x v="1"/>
    <x v="1"/>
    <s v="PROD43"/>
    <s v="USB External Hard Drive"/>
    <x v="1"/>
    <s v="Computer"/>
    <s v="STORE2"/>
    <x v="2"/>
    <x v="1"/>
    <n v="137.77000000000001"/>
    <n v="0.26"/>
    <x v="1"/>
    <b v="1"/>
    <n v="305.84940000000006"/>
    <n v="305.84940000000012"/>
  </r>
  <r>
    <s v="SALE552"/>
    <x v="280"/>
    <x v="2"/>
    <s v="CUST1027"/>
    <x v="1"/>
    <x v="0"/>
    <x v="1"/>
    <s v="PROD92"/>
    <s v="Microwave Oven"/>
    <x v="3"/>
    <s v="Appliances"/>
    <s v="STORE11"/>
    <x v="2"/>
    <x v="1"/>
    <n v="862.18"/>
    <n v="0.22"/>
    <x v="1"/>
    <b v="1"/>
    <n v="2017.5012000000002"/>
    <n v="2017.5011999999999"/>
  </r>
  <r>
    <s v="SALE553"/>
    <x v="384"/>
    <x v="2"/>
    <s v="CUST1057"/>
    <x v="1"/>
    <x v="1"/>
    <x v="1"/>
    <s v="PROD38"/>
    <s v="Sports Water Hydration Pack"/>
    <x v="0"/>
    <s v="Outdoor"/>
    <s v="STORE14"/>
    <x v="2"/>
    <x v="3"/>
    <n v="833.64"/>
    <n v="0.24"/>
    <x v="1"/>
    <b v="1"/>
    <n v="1267.1328000000001"/>
    <n v="1267.1328000000001"/>
  </r>
  <r>
    <s v="SALE554"/>
    <x v="385"/>
    <x v="2"/>
    <s v="CUST1270"/>
    <x v="1"/>
    <x v="1"/>
    <x v="0"/>
    <s v="PROD19"/>
    <s v="Knee Support Brace"/>
    <x v="0"/>
    <s v="Equipment"/>
    <s v="STORE15"/>
    <x v="0"/>
    <x v="1"/>
    <n v="543.22"/>
    <n v="0.05"/>
    <x v="2"/>
    <b v="1"/>
    <n v="1548.1769999999999"/>
    <n v="1548.1769999999999"/>
  </r>
  <r>
    <s v="SALE555"/>
    <x v="43"/>
    <x v="2"/>
    <s v="CUST1278"/>
    <x v="1"/>
    <x v="1"/>
    <x v="1"/>
    <s v="PROD88"/>
    <s v="Sports Wrist Sweatbands"/>
    <x v="0"/>
    <s v="Accessories"/>
    <s v="STORE2"/>
    <x v="2"/>
    <x v="1"/>
    <n v="691.02"/>
    <n v="0.12"/>
    <x v="2"/>
    <b v="1"/>
    <n v="1824.2927999999999"/>
    <n v="1824.2927999999999"/>
  </r>
  <r>
    <s v="SALE556"/>
    <x v="205"/>
    <x v="1"/>
    <s v="CUST1087"/>
    <x v="0"/>
    <x v="1"/>
    <x v="3"/>
    <s v="PROD86"/>
    <s v="Kitchen Cutting Board"/>
    <x v="3"/>
    <s v="Kitchen"/>
    <s v="STORE17"/>
    <x v="0"/>
    <x v="2"/>
    <n v="338.73"/>
    <n v="0.18"/>
    <x v="0"/>
    <b v="1"/>
    <n v="1111.0344000000002"/>
    <n v="1111.0344"/>
  </r>
  <r>
    <s v="SALE557"/>
    <x v="257"/>
    <x v="0"/>
    <s v="CUST1062"/>
    <x v="1"/>
    <x v="0"/>
    <x v="3"/>
    <s v="PROD84"/>
    <s v="Wooden Bookshelf"/>
    <x v="3"/>
    <s v="Furniture"/>
    <s v="STORE16"/>
    <x v="1"/>
    <x v="1"/>
    <n v="366.08"/>
    <n v="0.05"/>
    <x v="0"/>
    <b v="1"/>
    <n v="1043.328"/>
    <n v="1043.328"/>
  </r>
  <r>
    <s v="SALE558"/>
    <x v="263"/>
    <x v="2"/>
    <s v="CUST1105"/>
    <x v="1"/>
    <x v="1"/>
    <x v="0"/>
    <s v="PROD13"/>
    <s v="USB-C Fast Charger"/>
    <x v="1"/>
    <s v="Accessories"/>
    <s v="STORE13"/>
    <x v="3"/>
    <x v="2"/>
    <n v="539.48"/>
    <n v="0.28000000000000003"/>
    <x v="2"/>
    <b v="1"/>
    <n v="1553.7023999999999"/>
    <n v="1553.7023999999999"/>
  </r>
  <r>
    <s v="SALE559"/>
    <x v="386"/>
    <x v="1"/>
    <s v="CUST1389"/>
    <x v="1"/>
    <x v="0"/>
    <x v="1"/>
    <s v="PROD91"/>
    <s v="Women's High Heels"/>
    <x v="4"/>
    <s v="Footwear"/>
    <s v="STORE16"/>
    <x v="1"/>
    <x v="0"/>
    <n v="499.59"/>
    <n v="0.03"/>
    <x v="2"/>
    <b v="1"/>
    <n v="484.60229999999996"/>
    <n v="484.60230000000001"/>
  </r>
  <r>
    <s v="SALE560"/>
    <x v="387"/>
    <x v="0"/>
    <s v="CUST1188"/>
    <x v="1"/>
    <x v="0"/>
    <x v="2"/>
    <s v="PROD30"/>
    <s v="Stainless Steel Cutlery Set"/>
    <x v="3"/>
    <s v="Kitchen"/>
    <s v="STORE8"/>
    <x v="1"/>
    <x v="1"/>
    <n v="330.04"/>
    <n v="0.2"/>
    <x v="0"/>
    <b v="1"/>
    <n v="792.09600000000012"/>
    <n v="792.09600000000012"/>
  </r>
  <r>
    <s v="SALE561"/>
    <x v="170"/>
    <x v="0"/>
    <s v="CUST1182"/>
    <x v="2"/>
    <x v="1"/>
    <x v="2"/>
    <s v="PROD11"/>
    <s v="HD Smart TV Stick"/>
    <x v="1"/>
    <s v="Accessories"/>
    <s v="STORE17"/>
    <x v="0"/>
    <x v="3"/>
    <n v="813.01"/>
    <n v="0.06"/>
    <x v="1"/>
    <b v="1"/>
    <n v="1528.4587999999999"/>
    <n v="1528.4588000000001"/>
  </r>
  <r>
    <s v="SALE562"/>
    <x v="388"/>
    <x v="2"/>
    <s v="CUST1026"/>
    <x v="2"/>
    <x v="1"/>
    <x v="0"/>
    <s v="PROD1"/>
    <s v="Men's Graphic T-Shirt"/>
    <x v="4"/>
    <s v="Tops"/>
    <s v="STORE2"/>
    <x v="2"/>
    <x v="2"/>
    <n v="204.8"/>
    <n v="0.03"/>
    <x v="1"/>
    <b v="1"/>
    <n v="794.62400000000002"/>
    <n v="794.62400000000002"/>
  </r>
  <r>
    <s v="SALE563"/>
    <x v="389"/>
    <x v="1"/>
    <s v="CUST1011"/>
    <x v="2"/>
    <x v="1"/>
    <x v="0"/>
    <s v="PROD3"/>
    <s v="Men's Running Jacket"/>
    <x v="4"/>
    <s v="Outerwear"/>
    <s v="STORE3"/>
    <x v="0"/>
    <x v="1"/>
    <n v="728.32"/>
    <n v="0.01"/>
    <x v="0"/>
    <b v="1"/>
    <n v="2163.1104"/>
    <n v="2163.1104"/>
  </r>
  <r>
    <s v="SALE564"/>
    <x v="390"/>
    <x v="0"/>
    <s v="CUST1452"/>
    <x v="0"/>
    <x v="1"/>
    <x v="3"/>
    <s v="PROD59"/>
    <s v="Men's Hair Styling Gel"/>
    <x v="2"/>
    <s v="Haircare"/>
    <s v="STORE7"/>
    <x v="2"/>
    <x v="1"/>
    <n v="836.4"/>
    <n v="0"/>
    <x v="0"/>
    <b v="1"/>
    <n v="2509.1999999999998"/>
    <n v="2509.1999999999998"/>
  </r>
  <r>
    <s v="SALE565"/>
    <x v="20"/>
    <x v="2"/>
    <s v="CUST1149"/>
    <x v="1"/>
    <x v="0"/>
    <x v="1"/>
    <s v="PROD90"/>
    <s v="Gaming Mouse Pad XL"/>
    <x v="1"/>
    <s v="Accessories"/>
    <s v="STORE12"/>
    <x v="0"/>
    <x v="0"/>
    <n v="780.16"/>
    <n v="0.02"/>
    <x v="2"/>
    <b v="1"/>
    <n v="764.55679999999995"/>
    <n v="764.55679999999995"/>
  </r>
  <r>
    <s v="SALE566"/>
    <x v="391"/>
    <x v="2"/>
    <s v="CUST1470"/>
    <x v="2"/>
    <x v="1"/>
    <x v="0"/>
    <s v="PROD46"/>
    <s v="Men's Winter Jacket"/>
    <x v="4"/>
    <s v="Outerwear"/>
    <s v="STORE13"/>
    <x v="3"/>
    <x v="2"/>
    <n v="354.12"/>
    <n v="0.06"/>
    <x v="1"/>
    <b v="1"/>
    <n v="1331.4911999999999"/>
    <n v="1331.4911999999999"/>
  </r>
  <r>
    <s v="SALE567"/>
    <x v="392"/>
    <x v="0"/>
    <s v="CUST1452"/>
    <x v="0"/>
    <x v="1"/>
    <x v="3"/>
    <s v="PROD63"/>
    <s v="Organic Sunscreen Lotion"/>
    <x v="2"/>
    <s v="Skincare"/>
    <s v="STORE2"/>
    <x v="2"/>
    <x v="2"/>
    <n v="282.48"/>
    <n v="0.11"/>
    <x v="1"/>
    <b v="1"/>
    <n v="1005.6288000000001"/>
    <n v="1005.6288"/>
  </r>
  <r>
    <s v="SALE568"/>
    <x v="2"/>
    <x v="0"/>
    <s v="CUST1328"/>
    <x v="1"/>
    <x v="0"/>
    <x v="1"/>
    <s v="PROD20"/>
    <s v="Outdoor Sports Water Bottle"/>
    <x v="0"/>
    <s v="Accessories"/>
    <s v="STORE6"/>
    <x v="3"/>
    <x v="3"/>
    <n v="740.68"/>
    <n v="0.02"/>
    <x v="1"/>
    <b v="1"/>
    <n v="1451.7327999999998"/>
    <n v="1451.7328"/>
  </r>
  <r>
    <s v="SALE569"/>
    <x v="393"/>
    <x v="0"/>
    <s v="CUST1105"/>
    <x v="1"/>
    <x v="1"/>
    <x v="0"/>
    <s v="PROD56"/>
    <s v="Premium Blanket Throw"/>
    <x v="3"/>
    <s v="Decor"/>
    <s v="STORE9"/>
    <x v="2"/>
    <x v="1"/>
    <n v="600.58000000000004"/>
    <n v="0.28999999999999998"/>
    <x v="2"/>
    <b v="1"/>
    <n v="1279.2354"/>
    <n v="1279.2354"/>
  </r>
  <r>
    <s v="SALE570"/>
    <x v="196"/>
    <x v="0"/>
    <s v="CUST1461"/>
    <x v="0"/>
    <x v="1"/>
    <x v="2"/>
    <s v="PROD65"/>
    <s v="Adjustable Dumbbells 20kg"/>
    <x v="0"/>
    <s v="Fitness"/>
    <s v="STORE3"/>
    <x v="0"/>
    <x v="1"/>
    <n v="345.58"/>
    <n v="0.22"/>
    <x v="0"/>
    <b v="1"/>
    <n v="808.65719999999999"/>
    <n v="808.65719999999999"/>
  </r>
  <r>
    <s v="SALE571"/>
    <x v="298"/>
    <x v="2"/>
    <s v="CUST1284"/>
    <x v="0"/>
    <x v="0"/>
    <x v="0"/>
    <s v="PROD18"/>
    <s v="Women's Denim Jeans"/>
    <x v="4"/>
    <s v="Bottoms"/>
    <s v="STORE11"/>
    <x v="2"/>
    <x v="0"/>
    <n v="974.52"/>
    <n v="0.01"/>
    <x v="1"/>
    <b v="1"/>
    <n v="964.77480000000003"/>
    <n v="964.77480000000003"/>
  </r>
  <r>
    <s v="SALE572"/>
    <x v="394"/>
    <x v="1"/>
    <s v="CUST1040"/>
    <x v="1"/>
    <x v="0"/>
    <x v="0"/>
    <s v="PROD17"/>
    <s v="Soccer Training Cone Set"/>
    <x v="0"/>
    <s v="Accessories"/>
    <s v="STORE1"/>
    <x v="0"/>
    <x v="1"/>
    <n v="282.33"/>
    <n v="7.0000000000000007E-2"/>
    <x v="0"/>
    <b v="1"/>
    <n v="787.70069999999998"/>
    <n v="787.70069999999998"/>
  </r>
  <r>
    <s v="SALE573"/>
    <x v="349"/>
    <x v="2"/>
    <s v="CUST1382"/>
    <x v="2"/>
    <x v="1"/>
    <x v="0"/>
    <s v="PROD76"/>
    <s v="Wireless Mouse"/>
    <x v="1"/>
    <s v="Computer"/>
    <s v="STORE19"/>
    <x v="3"/>
    <x v="2"/>
    <n v="158.46"/>
    <n v="0.09"/>
    <x v="1"/>
    <b v="1"/>
    <n v="576.7944"/>
    <n v="576.7944"/>
  </r>
  <r>
    <s v="SALE574"/>
    <x v="395"/>
    <x v="1"/>
    <s v="CUST1343"/>
    <x v="1"/>
    <x v="0"/>
    <x v="3"/>
    <s v="PROD55"/>
    <s v="Ceramic Plant Pot"/>
    <x v="3"/>
    <s v="Decor"/>
    <s v="STORE7"/>
    <x v="2"/>
    <x v="3"/>
    <n v="778.56"/>
    <n v="0.11"/>
    <x v="2"/>
    <b v="1"/>
    <n v="1385.8367999999998"/>
    <n v="1385.8368"/>
  </r>
  <r>
    <s v="SALE575"/>
    <x v="396"/>
    <x v="0"/>
    <s v="CUST1237"/>
    <x v="1"/>
    <x v="1"/>
    <x v="0"/>
    <s v="PROD50"/>
    <s v="Boxing Hand Wraps"/>
    <x v="0"/>
    <s v="Fitness"/>
    <s v="STORE19"/>
    <x v="3"/>
    <x v="2"/>
    <n v="280.16000000000003"/>
    <n v="0.18"/>
    <x v="2"/>
    <b v="1"/>
    <n v="918.92480000000012"/>
    <n v="918.92480000000012"/>
  </r>
  <r>
    <s v="SALE576"/>
    <x v="397"/>
    <x v="0"/>
    <s v="CUST1287"/>
    <x v="2"/>
    <x v="1"/>
    <x v="0"/>
    <s v="PROD71"/>
    <s v="Hair Repair Oil Treatment"/>
    <x v="2"/>
    <s v="Haircare"/>
    <s v="STORE13"/>
    <x v="3"/>
    <x v="3"/>
    <n v="649.54999999999995"/>
    <n v="0.28999999999999998"/>
    <x v="1"/>
    <b v="1"/>
    <n v="922.36099999999988"/>
    <n v="922.36099999999988"/>
  </r>
  <r>
    <s v="SALE577"/>
    <x v="398"/>
    <x v="0"/>
    <s v="CUST1007"/>
    <x v="2"/>
    <x v="1"/>
    <x v="3"/>
    <s v="PROD88"/>
    <s v="Sports Wrist Sweatbands"/>
    <x v="0"/>
    <s v="Accessories"/>
    <s v="STORE2"/>
    <x v="2"/>
    <x v="3"/>
    <n v="994.32"/>
    <n v="0.27"/>
    <x v="1"/>
    <b v="1"/>
    <n v="1451.7072000000001"/>
    <n v="1451.7072000000001"/>
  </r>
  <r>
    <s v="SALE578"/>
    <x v="42"/>
    <x v="0"/>
    <s v="CUST1223"/>
    <x v="1"/>
    <x v="0"/>
    <x v="1"/>
    <s v="PROD81"/>
    <s v="Badminton Racket Set"/>
    <x v="0"/>
    <s v="Equipment"/>
    <s v="STORE12"/>
    <x v="0"/>
    <x v="0"/>
    <n v="64.94"/>
    <n v="0.21"/>
    <x v="1"/>
    <b v="1"/>
    <n v="51.302599999999998"/>
    <n v="51.302599999999998"/>
  </r>
  <r>
    <s v="SALE579"/>
    <x v="326"/>
    <x v="2"/>
    <s v="CUST1136"/>
    <x v="2"/>
    <x v="0"/>
    <x v="2"/>
    <s v="PROD39"/>
    <s v="Portable Power Bank"/>
    <x v="1"/>
    <s v="Mobile"/>
    <s v="STORE7"/>
    <x v="2"/>
    <x v="3"/>
    <n v="507.66"/>
    <n v="0"/>
    <x v="2"/>
    <b v="1"/>
    <n v="1015.32"/>
    <n v="1015.32"/>
  </r>
  <r>
    <s v="SALE580"/>
    <x v="399"/>
    <x v="1"/>
    <s v="CUST1242"/>
    <x v="0"/>
    <x v="1"/>
    <x v="2"/>
    <s v="PROD81"/>
    <s v="Badminton Racket Set"/>
    <x v="0"/>
    <s v="Equipment"/>
    <s v="STORE4"/>
    <x v="2"/>
    <x v="2"/>
    <n v="968.27"/>
    <n v="0.03"/>
    <x v="1"/>
    <b v="1"/>
    <n v="3756.8876"/>
    <n v="3756.8876"/>
  </r>
  <r>
    <s v="SALE581"/>
    <x v="400"/>
    <x v="1"/>
    <s v="CUST1017"/>
    <x v="0"/>
    <x v="1"/>
    <x v="1"/>
    <s v="PROD88"/>
    <s v="Sports Wrist Sweatbands"/>
    <x v="0"/>
    <s v="Accessories"/>
    <s v="STORE5"/>
    <x v="0"/>
    <x v="2"/>
    <n v="510.33"/>
    <n v="0.2"/>
    <x v="1"/>
    <b v="1"/>
    <n v="1633.056"/>
    <n v="1633.056"/>
  </r>
  <r>
    <s v="SALE582"/>
    <x v="401"/>
    <x v="0"/>
    <s v="CUST1011"/>
    <x v="2"/>
    <x v="1"/>
    <x v="0"/>
    <s v="PROD44"/>
    <s v="Adjustable Jump Rope"/>
    <x v="0"/>
    <s v="Fitness"/>
    <s v="STORE19"/>
    <x v="3"/>
    <x v="3"/>
    <n v="156.72999999999999"/>
    <n v="0.18"/>
    <x v="2"/>
    <b v="1"/>
    <n v="257.03719999999998"/>
    <n v="257.03719999999998"/>
  </r>
  <r>
    <s v="SALE583"/>
    <x v="402"/>
    <x v="2"/>
    <s v="CUST1142"/>
    <x v="1"/>
    <x v="0"/>
    <x v="3"/>
    <s v="PROD99"/>
    <s v="Stainless Steel Cookware Set"/>
    <x v="3"/>
    <s v="Kitchen"/>
    <s v="STORE10"/>
    <x v="3"/>
    <x v="1"/>
    <n v="53.83"/>
    <n v="0.24"/>
    <x v="0"/>
    <b v="1"/>
    <n v="122.73240000000001"/>
    <n v="122.7324"/>
  </r>
  <r>
    <s v="SALE584"/>
    <x v="87"/>
    <x v="0"/>
    <s v="CUST1377"/>
    <x v="1"/>
    <x v="1"/>
    <x v="0"/>
    <s v="PROD78"/>
    <s v="Essential Oil Diffuser"/>
    <x v="3"/>
    <s v="Decor"/>
    <s v="STORE4"/>
    <x v="2"/>
    <x v="0"/>
    <n v="34.71"/>
    <n v="0.1"/>
    <x v="2"/>
    <b v="1"/>
    <n v="31.239000000000001"/>
    <n v="31.239000000000001"/>
  </r>
  <r>
    <s v="SALE585"/>
    <x v="56"/>
    <x v="0"/>
    <s v="CUST1229"/>
    <x v="1"/>
    <x v="1"/>
    <x v="3"/>
    <s v="PROD77"/>
    <s v="WiFi Mesh Router"/>
    <x v="1"/>
    <s v="Appliances"/>
    <s v="STORE1"/>
    <x v="0"/>
    <x v="3"/>
    <n v="829.15"/>
    <n v="0.11"/>
    <x v="1"/>
    <b v="1"/>
    <n v="1475.8869999999999"/>
    <n v="1475.8869999999999"/>
  </r>
  <r>
    <s v="SALE586"/>
    <x v="104"/>
    <x v="2"/>
    <s v="CUST1264"/>
    <x v="2"/>
    <x v="0"/>
    <x v="0"/>
    <s v="PROD98"/>
    <s v="Portable Bluetooth Speaker"/>
    <x v="1"/>
    <s v="Audio"/>
    <s v="STORE3"/>
    <x v="0"/>
    <x v="3"/>
    <n v="481.86"/>
    <n v="0.1"/>
    <x v="2"/>
    <b v="1"/>
    <n v="867.34800000000007"/>
    <n v="867.34800000000007"/>
  </r>
  <r>
    <s v="SALE587"/>
    <x v="166"/>
    <x v="0"/>
    <s v="CUST1147"/>
    <x v="1"/>
    <x v="1"/>
    <x v="1"/>
    <s v="PROD52"/>
    <s v="Rugby Ball"/>
    <x v="0"/>
    <s v="Team Sports"/>
    <s v="STORE7"/>
    <x v="2"/>
    <x v="2"/>
    <n v="915.17"/>
    <n v="0.19"/>
    <x v="2"/>
    <b v="1"/>
    <n v="2965.1507999999999"/>
    <n v="2965.1507999999999"/>
  </r>
  <r>
    <s v="SALE588"/>
    <x v="403"/>
    <x v="0"/>
    <s v="CUST1214"/>
    <x v="0"/>
    <x v="0"/>
    <x v="0"/>
    <s v="PROD71"/>
    <s v="Hair Repair Oil Treatment"/>
    <x v="2"/>
    <s v="Haircare"/>
    <s v="STORE18"/>
    <x v="3"/>
    <x v="0"/>
    <n v="250.95"/>
    <n v="0.03"/>
    <x v="1"/>
    <b v="1"/>
    <n v="243.42149999999998"/>
    <n v="243.42150000000001"/>
  </r>
  <r>
    <s v="SALE589"/>
    <x v="57"/>
    <x v="1"/>
    <s v="CUST1325"/>
    <x v="0"/>
    <x v="0"/>
    <x v="3"/>
    <s v="PROD96"/>
    <s v="Women's Formal Blazer"/>
    <x v="4"/>
    <s v="Outerwear"/>
    <s v="STORE5"/>
    <x v="0"/>
    <x v="1"/>
    <n v="882.84"/>
    <n v="0.1"/>
    <x v="0"/>
    <b v="1"/>
    <n v="2383.6680000000001"/>
    <n v="2383.6680000000001"/>
  </r>
  <r>
    <s v="SALE590"/>
    <x v="404"/>
    <x v="2"/>
    <s v="CUST1138"/>
    <x v="1"/>
    <x v="0"/>
    <x v="0"/>
    <s v="PROD19"/>
    <s v="Knee Support Brace"/>
    <x v="0"/>
    <s v="Equipment"/>
    <s v="STORE18"/>
    <x v="3"/>
    <x v="2"/>
    <n v="573.37"/>
    <n v="0.04"/>
    <x v="2"/>
    <b v="1"/>
    <n v="2201.7408"/>
    <n v="2201.7408"/>
  </r>
  <r>
    <s v="SALE591"/>
    <x v="405"/>
    <x v="0"/>
    <s v="CUST1058"/>
    <x v="0"/>
    <x v="0"/>
    <x v="1"/>
    <s v="PROD32"/>
    <s v="Vitamin C Face Serum"/>
    <x v="2"/>
    <s v="Skincare"/>
    <s v="STORE12"/>
    <x v="0"/>
    <x v="1"/>
    <n v="622.72"/>
    <n v="0.04"/>
    <x v="0"/>
    <b v="1"/>
    <n v="1793.4336000000001"/>
    <n v="1793.4336000000001"/>
  </r>
  <r>
    <s v="SALE592"/>
    <x v="186"/>
    <x v="2"/>
    <s v="CUST1388"/>
    <x v="0"/>
    <x v="0"/>
    <x v="1"/>
    <s v="PROD92"/>
    <s v="Microwave Oven"/>
    <x v="3"/>
    <s v="Appliances"/>
    <s v="STORE17"/>
    <x v="0"/>
    <x v="1"/>
    <n v="259.74"/>
    <n v="0.24"/>
    <x v="0"/>
    <b v="1"/>
    <n v="592.20720000000006"/>
    <n v="592.20720000000006"/>
  </r>
  <r>
    <s v="SALE593"/>
    <x v="406"/>
    <x v="2"/>
    <s v="CUST1054"/>
    <x v="2"/>
    <x v="0"/>
    <x v="1"/>
    <s v="PROD28"/>
    <s v="Sports Stopwatch Timer"/>
    <x v="0"/>
    <s v="Accessories"/>
    <s v="STORE13"/>
    <x v="3"/>
    <x v="2"/>
    <n v="951.09"/>
    <n v="0.14000000000000001"/>
    <x v="2"/>
    <b v="1"/>
    <n v="3271.7496000000001"/>
    <n v="3271.7496000000001"/>
  </r>
  <r>
    <s v="SALE594"/>
    <x v="407"/>
    <x v="2"/>
    <s v="CUST1199"/>
    <x v="1"/>
    <x v="0"/>
    <x v="3"/>
    <s v="PROD99"/>
    <s v="Stainless Steel Cookware Set"/>
    <x v="3"/>
    <s v="Kitchen"/>
    <s v="STORE2"/>
    <x v="2"/>
    <x v="0"/>
    <n v="71.709999999999994"/>
    <n v="0.23"/>
    <x v="2"/>
    <b v="1"/>
    <n v="55.216699999999996"/>
    <n v="55.216700000000003"/>
  </r>
  <r>
    <s v="SALE595"/>
    <x v="99"/>
    <x v="2"/>
    <s v="CUST1173"/>
    <x v="1"/>
    <x v="1"/>
    <x v="1"/>
    <s v="PROD20"/>
    <s v="Outdoor Sports Water Bottle"/>
    <x v="0"/>
    <s v="Accessories"/>
    <s v="STORE7"/>
    <x v="2"/>
    <x v="2"/>
    <n v="894.93"/>
    <n v="0.05"/>
    <x v="2"/>
    <b v="1"/>
    <n v="3400.7339999999995"/>
    <n v="3400.733999999999"/>
  </r>
  <r>
    <s v="SALE596"/>
    <x v="253"/>
    <x v="2"/>
    <s v="CUST1202"/>
    <x v="1"/>
    <x v="1"/>
    <x v="1"/>
    <s v="PROD78"/>
    <s v="Essential Oil Diffuser"/>
    <x v="3"/>
    <s v="Decor"/>
    <s v="STORE8"/>
    <x v="1"/>
    <x v="2"/>
    <n v="870.18"/>
    <n v="0.13"/>
    <x v="2"/>
    <b v="1"/>
    <n v="3028.2264"/>
    <n v="3028.2264"/>
  </r>
  <r>
    <s v="SALE597"/>
    <x v="408"/>
    <x v="0"/>
    <s v="CUST1278"/>
    <x v="1"/>
    <x v="1"/>
    <x v="1"/>
    <s v="PROD64"/>
    <s v="Matte Lipstick Set"/>
    <x v="2"/>
    <s v="Makeup"/>
    <s v="STORE2"/>
    <x v="2"/>
    <x v="3"/>
    <n v="552.72"/>
    <n v="0.06"/>
    <x v="1"/>
    <b v="1"/>
    <n v="1039.1135999999999"/>
    <n v="1039.1135999999999"/>
  </r>
  <r>
    <s v="SALE598"/>
    <x v="409"/>
    <x v="1"/>
    <s v="CUST1246"/>
    <x v="0"/>
    <x v="0"/>
    <x v="3"/>
    <s v="PROD39"/>
    <s v="Portable Power Bank"/>
    <x v="1"/>
    <s v="Mobile"/>
    <s v="STORE8"/>
    <x v="1"/>
    <x v="1"/>
    <n v="700.43"/>
    <n v="0.01"/>
    <x v="2"/>
    <b v="1"/>
    <n v="2080.2770999999998"/>
    <n v="2080.2770999999998"/>
  </r>
  <r>
    <s v="SALE599"/>
    <x v="330"/>
    <x v="2"/>
    <s v="CUST1339"/>
    <x v="0"/>
    <x v="1"/>
    <x v="1"/>
    <s v="PROD9"/>
    <s v="Adjustable Dumbbell Set"/>
    <x v="0"/>
    <s v="Fitness"/>
    <s v="STORE2"/>
    <x v="2"/>
    <x v="3"/>
    <n v="823.03"/>
    <n v="0.18"/>
    <x v="1"/>
    <b v="1"/>
    <n v="1349.7692"/>
    <n v="1349.7692"/>
  </r>
  <r>
    <s v="SALE600"/>
    <x v="410"/>
    <x v="0"/>
    <s v="CUST1255"/>
    <x v="2"/>
    <x v="0"/>
    <x v="0"/>
    <s v="PROD92"/>
    <s v="Microwave Oven"/>
    <x v="3"/>
    <s v="Appliances"/>
    <s v="STORE6"/>
    <x v="3"/>
    <x v="0"/>
    <n v="117.37"/>
    <n v="0.21"/>
    <x v="0"/>
    <b v="1"/>
    <n v="92.722300000000004"/>
    <n v="92.722300000000004"/>
  </r>
  <r>
    <s v="SALE601"/>
    <x v="59"/>
    <x v="2"/>
    <s v="CUST1104"/>
    <x v="0"/>
    <x v="0"/>
    <x v="2"/>
    <s v="PROD56"/>
    <s v="Premium Blanket Throw"/>
    <x v="3"/>
    <s v="Decor"/>
    <s v="STORE1"/>
    <x v="0"/>
    <x v="2"/>
    <n v="165.37"/>
    <n v="0.28999999999999998"/>
    <x v="0"/>
    <b v="1"/>
    <n v="469.6508"/>
    <n v="469.6508"/>
  </r>
  <r>
    <s v="SALE602"/>
    <x v="132"/>
    <x v="2"/>
    <s v="CUST1378"/>
    <x v="1"/>
    <x v="1"/>
    <x v="3"/>
    <s v="PROD6"/>
    <s v="Herbal Face Moisturizer"/>
    <x v="2"/>
    <s v="Skincare"/>
    <s v="STORE10"/>
    <x v="3"/>
    <x v="1"/>
    <n v="483.06"/>
    <n v="0.05"/>
    <x v="0"/>
    <b v="1"/>
    <n v="1376.721"/>
    <n v="1376.721"/>
  </r>
  <r>
    <s v="SALE603"/>
    <x v="411"/>
    <x v="0"/>
    <s v="CUST1293"/>
    <x v="0"/>
    <x v="1"/>
    <x v="1"/>
    <s v="PROD81"/>
    <s v="Badminton Racket Set"/>
    <x v="0"/>
    <s v="Equipment"/>
    <s v="STORE7"/>
    <x v="2"/>
    <x v="2"/>
    <n v="262.05"/>
    <n v="0.24"/>
    <x v="1"/>
    <b v="1"/>
    <n v="796.63200000000006"/>
    <n v="796.63200000000006"/>
  </r>
  <r>
    <s v="SALE604"/>
    <x v="36"/>
    <x v="0"/>
    <s v="CUST1463"/>
    <x v="1"/>
    <x v="1"/>
    <x v="3"/>
    <s v="PROD14"/>
    <s v="Decorative Wall Mirror"/>
    <x v="3"/>
    <s v="Decor"/>
    <s v="STORE14"/>
    <x v="2"/>
    <x v="1"/>
    <n v="970.89"/>
    <n v="0.11"/>
    <x v="2"/>
    <b v="1"/>
    <n v="2592.2763"/>
    <n v="2592.2763"/>
  </r>
  <r>
    <s v="SALE605"/>
    <x v="383"/>
    <x v="1"/>
    <s v="CUST1216"/>
    <x v="1"/>
    <x v="0"/>
    <x v="1"/>
    <s v="PROD72"/>
    <s v="Professional Jump Rope"/>
    <x v="0"/>
    <s v="Fitness"/>
    <s v="STORE0"/>
    <x v="3"/>
    <x v="0"/>
    <n v="61.11"/>
    <n v="0.1"/>
    <x v="1"/>
    <b v="1"/>
    <n v="54.999000000000002"/>
    <n v="54.999000000000002"/>
  </r>
  <r>
    <s v="SALE606"/>
    <x v="224"/>
    <x v="0"/>
    <s v="CUST1029"/>
    <x v="0"/>
    <x v="1"/>
    <x v="2"/>
    <s v="PROD27"/>
    <s v="Decorative Floor Vase"/>
    <x v="3"/>
    <s v="Decor"/>
    <s v="STORE8"/>
    <x v="1"/>
    <x v="1"/>
    <n v="827.88"/>
    <n v="0.19"/>
    <x v="1"/>
    <b v="1"/>
    <n v="2011.7483999999999"/>
    <n v="2011.7483999999999"/>
  </r>
  <r>
    <s v="SALE607"/>
    <x v="246"/>
    <x v="0"/>
    <s v="CUST1430"/>
    <x v="1"/>
    <x v="1"/>
    <x v="0"/>
    <s v="PROD87"/>
    <s v="LED Bedside Lamp"/>
    <x v="3"/>
    <s v="Lighting"/>
    <s v="STORE13"/>
    <x v="3"/>
    <x v="1"/>
    <n v="926.85"/>
    <n v="0.18"/>
    <x v="2"/>
    <b v="1"/>
    <n v="2280.0510000000004"/>
    <n v="2280.0509999999999"/>
  </r>
  <r>
    <s v="SALE608"/>
    <x v="125"/>
    <x v="2"/>
    <s v="CUST1317"/>
    <x v="0"/>
    <x v="1"/>
    <x v="0"/>
    <s v="PROD10"/>
    <s v="Ceramic Kitchen Bowl Set"/>
    <x v="3"/>
    <s v="Kitchen"/>
    <s v="STORE14"/>
    <x v="2"/>
    <x v="0"/>
    <n v="874.59"/>
    <n v="0.28999999999999998"/>
    <x v="1"/>
    <b v="1"/>
    <n v="620.95889999999997"/>
    <n v="620.95889999999997"/>
  </r>
  <r>
    <s v="SALE609"/>
    <x v="275"/>
    <x v="2"/>
    <s v="CUST1470"/>
    <x v="2"/>
    <x v="1"/>
    <x v="0"/>
    <s v="PROD15"/>
    <s v="4K Home Projector"/>
    <x v="1"/>
    <s v="Appliances"/>
    <s v="STORE1"/>
    <x v="0"/>
    <x v="2"/>
    <n v="479.11"/>
    <n v="0.24"/>
    <x v="1"/>
    <b v="1"/>
    <n v="1456.4944"/>
    <n v="1456.4944"/>
  </r>
  <r>
    <s v="SALE610"/>
    <x v="412"/>
    <x v="0"/>
    <s v="CUST1213"/>
    <x v="1"/>
    <x v="1"/>
    <x v="1"/>
    <s v="PROD32"/>
    <s v="Vitamin C Face Serum"/>
    <x v="2"/>
    <s v="Skincare"/>
    <s v="STORE17"/>
    <x v="0"/>
    <x v="1"/>
    <n v="182.91"/>
    <n v="0.28999999999999998"/>
    <x v="0"/>
    <b v="1"/>
    <n v="389.59829999999999"/>
    <n v="389.59829999999999"/>
  </r>
  <r>
    <s v="SALE611"/>
    <x v="413"/>
    <x v="0"/>
    <s v="CUST1272"/>
    <x v="1"/>
    <x v="1"/>
    <x v="0"/>
    <s v="PROD34"/>
    <s v="Gaming Mechanical Keyboard"/>
    <x v="1"/>
    <s v="Computer"/>
    <s v="STORE5"/>
    <x v="0"/>
    <x v="2"/>
    <n v="745.51"/>
    <n v="0.05"/>
    <x v="0"/>
    <b v="1"/>
    <n v="2832.9379999999996"/>
    <n v="2832.9380000000001"/>
  </r>
  <r>
    <s v="SALE612"/>
    <x v="118"/>
    <x v="0"/>
    <s v="CUST1481"/>
    <x v="2"/>
    <x v="0"/>
    <x v="0"/>
    <s v="PROD88"/>
    <s v="Sports Wrist Sweatbands"/>
    <x v="0"/>
    <s v="Accessories"/>
    <s v="STORE15"/>
    <x v="0"/>
    <x v="1"/>
    <n v="920.61"/>
    <n v="0.04"/>
    <x v="0"/>
    <b v="1"/>
    <n v="2651.3568"/>
    <n v="2651.3568"/>
  </r>
  <r>
    <s v="SALE613"/>
    <x v="359"/>
    <x v="2"/>
    <s v="CUST1425"/>
    <x v="1"/>
    <x v="0"/>
    <x v="3"/>
    <s v="PROD75"/>
    <s v="Women's Ankle Boots"/>
    <x v="4"/>
    <s v="Footwear"/>
    <s v="STORE10"/>
    <x v="3"/>
    <x v="2"/>
    <n v="659.03"/>
    <n v="0.15"/>
    <x v="0"/>
    <b v="1"/>
    <n v="2240.7019999999998"/>
    <n v="2240.7020000000002"/>
  </r>
  <r>
    <s v="SALE614"/>
    <x v="214"/>
    <x v="0"/>
    <s v="CUST1491"/>
    <x v="0"/>
    <x v="1"/>
    <x v="0"/>
    <s v="PROD9"/>
    <s v="Adjustable Dumbbell Set"/>
    <x v="0"/>
    <s v="Fitness"/>
    <s v="STORE2"/>
    <x v="2"/>
    <x v="0"/>
    <n v="312.91000000000003"/>
    <n v="0.12"/>
    <x v="1"/>
    <b v="1"/>
    <n v="275.36080000000004"/>
    <n v="275.36079999999998"/>
  </r>
  <r>
    <s v="SALE615"/>
    <x v="414"/>
    <x v="0"/>
    <s v="CUST1228"/>
    <x v="0"/>
    <x v="1"/>
    <x v="0"/>
    <s v="PROD12"/>
    <s v="Hair Strengthening Shampoo"/>
    <x v="2"/>
    <s v="Haircare"/>
    <s v="STORE18"/>
    <x v="3"/>
    <x v="2"/>
    <n v="705.64"/>
    <n v="0.11"/>
    <x v="1"/>
    <b v="1"/>
    <n v="2512.0783999999999"/>
    <n v="2512.0783999999999"/>
  </r>
  <r>
    <s v="SALE616"/>
    <x v="184"/>
    <x v="0"/>
    <s v="CUST1144"/>
    <x v="0"/>
    <x v="1"/>
    <x v="3"/>
    <s v="PROD9"/>
    <s v="Adjustable Dumbbell Set"/>
    <x v="0"/>
    <s v="Fitness"/>
    <s v="STORE10"/>
    <x v="3"/>
    <x v="2"/>
    <n v="386.41"/>
    <n v="0.13"/>
    <x v="2"/>
    <b v="1"/>
    <n v="1344.7068000000002"/>
    <n v="1344.7067999999999"/>
  </r>
  <r>
    <s v="SALE617"/>
    <x v="415"/>
    <x v="0"/>
    <s v="CUST1029"/>
    <x v="0"/>
    <x v="1"/>
    <x v="2"/>
    <s v="PROD94"/>
    <s v="Vitamin E Body Lotion"/>
    <x v="2"/>
    <s v="Skincare"/>
    <s v="STORE11"/>
    <x v="2"/>
    <x v="1"/>
    <n v="265.89"/>
    <n v="0.08"/>
    <x v="2"/>
    <b v="1"/>
    <n v="733.85640000000001"/>
    <n v="733.85640000000001"/>
  </r>
  <r>
    <s v="SALE618"/>
    <x v="108"/>
    <x v="2"/>
    <s v="CUST1075"/>
    <x v="0"/>
    <x v="1"/>
    <x v="0"/>
    <s v="PROD30"/>
    <s v="Stainless Steel Cutlery Set"/>
    <x v="3"/>
    <s v="Kitchen"/>
    <s v="STORE16"/>
    <x v="1"/>
    <x v="0"/>
    <n v="703.16"/>
    <n v="0.28999999999999998"/>
    <x v="0"/>
    <b v="1"/>
    <n v="499.24359999999996"/>
    <n v="499.24360000000001"/>
  </r>
  <r>
    <s v="SALE619"/>
    <x v="407"/>
    <x v="2"/>
    <s v="CUST1471"/>
    <x v="1"/>
    <x v="0"/>
    <x v="1"/>
    <s v="PROD97"/>
    <s v="Cricket Bat"/>
    <x v="0"/>
    <s v="Team Sports"/>
    <s v="STORE13"/>
    <x v="3"/>
    <x v="3"/>
    <n v="394.5"/>
    <n v="0.28999999999999998"/>
    <x v="2"/>
    <b v="1"/>
    <n v="560.18999999999994"/>
    <n v="560.18999999999994"/>
  </r>
  <r>
    <s v="SALE620"/>
    <x v="416"/>
    <x v="2"/>
    <s v="CUST1117"/>
    <x v="2"/>
    <x v="1"/>
    <x v="1"/>
    <s v="PROD97"/>
    <s v="Cricket Bat"/>
    <x v="0"/>
    <s v="Team Sports"/>
    <s v="STORE7"/>
    <x v="2"/>
    <x v="1"/>
    <n v="411.25"/>
    <n v="0.05"/>
    <x v="0"/>
    <b v="1"/>
    <n v="1172.0625"/>
    <n v="1172.0625"/>
  </r>
  <r>
    <s v="SALE621"/>
    <x v="28"/>
    <x v="2"/>
    <s v="CUST1353"/>
    <x v="0"/>
    <x v="1"/>
    <x v="1"/>
    <s v="PROD48"/>
    <s v="Car Dashboard Phone Holder"/>
    <x v="1"/>
    <s v="Accessories"/>
    <s v="STORE2"/>
    <x v="2"/>
    <x v="2"/>
    <n v="395.45"/>
    <n v="0.01"/>
    <x v="0"/>
    <b v="1"/>
    <n v="1565.982"/>
    <n v="1565.982"/>
  </r>
  <r>
    <s v="SALE622"/>
    <x v="417"/>
    <x v="0"/>
    <s v="CUST1036"/>
    <x v="2"/>
    <x v="1"/>
    <x v="0"/>
    <s v="PROD90"/>
    <s v="Gaming Mouse Pad XL"/>
    <x v="1"/>
    <s v="Accessories"/>
    <s v="STORE5"/>
    <x v="0"/>
    <x v="3"/>
    <n v="678.98"/>
    <n v="0.23"/>
    <x v="0"/>
    <b v="1"/>
    <n v="1045.6292000000001"/>
    <n v="1045.6292000000001"/>
  </r>
  <r>
    <s v="SALE623"/>
    <x v="418"/>
    <x v="0"/>
    <s v="CUST1072"/>
    <x v="1"/>
    <x v="1"/>
    <x v="0"/>
    <s v="PROD27"/>
    <s v="Decorative Floor Vase"/>
    <x v="3"/>
    <s v="Decor"/>
    <s v="STORE14"/>
    <x v="2"/>
    <x v="2"/>
    <n v="757.71"/>
    <n v="0.26"/>
    <x v="2"/>
    <b v="1"/>
    <n v="2242.8216000000002"/>
    <n v="2242.8216000000002"/>
  </r>
  <r>
    <s v="SALE624"/>
    <x v="350"/>
    <x v="0"/>
    <s v="CUST1059"/>
    <x v="0"/>
    <x v="0"/>
    <x v="1"/>
    <s v="PROD94"/>
    <s v="Vitamin E Body Lotion"/>
    <x v="2"/>
    <s v="Skincare"/>
    <s v="STORE4"/>
    <x v="2"/>
    <x v="0"/>
    <n v="647.86"/>
    <n v="0.05"/>
    <x v="2"/>
    <b v="1"/>
    <n v="615.46699999999998"/>
    <n v="615.46699999999998"/>
  </r>
  <r>
    <s v="SALE625"/>
    <x v="18"/>
    <x v="0"/>
    <s v="CUST1135"/>
    <x v="1"/>
    <x v="1"/>
    <x v="1"/>
    <s v="PROD12"/>
    <s v="Hair Strengthening Shampoo"/>
    <x v="2"/>
    <s v="Haircare"/>
    <s v="STORE6"/>
    <x v="3"/>
    <x v="3"/>
    <n v="179.64"/>
    <n v="0.1"/>
    <x v="1"/>
    <b v="1"/>
    <n v="323.35199999999998"/>
    <n v="323.35199999999998"/>
  </r>
  <r>
    <s v="SALE626"/>
    <x v="81"/>
    <x v="0"/>
    <s v="CUST1396"/>
    <x v="2"/>
    <x v="1"/>
    <x v="2"/>
    <s v="PROD62"/>
    <s v="Laptop Cooling Pad"/>
    <x v="1"/>
    <s v="Computer"/>
    <s v="STORE4"/>
    <x v="2"/>
    <x v="1"/>
    <n v="392.65"/>
    <n v="0.17"/>
    <x v="1"/>
    <b v="1"/>
    <n v="977.69849999999985"/>
    <n v="977.69849999999985"/>
  </r>
  <r>
    <s v="SALE627"/>
    <x v="419"/>
    <x v="0"/>
    <s v="CUST1176"/>
    <x v="1"/>
    <x v="0"/>
    <x v="2"/>
    <s v="PROD91"/>
    <s v="Women's High Heels"/>
    <x v="4"/>
    <s v="Footwear"/>
    <s v="STORE16"/>
    <x v="1"/>
    <x v="2"/>
    <n v="969.55"/>
    <n v="0.09"/>
    <x v="2"/>
    <b v="1"/>
    <n v="3529.1619999999998"/>
    <n v="3529.1619999999998"/>
  </r>
  <r>
    <s v="SALE628"/>
    <x v="138"/>
    <x v="0"/>
    <s v="CUST1462"/>
    <x v="1"/>
    <x v="1"/>
    <x v="2"/>
    <s v="PROD74"/>
    <s v="Bluetooth Car Audio System"/>
    <x v="1"/>
    <s v="Audio"/>
    <s v="STORE12"/>
    <x v="0"/>
    <x v="1"/>
    <n v="322.94"/>
    <n v="0.01"/>
    <x v="0"/>
    <b v="1"/>
    <n v="959.13179999999988"/>
    <n v="959.13179999999988"/>
  </r>
  <r>
    <s v="SALE629"/>
    <x v="420"/>
    <x v="2"/>
    <s v="CUST1362"/>
    <x v="0"/>
    <x v="0"/>
    <x v="0"/>
    <s v="PROD83"/>
    <s v="Hydrating Face Cleanser"/>
    <x v="2"/>
    <s v="Skincare"/>
    <s v="STORE0"/>
    <x v="3"/>
    <x v="0"/>
    <n v="92.83"/>
    <n v="0.26"/>
    <x v="1"/>
    <b v="1"/>
    <n v="68.694199999999995"/>
    <n v="68.694199999999995"/>
  </r>
  <r>
    <s v="SALE630"/>
    <x v="391"/>
    <x v="2"/>
    <s v="CUST1420"/>
    <x v="0"/>
    <x v="0"/>
    <x v="3"/>
    <s v="PROD8"/>
    <s v="Wireless Bluetooth Earbuds"/>
    <x v="1"/>
    <s v="Audio"/>
    <s v="STORE3"/>
    <x v="0"/>
    <x v="2"/>
    <n v="432.29"/>
    <n v="0.16"/>
    <x v="2"/>
    <b v="1"/>
    <n v="1452.4944"/>
    <n v="1452.4944"/>
  </r>
  <r>
    <s v="SALE631"/>
    <x v="331"/>
    <x v="0"/>
    <s v="CUST1080"/>
    <x v="0"/>
    <x v="1"/>
    <x v="3"/>
    <s v="PROD39"/>
    <s v="Portable Power Bank"/>
    <x v="1"/>
    <s v="Mobile"/>
    <s v="STORE13"/>
    <x v="3"/>
    <x v="3"/>
    <n v="925.78"/>
    <n v="0.14000000000000001"/>
    <x v="2"/>
    <b v="1"/>
    <n v="1592.3416"/>
    <n v="1592.3416"/>
  </r>
  <r>
    <s v="SALE632"/>
    <x v="421"/>
    <x v="0"/>
    <s v="CUST1477"/>
    <x v="1"/>
    <x v="1"/>
    <x v="1"/>
    <s v="PROD25"/>
    <s v="Women's Scarf Set"/>
    <x v="4"/>
    <s v="Accessories"/>
    <s v="STORE11"/>
    <x v="2"/>
    <x v="3"/>
    <n v="151.47"/>
    <n v="0.21"/>
    <x v="1"/>
    <b v="1"/>
    <n v="239.32260000000002"/>
    <n v="239.32259999999999"/>
  </r>
  <r>
    <s v="SALE633"/>
    <x v="214"/>
    <x v="0"/>
    <s v="CUST1449"/>
    <x v="2"/>
    <x v="0"/>
    <x v="3"/>
    <s v="PROD83"/>
    <s v="Hydrating Face Cleanser"/>
    <x v="2"/>
    <s v="Skincare"/>
    <s v="STORE10"/>
    <x v="3"/>
    <x v="0"/>
    <n v="343.05"/>
    <n v="0.28000000000000003"/>
    <x v="1"/>
    <b v="1"/>
    <n v="246.99600000000001"/>
    <n v="246.99600000000001"/>
  </r>
  <r>
    <s v="SALE634"/>
    <x v="422"/>
    <x v="0"/>
    <s v="CUST1066"/>
    <x v="2"/>
    <x v="1"/>
    <x v="2"/>
    <s v="PROD17"/>
    <s v="Soccer Training Cone Set"/>
    <x v="0"/>
    <s v="Accessories"/>
    <s v="STORE4"/>
    <x v="2"/>
    <x v="0"/>
    <n v="373.06"/>
    <n v="0.11"/>
    <x v="1"/>
    <b v="1"/>
    <n v="332.02339999999998"/>
    <n v="332.02339999999998"/>
  </r>
  <r>
    <s v="SALE635"/>
    <x v="227"/>
    <x v="2"/>
    <s v="CUST1411"/>
    <x v="0"/>
    <x v="0"/>
    <x v="2"/>
    <s v="PROD18"/>
    <s v="Women's Denim Jeans"/>
    <x v="4"/>
    <s v="Bottoms"/>
    <s v="STORE15"/>
    <x v="0"/>
    <x v="0"/>
    <n v="124.98"/>
    <n v="7.0000000000000007E-2"/>
    <x v="2"/>
    <b v="1"/>
    <n v="116.23139999999999"/>
    <n v="116.23139999999999"/>
  </r>
  <r>
    <s v="SALE636"/>
    <x v="171"/>
    <x v="2"/>
    <s v="CUST1272"/>
    <x v="1"/>
    <x v="1"/>
    <x v="0"/>
    <s v="PROD73"/>
    <s v="Shin Guards – Adult"/>
    <x v="0"/>
    <s v="Team Sports"/>
    <s v="STORE19"/>
    <x v="3"/>
    <x v="2"/>
    <n v="221.49"/>
    <n v="0.26"/>
    <x v="1"/>
    <b v="1"/>
    <n v="655.61040000000003"/>
    <n v="655.61040000000003"/>
  </r>
  <r>
    <s v="SALE637"/>
    <x v="423"/>
    <x v="0"/>
    <s v="CUST1170"/>
    <x v="2"/>
    <x v="0"/>
    <x v="0"/>
    <s v="PROD23"/>
    <s v="Men's Formal Shirt"/>
    <x v="4"/>
    <s v="Tops"/>
    <s v="STORE15"/>
    <x v="0"/>
    <x v="0"/>
    <n v="563.32000000000005"/>
    <n v="0.01"/>
    <x v="1"/>
    <b v="1"/>
    <n v="557.68680000000006"/>
    <n v="557.68680000000006"/>
  </r>
  <r>
    <s v="SALE638"/>
    <x v="214"/>
    <x v="0"/>
    <s v="CUST1390"/>
    <x v="0"/>
    <x v="0"/>
    <x v="2"/>
    <s v="PROD11"/>
    <s v="HD Smart TV Stick"/>
    <x v="1"/>
    <s v="Accessories"/>
    <s v="STORE0"/>
    <x v="3"/>
    <x v="0"/>
    <n v="362.93"/>
    <n v="0.27"/>
    <x v="0"/>
    <b v="1"/>
    <n v="264.93889999999999"/>
    <n v="264.93889999999999"/>
  </r>
  <r>
    <s v="SALE639"/>
    <x v="297"/>
    <x v="0"/>
    <s v="CUST1336"/>
    <x v="0"/>
    <x v="1"/>
    <x v="2"/>
    <s v="PROD11"/>
    <s v="HD Smart TV Stick"/>
    <x v="1"/>
    <s v="Accessories"/>
    <s v="STORE15"/>
    <x v="0"/>
    <x v="2"/>
    <n v="369.22"/>
    <n v="0.18"/>
    <x v="2"/>
    <b v="1"/>
    <n v="1211.0416000000002"/>
    <n v="1211.0416"/>
  </r>
  <r>
    <s v="SALE640"/>
    <x v="424"/>
    <x v="0"/>
    <s v="CUST1410"/>
    <x v="1"/>
    <x v="1"/>
    <x v="3"/>
    <s v="PROD96"/>
    <s v="Women's Formal Blazer"/>
    <x v="4"/>
    <s v="Outerwear"/>
    <s v="STORE14"/>
    <x v="2"/>
    <x v="1"/>
    <n v="950.83"/>
    <n v="0.06"/>
    <x v="1"/>
    <b v="1"/>
    <n v="2681.3406"/>
    <n v="2681.3406"/>
  </r>
  <r>
    <s v="SALE641"/>
    <x v="425"/>
    <x v="0"/>
    <s v="CUST1143"/>
    <x v="1"/>
    <x v="0"/>
    <x v="3"/>
    <s v="PROD37"/>
    <s v="Men's Casual Sneakers"/>
    <x v="4"/>
    <s v="Footwear"/>
    <s v="STORE13"/>
    <x v="3"/>
    <x v="1"/>
    <n v="338.79"/>
    <n v="0.01"/>
    <x v="0"/>
    <b v="1"/>
    <n v="1006.2063000000001"/>
    <n v="1006.2063000000001"/>
  </r>
  <r>
    <s v="SALE642"/>
    <x v="294"/>
    <x v="2"/>
    <s v="CUST1146"/>
    <x v="1"/>
    <x v="1"/>
    <x v="0"/>
    <s v="PROD90"/>
    <s v="Gaming Mouse Pad XL"/>
    <x v="1"/>
    <s v="Accessories"/>
    <s v="STORE1"/>
    <x v="0"/>
    <x v="1"/>
    <n v="853.32"/>
    <n v="7.0000000000000007E-2"/>
    <x v="2"/>
    <b v="1"/>
    <n v="2380.7628"/>
    <n v="2380.7628"/>
  </r>
  <r>
    <s v="SALE643"/>
    <x v="426"/>
    <x v="0"/>
    <s v="CUST1149"/>
    <x v="1"/>
    <x v="0"/>
    <x v="1"/>
    <s v="PROD76"/>
    <s v="Wireless Mouse"/>
    <x v="1"/>
    <s v="Computer"/>
    <s v="STORE6"/>
    <x v="3"/>
    <x v="1"/>
    <n v="89.78"/>
    <n v="0.2"/>
    <x v="2"/>
    <b v="1"/>
    <n v="215.47200000000004"/>
    <n v="215.47200000000001"/>
  </r>
  <r>
    <s v="SALE644"/>
    <x v="427"/>
    <x v="0"/>
    <s v="CUST1191"/>
    <x v="2"/>
    <x v="1"/>
    <x v="3"/>
    <s v="PROD55"/>
    <s v="Ceramic Plant Pot"/>
    <x v="3"/>
    <s v="Decor"/>
    <s v="STORE1"/>
    <x v="0"/>
    <x v="0"/>
    <n v="172.04"/>
    <n v="0.04"/>
    <x v="1"/>
    <b v="1"/>
    <n v="165.1584"/>
    <n v="165.1584"/>
  </r>
  <r>
    <s v="SALE645"/>
    <x v="348"/>
    <x v="0"/>
    <s v="CUST1467"/>
    <x v="0"/>
    <x v="1"/>
    <x v="0"/>
    <s v="PROD54"/>
    <s v="Sports Stopwatch Pro"/>
    <x v="0"/>
    <s v="Accessories"/>
    <s v="STORE1"/>
    <x v="0"/>
    <x v="0"/>
    <n v="389.2"/>
    <n v="0.05"/>
    <x v="0"/>
    <b v="1"/>
    <n v="369.73999999999995"/>
    <n v="369.74"/>
  </r>
  <r>
    <s v="SALE646"/>
    <x v="428"/>
    <x v="2"/>
    <s v="CUST1461"/>
    <x v="0"/>
    <x v="1"/>
    <x v="2"/>
    <s v="PROD77"/>
    <s v="WiFi Mesh Router"/>
    <x v="1"/>
    <s v="Appliances"/>
    <s v="STORE13"/>
    <x v="3"/>
    <x v="1"/>
    <n v="865.96"/>
    <n v="0.12"/>
    <x v="1"/>
    <b v="1"/>
    <n v="2286.1343999999999"/>
    <n v="2286.1343999999999"/>
  </r>
  <r>
    <s v="SALE647"/>
    <x v="397"/>
    <x v="0"/>
    <s v="CUST1169"/>
    <x v="0"/>
    <x v="0"/>
    <x v="3"/>
    <s v="PROD19"/>
    <s v="Knee Support Brace"/>
    <x v="0"/>
    <s v="Equipment"/>
    <s v="STORE1"/>
    <x v="0"/>
    <x v="1"/>
    <n v="79.95"/>
    <n v="0.2"/>
    <x v="2"/>
    <b v="1"/>
    <n v="191.88000000000002"/>
    <n v="191.88"/>
  </r>
  <r>
    <s v="SALE648"/>
    <x v="3"/>
    <x v="1"/>
    <s v="CUST1381"/>
    <x v="1"/>
    <x v="0"/>
    <x v="2"/>
    <s v="PROD26"/>
    <s v="Wireless Bluetooth Speaker"/>
    <x v="1"/>
    <s v="Audio"/>
    <s v="STORE7"/>
    <x v="2"/>
    <x v="0"/>
    <n v="566.5"/>
    <n v="0.25"/>
    <x v="2"/>
    <b v="1"/>
    <n v="424.875"/>
    <n v="424.875"/>
  </r>
  <r>
    <s v="SALE649"/>
    <x v="11"/>
    <x v="2"/>
    <s v="CUST1402"/>
    <x v="1"/>
    <x v="0"/>
    <x v="3"/>
    <s v="PROD21"/>
    <s v="Multi-Purpose Storage Box"/>
    <x v="3"/>
    <s v="Storage"/>
    <s v="STORE0"/>
    <x v="3"/>
    <x v="3"/>
    <n v="347.95"/>
    <n v="0.13"/>
    <x v="2"/>
    <b v="1"/>
    <n v="605.43299999999999"/>
    <n v="605.43299999999999"/>
  </r>
  <r>
    <s v="SALE650"/>
    <x v="121"/>
    <x v="0"/>
    <s v="CUST1209"/>
    <x v="1"/>
    <x v="1"/>
    <x v="1"/>
    <s v="PROD58"/>
    <s v="Womens Cotton Scarf"/>
    <x v="4"/>
    <s v="Accessories"/>
    <s v="STORE3"/>
    <x v="0"/>
    <x v="3"/>
    <n v="250.83"/>
    <n v="0.15"/>
    <x v="1"/>
    <b v="1"/>
    <n v="426.411"/>
    <n v="426.411"/>
  </r>
  <r>
    <s v="SALE651"/>
    <x v="237"/>
    <x v="2"/>
    <s v="CUST1149"/>
    <x v="1"/>
    <x v="0"/>
    <x v="1"/>
    <s v="PROD71"/>
    <s v="Hair Repair Oil Treatment"/>
    <x v="2"/>
    <s v="Haircare"/>
    <s v="STORE1"/>
    <x v="0"/>
    <x v="0"/>
    <n v="888.05"/>
    <n v="0.2"/>
    <x v="1"/>
    <b v="1"/>
    <n v="710.44"/>
    <n v="710.44"/>
  </r>
  <r>
    <s v="SALE652"/>
    <x v="429"/>
    <x v="0"/>
    <s v="CUST1006"/>
    <x v="2"/>
    <x v="1"/>
    <x v="1"/>
    <s v="PROD39"/>
    <s v="Portable Power Bank"/>
    <x v="1"/>
    <s v="Mobile"/>
    <s v="STORE18"/>
    <x v="3"/>
    <x v="3"/>
    <n v="673.02"/>
    <n v="0.11"/>
    <x v="1"/>
    <b v="1"/>
    <n v="1197.9756"/>
    <n v="1197.9756"/>
  </r>
  <r>
    <s v="SALE653"/>
    <x v="430"/>
    <x v="0"/>
    <s v="CUST1440"/>
    <x v="0"/>
    <x v="0"/>
    <x v="2"/>
    <s v="PROD64"/>
    <s v="Matte Lipstick Set"/>
    <x v="2"/>
    <s v="Makeup"/>
    <s v="STORE3"/>
    <x v="0"/>
    <x v="3"/>
    <n v="492.62"/>
    <n v="0.26"/>
    <x v="2"/>
    <b v="1"/>
    <n v="729.07759999999996"/>
    <n v="729.07759999999996"/>
  </r>
  <r>
    <s v="SALE654"/>
    <x v="431"/>
    <x v="0"/>
    <s v="CUST1376"/>
    <x v="2"/>
    <x v="0"/>
    <x v="3"/>
    <s v="PROD85"/>
    <s v="Women's Beanie Hat"/>
    <x v="4"/>
    <s v="Accessories"/>
    <s v="STORE3"/>
    <x v="0"/>
    <x v="2"/>
    <n v="986.93"/>
    <n v="0.01"/>
    <x v="0"/>
    <b v="1"/>
    <n v="3908.2428"/>
    <n v="3908.2428"/>
  </r>
  <r>
    <s v="SALE655"/>
    <x v="432"/>
    <x v="0"/>
    <s v="CUST1479"/>
    <x v="1"/>
    <x v="0"/>
    <x v="3"/>
    <s v="PROD22"/>
    <s v="Carbon Fiber Tennis Racket"/>
    <x v="0"/>
    <s v="Equipment"/>
    <s v="STORE12"/>
    <x v="0"/>
    <x v="2"/>
    <n v="411.68"/>
    <n v="0.06"/>
    <x v="1"/>
    <b v="1"/>
    <n v="1547.9168"/>
    <n v="1547.9168"/>
  </r>
  <r>
    <s v="SALE656"/>
    <x v="433"/>
    <x v="0"/>
    <s v="CUST1219"/>
    <x v="1"/>
    <x v="1"/>
    <x v="0"/>
    <s v="PROD36"/>
    <s v="Women's Summer Dress"/>
    <x v="4"/>
    <s v="Tops"/>
    <s v="STORE17"/>
    <x v="0"/>
    <x v="3"/>
    <n v="637.55999999999995"/>
    <n v="0.05"/>
    <x v="2"/>
    <b v="1"/>
    <n v="1211.3639999999998"/>
    <n v="1211.364"/>
  </r>
  <r>
    <s v="SALE657"/>
    <x v="56"/>
    <x v="0"/>
    <s v="CUST1014"/>
    <x v="0"/>
    <x v="1"/>
    <x v="2"/>
    <s v="PROD13"/>
    <s v="USB-C Fast Charger"/>
    <x v="1"/>
    <s v="Accessories"/>
    <s v="STORE3"/>
    <x v="0"/>
    <x v="1"/>
    <n v="706.87"/>
    <n v="0.27"/>
    <x v="0"/>
    <b v="1"/>
    <n v="1548.0453"/>
    <n v="1548.0453"/>
  </r>
  <r>
    <s v="SALE658"/>
    <x v="434"/>
    <x v="0"/>
    <s v="CUST1055"/>
    <x v="0"/>
    <x v="1"/>
    <x v="3"/>
    <s v="PROD15"/>
    <s v="4K Home Projector"/>
    <x v="1"/>
    <s v="Appliances"/>
    <s v="STORE6"/>
    <x v="3"/>
    <x v="3"/>
    <n v="884.48"/>
    <n v="0"/>
    <x v="2"/>
    <b v="1"/>
    <n v="1768.96"/>
    <n v="1768.96"/>
  </r>
  <r>
    <s v="SALE659"/>
    <x v="49"/>
    <x v="1"/>
    <s v="CUST1047"/>
    <x v="0"/>
    <x v="1"/>
    <x v="2"/>
    <s v="PROD92"/>
    <s v="Microwave Oven"/>
    <x v="3"/>
    <s v="Appliances"/>
    <s v="STORE4"/>
    <x v="2"/>
    <x v="1"/>
    <n v="718.23"/>
    <n v="0.19"/>
    <x v="1"/>
    <b v="1"/>
    <n v="1745.2989000000002"/>
    <n v="1745.2989"/>
  </r>
  <r>
    <s v="SALE660"/>
    <x v="62"/>
    <x v="2"/>
    <s v="CUST1180"/>
    <x v="1"/>
    <x v="0"/>
    <x v="3"/>
    <s v="PROD90"/>
    <s v="Gaming Mouse Pad XL"/>
    <x v="1"/>
    <s v="Accessories"/>
    <s v="STORE18"/>
    <x v="3"/>
    <x v="1"/>
    <n v="107.44"/>
    <n v="0.27"/>
    <x v="1"/>
    <b v="1"/>
    <n v="235.2936"/>
    <n v="235.2936"/>
  </r>
  <r>
    <s v="SALE661"/>
    <x v="435"/>
    <x v="2"/>
    <s v="CUST1056"/>
    <x v="1"/>
    <x v="1"/>
    <x v="0"/>
    <s v="PROD46"/>
    <s v="Men's Winter Jacket"/>
    <x v="4"/>
    <s v="Outerwear"/>
    <s v="STORE3"/>
    <x v="0"/>
    <x v="2"/>
    <n v="608.97"/>
    <n v="0.14000000000000001"/>
    <x v="2"/>
    <b v="1"/>
    <n v="2094.8568"/>
    <n v="2094.8568"/>
  </r>
  <r>
    <s v="SALE662"/>
    <x v="50"/>
    <x v="2"/>
    <s v="CUST1354"/>
    <x v="1"/>
    <x v="0"/>
    <x v="2"/>
    <s v="PROD61"/>
    <s v="Tennis Ball 3-Pack"/>
    <x v="0"/>
    <s v="Equipment"/>
    <s v="STORE6"/>
    <x v="3"/>
    <x v="1"/>
    <n v="260.45999999999998"/>
    <n v="0.09"/>
    <x v="0"/>
    <b v="1"/>
    <n v="711.05579999999986"/>
    <n v="711.05579999999986"/>
  </r>
  <r>
    <s v="SALE663"/>
    <x v="175"/>
    <x v="0"/>
    <s v="CUST1123"/>
    <x v="1"/>
    <x v="0"/>
    <x v="2"/>
    <s v="PROD22"/>
    <s v="Carbon Fiber Tennis Racket"/>
    <x v="0"/>
    <s v="Equipment"/>
    <s v="STORE6"/>
    <x v="3"/>
    <x v="0"/>
    <n v="747.03"/>
    <n v="0.01"/>
    <x v="0"/>
    <b v="1"/>
    <n v="739.55970000000002"/>
    <n v="739.55970000000002"/>
  </r>
  <r>
    <s v="SALE664"/>
    <x v="235"/>
    <x v="0"/>
    <s v="CUST1404"/>
    <x v="2"/>
    <x v="1"/>
    <x v="2"/>
    <s v="PROD16"/>
    <s v="Beard Grooming Kit"/>
    <x v="2"/>
    <s v="Grooming"/>
    <s v="STORE8"/>
    <x v="1"/>
    <x v="2"/>
    <n v="700.88"/>
    <n v="0.23"/>
    <x v="1"/>
    <b v="1"/>
    <n v="2158.7103999999999"/>
    <n v="2158.7103999999999"/>
  </r>
  <r>
    <s v="SALE665"/>
    <x v="8"/>
    <x v="2"/>
    <s v="CUST1048"/>
    <x v="0"/>
    <x v="0"/>
    <x v="1"/>
    <s v="PROD95"/>
    <s v="Sports Stopwatch Basic"/>
    <x v="0"/>
    <s v="Accessories"/>
    <s v="STORE14"/>
    <x v="2"/>
    <x v="2"/>
    <n v="20.09"/>
    <n v="0.16"/>
    <x v="1"/>
    <b v="1"/>
    <n v="67.502399999999994"/>
    <n v="67.502399999999994"/>
  </r>
  <r>
    <s v="SALE666"/>
    <x v="243"/>
    <x v="0"/>
    <s v="CUST1062"/>
    <x v="1"/>
    <x v="0"/>
    <x v="3"/>
    <s v="PROD37"/>
    <s v="Men's Casual Sneakers"/>
    <x v="4"/>
    <s v="Footwear"/>
    <s v="STORE11"/>
    <x v="2"/>
    <x v="1"/>
    <n v="917.64"/>
    <n v="0.24"/>
    <x v="1"/>
    <b v="1"/>
    <n v="2092.2192"/>
    <n v="2092.2192"/>
  </r>
  <r>
    <s v="SALE667"/>
    <x v="139"/>
    <x v="0"/>
    <s v="CUST1051"/>
    <x v="2"/>
    <x v="1"/>
    <x v="0"/>
    <s v="PROD21"/>
    <s v="Multi-Purpose Storage Box"/>
    <x v="3"/>
    <s v="Storage"/>
    <s v="STORE0"/>
    <x v="3"/>
    <x v="0"/>
    <n v="242.08"/>
    <n v="0.18"/>
    <x v="1"/>
    <b v="1"/>
    <n v="198.50560000000002"/>
    <n v="198.50559999999999"/>
  </r>
  <r>
    <s v="SALE668"/>
    <x v="436"/>
    <x v="0"/>
    <s v="CUST1057"/>
    <x v="1"/>
    <x v="1"/>
    <x v="1"/>
    <s v="PROD63"/>
    <s v="Organic Sunscreen Lotion"/>
    <x v="2"/>
    <s v="Skincare"/>
    <s v="STORE7"/>
    <x v="2"/>
    <x v="0"/>
    <n v="536.67999999999995"/>
    <n v="0.27"/>
    <x v="0"/>
    <b v="1"/>
    <n v="391.77639999999997"/>
    <n v="391.77640000000002"/>
  </r>
  <r>
    <s v="SALE669"/>
    <x v="283"/>
    <x v="2"/>
    <s v="CUST1094"/>
    <x v="1"/>
    <x v="1"/>
    <x v="0"/>
    <s v="PROD29"/>
    <s v="Fabric Sofa Throw Blanket"/>
    <x v="3"/>
    <s v="Decor"/>
    <s v="STORE4"/>
    <x v="2"/>
    <x v="3"/>
    <n v="145.18"/>
    <n v="0.26"/>
    <x v="1"/>
    <b v="1"/>
    <n v="214.8664"/>
    <n v="214.8664"/>
  </r>
  <r>
    <s v="SALE670"/>
    <x v="19"/>
    <x v="0"/>
    <s v="CUST1221"/>
    <x v="1"/>
    <x v="0"/>
    <x v="1"/>
    <s v="PROD67"/>
    <s v="Smart LED Light Strip"/>
    <x v="1"/>
    <s v="Accessories"/>
    <s v="STORE4"/>
    <x v="2"/>
    <x v="3"/>
    <n v="132.77000000000001"/>
    <n v="0.13"/>
    <x v="2"/>
    <b v="1"/>
    <n v="231.0198"/>
    <n v="231.0198"/>
  </r>
  <r>
    <s v="SALE671"/>
    <x v="437"/>
    <x v="2"/>
    <s v="CUST1013"/>
    <x v="1"/>
    <x v="1"/>
    <x v="2"/>
    <s v="PROD41"/>
    <s v="Yoga Exercise Mat"/>
    <x v="0"/>
    <s v="Fitness"/>
    <s v="STORE9"/>
    <x v="2"/>
    <x v="2"/>
    <n v="682.11"/>
    <n v="0.14000000000000001"/>
    <x v="0"/>
    <b v="1"/>
    <n v="2346.4584"/>
    <n v="2346.4584"/>
  </r>
  <r>
    <s v="SALE672"/>
    <x v="438"/>
    <x v="0"/>
    <s v="CUST1486"/>
    <x v="2"/>
    <x v="1"/>
    <x v="3"/>
    <s v="PROD40"/>
    <s v="Noise-Canceling Headphones"/>
    <x v="1"/>
    <s v="Audio"/>
    <s v="STORE17"/>
    <x v="0"/>
    <x v="2"/>
    <n v="502.95"/>
    <n v="0.14000000000000001"/>
    <x v="2"/>
    <b v="1"/>
    <n v="1730.1479999999999"/>
    <n v="1730.1479999999999"/>
  </r>
  <r>
    <s v="SALE673"/>
    <x v="44"/>
    <x v="0"/>
    <s v="CUST1234"/>
    <x v="1"/>
    <x v="1"/>
    <x v="0"/>
    <s v="PROD37"/>
    <s v="Men's Casual Sneakers"/>
    <x v="4"/>
    <s v="Footwear"/>
    <s v="STORE16"/>
    <x v="1"/>
    <x v="3"/>
    <n v="472.08"/>
    <n v="7.0000000000000007E-2"/>
    <x v="0"/>
    <b v="1"/>
    <n v="878.0687999999999"/>
    <n v="878.0687999999999"/>
  </r>
  <r>
    <s v="SALE674"/>
    <x v="439"/>
    <x v="2"/>
    <s v="CUST1473"/>
    <x v="0"/>
    <x v="0"/>
    <x v="3"/>
    <s v="PROD57"/>
    <s v="Foam Roller"/>
    <x v="0"/>
    <s v="Fitness"/>
    <s v="STORE17"/>
    <x v="0"/>
    <x v="3"/>
    <n v="218.11"/>
    <n v="0.02"/>
    <x v="2"/>
    <b v="1"/>
    <n v="427.49560000000002"/>
    <n v="427.49560000000002"/>
  </r>
  <r>
    <s v="SALE675"/>
    <x v="440"/>
    <x v="2"/>
    <s v="CUST1057"/>
    <x v="1"/>
    <x v="1"/>
    <x v="1"/>
    <s v="PROD1"/>
    <s v="Men's Graphic T-Shirt"/>
    <x v="4"/>
    <s v="Tops"/>
    <s v="STORE6"/>
    <x v="3"/>
    <x v="2"/>
    <n v="845.58"/>
    <n v="0.06"/>
    <x v="1"/>
    <b v="1"/>
    <n v="3179.3807999999999"/>
    <n v="3179.3807999999999"/>
  </r>
  <r>
    <s v="SALE676"/>
    <x v="65"/>
    <x v="1"/>
    <s v="CUST1128"/>
    <x v="1"/>
    <x v="0"/>
    <x v="2"/>
    <s v="PROD80"/>
    <s v="Wall-Mounted Spice Rack"/>
    <x v="3"/>
    <s v="Kitchen"/>
    <s v="STORE2"/>
    <x v="2"/>
    <x v="3"/>
    <n v="111.28"/>
    <n v="0.14000000000000001"/>
    <x v="0"/>
    <b v="1"/>
    <n v="191.4016"/>
    <n v="191.4016"/>
  </r>
  <r>
    <s v="SALE677"/>
    <x v="253"/>
    <x v="2"/>
    <s v="CUST1177"/>
    <x v="0"/>
    <x v="0"/>
    <x v="1"/>
    <s v="PROD59"/>
    <s v="Men's Hair Styling Gel"/>
    <x v="2"/>
    <s v="Haircare"/>
    <s v="STORE14"/>
    <x v="2"/>
    <x v="3"/>
    <n v="37.21"/>
    <n v="0.19"/>
    <x v="0"/>
    <b v="1"/>
    <n v="60.280200000000008"/>
    <n v="60.280200000000008"/>
  </r>
  <r>
    <s v="SALE678"/>
    <x v="320"/>
    <x v="1"/>
    <s v="CUST1417"/>
    <x v="0"/>
    <x v="1"/>
    <x v="3"/>
    <s v="PROD62"/>
    <s v="Laptop Cooling Pad"/>
    <x v="1"/>
    <s v="Computer"/>
    <s v="STORE13"/>
    <x v="3"/>
    <x v="0"/>
    <n v="331.73"/>
    <n v="0.04"/>
    <x v="0"/>
    <b v="1"/>
    <n v="318.46080000000001"/>
    <n v="318.46080000000001"/>
  </r>
  <r>
    <s v="SALE679"/>
    <x v="399"/>
    <x v="1"/>
    <s v="CUST1364"/>
    <x v="0"/>
    <x v="0"/>
    <x v="3"/>
    <s v="PROD70"/>
    <s v="Kitchen Storage Rack"/>
    <x v="3"/>
    <s v="Storage"/>
    <s v="STORE12"/>
    <x v="0"/>
    <x v="1"/>
    <n v="306.70999999999998"/>
    <n v="0.09"/>
    <x v="1"/>
    <b v="1"/>
    <n v="837.31829999999991"/>
    <n v="837.31829999999991"/>
  </r>
  <r>
    <s v="SALE680"/>
    <x v="441"/>
    <x v="0"/>
    <s v="CUST1270"/>
    <x v="1"/>
    <x v="1"/>
    <x v="0"/>
    <s v="PROD25"/>
    <s v="Women's Scarf Set"/>
    <x v="4"/>
    <s v="Accessories"/>
    <s v="STORE6"/>
    <x v="3"/>
    <x v="2"/>
    <n v="484.92"/>
    <n v="0.28000000000000003"/>
    <x v="1"/>
    <b v="1"/>
    <n v="1396.5696"/>
    <n v="1396.5696"/>
  </r>
  <r>
    <s v="SALE681"/>
    <x v="442"/>
    <x v="0"/>
    <s v="CUST1043"/>
    <x v="1"/>
    <x v="0"/>
    <x v="0"/>
    <s v="PROD50"/>
    <s v="Boxing Hand Wraps"/>
    <x v="0"/>
    <s v="Fitness"/>
    <s v="STORE5"/>
    <x v="0"/>
    <x v="3"/>
    <n v="42.04"/>
    <n v="7.0000000000000007E-2"/>
    <x v="0"/>
    <b v="1"/>
    <n v="78.194399999999987"/>
    <n v="78.194399999999987"/>
  </r>
  <r>
    <s v="SALE682"/>
    <x v="443"/>
    <x v="1"/>
    <s v="CUST1281"/>
    <x v="0"/>
    <x v="0"/>
    <x v="1"/>
    <s v="PROD55"/>
    <s v="Ceramic Plant Pot"/>
    <x v="3"/>
    <s v="Decor"/>
    <s v="STORE6"/>
    <x v="3"/>
    <x v="1"/>
    <n v="599.48"/>
    <n v="0.22"/>
    <x v="1"/>
    <b v="1"/>
    <n v="1402.7832000000001"/>
    <n v="1402.7832000000001"/>
  </r>
  <r>
    <s v="SALE683"/>
    <x v="444"/>
    <x v="1"/>
    <s v="CUST1357"/>
    <x v="1"/>
    <x v="0"/>
    <x v="0"/>
    <s v="PROD17"/>
    <s v="Soccer Training Cone Set"/>
    <x v="0"/>
    <s v="Accessories"/>
    <s v="STORE1"/>
    <x v="0"/>
    <x v="1"/>
    <n v="401.42"/>
    <n v="0.01"/>
    <x v="2"/>
    <b v="1"/>
    <n v="1192.2174"/>
    <n v="1192.2174"/>
  </r>
  <r>
    <s v="SALE684"/>
    <x v="96"/>
    <x v="2"/>
    <s v="CUST1192"/>
    <x v="2"/>
    <x v="0"/>
    <x v="0"/>
    <s v="PROD46"/>
    <s v="Men's Winter Jacket"/>
    <x v="4"/>
    <s v="Outerwear"/>
    <s v="STORE8"/>
    <x v="1"/>
    <x v="2"/>
    <n v="442.54"/>
    <n v="0.06"/>
    <x v="0"/>
    <b v="1"/>
    <n v="1663.9503999999999"/>
    <n v="1663.9503999999999"/>
  </r>
  <r>
    <s v="SALE685"/>
    <x v="66"/>
    <x v="1"/>
    <s v="CUST1456"/>
    <x v="0"/>
    <x v="1"/>
    <x v="0"/>
    <s v="PROD88"/>
    <s v="Sports Wrist Sweatbands"/>
    <x v="0"/>
    <s v="Accessories"/>
    <s v="STORE13"/>
    <x v="3"/>
    <x v="2"/>
    <n v="451.41"/>
    <n v="0.06"/>
    <x v="1"/>
    <b v="1"/>
    <n v="1697.3016"/>
    <n v="1697.3016"/>
  </r>
  <r>
    <s v="SALE686"/>
    <x v="72"/>
    <x v="2"/>
    <s v="CUST1265"/>
    <x v="1"/>
    <x v="0"/>
    <x v="2"/>
    <s v="PROD91"/>
    <s v="Women's High Heels"/>
    <x v="4"/>
    <s v="Footwear"/>
    <s v="STORE9"/>
    <x v="2"/>
    <x v="2"/>
    <n v="547.21"/>
    <n v="0.25"/>
    <x v="0"/>
    <b v="1"/>
    <n v="1641.63"/>
    <n v="1641.63"/>
  </r>
  <r>
    <s v="SALE687"/>
    <x v="178"/>
    <x v="2"/>
    <s v="CUST1203"/>
    <x v="1"/>
    <x v="0"/>
    <x v="1"/>
    <s v="PROD87"/>
    <s v="LED Bedside Lamp"/>
    <x v="3"/>
    <s v="Lighting"/>
    <s v="STORE4"/>
    <x v="2"/>
    <x v="0"/>
    <n v="979.28"/>
    <n v="0.2"/>
    <x v="1"/>
    <b v="1"/>
    <n v="783.42399999999998"/>
    <n v="783.42399999999998"/>
  </r>
  <r>
    <s v="SALE688"/>
    <x v="217"/>
    <x v="0"/>
    <s v="CUST1464"/>
    <x v="1"/>
    <x v="1"/>
    <x v="1"/>
    <s v="PROD56"/>
    <s v="Premium Blanket Throw"/>
    <x v="3"/>
    <s v="Decor"/>
    <s v="STORE7"/>
    <x v="2"/>
    <x v="2"/>
    <n v="263.58999999999997"/>
    <n v="0.04"/>
    <x v="0"/>
    <b v="1"/>
    <n v="1012.1855999999999"/>
    <n v="1012.1856"/>
  </r>
  <r>
    <s v="SALE689"/>
    <x v="213"/>
    <x v="2"/>
    <s v="CUST1002"/>
    <x v="2"/>
    <x v="1"/>
    <x v="1"/>
    <s v="PROD54"/>
    <s v="Sports Stopwatch Pro"/>
    <x v="0"/>
    <s v="Accessories"/>
    <s v="STORE5"/>
    <x v="0"/>
    <x v="0"/>
    <n v="692.75"/>
    <n v="0.11"/>
    <x v="2"/>
    <b v="1"/>
    <n v="616.54750000000001"/>
    <n v="616.54750000000001"/>
  </r>
  <r>
    <s v="SALE690"/>
    <x v="445"/>
    <x v="0"/>
    <s v="CUST1163"/>
    <x v="2"/>
    <x v="0"/>
    <x v="3"/>
    <s v="PROD63"/>
    <s v="Organic Sunscreen Lotion"/>
    <x v="2"/>
    <s v="Skincare"/>
    <s v="STORE3"/>
    <x v="0"/>
    <x v="1"/>
    <n v="142.83000000000001"/>
    <n v="0.01"/>
    <x v="0"/>
    <b v="1"/>
    <n v="424.20510000000002"/>
    <n v="424.20510000000002"/>
  </r>
  <r>
    <s v="SALE691"/>
    <x v="446"/>
    <x v="2"/>
    <s v="CUST1124"/>
    <x v="2"/>
    <x v="0"/>
    <x v="3"/>
    <s v="PROD22"/>
    <s v="Carbon Fiber Tennis Racket"/>
    <x v="0"/>
    <s v="Equipment"/>
    <s v="STORE2"/>
    <x v="2"/>
    <x v="3"/>
    <n v="419.25"/>
    <n v="0.17"/>
    <x v="1"/>
    <b v="1"/>
    <n v="695.95499999999993"/>
    <n v="695.95499999999993"/>
  </r>
  <r>
    <s v="SALE692"/>
    <x v="447"/>
    <x v="0"/>
    <s v="CUST1240"/>
    <x v="0"/>
    <x v="1"/>
    <x v="1"/>
    <s v="PROD26"/>
    <s v="Wireless Bluetooth Speaker"/>
    <x v="1"/>
    <s v="Audio"/>
    <s v="STORE19"/>
    <x v="3"/>
    <x v="3"/>
    <n v="800.84"/>
    <n v="0.27"/>
    <x v="2"/>
    <b v="1"/>
    <n v="1169.2264"/>
    <n v="1169.2264"/>
  </r>
  <r>
    <s v="SALE693"/>
    <x v="296"/>
    <x v="0"/>
    <s v="CUST1001"/>
    <x v="2"/>
    <x v="1"/>
    <x v="1"/>
    <s v="PROD48"/>
    <s v="Car Dashboard Phone Holder"/>
    <x v="1"/>
    <s v="Accessories"/>
    <s v="STORE2"/>
    <x v="2"/>
    <x v="0"/>
    <n v="301.24"/>
    <n v="0.11"/>
    <x v="1"/>
    <b v="1"/>
    <n v="268.10360000000003"/>
    <n v="268.10359999999997"/>
  </r>
  <r>
    <s v="SALE694"/>
    <x v="184"/>
    <x v="0"/>
    <s v="CUST1288"/>
    <x v="0"/>
    <x v="0"/>
    <x v="0"/>
    <s v="PROD85"/>
    <s v="Women's Beanie Hat"/>
    <x v="4"/>
    <s v="Accessories"/>
    <s v="STORE5"/>
    <x v="0"/>
    <x v="3"/>
    <n v="701.49"/>
    <n v="0.09"/>
    <x v="1"/>
    <b v="1"/>
    <n v="1276.7118"/>
    <n v="1276.7118"/>
  </r>
  <r>
    <s v="SALE695"/>
    <x v="250"/>
    <x v="0"/>
    <s v="CUST1351"/>
    <x v="2"/>
    <x v="1"/>
    <x v="3"/>
    <s v="PROD26"/>
    <s v="Wireless Bluetooth Speaker"/>
    <x v="1"/>
    <s v="Audio"/>
    <s v="STORE10"/>
    <x v="3"/>
    <x v="2"/>
    <n v="413.48"/>
    <n v="0.02"/>
    <x v="1"/>
    <b v="1"/>
    <n v="1620.8416"/>
    <n v="1620.8416"/>
  </r>
  <r>
    <s v="SALE696"/>
    <x v="425"/>
    <x v="0"/>
    <s v="CUST1197"/>
    <x v="1"/>
    <x v="1"/>
    <x v="1"/>
    <s v="PROD8"/>
    <s v="Wireless Bluetooth Earbuds"/>
    <x v="1"/>
    <s v="Audio"/>
    <s v="STORE1"/>
    <x v="0"/>
    <x v="2"/>
    <n v="167.83"/>
    <n v="0.15"/>
    <x v="0"/>
    <b v="1"/>
    <n v="570.62200000000007"/>
    <n v="570.62200000000007"/>
  </r>
  <r>
    <s v="SALE697"/>
    <x v="448"/>
    <x v="2"/>
    <s v="CUST1139"/>
    <x v="1"/>
    <x v="0"/>
    <x v="3"/>
    <s v="PROD15"/>
    <s v="4K Home Projector"/>
    <x v="1"/>
    <s v="Appliances"/>
    <s v="STORE18"/>
    <x v="3"/>
    <x v="3"/>
    <n v="669.12"/>
    <n v="0.22"/>
    <x v="0"/>
    <b v="1"/>
    <n v="1043.8271999999999"/>
    <n v="1043.8271999999999"/>
  </r>
  <r>
    <s v="SALE698"/>
    <x v="89"/>
    <x v="0"/>
    <s v="CUST1039"/>
    <x v="0"/>
    <x v="1"/>
    <x v="0"/>
    <s v="PROD37"/>
    <s v="Men's Casual Sneakers"/>
    <x v="4"/>
    <s v="Footwear"/>
    <s v="STORE7"/>
    <x v="2"/>
    <x v="1"/>
    <n v="346.77"/>
    <n v="0.18"/>
    <x v="1"/>
    <b v="1"/>
    <n v="853.05420000000004"/>
    <n v="853.05420000000004"/>
  </r>
  <r>
    <s v="SALE699"/>
    <x v="328"/>
    <x v="2"/>
    <s v="CUST1059"/>
    <x v="0"/>
    <x v="0"/>
    <x v="1"/>
    <s v="PROD23"/>
    <s v="Men's Formal Shirt"/>
    <x v="4"/>
    <s v="Tops"/>
    <s v="STORE19"/>
    <x v="3"/>
    <x v="1"/>
    <n v="648.33000000000004"/>
    <n v="0.2"/>
    <x v="2"/>
    <b v="1"/>
    <n v="1555.9920000000002"/>
    <n v="1555.992"/>
  </r>
  <r>
    <s v="SALE700"/>
    <x v="410"/>
    <x v="0"/>
    <s v="CUST1285"/>
    <x v="1"/>
    <x v="1"/>
    <x v="2"/>
    <s v="PROD6"/>
    <s v="Herbal Face Moisturizer"/>
    <x v="2"/>
    <s v="Skincare"/>
    <s v="STORE2"/>
    <x v="2"/>
    <x v="2"/>
    <n v="254.94"/>
    <n v="0.06"/>
    <x v="1"/>
    <b v="1"/>
    <n v="958.57439999999997"/>
    <n v="958.57439999999997"/>
  </r>
  <r>
    <s v="SALE701"/>
    <x v="109"/>
    <x v="0"/>
    <s v="CUST1338"/>
    <x v="1"/>
    <x v="1"/>
    <x v="2"/>
    <s v="PROD81"/>
    <s v="Badminton Racket Set"/>
    <x v="0"/>
    <s v="Equipment"/>
    <s v="STORE4"/>
    <x v="2"/>
    <x v="0"/>
    <n v="445.5"/>
    <n v="0.28000000000000003"/>
    <x v="0"/>
    <b v="1"/>
    <n v="320.76"/>
    <n v="320.76"/>
  </r>
  <r>
    <s v="SALE702"/>
    <x v="170"/>
    <x v="0"/>
    <s v="CUST1221"/>
    <x v="1"/>
    <x v="0"/>
    <x v="1"/>
    <s v="PROD90"/>
    <s v="Gaming Mouse Pad XL"/>
    <x v="1"/>
    <s v="Accessories"/>
    <s v="STORE4"/>
    <x v="2"/>
    <x v="0"/>
    <n v="900.94"/>
    <n v="0.1"/>
    <x v="0"/>
    <b v="1"/>
    <n v="810.84600000000012"/>
    <n v="810.84600000000012"/>
  </r>
  <r>
    <s v="SALE703"/>
    <x v="449"/>
    <x v="0"/>
    <s v="CUST1196"/>
    <x v="2"/>
    <x v="1"/>
    <x v="1"/>
    <s v="PROD15"/>
    <s v="4K Home Projector"/>
    <x v="1"/>
    <s v="Appliances"/>
    <s v="STORE16"/>
    <x v="1"/>
    <x v="1"/>
    <n v="262.69"/>
    <n v="0.04"/>
    <x v="1"/>
    <b v="1"/>
    <n v="756.54719999999986"/>
    <n v="756.54719999999986"/>
  </r>
  <r>
    <s v="SALE704"/>
    <x v="239"/>
    <x v="0"/>
    <s v="CUST1482"/>
    <x v="2"/>
    <x v="0"/>
    <x v="1"/>
    <s v="PROD68"/>
    <s v="Wooden Nightstand"/>
    <x v="3"/>
    <s v="Furniture"/>
    <s v="STORE2"/>
    <x v="2"/>
    <x v="1"/>
    <n v="212.72"/>
    <n v="0.22"/>
    <x v="1"/>
    <b v="1"/>
    <n v="497.76479999999998"/>
    <n v="497.76479999999998"/>
  </r>
  <r>
    <s v="SALE705"/>
    <x v="225"/>
    <x v="2"/>
    <s v="CUST1151"/>
    <x v="2"/>
    <x v="1"/>
    <x v="0"/>
    <s v="PROD24"/>
    <s v="Foldable Camping Chair"/>
    <x v="0"/>
    <s v="Outdoor"/>
    <s v="STORE18"/>
    <x v="3"/>
    <x v="2"/>
    <n v="757.9"/>
    <n v="0.22"/>
    <x v="1"/>
    <b v="1"/>
    <n v="2364.6480000000001"/>
    <n v="2364.6480000000001"/>
  </r>
  <r>
    <s v="SALE706"/>
    <x v="360"/>
    <x v="0"/>
    <s v="CUST1017"/>
    <x v="0"/>
    <x v="1"/>
    <x v="1"/>
    <s v="PROD80"/>
    <s v="Wall-Mounted Spice Rack"/>
    <x v="3"/>
    <s v="Kitchen"/>
    <s v="STORE17"/>
    <x v="0"/>
    <x v="0"/>
    <n v="846.04"/>
    <n v="0.08"/>
    <x v="1"/>
    <b v="1"/>
    <n v="778.35680000000002"/>
    <n v="778.35680000000002"/>
  </r>
  <r>
    <s v="SALE707"/>
    <x v="157"/>
    <x v="1"/>
    <s v="CUST1159"/>
    <x v="1"/>
    <x v="1"/>
    <x v="0"/>
    <s v="PROD38"/>
    <s v="Sports Water Hydration Pack"/>
    <x v="0"/>
    <s v="Outdoor"/>
    <s v="STORE7"/>
    <x v="2"/>
    <x v="1"/>
    <n v="179.7"/>
    <n v="0.17"/>
    <x v="2"/>
    <b v="1"/>
    <n v="447.45299999999992"/>
    <n v="447.45299999999992"/>
  </r>
  <r>
    <s v="SALE708"/>
    <x v="423"/>
    <x v="0"/>
    <s v="CUST1446"/>
    <x v="1"/>
    <x v="0"/>
    <x v="2"/>
    <s v="PROD31"/>
    <s v="Basketball"/>
    <x v="0"/>
    <s v="Team Sports"/>
    <s v="STORE4"/>
    <x v="2"/>
    <x v="2"/>
    <n v="681.08"/>
    <n v="0"/>
    <x v="1"/>
    <b v="1"/>
    <n v="2724.32"/>
    <n v="2724.32"/>
  </r>
  <r>
    <s v="SALE709"/>
    <x v="336"/>
    <x v="1"/>
    <s v="CUST1403"/>
    <x v="1"/>
    <x v="0"/>
    <x v="3"/>
    <s v="PROD4"/>
    <s v="Women's Yoga Pants"/>
    <x v="4"/>
    <s v="Bottoms"/>
    <s v="STORE7"/>
    <x v="2"/>
    <x v="2"/>
    <n v="723.44"/>
    <n v="0.14000000000000001"/>
    <x v="1"/>
    <b v="1"/>
    <n v="2488.6336000000001"/>
    <n v="2488.6336000000001"/>
  </r>
  <r>
    <s v="SALE710"/>
    <x v="328"/>
    <x v="2"/>
    <s v="CUST1126"/>
    <x v="0"/>
    <x v="1"/>
    <x v="0"/>
    <s v="PROD31"/>
    <s v="Basketball"/>
    <x v="0"/>
    <s v="Team Sports"/>
    <s v="STORE14"/>
    <x v="2"/>
    <x v="2"/>
    <n v="471.89"/>
    <n v="0.12"/>
    <x v="2"/>
    <b v="1"/>
    <n v="1661.0527999999999"/>
    <n v="1661.0527999999999"/>
  </r>
  <r>
    <s v="SALE711"/>
    <x v="204"/>
    <x v="0"/>
    <s v="CUST1366"/>
    <x v="1"/>
    <x v="1"/>
    <x v="1"/>
    <s v="PROD71"/>
    <s v="Hair Repair Oil Treatment"/>
    <x v="2"/>
    <s v="Haircare"/>
    <s v="STORE17"/>
    <x v="0"/>
    <x v="0"/>
    <n v="613.17999999999995"/>
    <n v="0.14000000000000001"/>
    <x v="2"/>
    <b v="1"/>
    <n v="527.33479999999997"/>
    <n v="527.33479999999997"/>
  </r>
  <r>
    <s v="SALE712"/>
    <x v="365"/>
    <x v="1"/>
    <s v="CUST1051"/>
    <x v="2"/>
    <x v="1"/>
    <x v="0"/>
    <s v="PROD43"/>
    <s v="USB External Hard Drive"/>
    <x v="1"/>
    <s v="Computer"/>
    <s v="STORE4"/>
    <x v="2"/>
    <x v="0"/>
    <n v="651.30999999999995"/>
    <n v="0.24"/>
    <x v="1"/>
    <b v="1"/>
    <n v="494.99559999999997"/>
    <n v="494.99560000000002"/>
  </r>
  <r>
    <s v="SALE713"/>
    <x v="348"/>
    <x v="0"/>
    <s v="CUST1024"/>
    <x v="1"/>
    <x v="0"/>
    <x v="1"/>
    <s v="PROD3"/>
    <s v="Men's Running Jacket"/>
    <x v="4"/>
    <s v="Outerwear"/>
    <s v="STORE6"/>
    <x v="3"/>
    <x v="3"/>
    <n v="635.14"/>
    <n v="0.1"/>
    <x v="2"/>
    <b v="1"/>
    <n v="1143.252"/>
    <n v="1143.252"/>
  </r>
  <r>
    <s v="SALE714"/>
    <x v="385"/>
    <x v="2"/>
    <s v="CUST1380"/>
    <x v="2"/>
    <x v="0"/>
    <x v="0"/>
    <s v="PROD98"/>
    <s v="Portable Bluetooth Speaker"/>
    <x v="1"/>
    <s v="Audio"/>
    <s v="STORE14"/>
    <x v="2"/>
    <x v="2"/>
    <n v="912.61"/>
    <n v="0.14000000000000001"/>
    <x v="0"/>
    <b v="1"/>
    <n v="3139.3784000000001"/>
    <n v="3139.3784000000001"/>
  </r>
  <r>
    <s v="SALE715"/>
    <x v="156"/>
    <x v="2"/>
    <s v="CUST1274"/>
    <x v="1"/>
    <x v="0"/>
    <x v="2"/>
    <s v="PROD47"/>
    <s v="Makeup Brush Set"/>
    <x v="2"/>
    <s v="Makeup"/>
    <s v="STORE7"/>
    <x v="2"/>
    <x v="1"/>
    <n v="79.77"/>
    <n v="0.09"/>
    <x v="0"/>
    <b v="1"/>
    <n v="217.77210000000002"/>
    <n v="217.77209999999999"/>
  </r>
  <r>
    <s v="SALE716"/>
    <x v="82"/>
    <x v="2"/>
    <s v="CUST1277"/>
    <x v="2"/>
    <x v="1"/>
    <x v="1"/>
    <s v="PROD94"/>
    <s v="Vitamin E Body Lotion"/>
    <x v="2"/>
    <s v="Skincare"/>
    <s v="STORE15"/>
    <x v="0"/>
    <x v="2"/>
    <n v="603.52"/>
    <n v="0.25"/>
    <x v="0"/>
    <b v="1"/>
    <n v="1810.56"/>
    <n v="1810.56"/>
  </r>
  <r>
    <s v="SALE717"/>
    <x v="450"/>
    <x v="0"/>
    <s v="CUST1077"/>
    <x v="2"/>
    <x v="0"/>
    <x v="0"/>
    <s v="PROD77"/>
    <s v="WiFi Mesh Router"/>
    <x v="1"/>
    <s v="Appliances"/>
    <s v="STORE12"/>
    <x v="0"/>
    <x v="2"/>
    <n v="453.12"/>
    <n v="0.23"/>
    <x v="2"/>
    <b v="1"/>
    <n v="1395.6096"/>
    <n v="1395.6096"/>
  </r>
  <r>
    <s v="SALE718"/>
    <x v="361"/>
    <x v="0"/>
    <s v="CUST1497"/>
    <x v="1"/>
    <x v="1"/>
    <x v="0"/>
    <s v="PROD33"/>
    <s v="Modern Wall Clock"/>
    <x v="3"/>
    <s v="Decor"/>
    <s v="STORE9"/>
    <x v="2"/>
    <x v="3"/>
    <n v="974.35"/>
    <n v="0.15"/>
    <x v="0"/>
    <b v="1"/>
    <n v="1656.395"/>
    <n v="1656.395"/>
  </r>
  <r>
    <s v="SALE719"/>
    <x v="317"/>
    <x v="2"/>
    <s v="CUST1476"/>
    <x v="1"/>
    <x v="1"/>
    <x v="0"/>
    <s v="PROD95"/>
    <s v="Sports Stopwatch Basic"/>
    <x v="0"/>
    <s v="Accessories"/>
    <s v="STORE17"/>
    <x v="0"/>
    <x v="2"/>
    <n v="52.35"/>
    <n v="0.23"/>
    <x v="2"/>
    <b v="1"/>
    <n v="161.238"/>
    <n v="161.238"/>
  </r>
  <r>
    <s v="SALE720"/>
    <x v="317"/>
    <x v="2"/>
    <s v="CUST1370"/>
    <x v="1"/>
    <x v="0"/>
    <x v="2"/>
    <s v="PROD65"/>
    <s v="Adjustable Dumbbells 20kg"/>
    <x v="0"/>
    <s v="Fitness"/>
    <s v="STORE17"/>
    <x v="0"/>
    <x v="1"/>
    <n v="681.58"/>
    <n v="0.23"/>
    <x v="0"/>
    <b v="1"/>
    <n v="1574.4498000000003"/>
    <n v="1574.4498000000001"/>
  </r>
  <r>
    <s v="SALE721"/>
    <x v="393"/>
    <x v="0"/>
    <s v="CUST1177"/>
    <x v="0"/>
    <x v="0"/>
    <x v="1"/>
    <s v="PROD83"/>
    <s v="Hydrating Face Cleanser"/>
    <x v="2"/>
    <s v="Skincare"/>
    <s v="STORE15"/>
    <x v="0"/>
    <x v="1"/>
    <n v="71.23"/>
    <n v="0.03"/>
    <x v="0"/>
    <b v="1"/>
    <n v="207.27929999999998"/>
    <n v="207.27930000000001"/>
  </r>
  <r>
    <s v="SALE722"/>
    <x v="411"/>
    <x v="0"/>
    <s v="CUST1241"/>
    <x v="1"/>
    <x v="0"/>
    <x v="1"/>
    <s v="PROD15"/>
    <s v="4K Home Projector"/>
    <x v="1"/>
    <s v="Appliances"/>
    <s v="STORE14"/>
    <x v="2"/>
    <x v="0"/>
    <n v="31.36"/>
    <n v="0.21"/>
    <x v="2"/>
    <b v="1"/>
    <n v="24.7744"/>
    <n v="24.7744"/>
  </r>
  <r>
    <s v="SALE723"/>
    <x v="116"/>
    <x v="2"/>
    <s v="CUST1341"/>
    <x v="0"/>
    <x v="1"/>
    <x v="3"/>
    <s v="PROD41"/>
    <s v="Yoga Exercise Mat"/>
    <x v="0"/>
    <s v="Fitness"/>
    <s v="STORE13"/>
    <x v="3"/>
    <x v="3"/>
    <n v="555.54999999999995"/>
    <n v="0.14000000000000001"/>
    <x v="0"/>
    <b v="1"/>
    <n v="955.54599999999994"/>
    <n v="955.54599999999994"/>
  </r>
  <r>
    <s v="SALE724"/>
    <x v="451"/>
    <x v="2"/>
    <s v="CUST1251"/>
    <x v="0"/>
    <x v="0"/>
    <x v="2"/>
    <s v="PROD66"/>
    <s v="Women's Hair Dryer Brush"/>
    <x v="2"/>
    <s v="Haircare"/>
    <s v="STORE16"/>
    <x v="1"/>
    <x v="2"/>
    <n v="805.99"/>
    <n v="0.06"/>
    <x v="0"/>
    <b v="1"/>
    <n v="3030.5223999999998"/>
    <n v="3030.5223999999998"/>
  </r>
  <r>
    <s v="SALE725"/>
    <x v="452"/>
    <x v="0"/>
    <s v="CUST1388"/>
    <x v="0"/>
    <x v="0"/>
    <x v="1"/>
    <s v="PROD71"/>
    <s v="Hair Repair Oil Treatment"/>
    <x v="2"/>
    <s v="Haircare"/>
    <s v="STORE1"/>
    <x v="0"/>
    <x v="0"/>
    <n v="506.55"/>
    <n v="0.28000000000000003"/>
    <x v="0"/>
    <b v="1"/>
    <n v="364.71600000000001"/>
    <n v="364.71600000000001"/>
  </r>
  <r>
    <s v="SALE726"/>
    <x v="182"/>
    <x v="0"/>
    <s v="CUST1130"/>
    <x v="2"/>
    <x v="0"/>
    <x v="1"/>
    <s v="PROD41"/>
    <s v="Yoga Exercise Mat"/>
    <x v="0"/>
    <s v="Fitness"/>
    <s v="STORE11"/>
    <x v="2"/>
    <x v="1"/>
    <n v="28.69"/>
    <n v="0.02"/>
    <x v="0"/>
    <b v="1"/>
    <n v="84.348600000000005"/>
    <n v="84.348600000000005"/>
  </r>
  <r>
    <s v="SALE727"/>
    <x v="205"/>
    <x v="1"/>
    <s v="CUST1387"/>
    <x v="2"/>
    <x v="1"/>
    <x v="2"/>
    <s v="PROD76"/>
    <s v="Wireless Mouse"/>
    <x v="1"/>
    <s v="Computer"/>
    <s v="STORE4"/>
    <x v="2"/>
    <x v="0"/>
    <n v="106.07"/>
    <n v="0.23"/>
    <x v="2"/>
    <b v="1"/>
    <n v="81.673900000000003"/>
    <n v="81.673900000000003"/>
  </r>
  <r>
    <s v="SALE728"/>
    <x v="189"/>
    <x v="1"/>
    <s v="CUST1260"/>
    <x v="0"/>
    <x v="1"/>
    <x v="1"/>
    <s v="PROD91"/>
    <s v="Women's High Heels"/>
    <x v="4"/>
    <s v="Footwear"/>
    <s v="STORE0"/>
    <x v="3"/>
    <x v="2"/>
    <n v="289.77"/>
    <n v="0.06"/>
    <x v="1"/>
    <b v="1"/>
    <n v="1089.5351999999998"/>
    <n v="1089.5352"/>
  </r>
  <r>
    <s v="SALE729"/>
    <x v="453"/>
    <x v="1"/>
    <s v="CUST1156"/>
    <x v="1"/>
    <x v="0"/>
    <x v="3"/>
    <s v="PROD83"/>
    <s v="Hydrating Face Cleanser"/>
    <x v="2"/>
    <s v="Skincare"/>
    <s v="STORE18"/>
    <x v="3"/>
    <x v="3"/>
    <n v="354.26"/>
    <n v="0.01"/>
    <x v="2"/>
    <b v="1"/>
    <n v="701.4348"/>
    <n v="701.4348"/>
  </r>
  <r>
    <s v="SALE730"/>
    <x v="110"/>
    <x v="0"/>
    <s v="CUST1385"/>
    <x v="0"/>
    <x v="0"/>
    <x v="0"/>
    <s v="PROD68"/>
    <s v="Wooden Nightstand"/>
    <x v="3"/>
    <s v="Furniture"/>
    <s v="STORE14"/>
    <x v="2"/>
    <x v="0"/>
    <n v="522.72"/>
    <n v="0.25"/>
    <x v="1"/>
    <b v="1"/>
    <n v="392.04"/>
    <n v="392.04"/>
  </r>
  <r>
    <s v="SALE731"/>
    <x v="368"/>
    <x v="0"/>
    <s v="CUST1057"/>
    <x v="1"/>
    <x v="1"/>
    <x v="1"/>
    <s v="PROD5"/>
    <s v="Men's Leather Belt"/>
    <x v="4"/>
    <s v="Accessories"/>
    <s v="STORE9"/>
    <x v="2"/>
    <x v="1"/>
    <n v="966.02"/>
    <n v="0.03"/>
    <x v="2"/>
    <b v="1"/>
    <n v="2811.1181999999999"/>
    <n v="2811.1181999999999"/>
  </r>
  <r>
    <s v="SALE732"/>
    <x v="30"/>
    <x v="1"/>
    <s v="CUST1224"/>
    <x v="2"/>
    <x v="0"/>
    <x v="2"/>
    <s v="PROD50"/>
    <s v="Boxing Hand Wraps"/>
    <x v="0"/>
    <s v="Fitness"/>
    <s v="STORE17"/>
    <x v="0"/>
    <x v="0"/>
    <n v="498.61"/>
    <n v="0.04"/>
    <x v="1"/>
    <b v="1"/>
    <n v="478.66559999999998"/>
    <n v="478.66559999999998"/>
  </r>
  <r>
    <s v="SALE733"/>
    <x v="454"/>
    <x v="2"/>
    <s v="CUST1330"/>
    <x v="0"/>
    <x v="0"/>
    <x v="1"/>
    <s v="PROD42"/>
    <s v="Smart Home WiFi Camera"/>
    <x v="1"/>
    <s v="Accessories"/>
    <s v="STORE6"/>
    <x v="3"/>
    <x v="2"/>
    <n v="758.27"/>
    <n v="0.05"/>
    <x v="1"/>
    <b v="1"/>
    <n v="2881.4259999999999"/>
    <n v="2881.4259999999999"/>
  </r>
  <r>
    <s v="SALE734"/>
    <x v="160"/>
    <x v="0"/>
    <s v="CUST1198"/>
    <x v="0"/>
    <x v="0"/>
    <x v="3"/>
    <s v="PROD3"/>
    <s v="Men's Running Jacket"/>
    <x v="4"/>
    <s v="Outerwear"/>
    <s v="STORE2"/>
    <x v="2"/>
    <x v="3"/>
    <n v="371.03"/>
    <n v="0.23"/>
    <x v="1"/>
    <b v="1"/>
    <n v="571.38619999999992"/>
    <n v="571.38619999999992"/>
  </r>
  <r>
    <s v="SALE735"/>
    <x v="95"/>
    <x v="0"/>
    <s v="CUST1355"/>
    <x v="2"/>
    <x v="0"/>
    <x v="0"/>
    <s v="PROD91"/>
    <s v="Women's High Heels"/>
    <x v="4"/>
    <s v="Footwear"/>
    <s v="STORE17"/>
    <x v="0"/>
    <x v="0"/>
    <n v="230.32"/>
    <n v="0.05"/>
    <x v="2"/>
    <b v="1"/>
    <n v="218.80399999999997"/>
    <n v="218.804"/>
  </r>
  <r>
    <s v="SALE736"/>
    <x v="455"/>
    <x v="0"/>
    <s v="CUST1342"/>
    <x v="2"/>
    <x v="1"/>
    <x v="3"/>
    <s v="PROD61"/>
    <s v="Tennis Ball 3-Pack"/>
    <x v="0"/>
    <s v="Equipment"/>
    <s v="STORE6"/>
    <x v="3"/>
    <x v="3"/>
    <n v="985.43"/>
    <n v="0.28000000000000003"/>
    <x v="2"/>
    <b v="1"/>
    <n v="1419.0192"/>
    <n v="1419.0192"/>
  </r>
  <r>
    <s v="SALE737"/>
    <x v="131"/>
    <x v="2"/>
    <s v="CUST1422"/>
    <x v="1"/>
    <x v="1"/>
    <x v="1"/>
    <s v="PROD9"/>
    <s v="Adjustable Dumbbell Set"/>
    <x v="0"/>
    <s v="Fitness"/>
    <s v="STORE4"/>
    <x v="2"/>
    <x v="3"/>
    <n v="492.5"/>
    <n v="0.3"/>
    <x v="1"/>
    <b v="1"/>
    <n v="689.5"/>
    <n v="689.5"/>
  </r>
  <r>
    <s v="SALE738"/>
    <x v="88"/>
    <x v="0"/>
    <s v="CUST1364"/>
    <x v="0"/>
    <x v="0"/>
    <x v="3"/>
    <s v="PROD46"/>
    <s v="Men's Winter Jacket"/>
    <x v="4"/>
    <s v="Outerwear"/>
    <s v="STORE11"/>
    <x v="2"/>
    <x v="3"/>
    <n v="213.69"/>
    <n v="0.28000000000000003"/>
    <x v="1"/>
    <b v="1"/>
    <n v="307.71359999999999"/>
    <n v="307.71359999999999"/>
  </r>
  <r>
    <s v="SALE739"/>
    <x v="59"/>
    <x v="2"/>
    <s v="CUST1065"/>
    <x v="2"/>
    <x v="1"/>
    <x v="2"/>
    <s v="PROD20"/>
    <s v="Outdoor Sports Water Bottle"/>
    <x v="0"/>
    <s v="Accessories"/>
    <s v="STORE8"/>
    <x v="1"/>
    <x v="2"/>
    <n v="618.83000000000004"/>
    <n v="0.08"/>
    <x v="1"/>
    <b v="1"/>
    <n v="2277.2944000000002"/>
    <n v="2277.2944000000002"/>
  </r>
  <r>
    <s v="SALE740"/>
    <x v="154"/>
    <x v="0"/>
    <s v="CUST1093"/>
    <x v="2"/>
    <x v="1"/>
    <x v="0"/>
    <s v="PROD59"/>
    <s v="Men's Hair Styling Gel"/>
    <x v="2"/>
    <s v="Haircare"/>
    <s v="STORE11"/>
    <x v="2"/>
    <x v="3"/>
    <n v="81.16"/>
    <n v="0.16"/>
    <x v="1"/>
    <b v="1"/>
    <n v="136.34879999999998"/>
    <n v="136.34880000000001"/>
  </r>
  <r>
    <s v="SALE741"/>
    <x v="364"/>
    <x v="0"/>
    <s v="CUST1002"/>
    <x v="2"/>
    <x v="1"/>
    <x v="1"/>
    <s v="PROD86"/>
    <s v="Kitchen Cutting Board"/>
    <x v="3"/>
    <s v="Kitchen"/>
    <s v="STORE9"/>
    <x v="2"/>
    <x v="0"/>
    <n v="431.69"/>
    <n v="0.09"/>
    <x v="0"/>
    <b v="1"/>
    <n v="392.83789999999999"/>
    <n v="392.83789999999999"/>
  </r>
  <r>
    <s v="SALE742"/>
    <x v="221"/>
    <x v="0"/>
    <s v="CUST1405"/>
    <x v="2"/>
    <x v="1"/>
    <x v="0"/>
    <s v="PROD18"/>
    <s v="Women's Denim Jeans"/>
    <x v="4"/>
    <s v="Bottoms"/>
    <s v="STORE5"/>
    <x v="0"/>
    <x v="1"/>
    <n v="438.65"/>
    <n v="0.28999999999999998"/>
    <x v="1"/>
    <b v="1"/>
    <n v="934.32449999999983"/>
    <n v="934.32449999999983"/>
  </r>
  <r>
    <s v="SALE743"/>
    <x v="393"/>
    <x v="0"/>
    <s v="CUST1172"/>
    <x v="1"/>
    <x v="1"/>
    <x v="3"/>
    <s v="PROD79"/>
    <s v="Decorative Lamp Shade"/>
    <x v="3"/>
    <s v="Lighting"/>
    <s v="STORE3"/>
    <x v="0"/>
    <x v="1"/>
    <n v="339.41"/>
    <n v="0.26"/>
    <x v="0"/>
    <b v="1"/>
    <n v="753.49019999999996"/>
    <n v="753.49019999999996"/>
  </r>
  <r>
    <s v="SALE744"/>
    <x v="456"/>
    <x v="2"/>
    <s v="CUST1470"/>
    <x v="2"/>
    <x v="1"/>
    <x v="0"/>
    <s v="PROD79"/>
    <s v="Decorative Lamp Shade"/>
    <x v="3"/>
    <s v="Lighting"/>
    <s v="STORE9"/>
    <x v="2"/>
    <x v="2"/>
    <n v="848.47"/>
    <n v="0.21"/>
    <x v="2"/>
    <b v="1"/>
    <n v="2681.1652000000004"/>
    <n v="2681.1651999999999"/>
  </r>
  <r>
    <s v="SALE745"/>
    <x v="457"/>
    <x v="2"/>
    <s v="CUST1192"/>
    <x v="2"/>
    <x v="0"/>
    <x v="0"/>
    <s v="PROD67"/>
    <s v="Smart LED Light Strip"/>
    <x v="1"/>
    <s v="Accessories"/>
    <s v="STORE8"/>
    <x v="1"/>
    <x v="0"/>
    <n v="664.87"/>
    <n v="0.08"/>
    <x v="1"/>
    <b v="1"/>
    <n v="611.68040000000008"/>
    <n v="611.68040000000008"/>
  </r>
  <r>
    <s v="SALE746"/>
    <x v="456"/>
    <x v="2"/>
    <s v="CUST1099"/>
    <x v="1"/>
    <x v="0"/>
    <x v="2"/>
    <s v="PROD24"/>
    <s v="Foldable Camping Chair"/>
    <x v="0"/>
    <s v="Outdoor"/>
    <s v="STORE7"/>
    <x v="2"/>
    <x v="0"/>
    <n v="412.11"/>
    <n v="0.23"/>
    <x v="1"/>
    <b v="1"/>
    <n v="317.32470000000001"/>
    <n v="317.32470000000001"/>
  </r>
  <r>
    <s v="SALE747"/>
    <x v="120"/>
    <x v="2"/>
    <s v="CUST1122"/>
    <x v="1"/>
    <x v="0"/>
    <x v="1"/>
    <s v="PROD94"/>
    <s v="Vitamin E Body Lotion"/>
    <x v="2"/>
    <s v="Skincare"/>
    <s v="STORE1"/>
    <x v="0"/>
    <x v="0"/>
    <n v="126.09"/>
    <n v="0.05"/>
    <x v="2"/>
    <b v="1"/>
    <n v="119.7855"/>
    <n v="119.7855"/>
  </r>
  <r>
    <s v="SALE748"/>
    <x v="207"/>
    <x v="2"/>
    <s v="CUST1198"/>
    <x v="0"/>
    <x v="0"/>
    <x v="3"/>
    <s v="PROD67"/>
    <s v="Smart LED Light Strip"/>
    <x v="1"/>
    <s v="Accessories"/>
    <s v="STORE10"/>
    <x v="3"/>
    <x v="2"/>
    <n v="602.39"/>
    <n v="0.19"/>
    <x v="2"/>
    <b v="1"/>
    <n v="1951.7436"/>
    <n v="1951.7436"/>
  </r>
  <r>
    <s v="SALE749"/>
    <x v="458"/>
    <x v="2"/>
    <s v="CUST1325"/>
    <x v="0"/>
    <x v="0"/>
    <x v="3"/>
    <s v="PROD82"/>
    <s v="Fitness Resistance Bands"/>
    <x v="0"/>
    <s v="Fitness"/>
    <s v="STORE3"/>
    <x v="0"/>
    <x v="1"/>
    <n v="447.69"/>
    <n v="0.02"/>
    <x v="2"/>
    <b v="1"/>
    <n v="1316.2085999999999"/>
    <n v="1316.2085999999999"/>
  </r>
  <r>
    <s v="SALE750"/>
    <x v="428"/>
    <x v="2"/>
    <s v="CUST1248"/>
    <x v="2"/>
    <x v="0"/>
    <x v="0"/>
    <s v="PROD34"/>
    <s v="Gaming Mechanical Keyboard"/>
    <x v="1"/>
    <s v="Computer"/>
    <s v="STORE3"/>
    <x v="0"/>
    <x v="1"/>
    <n v="35.159999999999997"/>
    <n v="0.04"/>
    <x v="2"/>
    <b v="1"/>
    <n v="101.26079999999999"/>
    <n v="101.2608"/>
  </r>
  <r>
    <s v="SALE751"/>
    <x v="459"/>
    <x v="2"/>
    <s v="CUST1330"/>
    <x v="0"/>
    <x v="0"/>
    <x v="1"/>
    <s v="PROD72"/>
    <s v="Professional Jump Rope"/>
    <x v="0"/>
    <s v="Fitness"/>
    <s v="STORE11"/>
    <x v="2"/>
    <x v="3"/>
    <n v="838.59"/>
    <n v="0.18"/>
    <x v="2"/>
    <b v="1"/>
    <n v="1375.2876000000001"/>
    <n v="1375.2876000000001"/>
  </r>
  <r>
    <s v="SALE752"/>
    <x v="118"/>
    <x v="0"/>
    <s v="CUST1089"/>
    <x v="1"/>
    <x v="0"/>
    <x v="1"/>
    <s v="PROD59"/>
    <s v="Men's Hair Styling Gel"/>
    <x v="2"/>
    <s v="Haircare"/>
    <s v="STORE6"/>
    <x v="3"/>
    <x v="2"/>
    <n v="867.94"/>
    <n v="0.26"/>
    <x v="1"/>
    <b v="1"/>
    <n v="2569.1024000000002"/>
    <n v="2569.1024000000002"/>
  </r>
  <r>
    <s v="SALE753"/>
    <x v="341"/>
    <x v="0"/>
    <s v="CUST1196"/>
    <x v="2"/>
    <x v="1"/>
    <x v="1"/>
    <s v="PROD39"/>
    <s v="Portable Power Bank"/>
    <x v="1"/>
    <s v="Mobile"/>
    <s v="STORE17"/>
    <x v="0"/>
    <x v="0"/>
    <n v="623.88"/>
    <n v="0.25"/>
    <x v="0"/>
    <b v="1"/>
    <n v="467.90999999999997"/>
    <n v="467.91"/>
  </r>
  <r>
    <s v="SALE754"/>
    <x v="460"/>
    <x v="0"/>
    <s v="CUST1177"/>
    <x v="0"/>
    <x v="0"/>
    <x v="1"/>
    <s v="PROD42"/>
    <s v="Smart Home WiFi Camera"/>
    <x v="1"/>
    <s v="Accessories"/>
    <s v="STORE14"/>
    <x v="2"/>
    <x v="3"/>
    <n v="567.95000000000005"/>
    <n v="0.12"/>
    <x v="1"/>
    <b v="1"/>
    <n v="999.5920000000001"/>
    <n v="999.5920000000001"/>
  </r>
  <r>
    <s v="SALE755"/>
    <x v="231"/>
    <x v="0"/>
    <s v="CUST1323"/>
    <x v="0"/>
    <x v="1"/>
    <x v="1"/>
    <s v="PROD31"/>
    <s v="Basketball"/>
    <x v="0"/>
    <s v="Team Sports"/>
    <s v="STORE18"/>
    <x v="3"/>
    <x v="3"/>
    <n v="671.69"/>
    <n v="0.19"/>
    <x v="0"/>
    <b v="1"/>
    <n v="1088.1378000000002"/>
    <n v="1088.1378"/>
  </r>
  <r>
    <s v="SALE756"/>
    <x v="461"/>
    <x v="2"/>
    <s v="CUST1206"/>
    <x v="2"/>
    <x v="1"/>
    <x v="2"/>
    <s v="PROD6"/>
    <s v="Herbal Face Moisturizer"/>
    <x v="2"/>
    <s v="Skincare"/>
    <s v="STORE7"/>
    <x v="2"/>
    <x v="3"/>
    <n v="257.95999999999998"/>
    <n v="0.21"/>
    <x v="1"/>
    <b v="1"/>
    <n v="407.57679999999999"/>
    <n v="407.57679999999999"/>
  </r>
  <r>
    <s v="SALE757"/>
    <x v="235"/>
    <x v="0"/>
    <s v="CUST1204"/>
    <x v="0"/>
    <x v="0"/>
    <x v="1"/>
    <s v="PROD98"/>
    <s v="Portable Bluetooth Speaker"/>
    <x v="1"/>
    <s v="Audio"/>
    <s v="STORE19"/>
    <x v="3"/>
    <x v="2"/>
    <n v="281.48"/>
    <n v="0.27"/>
    <x v="1"/>
    <b v="1"/>
    <n v="821.92160000000001"/>
    <n v="821.92160000000001"/>
  </r>
  <r>
    <s v="SALE758"/>
    <x v="462"/>
    <x v="0"/>
    <s v="CUST1316"/>
    <x v="1"/>
    <x v="0"/>
    <x v="0"/>
    <s v="PROD20"/>
    <s v="Outdoor Sports Water Bottle"/>
    <x v="0"/>
    <s v="Accessories"/>
    <s v="STORE11"/>
    <x v="2"/>
    <x v="0"/>
    <n v="202.13"/>
    <n v="0.13"/>
    <x v="2"/>
    <b v="1"/>
    <n v="175.85309999999998"/>
    <n v="175.85310000000001"/>
  </r>
  <r>
    <s v="SALE759"/>
    <x v="463"/>
    <x v="1"/>
    <s v="CUST1271"/>
    <x v="0"/>
    <x v="0"/>
    <x v="1"/>
    <s v="PROD74"/>
    <s v="Bluetooth Car Audio System"/>
    <x v="1"/>
    <s v="Audio"/>
    <s v="STORE5"/>
    <x v="0"/>
    <x v="0"/>
    <n v="370.66"/>
    <n v="0.01"/>
    <x v="1"/>
    <b v="1"/>
    <n v="366.95340000000004"/>
    <n v="366.95339999999999"/>
  </r>
  <r>
    <s v="SALE760"/>
    <x v="464"/>
    <x v="0"/>
    <s v="CUST1005"/>
    <x v="2"/>
    <x v="0"/>
    <x v="3"/>
    <s v="PROD61"/>
    <s v="Tennis Ball 3-Pack"/>
    <x v="0"/>
    <s v="Equipment"/>
    <s v="STORE12"/>
    <x v="0"/>
    <x v="2"/>
    <n v="731.53"/>
    <n v="0.12"/>
    <x v="0"/>
    <b v="1"/>
    <n v="2574.9856"/>
    <n v="2574.9856"/>
  </r>
  <r>
    <s v="SALE761"/>
    <x v="160"/>
    <x v="0"/>
    <s v="CUST1165"/>
    <x v="1"/>
    <x v="1"/>
    <x v="1"/>
    <s v="PROD78"/>
    <s v="Essential Oil Diffuser"/>
    <x v="3"/>
    <s v="Decor"/>
    <s v="STORE1"/>
    <x v="0"/>
    <x v="1"/>
    <n v="468.25"/>
    <n v="7.0000000000000007E-2"/>
    <x v="1"/>
    <b v="1"/>
    <n v="1306.4175"/>
    <n v="1306.4175"/>
  </r>
  <r>
    <s v="SALE762"/>
    <x v="398"/>
    <x v="0"/>
    <s v="CUST1001"/>
    <x v="2"/>
    <x v="1"/>
    <x v="1"/>
    <s v="PROD67"/>
    <s v="Smart LED Light Strip"/>
    <x v="1"/>
    <s v="Accessories"/>
    <s v="STORE0"/>
    <x v="3"/>
    <x v="0"/>
    <n v="928.72"/>
    <n v="0.1"/>
    <x v="2"/>
    <b v="1"/>
    <n v="835.84800000000007"/>
    <n v="835.84800000000007"/>
  </r>
  <r>
    <s v="SALE763"/>
    <x v="5"/>
    <x v="0"/>
    <s v="CUST1101"/>
    <x v="2"/>
    <x v="0"/>
    <x v="0"/>
    <s v="PROD4"/>
    <s v="Women's Yoga Pants"/>
    <x v="4"/>
    <s v="Bottoms"/>
    <s v="STORE18"/>
    <x v="3"/>
    <x v="1"/>
    <n v="217.22"/>
    <n v="0.06"/>
    <x v="1"/>
    <b v="1"/>
    <n v="612.56039999999996"/>
    <n v="612.56039999999996"/>
  </r>
  <r>
    <s v="SALE764"/>
    <x v="142"/>
    <x v="2"/>
    <s v="CUST1405"/>
    <x v="2"/>
    <x v="1"/>
    <x v="0"/>
    <s v="PROD24"/>
    <s v="Foldable Camping Chair"/>
    <x v="0"/>
    <s v="Outdoor"/>
    <s v="STORE3"/>
    <x v="0"/>
    <x v="0"/>
    <n v="387.99"/>
    <n v="0.3"/>
    <x v="0"/>
    <b v="1"/>
    <n v="271.59299999999996"/>
    <n v="271.59300000000002"/>
  </r>
  <r>
    <s v="SALE765"/>
    <x v="132"/>
    <x v="2"/>
    <s v="CUST1476"/>
    <x v="1"/>
    <x v="1"/>
    <x v="0"/>
    <s v="PROD18"/>
    <s v="Women's Denim Jeans"/>
    <x v="4"/>
    <s v="Bottoms"/>
    <s v="STORE6"/>
    <x v="3"/>
    <x v="2"/>
    <n v="186.24"/>
    <n v="0.23"/>
    <x v="0"/>
    <b v="1"/>
    <n v="573.61920000000009"/>
    <n v="573.61920000000009"/>
  </r>
  <r>
    <s v="SALE766"/>
    <x v="146"/>
    <x v="0"/>
    <s v="CUST1296"/>
    <x v="2"/>
    <x v="1"/>
    <x v="3"/>
    <s v="PROD40"/>
    <s v="Noise-Canceling Headphones"/>
    <x v="1"/>
    <s v="Audio"/>
    <s v="STORE8"/>
    <x v="1"/>
    <x v="2"/>
    <n v="609.05999999999995"/>
    <n v="0.22"/>
    <x v="2"/>
    <b v="1"/>
    <n v="1900.2672"/>
    <n v="1900.2672"/>
  </r>
  <r>
    <s v="SALE767"/>
    <x v="244"/>
    <x v="0"/>
    <s v="CUST1437"/>
    <x v="1"/>
    <x v="1"/>
    <x v="1"/>
    <s v="PROD33"/>
    <s v="Modern Wall Clock"/>
    <x v="3"/>
    <s v="Decor"/>
    <s v="STORE11"/>
    <x v="2"/>
    <x v="0"/>
    <n v="827.91"/>
    <n v="0.21"/>
    <x v="1"/>
    <b v="1"/>
    <n v="654.0489"/>
    <n v="654.0489"/>
  </r>
  <r>
    <s v="SALE768"/>
    <x v="40"/>
    <x v="0"/>
    <s v="CUST1176"/>
    <x v="1"/>
    <x v="0"/>
    <x v="2"/>
    <s v="PROD83"/>
    <s v="Hydrating Face Cleanser"/>
    <x v="2"/>
    <s v="Skincare"/>
    <s v="STORE0"/>
    <x v="3"/>
    <x v="0"/>
    <n v="303.79000000000002"/>
    <n v="0.24"/>
    <x v="1"/>
    <b v="1"/>
    <n v="230.88040000000001"/>
    <n v="230.88040000000001"/>
  </r>
  <r>
    <s v="SALE769"/>
    <x v="465"/>
    <x v="2"/>
    <s v="CUST1104"/>
    <x v="0"/>
    <x v="0"/>
    <x v="2"/>
    <s v="PROD37"/>
    <s v="Men's Casual Sneakers"/>
    <x v="4"/>
    <s v="Footwear"/>
    <s v="STORE6"/>
    <x v="3"/>
    <x v="3"/>
    <n v="365.91"/>
    <n v="0.14000000000000001"/>
    <x v="2"/>
    <b v="1"/>
    <n v="629.36520000000007"/>
    <n v="629.36520000000007"/>
  </r>
  <r>
    <s v="SALE770"/>
    <x v="362"/>
    <x v="2"/>
    <s v="CUST1069"/>
    <x v="2"/>
    <x v="1"/>
    <x v="1"/>
    <s v="PROD25"/>
    <s v="Women's Scarf Set"/>
    <x v="4"/>
    <s v="Accessories"/>
    <s v="STORE17"/>
    <x v="0"/>
    <x v="1"/>
    <n v="852.72"/>
    <n v="0.16"/>
    <x v="0"/>
    <b v="1"/>
    <n v="2148.8543999999997"/>
    <n v="2148.8544000000002"/>
  </r>
  <r>
    <s v="SALE771"/>
    <x v="385"/>
    <x v="2"/>
    <s v="CUST1247"/>
    <x v="1"/>
    <x v="0"/>
    <x v="1"/>
    <s v="PROD10"/>
    <s v="Ceramic Kitchen Bowl Set"/>
    <x v="3"/>
    <s v="Kitchen"/>
    <s v="STORE4"/>
    <x v="2"/>
    <x v="0"/>
    <n v="768.25"/>
    <n v="0.18"/>
    <x v="0"/>
    <b v="1"/>
    <n v="629.96500000000003"/>
    <n v="629.96500000000003"/>
  </r>
  <r>
    <s v="SALE772"/>
    <x v="466"/>
    <x v="1"/>
    <s v="CUST1350"/>
    <x v="2"/>
    <x v="0"/>
    <x v="2"/>
    <s v="PROD92"/>
    <s v="Microwave Oven"/>
    <x v="3"/>
    <s v="Appliances"/>
    <s v="STORE19"/>
    <x v="3"/>
    <x v="3"/>
    <n v="318.62"/>
    <n v="0.02"/>
    <x v="2"/>
    <b v="1"/>
    <n v="624.49519999999995"/>
    <n v="624.49519999999995"/>
  </r>
  <r>
    <s v="SALE773"/>
    <x v="467"/>
    <x v="2"/>
    <s v="CUST1049"/>
    <x v="1"/>
    <x v="1"/>
    <x v="0"/>
    <s v="PROD76"/>
    <s v="Wireless Mouse"/>
    <x v="1"/>
    <s v="Computer"/>
    <s v="STORE2"/>
    <x v="2"/>
    <x v="2"/>
    <n v="402.11"/>
    <n v="0.14000000000000001"/>
    <x v="1"/>
    <b v="1"/>
    <n v="1383.2583999999999"/>
    <n v="1383.2583999999999"/>
  </r>
  <r>
    <s v="SALE774"/>
    <x v="391"/>
    <x v="2"/>
    <s v="CUST1408"/>
    <x v="1"/>
    <x v="0"/>
    <x v="0"/>
    <s v="PROD84"/>
    <s v="Wooden Bookshelf"/>
    <x v="3"/>
    <s v="Furniture"/>
    <s v="STORE17"/>
    <x v="0"/>
    <x v="1"/>
    <n v="846.31"/>
    <n v="0.18"/>
    <x v="2"/>
    <b v="1"/>
    <n v="2081.9225999999999"/>
    <n v="2081.9225999999999"/>
  </r>
  <r>
    <s v="SALE775"/>
    <x v="468"/>
    <x v="2"/>
    <s v="CUST1168"/>
    <x v="1"/>
    <x v="1"/>
    <x v="1"/>
    <s v="PROD94"/>
    <s v="Vitamin E Body Lotion"/>
    <x v="2"/>
    <s v="Skincare"/>
    <s v="STORE14"/>
    <x v="2"/>
    <x v="0"/>
    <n v="269.94"/>
    <n v="7.0000000000000007E-2"/>
    <x v="2"/>
    <b v="1"/>
    <n v="251.04419999999999"/>
    <n v="251.04419999999999"/>
  </r>
  <r>
    <s v="SALE776"/>
    <x v="469"/>
    <x v="0"/>
    <s v="CUST1241"/>
    <x v="1"/>
    <x v="0"/>
    <x v="1"/>
    <s v="PROD20"/>
    <s v="Outdoor Sports Water Bottle"/>
    <x v="0"/>
    <s v="Accessories"/>
    <s v="STORE4"/>
    <x v="2"/>
    <x v="1"/>
    <n v="909.25"/>
    <n v="0.28999999999999998"/>
    <x v="2"/>
    <b v="1"/>
    <n v="1936.7024999999999"/>
    <n v="1936.7025000000001"/>
  </r>
  <r>
    <s v="SALE777"/>
    <x v="316"/>
    <x v="0"/>
    <s v="CUST1363"/>
    <x v="2"/>
    <x v="0"/>
    <x v="3"/>
    <s v="PROD91"/>
    <s v="Women's High Heels"/>
    <x v="4"/>
    <s v="Footwear"/>
    <s v="STORE12"/>
    <x v="0"/>
    <x v="3"/>
    <n v="229.81"/>
    <n v="0.21"/>
    <x v="2"/>
    <b v="1"/>
    <n v="363.09980000000002"/>
    <n v="363.09980000000002"/>
  </r>
  <r>
    <s v="SALE778"/>
    <x v="470"/>
    <x v="0"/>
    <s v="CUST1037"/>
    <x v="2"/>
    <x v="1"/>
    <x v="1"/>
    <s v="PROD78"/>
    <s v="Essential Oil Diffuser"/>
    <x v="3"/>
    <s v="Decor"/>
    <s v="STORE15"/>
    <x v="0"/>
    <x v="1"/>
    <n v="442.36"/>
    <n v="0.06"/>
    <x v="1"/>
    <b v="1"/>
    <n v="1247.4551999999999"/>
    <n v="1247.4552000000001"/>
  </r>
  <r>
    <s v="SALE779"/>
    <x v="239"/>
    <x v="0"/>
    <s v="CUST1239"/>
    <x v="0"/>
    <x v="1"/>
    <x v="1"/>
    <s v="PROD86"/>
    <s v="Kitchen Cutting Board"/>
    <x v="3"/>
    <s v="Kitchen"/>
    <s v="STORE3"/>
    <x v="0"/>
    <x v="1"/>
    <n v="413.74"/>
    <n v="0.01"/>
    <x v="0"/>
    <b v="1"/>
    <n v="1228.8078"/>
    <n v="1228.8078"/>
  </r>
  <r>
    <s v="SALE780"/>
    <x v="471"/>
    <x v="0"/>
    <s v="CUST1496"/>
    <x v="0"/>
    <x v="0"/>
    <x v="3"/>
    <s v="PROD89"/>
    <s v="Face Foundation Kit"/>
    <x v="2"/>
    <s v="Makeup"/>
    <s v="STORE14"/>
    <x v="2"/>
    <x v="2"/>
    <n v="79.75"/>
    <n v="0.18"/>
    <x v="1"/>
    <b v="1"/>
    <n v="261.58000000000004"/>
    <n v="261.58"/>
  </r>
  <r>
    <s v="SALE781"/>
    <x v="138"/>
    <x v="0"/>
    <s v="CUST1495"/>
    <x v="2"/>
    <x v="1"/>
    <x v="3"/>
    <s v="PROD40"/>
    <s v="Noise-Canceling Headphones"/>
    <x v="1"/>
    <s v="Audio"/>
    <s v="STORE12"/>
    <x v="0"/>
    <x v="2"/>
    <n v="95.06"/>
    <n v="0.03"/>
    <x v="0"/>
    <b v="1"/>
    <n v="368.83280000000002"/>
    <n v="368.83280000000002"/>
  </r>
  <r>
    <s v="SALE782"/>
    <x v="472"/>
    <x v="2"/>
    <s v="CUST1416"/>
    <x v="1"/>
    <x v="0"/>
    <x v="1"/>
    <s v="PROD98"/>
    <s v="Portable Bluetooth Speaker"/>
    <x v="1"/>
    <s v="Audio"/>
    <s v="STORE7"/>
    <x v="2"/>
    <x v="2"/>
    <n v="107.08"/>
    <n v="0.27"/>
    <x v="2"/>
    <b v="1"/>
    <n v="312.67359999999996"/>
    <n v="312.67360000000002"/>
  </r>
  <r>
    <s v="SALE783"/>
    <x v="473"/>
    <x v="2"/>
    <s v="CUST1474"/>
    <x v="1"/>
    <x v="1"/>
    <x v="1"/>
    <s v="PROD99"/>
    <s v="Stainless Steel Cookware Set"/>
    <x v="3"/>
    <s v="Kitchen"/>
    <s v="STORE18"/>
    <x v="3"/>
    <x v="0"/>
    <n v="873.18"/>
    <n v="0.03"/>
    <x v="2"/>
    <b v="1"/>
    <n v="846.98459999999989"/>
    <n v="846.98459999999989"/>
  </r>
  <r>
    <s v="SALE784"/>
    <x v="267"/>
    <x v="2"/>
    <s v="CUST1377"/>
    <x v="1"/>
    <x v="1"/>
    <x v="0"/>
    <s v="PROD70"/>
    <s v="Kitchen Storage Rack"/>
    <x v="3"/>
    <s v="Storage"/>
    <s v="STORE18"/>
    <x v="3"/>
    <x v="0"/>
    <n v="914.75"/>
    <n v="0.1"/>
    <x v="2"/>
    <b v="1"/>
    <n v="823.27499999999998"/>
    <n v="823.27499999999998"/>
  </r>
  <r>
    <s v="SALE785"/>
    <x v="335"/>
    <x v="1"/>
    <s v="CUST1049"/>
    <x v="1"/>
    <x v="1"/>
    <x v="0"/>
    <s v="PROD73"/>
    <s v="Shin Guards – Adult"/>
    <x v="0"/>
    <s v="Team Sports"/>
    <s v="STORE13"/>
    <x v="3"/>
    <x v="2"/>
    <n v="457.33"/>
    <n v="0.1"/>
    <x v="0"/>
    <b v="1"/>
    <n v="1646.3879999999999"/>
    <n v="1646.3879999999999"/>
  </r>
  <r>
    <s v="SALE786"/>
    <x v="392"/>
    <x v="0"/>
    <s v="CUST1292"/>
    <x v="2"/>
    <x v="0"/>
    <x v="2"/>
    <s v="PROD99"/>
    <s v="Stainless Steel Cookware Set"/>
    <x v="3"/>
    <s v="Kitchen"/>
    <s v="STORE3"/>
    <x v="0"/>
    <x v="1"/>
    <n v="761.88"/>
    <n v="0.23"/>
    <x v="1"/>
    <b v="1"/>
    <n v="1759.9428"/>
    <n v="1759.9428"/>
  </r>
  <r>
    <s v="SALE787"/>
    <x v="376"/>
    <x v="2"/>
    <s v="CUST1177"/>
    <x v="0"/>
    <x v="0"/>
    <x v="1"/>
    <s v="PROD37"/>
    <s v="Men's Casual Sneakers"/>
    <x v="4"/>
    <s v="Footwear"/>
    <s v="STORE19"/>
    <x v="3"/>
    <x v="2"/>
    <n v="122.87"/>
    <n v="0.13"/>
    <x v="0"/>
    <b v="1"/>
    <n v="427.58760000000001"/>
    <n v="427.58760000000001"/>
  </r>
  <r>
    <s v="SALE788"/>
    <x v="428"/>
    <x v="2"/>
    <s v="CUST1475"/>
    <x v="2"/>
    <x v="1"/>
    <x v="1"/>
    <s v="PROD73"/>
    <s v="Shin Guards – Adult"/>
    <x v="0"/>
    <s v="Team Sports"/>
    <s v="STORE4"/>
    <x v="2"/>
    <x v="2"/>
    <n v="753"/>
    <n v="0.28000000000000003"/>
    <x v="2"/>
    <b v="1"/>
    <n v="2168.64"/>
    <n v="2168.64"/>
  </r>
  <r>
    <s v="SALE789"/>
    <x v="474"/>
    <x v="0"/>
    <s v="CUST1370"/>
    <x v="1"/>
    <x v="0"/>
    <x v="2"/>
    <s v="PROD5"/>
    <s v="Men's Leather Belt"/>
    <x v="4"/>
    <s v="Accessories"/>
    <s v="STORE5"/>
    <x v="0"/>
    <x v="3"/>
    <n v="788.05"/>
    <n v="0.21"/>
    <x v="0"/>
    <b v="1"/>
    <n v="1245.1189999999999"/>
    <n v="1245.1189999999999"/>
  </r>
  <r>
    <s v="SALE790"/>
    <x v="13"/>
    <x v="2"/>
    <s v="CUST1462"/>
    <x v="1"/>
    <x v="1"/>
    <x v="2"/>
    <s v="PROD82"/>
    <s v="Fitness Resistance Bands"/>
    <x v="0"/>
    <s v="Fitness"/>
    <s v="STORE10"/>
    <x v="3"/>
    <x v="3"/>
    <n v="807.1"/>
    <n v="0.28999999999999998"/>
    <x v="0"/>
    <b v="1"/>
    <n v="1146.0819999999999"/>
    <n v="1146.0820000000001"/>
  </r>
  <r>
    <s v="SALE791"/>
    <x v="475"/>
    <x v="0"/>
    <s v="CUST1134"/>
    <x v="0"/>
    <x v="0"/>
    <x v="0"/>
    <s v="PROD8"/>
    <s v="Wireless Bluetooth Earbuds"/>
    <x v="1"/>
    <s v="Audio"/>
    <s v="STORE1"/>
    <x v="0"/>
    <x v="3"/>
    <n v="443.09"/>
    <n v="0.02"/>
    <x v="1"/>
    <b v="1"/>
    <n v="868.45639999999992"/>
    <n v="868.45639999999992"/>
  </r>
  <r>
    <s v="SALE792"/>
    <x v="476"/>
    <x v="2"/>
    <s v="CUST1468"/>
    <x v="1"/>
    <x v="0"/>
    <x v="3"/>
    <s v="PROD19"/>
    <s v="Knee Support Brace"/>
    <x v="0"/>
    <s v="Equipment"/>
    <s v="STORE15"/>
    <x v="0"/>
    <x v="0"/>
    <n v="512.16"/>
    <n v="0.02"/>
    <x v="2"/>
    <b v="1"/>
    <n v="501.91679999999997"/>
    <n v="501.91680000000002"/>
  </r>
  <r>
    <s v="SALE793"/>
    <x v="85"/>
    <x v="0"/>
    <s v="CUST1208"/>
    <x v="0"/>
    <x v="0"/>
    <x v="1"/>
    <s v="PROD41"/>
    <s v="Yoga Exercise Mat"/>
    <x v="0"/>
    <s v="Fitness"/>
    <s v="STORE18"/>
    <x v="3"/>
    <x v="3"/>
    <n v="602.54999999999995"/>
    <n v="0.23"/>
    <x v="2"/>
    <b v="1"/>
    <n v="927.92699999999991"/>
    <n v="927.92699999999991"/>
  </r>
  <r>
    <s v="SALE794"/>
    <x v="142"/>
    <x v="2"/>
    <s v="CUST1164"/>
    <x v="1"/>
    <x v="1"/>
    <x v="2"/>
    <s v="PROD42"/>
    <s v="Smart Home WiFi Camera"/>
    <x v="1"/>
    <s v="Accessories"/>
    <s v="STORE0"/>
    <x v="3"/>
    <x v="1"/>
    <n v="846.19"/>
    <n v="0.09"/>
    <x v="2"/>
    <b v="1"/>
    <n v="2310.0987"/>
    <n v="2310.0987"/>
  </r>
  <r>
    <s v="SALE795"/>
    <x v="359"/>
    <x v="2"/>
    <s v="CUST1326"/>
    <x v="0"/>
    <x v="1"/>
    <x v="0"/>
    <s v="PROD69"/>
    <s v="Men's Sports Shorts"/>
    <x v="4"/>
    <s v="Bottoms"/>
    <s v="STORE8"/>
    <x v="1"/>
    <x v="0"/>
    <n v="506.73"/>
    <n v="0.28999999999999998"/>
    <x v="0"/>
    <b v="1"/>
    <n v="359.7783"/>
    <n v="359.7783"/>
  </r>
  <r>
    <s v="SALE796"/>
    <x v="289"/>
    <x v="0"/>
    <s v="CUST1052"/>
    <x v="0"/>
    <x v="0"/>
    <x v="3"/>
    <s v="PROD51"/>
    <s v="HDMI Cable – 2m"/>
    <x v="1"/>
    <s v="Accessories"/>
    <s v="STORE16"/>
    <x v="1"/>
    <x v="0"/>
    <n v="408.66"/>
    <n v="0.13"/>
    <x v="2"/>
    <b v="1"/>
    <n v="355.5342"/>
    <n v="355.5342"/>
  </r>
  <r>
    <s v="SALE797"/>
    <x v="21"/>
    <x v="0"/>
    <s v="CUST1110"/>
    <x v="1"/>
    <x v="1"/>
    <x v="0"/>
    <s v="PROD8"/>
    <s v="Wireless Bluetooth Earbuds"/>
    <x v="1"/>
    <s v="Audio"/>
    <s v="STORE17"/>
    <x v="0"/>
    <x v="1"/>
    <n v="170.48"/>
    <n v="0.06"/>
    <x v="2"/>
    <b v="1"/>
    <n v="480.75359999999989"/>
    <n v="480.75359999999989"/>
  </r>
  <r>
    <s v="SALE798"/>
    <x v="216"/>
    <x v="2"/>
    <s v="CUST1097"/>
    <x v="1"/>
    <x v="0"/>
    <x v="2"/>
    <s v="PROD18"/>
    <s v="Women's Denim Jeans"/>
    <x v="4"/>
    <s v="Bottoms"/>
    <s v="STORE9"/>
    <x v="2"/>
    <x v="0"/>
    <n v="423.48"/>
    <n v="0.18"/>
    <x v="1"/>
    <b v="1"/>
    <n v="347.25360000000006"/>
    <n v="347.25360000000012"/>
  </r>
  <r>
    <s v="SALE799"/>
    <x v="64"/>
    <x v="1"/>
    <s v="CUST1235"/>
    <x v="2"/>
    <x v="1"/>
    <x v="3"/>
    <s v="PROD92"/>
    <s v="Microwave Oven"/>
    <x v="3"/>
    <s v="Appliances"/>
    <s v="STORE11"/>
    <x v="2"/>
    <x v="2"/>
    <n v="23.57"/>
    <n v="0.1"/>
    <x v="0"/>
    <b v="1"/>
    <n v="84.852000000000004"/>
    <n v="84.852000000000004"/>
  </r>
  <r>
    <s v="SALE800"/>
    <x v="315"/>
    <x v="2"/>
    <s v="CUST1381"/>
    <x v="1"/>
    <x v="0"/>
    <x v="2"/>
    <s v="PROD42"/>
    <s v="Smart Home WiFi Camera"/>
    <x v="1"/>
    <s v="Accessories"/>
    <s v="STORE18"/>
    <x v="3"/>
    <x v="3"/>
    <n v="953.26"/>
    <n v="0.1"/>
    <x v="2"/>
    <b v="1"/>
    <n v="1715.8679999999999"/>
    <n v="1715.8679999999999"/>
  </r>
  <r>
    <s v="SALE801"/>
    <x v="477"/>
    <x v="1"/>
    <s v="CUST1347"/>
    <x v="1"/>
    <x v="1"/>
    <x v="0"/>
    <s v="PROD73"/>
    <s v="Shin Guards – Adult"/>
    <x v="0"/>
    <s v="Team Sports"/>
    <s v="STORE7"/>
    <x v="2"/>
    <x v="1"/>
    <n v="405.13"/>
    <n v="0.14000000000000001"/>
    <x v="2"/>
    <b v="1"/>
    <n v="1045.2353999999998"/>
    <n v="1045.2354"/>
  </r>
  <r>
    <s v="SALE802"/>
    <x v="7"/>
    <x v="1"/>
    <s v="CUST1339"/>
    <x v="0"/>
    <x v="1"/>
    <x v="1"/>
    <s v="PROD2"/>
    <s v="Women's Casual Hoodie"/>
    <x v="4"/>
    <s v="Outerwear"/>
    <s v="STORE4"/>
    <x v="2"/>
    <x v="3"/>
    <n v="333.83"/>
    <n v="0.26"/>
    <x v="1"/>
    <b v="1"/>
    <n v="494.0684"/>
    <n v="494.0684"/>
  </r>
  <r>
    <s v="SALE803"/>
    <x v="478"/>
    <x v="2"/>
    <s v="CUST1333"/>
    <x v="0"/>
    <x v="1"/>
    <x v="0"/>
    <s v="PROD91"/>
    <s v="Women's High Heels"/>
    <x v="4"/>
    <s v="Footwear"/>
    <s v="STORE3"/>
    <x v="0"/>
    <x v="3"/>
    <n v="727.18"/>
    <n v="0.22"/>
    <x v="1"/>
    <b v="1"/>
    <n v="1134.4007999999999"/>
    <n v="1134.4007999999999"/>
  </r>
  <r>
    <s v="SALE804"/>
    <x v="428"/>
    <x v="2"/>
    <s v="CUST1306"/>
    <x v="1"/>
    <x v="0"/>
    <x v="1"/>
    <s v="PROD5"/>
    <s v="Men's Leather Belt"/>
    <x v="4"/>
    <s v="Accessories"/>
    <s v="STORE10"/>
    <x v="3"/>
    <x v="3"/>
    <n v="516.02"/>
    <n v="0.19"/>
    <x v="2"/>
    <b v="1"/>
    <n v="835.95240000000001"/>
    <n v="835.95240000000001"/>
  </r>
  <r>
    <s v="SALE805"/>
    <x v="191"/>
    <x v="0"/>
    <s v="CUST1294"/>
    <x v="2"/>
    <x v="0"/>
    <x v="1"/>
    <s v="PROD42"/>
    <s v="Smart Home WiFi Camera"/>
    <x v="1"/>
    <s v="Accessories"/>
    <s v="STORE11"/>
    <x v="2"/>
    <x v="3"/>
    <n v="705.61"/>
    <n v="0.28000000000000003"/>
    <x v="0"/>
    <b v="1"/>
    <n v="1016.0784"/>
    <n v="1016.0784"/>
  </r>
  <r>
    <s v="SALE806"/>
    <x v="479"/>
    <x v="0"/>
    <s v="CUST1275"/>
    <x v="2"/>
    <x v="0"/>
    <x v="0"/>
    <s v="PROD84"/>
    <s v="Wooden Bookshelf"/>
    <x v="3"/>
    <s v="Furniture"/>
    <s v="STORE8"/>
    <x v="1"/>
    <x v="1"/>
    <n v="654.47"/>
    <n v="0.18"/>
    <x v="2"/>
    <b v="1"/>
    <n v="1609.9962000000003"/>
    <n v="1609.9962"/>
  </r>
  <r>
    <s v="SALE807"/>
    <x v="480"/>
    <x v="2"/>
    <s v="CUST1171"/>
    <x v="1"/>
    <x v="1"/>
    <x v="1"/>
    <s v="PROD88"/>
    <s v="Sports Wrist Sweatbands"/>
    <x v="0"/>
    <s v="Accessories"/>
    <s v="STORE15"/>
    <x v="0"/>
    <x v="3"/>
    <n v="315.27"/>
    <n v="0.23"/>
    <x v="0"/>
    <b v="1"/>
    <n v="485.51579999999996"/>
    <n v="485.51580000000001"/>
  </r>
  <r>
    <s v="SALE808"/>
    <x v="279"/>
    <x v="0"/>
    <s v="CUST1222"/>
    <x v="1"/>
    <x v="0"/>
    <x v="1"/>
    <s v="PROD28"/>
    <s v="Sports Stopwatch Timer"/>
    <x v="0"/>
    <s v="Accessories"/>
    <s v="STORE2"/>
    <x v="2"/>
    <x v="0"/>
    <n v="974.47"/>
    <n v="0.05"/>
    <x v="0"/>
    <b v="1"/>
    <n v="925.74649999999997"/>
    <n v="925.74649999999997"/>
  </r>
  <r>
    <s v="SALE809"/>
    <x v="481"/>
    <x v="0"/>
    <s v="CUST1067"/>
    <x v="0"/>
    <x v="0"/>
    <x v="2"/>
    <s v="PROD2"/>
    <s v="Women's Casual Hoodie"/>
    <x v="4"/>
    <s v="Outerwear"/>
    <s v="STORE4"/>
    <x v="2"/>
    <x v="3"/>
    <n v="803.3"/>
    <n v="0.17"/>
    <x v="0"/>
    <b v="1"/>
    <n v="1333.4779999999998"/>
    <n v="1333.4780000000001"/>
  </r>
  <r>
    <s v="SALE810"/>
    <x v="21"/>
    <x v="0"/>
    <s v="CUST1013"/>
    <x v="1"/>
    <x v="1"/>
    <x v="2"/>
    <s v="PROD2"/>
    <s v="Women's Casual Hoodie"/>
    <x v="4"/>
    <s v="Outerwear"/>
    <s v="STORE10"/>
    <x v="3"/>
    <x v="2"/>
    <n v="863.87"/>
    <n v="0.21"/>
    <x v="2"/>
    <b v="1"/>
    <n v="2729.8292000000001"/>
    <n v="2729.8292000000001"/>
  </r>
  <r>
    <s v="SALE811"/>
    <x v="212"/>
    <x v="0"/>
    <s v="CUST1469"/>
    <x v="2"/>
    <x v="0"/>
    <x v="0"/>
    <s v="PROD80"/>
    <s v="Wall-Mounted Spice Rack"/>
    <x v="3"/>
    <s v="Kitchen"/>
    <s v="STORE18"/>
    <x v="3"/>
    <x v="0"/>
    <n v="450.11"/>
    <n v="0.17"/>
    <x v="0"/>
    <b v="1"/>
    <n v="373.59129999999999"/>
    <n v="373.59129999999999"/>
  </r>
  <r>
    <s v="SALE812"/>
    <x v="40"/>
    <x v="0"/>
    <s v="CUST1230"/>
    <x v="2"/>
    <x v="0"/>
    <x v="3"/>
    <s v="PROD68"/>
    <s v="Wooden Nightstand"/>
    <x v="3"/>
    <s v="Furniture"/>
    <s v="STORE13"/>
    <x v="3"/>
    <x v="0"/>
    <n v="289.82"/>
    <n v="0.18"/>
    <x v="2"/>
    <b v="1"/>
    <n v="237.6524"/>
    <n v="237.6524"/>
  </r>
  <r>
    <s v="SALE813"/>
    <x v="271"/>
    <x v="2"/>
    <s v="CUST1334"/>
    <x v="1"/>
    <x v="1"/>
    <x v="2"/>
    <s v="PROD54"/>
    <s v="Sports Stopwatch Pro"/>
    <x v="0"/>
    <s v="Accessories"/>
    <s v="STORE10"/>
    <x v="3"/>
    <x v="2"/>
    <n v="250.64"/>
    <n v="0.1"/>
    <x v="1"/>
    <b v="1"/>
    <n v="902.30399999999997"/>
    <n v="902.30399999999997"/>
  </r>
  <r>
    <s v="SALE814"/>
    <x v="213"/>
    <x v="2"/>
    <s v="CUST1287"/>
    <x v="2"/>
    <x v="1"/>
    <x v="0"/>
    <s v="PROD69"/>
    <s v="Men's Sports Shorts"/>
    <x v="4"/>
    <s v="Bottoms"/>
    <s v="STORE19"/>
    <x v="3"/>
    <x v="2"/>
    <n v="373.49"/>
    <n v="0.16"/>
    <x v="2"/>
    <b v="1"/>
    <n v="1254.9264000000001"/>
    <n v="1254.9264000000001"/>
  </r>
  <r>
    <s v="SALE815"/>
    <x v="287"/>
    <x v="0"/>
    <s v="CUST1066"/>
    <x v="2"/>
    <x v="1"/>
    <x v="2"/>
    <s v="PROD3"/>
    <s v="Men's Running Jacket"/>
    <x v="4"/>
    <s v="Outerwear"/>
    <s v="STORE9"/>
    <x v="2"/>
    <x v="2"/>
    <n v="348.91"/>
    <n v="0.18"/>
    <x v="1"/>
    <b v="1"/>
    <n v="1144.4248000000002"/>
    <n v="1144.4248"/>
  </r>
  <r>
    <s v="SALE816"/>
    <x v="155"/>
    <x v="0"/>
    <s v="CUST1110"/>
    <x v="1"/>
    <x v="1"/>
    <x v="0"/>
    <s v="PROD94"/>
    <s v="Vitamin E Body Lotion"/>
    <x v="2"/>
    <s v="Skincare"/>
    <s v="STORE17"/>
    <x v="0"/>
    <x v="2"/>
    <n v="212.96"/>
    <n v="0.17"/>
    <x v="0"/>
    <b v="1"/>
    <n v="707.02719999999999"/>
    <n v="707.02719999999999"/>
  </r>
  <r>
    <s v="SALE817"/>
    <x v="194"/>
    <x v="0"/>
    <s v="CUST1190"/>
    <x v="2"/>
    <x v="0"/>
    <x v="3"/>
    <s v="PROD27"/>
    <s v="Decorative Floor Vase"/>
    <x v="3"/>
    <s v="Decor"/>
    <s v="STORE19"/>
    <x v="3"/>
    <x v="1"/>
    <n v="871.34"/>
    <n v="0.11"/>
    <x v="2"/>
    <b v="1"/>
    <n v="2326.4778000000001"/>
    <n v="2326.4778000000001"/>
  </r>
  <r>
    <s v="SALE818"/>
    <x v="309"/>
    <x v="2"/>
    <s v="CUST1100"/>
    <x v="0"/>
    <x v="1"/>
    <x v="1"/>
    <s v="PROD94"/>
    <s v="Vitamin E Body Lotion"/>
    <x v="2"/>
    <s v="Skincare"/>
    <s v="STORE0"/>
    <x v="3"/>
    <x v="3"/>
    <n v="698.94"/>
    <n v="0.06"/>
    <x v="0"/>
    <b v="1"/>
    <n v="1314.0072"/>
    <n v="1314.0072"/>
  </r>
  <r>
    <s v="SALE819"/>
    <x v="373"/>
    <x v="2"/>
    <s v="CUST1316"/>
    <x v="1"/>
    <x v="0"/>
    <x v="0"/>
    <s v="PROD74"/>
    <s v="Bluetooth Car Audio System"/>
    <x v="1"/>
    <s v="Audio"/>
    <s v="STORE0"/>
    <x v="3"/>
    <x v="0"/>
    <n v="719.94"/>
    <n v="0.23"/>
    <x v="2"/>
    <b v="1"/>
    <n v="554.35380000000009"/>
    <n v="554.35380000000009"/>
  </r>
  <r>
    <s v="SALE820"/>
    <x v="48"/>
    <x v="0"/>
    <s v="CUST1006"/>
    <x v="2"/>
    <x v="1"/>
    <x v="1"/>
    <s v="PROD28"/>
    <s v="Sports Stopwatch Timer"/>
    <x v="0"/>
    <s v="Accessories"/>
    <s v="STORE4"/>
    <x v="2"/>
    <x v="3"/>
    <n v="278.16000000000003"/>
    <n v="0.22"/>
    <x v="1"/>
    <b v="1"/>
    <n v="433.92960000000005"/>
    <n v="433.92960000000011"/>
  </r>
  <r>
    <s v="SALE821"/>
    <x v="482"/>
    <x v="0"/>
    <s v="CUST1053"/>
    <x v="1"/>
    <x v="1"/>
    <x v="0"/>
    <s v="PROD49"/>
    <s v="Men's Roll-On Perfume"/>
    <x v="2"/>
    <s v="Fragrance"/>
    <s v="STORE5"/>
    <x v="0"/>
    <x v="0"/>
    <n v="678.9"/>
    <n v="0.17"/>
    <x v="0"/>
    <b v="1"/>
    <n v="563.48699999999997"/>
    <n v="563.48699999999997"/>
  </r>
  <r>
    <s v="SALE822"/>
    <x v="296"/>
    <x v="0"/>
    <s v="CUST1015"/>
    <x v="1"/>
    <x v="1"/>
    <x v="1"/>
    <s v="PROD25"/>
    <s v="Women's Scarf Set"/>
    <x v="4"/>
    <s v="Accessories"/>
    <s v="STORE15"/>
    <x v="0"/>
    <x v="2"/>
    <n v="94.13"/>
    <n v="0.15"/>
    <x v="0"/>
    <b v="1"/>
    <n v="320.04199999999997"/>
    <n v="320.04199999999997"/>
  </r>
  <r>
    <s v="SALE823"/>
    <x v="483"/>
    <x v="2"/>
    <s v="CUST1441"/>
    <x v="1"/>
    <x v="0"/>
    <x v="2"/>
    <s v="PROD44"/>
    <s v="Adjustable Jump Rope"/>
    <x v="0"/>
    <s v="Fitness"/>
    <s v="STORE1"/>
    <x v="0"/>
    <x v="2"/>
    <n v="415.02"/>
    <n v="0.01"/>
    <x v="1"/>
    <b v="1"/>
    <n v="1643.4792"/>
    <n v="1643.4792"/>
  </r>
  <r>
    <s v="SALE824"/>
    <x v="484"/>
    <x v="2"/>
    <s v="CUST1051"/>
    <x v="2"/>
    <x v="1"/>
    <x v="0"/>
    <s v="PROD11"/>
    <s v="HD Smart TV Stick"/>
    <x v="1"/>
    <s v="Accessories"/>
    <s v="STORE4"/>
    <x v="2"/>
    <x v="2"/>
    <n v="780.07"/>
    <n v="0.03"/>
    <x v="0"/>
    <b v="1"/>
    <n v="3026.6716000000001"/>
    <n v="3026.6716000000001"/>
  </r>
  <r>
    <s v="SALE825"/>
    <x v="485"/>
    <x v="2"/>
    <s v="CUST1428"/>
    <x v="2"/>
    <x v="1"/>
    <x v="3"/>
    <s v="PROD37"/>
    <s v="Men's Casual Sneakers"/>
    <x v="4"/>
    <s v="Footwear"/>
    <s v="STORE15"/>
    <x v="0"/>
    <x v="2"/>
    <n v="184.57"/>
    <n v="0.28000000000000003"/>
    <x v="0"/>
    <b v="1"/>
    <n v="531.5616"/>
    <n v="531.5616"/>
  </r>
  <r>
    <s v="SALE826"/>
    <x v="486"/>
    <x v="0"/>
    <s v="CUST1287"/>
    <x v="2"/>
    <x v="1"/>
    <x v="0"/>
    <s v="PROD65"/>
    <s v="Adjustable Dumbbells 20kg"/>
    <x v="0"/>
    <s v="Fitness"/>
    <s v="STORE4"/>
    <x v="2"/>
    <x v="2"/>
    <n v="277.58"/>
    <n v="0.22"/>
    <x v="1"/>
    <b v="1"/>
    <n v="866.04959999999994"/>
    <n v="866.04959999999994"/>
  </r>
  <r>
    <s v="SALE827"/>
    <x v="480"/>
    <x v="2"/>
    <s v="CUST1104"/>
    <x v="0"/>
    <x v="0"/>
    <x v="2"/>
    <s v="PROD31"/>
    <s v="Basketball"/>
    <x v="0"/>
    <s v="Team Sports"/>
    <s v="STORE3"/>
    <x v="0"/>
    <x v="0"/>
    <n v="36.799999999999997"/>
    <n v="0.18"/>
    <x v="0"/>
    <b v="1"/>
    <n v="30.175999999999998"/>
    <n v="30.175999999999998"/>
  </r>
  <r>
    <s v="SALE828"/>
    <x v="203"/>
    <x v="2"/>
    <s v="CUST1356"/>
    <x v="0"/>
    <x v="0"/>
    <x v="3"/>
    <s v="PROD88"/>
    <s v="Sports Wrist Sweatbands"/>
    <x v="0"/>
    <s v="Accessories"/>
    <s v="STORE6"/>
    <x v="3"/>
    <x v="0"/>
    <n v="539.37"/>
    <n v="0.14000000000000001"/>
    <x v="0"/>
    <b v="1"/>
    <n v="463.85820000000001"/>
    <n v="463.85820000000001"/>
  </r>
  <r>
    <s v="SALE829"/>
    <x v="451"/>
    <x v="2"/>
    <s v="CUST1089"/>
    <x v="1"/>
    <x v="0"/>
    <x v="1"/>
    <s v="PROD20"/>
    <s v="Outdoor Sports Water Bottle"/>
    <x v="0"/>
    <s v="Accessories"/>
    <s v="STORE18"/>
    <x v="3"/>
    <x v="0"/>
    <n v="27.83"/>
    <n v="0.3"/>
    <x v="1"/>
    <b v="1"/>
    <n v="19.480999999999998"/>
    <n v="19.481000000000002"/>
  </r>
  <r>
    <s v="SALE830"/>
    <x v="441"/>
    <x v="0"/>
    <s v="CUST1283"/>
    <x v="0"/>
    <x v="1"/>
    <x v="2"/>
    <s v="PROD70"/>
    <s v="Kitchen Storage Rack"/>
    <x v="3"/>
    <s v="Storage"/>
    <s v="STORE4"/>
    <x v="2"/>
    <x v="1"/>
    <n v="698.72"/>
    <n v="0.28000000000000003"/>
    <x v="2"/>
    <b v="1"/>
    <n v="1509.2351999999998"/>
    <n v="1509.2352000000001"/>
  </r>
  <r>
    <s v="SALE831"/>
    <x v="487"/>
    <x v="2"/>
    <s v="CUST1012"/>
    <x v="0"/>
    <x v="1"/>
    <x v="1"/>
    <s v="PROD76"/>
    <s v="Wireless Mouse"/>
    <x v="1"/>
    <s v="Computer"/>
    <s v="STORE13"/>
    <x v="3"/>
    <x v="2"/>
    <n v="528.23"/>
    <n v="0.15"/>
    <x v="2"/>
    <b v="1"/>
    <n v="1795.982"/>
    <n v="1795.982"/>
  </r>
  <r>
    <s v="SALE832"/>
    <x v="488"/>
    <x v="0"/>
    <s v="CUST1492"/>
    <x v="0"/>
    <x v="1"/>
    <x v="1"/>
    <s v="PROD46"/>
    <s v="Men's Winter Jacket"/>
    <x v="4"/>
    <s v="Outerwear"/>
    <s v="STORE16"/>
    <x v="1"/>
    <x v="3"/>
    <n v="780.9"/>
    <n v="0.24"/>
    <x v="1"/>
    <b v="1"/>
    <n v="1186.9680000000001"/>
    <n v="1186.9680000000001"/>
  </r>
  <r>
    <s v="SALE833"/>
    <x v="409"/>
    <x v="1"/>
    <s v="CUST1180"/>
    <x v="1"/>
    <x v="0"/>
    <x v="3"/>
    <s v="PROD21"/>
    <s v="Multi-Purpose Storage Box"/>
    <x v="3"/>
    <s v="Storage"/>
    <s v="STORE14"/>
    <x v="2"/>
    <x v="0"/>
    <n v="977.97"/>
    <n v="0.06"/>
    <x v="2"/>
    <b v="1"/>
    <n v="919.29179999999997"/>
    <n v="919.29179999999997"/>
  </r>
  <r>
    <s v="SALE834"/>
    <x v="489"/>
    <x v="0"/>
    <s v="CUST1369"/>
    <x v="2"/>
    <x v="1"/>
    <x v="1"/>
    <s v="PROD83"/>
    <s v="Hydrating Face Cleanser"/>
    <x v="2"/>
    <s v="Skincare"/>
    <s v="STORE12"/>
    <x v="0"/>
    <x v="2"/>
    <n v="354.65"/>
    <n v="0.19"/>
    <x v="0"/>
    <b v="1"/>
    <n v="1149.066"/>
    <n v="1149.066"/>
  </r>
  <r>
    <s v="SALE835"/>
    <x v="490"/>
    <x v="0"/>
    <s v="CUST1283"/>
    <x v="0"/>
    <x v="1"/>
    <x v="2"/>
    <s v="PROD68"/>
    <s v="Wooden Nightstand"/>
    <x v="3"/>
    <s v="Furniture"/>
    <s v="STORE19"/>
    <x v="3"/>
    <x v="0"/>
    <n v="671.62"/>
    <n v="0.09"/>
    <x v="2"/>
    <b v="1"/>
    <n v="611.17420000000004"/>
    <n v="611.17420000000004"/>
  </r>
  <r>
    <s v="SALE836"/>
    <x v="62"/>
    <x v="2"/>
    <s v="CUST1317"/>
    <x v="0"/>
    <x v="1"/>
    <x v="0"/>
    <s v="PROD82"/>
    <s v="Fitness Resistance Bands"/>
    <x v="0"/>
    <s v="Fitness"/>
    <s v="STORE3"/>
    <x v="0"/>
    <x v="0"/>
    <n v="867.32"/>
    <n v="0.28999999999999998"/>
    <x v="1"/>
    <b v="1"/>
    <n v="615.79719999999998"/>
    <n v="615.79719999999998"/>
  </r>
  <r>
    <s v="SALE837"/>
    <x v="314"/>
    <x v="0"/>
    <s v="CUST1081"/>
    <x v="1"/>
    <x v="1"/>
    <x v="1"/>
    <s v="PROD10"/>
    <s v="Ceramic Kitchen Bowl Set"/>
    <x v="3"/>
    <s v="Kitchen"/>
    <s v="STORE12"/>
    <x v="0"/>
    <x v="1"/>
    <n v="240.27"/>
    <n v="0.15"/>
    <x v="1"/>
    <b v="1"/>
    <n v="612.68850000000009"/>
    <n v="612.68850000000009"/>
  </r>
  <r>
    <s v="SALE838"/>
    <x v="491"/>
    <x v="2"/>
    <s v="CUST1075"/>
    <x v="0"/>
    <x v="1"/>
    <x v="0"/>
    <s v="PROD28"/>
    <s v="Sports Stopwatch Timer"/>
    <x v="0"/>
    <s v="Accessories"/>
    <s v="STORE16"/>
    <x v="1"/>
    <x v="3"/>
    <n v="619.12"/>
    <n v="0.28000000000000003"/>
    <x v="2"/>
    <b v="1"/>
    <n v="891.53279999999995"/>
    <n v="891.53279999999995"/>
  </r>
  <r>
    <s v="SALE839"/>
    <x v="82"/>
    <x v="2"/>
    <s v="CUST1213"/>
    <x v="1"/>
    <x v="1"/>
    <x v="1"/>
    <s v="PROD87"/>
    <s v="LED Bedside Lamp"/>
    <x v="3"/>
    <s v="Lighting"/>
    <s v="STORE0"/>
    <x v="3"/>
    <x v="1"/>
    <n v="693.42"/>
    <n v="0.08"/>
    <x v="1"/>
    <b v="1"/>
    <n v="1913.8391999999999"/>
    <n v="1913.8391999999999"/>
  </r>
  <r>
    <s v="SALE840"/>
    <x v="379"/>
    <x v="2"/>
    <s v="CUST1108"/>
    <x v="1"/>
    <x v="0"/>
    <x v="3"/>
    <s v="PROD48"/>
    <s v="Car Dashboard Phone Holder"/>
    <x v="1"/>
    <s v="Accessories"/>
    <s v="STORE10"/>
    <x v="3"/>
    <x v="2"/>
    <n v="751.63"/>
    <n v="0.28000000000000003"/>
    <x v="2"/>
    <b v="1"/>
    <n v="2164.6943999999999"/>
    <n v="2164.6943999999999"/>
  </r>
  <r>
    <s v="SALE841"/>
    <x v="264"/>
    <x v="0"/>
    <s v="CUST1110"/>
    <x v="1"/>
    <x v="1"/>
    <x v="0"/>
    <s v="PROD31"/>
    <s v="Basketball"/>
    <x v="0"/>
    <s v="Team Sports"/>
    <s v="STORE15"/>
    <x v="0"/>
    <x v="1"/>
    <n v="108.14"/>
    <n v="0.19"/>
    <x v="2"/>
    <b v="1"/>
    <n v="262.78020000000004"/>
    <n v="262.78019999999998"/>
  </r>
  <r>
    <s v="SALE842"/>
    <x v="2"/>
    <x v="0"/>
    <s v="CUST1256"/>
    <x v="0"/>
    <x v="0"/>
    <x v="1"/>
    <s v="PROD27"/>
    <s v="Decorative Floor Vase"/>
    <x v="3"/>
    <s v="Decor"/>
    <s v="STORE4"/>
    <x v="2"/>
    <x v="0"/>
    <n v="964.11"/>
    <n v="0.17"/>
    <x v="2"/>
    <b v="1"/>
    <n v="800.21129999999994"/>
    <n v="800.21129999999994"/>
  </r>
  <r>
    <s v="SALE843"/>
    <x v="492"/>
    <x v="0"/>
    <s v="CUST1131"/>
    <x v="1"/>
    <x v="1"/>
    <x v="3"/>
    <s v="PROD19"/>
    <s v="Knee Support Brace"/>
    <x v="0"/>
    <s v="Equipment"/>
    <s v="STORE0"/>
    <x v="3"/>
    <x v="0"/>
    <n v="346.2"/>
    <n v="0.28999999999999998"/>
    <x v="0"/>
    <b v="1"/>
    <n v="245.80199999999999"/>
    <n v="245.80199999999999"/>
  </r>
  <r>
    <s v="SALE844"/>
    <x v="333"/>
    <x v="0"/>
    <s v="CUST1457"/>
    <x v="0"/>
    <x v="0"/>
    <x v="1"/>
    <s v="PROD43"/>
    <s v="USB External Hard Drive"/>
    <x v="1"/>
    <s v="Computer"/>
    <s v="STORE15"/>
    <x v="0"/>
    <x v="1"/>
    <n v="791.75"/>
    <n v="0.28999999999999998"/>
    <x v="0"/>
    <b v="1"/>
    <n v="1686.4275"/>
    <n v="1686.4275"/>
  </r>
  <r>
    <s v="SALE845"/>
    <x v="493"/>
    <x v="1"/>
    <s v="CUST1319"/>
    <x v="0"/>
    <x v="0"/>
    <x v="1"/>
    <s v="PROD39"/>
    <s v="Portable Power Bank"/>
    <x v="1"/>
    <s v="Mobile"/>
    <s v="STORE13"/>
    <x v="3"/>
    <x v="0"/>
    <n v="529.84"/>
    <n v="0.13"/>
    <x v="1"/>
    <b v="1"/>
    <n v="460.96080000000001"/>
    <n v="460.96080000000001"/>
  </r>
  <r>
    <s v="SALE846"/>
    <x v="494"/>
    <x v="2"/>
    <s v="CUST1471"/>
    <x v="1"/>
    <x v="0"/>
    <x v="1"/>
    <s v="PROD54"/>
    <s v="Sports Stopwatch Pro"/>
    <x v="0"/>
    <s v="Accessories"/>
    <s v="STORE3"/>
    <x v="0"/>
    <x v="1"/>
    <n v="582.57000000000005"/>
    <n v="0.11"/>
    <x v="1"/>
    <b v="1"/>
    <n v="1555.4619"/>
    <n v="1555.4619"/>
  </r>
  <r>
    <s v="SALE847"/>
    <x v="495"/>
    <x v="1"/>
    <s v="CUST1211"/>
    <x v="2"/>
    <x v="1"/>
    <x v="2"/>
    <s v="PROD95"/>
    <s v="Sports Stopwatch Basic"/>
    <x v="0"/>
    <s v="Accessories"/>
    <s v="STORE17"/>
    <x v="0"/>
    <x v="0"/>
    <n v="219.81"/>
    <n v="0.22"/>
    <x v="2"/>
    <b v="1"/>
    <n v="171.45180000000002"/>
    <n v="171.45179999999999"/>
  </r>
  <r>
    <s v="SALE848"/>
    <x v="223"/>
    <x v="0"/>
    <s v="CUST1497"/>
    <x v="1"/>
    <x v="1"/>
    <x v="0"/>
    <s v="PROD70"/>
    <s v="Kitchen Storage Rack"/>
    <x v="3"/>
    <s v="Storage"/>
    <s v="STORE18"/>
    <x v="3"/>
    <x v="2"/>
    <n v="883.31"/>
    <n v="0.27"/>
    <x v="0"/>
    <b v="1"/>
    <n v="2579.2651999999998"/>
    <n v="2579.2651999999998"/>
  </r>
  <r>
    <s v="SALE849"/>
    <x v="356"/>
    <x v="0"/>
    <s v="CUST1234"/>
    <x v="1"/>
    <x v="1"/>
    <x v="0"/>
    <s v="PROD17"/>
    <s v="Soccer Training Cone Set"/>
    <x v="0"/>
    <s v="Accessories"/>
    <s v="STORE14"/>
    <x v="2"/>
    <x v="2"/>
    <n v="329.06"/>
    <n v="0.04"/>
    <x v="2"/>
    <b v="1"/>
    <n v="1263.5904"/>
    <n v="1263.5904"/>
  </r>
  <r>
    <s v="SALE850"/>
    <x v="496"/>
    <x v="2"/>
    <s v="CUST1105"/>
    <x v="1"/>
    <x v="1"/>
    <x v="0"/>
    <s v="PROD68"/>
    <s v="Wooden Nightstand"/>
    <x v="3"/>
    <s v="Furniture"/>
    <s v="STORE11"/>
    <x v="2"/>
    <x v="0"/>
    <n v="935.78"/>
    <n v="0.03"/>
    <x v="1"/>
    <b v="1"/>
    <n v="907.70659999999998"/>
    <n v="907.70659999999998"/>
  </r>
  <r>
    <s v="SALE851"/>
    <x v="497"/>
    <x v="0"/>
    <s v="CUST1320"/>
    <x v="1"/>
    <x v="1"/>
    <x v="3"/>
    <s v="PROD60"/>
    <s v="Luxury Perfume Spray"/>
    <x v="2"/>
    <s v="Fragrance"/>
    <s v="STORE10"/>
    <x v="3"/>
    <x v="2"/>
    <n v="597.79999999999995"/>
    <n v="0.2"/>
    <x v="0"/>
    <b v="1"/>
    <n v="1912.96"/>
    <n v="1912.96"/>
  </r>
  <r>
    <s v="SALE852"/>
    <x v="345"/>
    <x v="2"/>
    <s v="CUST1259"/>
    <x v="1"/>
    <x v="1"/>
    <x v="2"/>
    <s v="PROD13"/>
    <s v="USB-C Fast Charger"/>
    <x v="1"/>
    <s v="Accessories"/>
    <s v="STORE18"/>
    <x v="3"/>
    <x v="2"/>
    <n v="266.98"/>
    <n v="0.16"/>
    <x v="0"/>
    <b v="1"/>
    <n v="897.05280000000005"/>
    <n v="897.05280000000005"/>
  </r>
  <r>
    <s v="SALE853"/>
    <x v="498"/>
    <x v="2"/>
    <s v="CUST1407"/>
    <x v="1"/>
    <x v="0"/>
    <x v="0"/>
    <s v="PROD70"/>
    <s v="Kitchen Storage Rack"/>
    <x v="3"/>
    <s v="Storage"/>
    <s v="STORE15"/>
    <x v="0"/>
    <x v="1"/>
    <n v="360.18"/>
    <n v="0.03"/>
    <x v="0"/>
    <b v="1"/>
    <n v="1048.1237999999998"/>
    <n v="1048.1238000000001"/>
  </r>
  <r>
    <s v="SALE854"/>
    <x v="321"/>
    <x v="2"/>
    <s v="CUST1363"/>
    <x v="2"/>
    <x v="0"/>
    <x v="3"/>
    <s v="PROD56"/>
    <s v="Premium Blanket Throw"/>
    <x v="3"/>
    <s v="Decor"/>
    <s v="STORE0"/>
    <x v="3"/>
    <x v="1"/>
    <n v="247.41"/>
    <n v="0.05"/>
    <x v="2"/>
    <b v="1"/>
    <n v="705.11850000000004"/>
    <n v="705.11850000000004"/>
  </r>
  <r>
    <s v="SALE855"/>
    <x v="163"/>
    <x v="1"/>
    <s v="CUST1078"/>
    <x v="2"/>
    <x v="0"/>
    <x v="0"/>
    <s v="PROD45"/>
    <s v="High-Grip Football"/>
    <x v="0"/>
    <s v="Team Sports"/>
    <s v="STORE15"/>
    <x v="0"/>
    <x v="1"/>
    <n v="674.66"/>
    <n v="0.23"/>
    <x v="0"/>
    <b v="1"/>
    <n v="1558.4646"/>
    <n v="1558.4646"/>
  </r>
  <r>
    <s v="SALE856"/>
    <x v="499"/>
    <x v="2"/>
    <s v="CUST1415"/>
    <x v="2"/>
    <x v="1"/>
    <x v="2"/>
    <s v="PROD42"/>
    <s v="Smart Home WiFi Camera"/>
    <x v="1"/>
    <s v="Accessories"/>
    <s v="STORE4"/>
    <x v="2"/>
    <x v="0"/>
    <n v="913.98"/>
    <n v="0.27"/>
    <x v="1"/>
    <b v="1"/>
    <n v="667.20539999999994"/>
    <n v="667.20539999999994"/>
  </r>
  <r>
    <s v="SALE857"/>
    <x v="406"/>
    <x v="2"/>
    <s v="CUST1314"/>
    <x v="0"/>
    <x v="1"/>
    <x v="2"/>
    <s v="PROD93"/>
    <s v="USB-C Laptop Charger"/>
    <x v="1"/>
    <s v="Computer"/>
    <s v="STORE10"/>
    <x v="3"/>
    <x v="2"/>
    <n v="370.5"/>
    <n v="0.13"/>
    <x v="1"/>
    <b v="1"/>
    <n v="1289.3399999999999"/>
    <n v="1289.3399999999999"/>
  </r>
  <r>
    <s v="SALE858"/>
    <x v="500"/>
    <x v="0"/>
    <s v="CUST1358"/>
    <x v="0"/>
    <x v="1"/>
    <x v="0"/>
    <s v="PROD72"/>
    <s v="Professional Jump Rope"/>
    <x v="0"/>
    <s v="Fitness"/>
    <s v="STORE13"/>
    <x v="3"/>
    <x v="0"/>
    <n v="735.1"/>
    <n v="0.1"/>
    <x v="1"/>
    <b v="1"/>
    <n v="661.59"/>
    <n v="661.59"/>
  </r>
  <r>
    <s v="SALE859"/>
    <x v="339"/>
    <x v="0"/>
    <s v="CUST1135"/>
    <x v="1"/>
    <x v="1"/>
    <x v="1"/>
    <s v="PROD79"/>
    <s v="Decorative Lamp Shade"/>
    <x v="3"/>
    <s v="Lighting"/>
    <s v="STORE2"/>
    <x v="2"/>
    <x v="1"/>
    <n v="448.55"/>
    <n v="0.05"/>
    <x v="0"/>
    <b v="1"/>
    <n v="1278.3675000000001"/>
    <n v="1278.3675000000001"/>
  </r>
  <r>
    <s v="SALE860"/>
    <x v="501"/>
    <x v="2"/>
    <s v="CUST1059"/>
    <x v="0"/>
    <x v="0"/>
    <x v="1"/>
    <s v="PROD84"/>
    <s v="Wooden Bookshelf"/>
    <x v="3"/>
    <s v="Furniture"/>
    <s v="STORE13"/>
    <x v="3"/>
    <x v="1"/>
    <n v="904.96"/>
    <n v="7.0000000000000007E-2"/>
    <x v="2"/>
    <b v="1"/>
    <n v="2524.8384000000001"/>
    <n v="2524.8384000000001"/>
  </r>
  <r>
    <s v="SALE861"/>
    <x v="418"/>
    <x v="0"/>
    <s v="CUST1380"/>
    <x v="2"/>
    <x v="0"/>
    <x v="0"/>
    <s v="PROD68"/>
    <s v="Wooden Nightstand"/>
    <x v="3"/>
    <s v="Furniture"/>
    <s v="STORE13"/>
    <x v="3"/>
    <x v="2"/>
    <n v="408.72"/>
    <n v="0.16"/>
    <x v="2"/>
    <b v="1"/>
    <n v="1373.2991999999999"/>
    <n v="1373.2991999999999"/>
  </r>
  <r>
    <s v="SALE862"/>
    <x v="502"/>
    <x v="0"/>
    <s v="CUST1282"/>
    <x v="1"/>
    <x v="1"/>
    <x v="0"/>
    <s v="PROD71"/>
    <s v="Hair Repair Oil Treatment"/>
    <x v="2"/>
    <s v="Haircare"/>
    <s v="STORE3"/>
    <x v="0"/>
    <x v="2"/>
    <n v="770.65"/>
    <n v="0.27"/>
    <x v="0"/>
    <b v="1"/>
    <n v="2250.2979999999998"/>
    <n v="2250.2979999999998"/>
  </r>
  <r>
    <s v="SALE863"/>
    <x v="503"/>
    <x v="2"/>
    <s v="CUST1203"/>
    <x v="1"/>
    <x v="0"/>
    <x v="1"/>
    <s v="PROD30"/>
    <s v="Stainless Steel Cutlery Set"/>
    <x v="3"/>
    <s v="Kitchen"/>
    <s v="STORE6"/>
    <x v="3"/>
    <x v="0"/>
    <n v="649.22"/>
    <n v="0.03"/>
    <x v="2"/>
    <b v="1"/>
    <n v="629.74340000000007"/>
    <n v="629.74340000000007"/>
  </r>
  <r>
    <s v="SALE864"/>
    <x v="504"/>
    <x v="0"/>
    <s v="CUST1348"/>
    <x v="0"/>
    <x v="0"/>
    <x v="2"/>
    <s v="PROD33"/>
    <s v="Modern Wall Clock"/>
    <x v="3"/>
    <s v="Decor"/>
    <s v="STORE10"/>
    <x v="3"/>
    <x v="3"/>
    <n v="379.78"/>
    <n v="0.2"/>
    <x v="0"/>
    <b v="1"/>
    <n v="607.64800000000002"/>
    <n v="607.64800000000002"/>
  </r>
  <r>
    <s v="SALE865"/>
    <x v="505"/>
    <x v="2"/>
    <s v="CUST1248"/>
    <x v="2"/>
    <x v="0"/>
    <x v="0"/>
    <s v="PROD43"/>
    <s v="USB External Hard Drive"/>
    <x v="1"/>
    <s v="Computer"/>
    <s v="STORE8"/>
    <x v="1"/>
    <x v="1"/>
    <n v="924.15"/>
    <n v="0.1"/>
    <x v="1"/>
    <b v="1"/>
    <n v="2495.2049999999999"/>
    <n v="2495.2049999999999"/>
  </r>
  <r>
    <s v="SALE866"/>
    <x v="506"/>
    <x v="0"/>
    <s v="CUST1469"/>
    <x v="2"/>
    <x v="0"/>
    <x v="0"/>
    <s v="PROD45"/>
    <s v="High-Grip Football"/>
    <x v="0"/>
    <s v="Team Sports"/>
    <s v="STORE17"/>
    <x v="0"/>
    <x v="1"/>
    <n v="144.66999999999999"/>
    <n v="0.28999999999999998"/>
    <x v="2"/>
    <b v="1"/>
    <n v="308.14709999999997"/>
    <n v="308.14710000000002"/>
  </r>
  <r>
    <s v="SALE867"/>
    <x v="345"/>
    <x v="2"/>
    <s v="CUST1121"/>
    <x v="0"/>
    <x v="0"/>
    <x v="1"/>
    <s v="PROD33"/>
    <s v="Modern Wall Clock"/>
    <x v="3"/>
    <s v="Decor"/>
    <s v="STORE15"/>
    <x v="0"/>
    <x v="3"/>
    <n v="667.17"/>
    <n v="0.1"/>
    <x v="1"/>
    <b v="1"/>
    <n v="1200.9059999999999"/>
    <n v="1200.9059999999999"/>
  </r>
  <r>
    <s v="SALE868"/>
    <x v="408"/>
    <x v="0"/>
    <s v="CUST1402"/>
    <x v="1"/>
    <x v="0"/>
    <x v="3"/>
    <s v="PROD66"/>
    <s v="Women's Hair Dryer Brush"/>
    <x v="2"/>
    <s v="Haircare"/>
    <s v="STORE3"/>
    <x v="0"/>
    <x v="0"/>
    <n v="984.6"/>
    <n v="0.22"/>
    <x v="0"/>
    <b v="1"/>
    <n v="767.98800000000006"/>
    <n v="767.98800000000006"/>
  </r>
  <r>
    <s v="SALE869"/>
    <x v="382"/>
    <x v="1"/>
    <s v="CUST1279"/>
    <x v="2"/>
    <x v="1"/>
    <x v="3"/>
    <s v="PROD13"/>
    <s v="USB-C Fast Charger"/>
    <x v="1"/>
    <s v="Accessories"/>
    <s v="STORE8"/>
    <x v="1"/>
    <x v="0"/>
    <n v="139.29"/>
    <n v="0"/>
    <x v="0"/>
    <b v="1"/>
    <n v="139.29"/>
    <n v="139.29"/>
  </r>
  <r>
    <s v="SALE870"/>
    <x v="404"/>
    <x v="2"/>
    <s v="CUST1033"/>
    <x v="2"/>
    <x v="0"/>
    <x v="1"/>
    <s v="PROD16"/>
    <s v="Beard Grooming Kit"/>
    <x v="2"/>
    <s v="Grooming"/>
    <s v="STORE8"/>
    <x v="1"/>
    <x v="1"/>
    <n v="459.57"/>
    <n v="0.1"/>
    <x v="2"/>
    <b v="1"/>
    <n v="1240.8390000000002"/>
    <n v="1240.8389999999999"/>
  </r>
  <r>
    <s v="SALE871"/>
    <x v="29"/>
    <x v="0"/>
    <s v="CUST1066"/>
    <x v="2"/>
    <x v="1"/>
    <x v="2"/>
    <s v="PROD40"/>
    <s v="Noise-Canceling Headphones"/>
    <x v="1"/>
    <s v="Audio"/>
    <s v="STORE15"/>
    <x v="0"/>
    <x v="0"/>
    <n v="517.82000000000005"/>
    <n v="0.28999999999999998"/>
    <x v="0"/>
    <b v="1"/>
    <n v="367.65219999999999"/>
    <n v="367.65219999999999"/>
  </r>
  <r>
    <s v="SALE872"/>
    <x v="507"/>
    <x v="0"/>
    <s v="CUST1379"/>
    <x v="1"/>
    <x v="1"/>
    <x v="0"/>
    <s v="PROD76"/>
    <s v="Wireless Mouse"/>
    <x v="1"/>
    <s v="Computer"/>
    <s v="STORE6"/>
    <x v="3"/>
    <x v="2"/>
    <n v="282.45"/>
    <n v="0.28999999999999998"/>
    <x v="2"/>
    <b v="1"/>
    <n v="802.1579999999999"/>
    <n v="802.1579999999999"/>
  </r>
  <r>
    <s v="SALE873"/>
    <x v="400"/>
    <x v="1"/>
    <s v="CUST1455"/>
    <x v="0"/>
    <x v="0"/>
    <x v="0"/>
    <s v="PROD87"/>
    <s v="LED Bedside Lamp"/>
    <x v="3"/>
    <s v="Lighting"/>
    <s v="STORE7"/>
    <x v="2"/>
    <x v="3"/>
    <n v="386.46"/>
    <n v="0.23"/>
    <x v="2"/>
    <b v="1"/>
    <n v="595.14840000000004"/>
    <n v="595.14840000000004"/>
  </r>
  <r>
    <s v="SALE874"/>
    <x v="232"/>
    <x v="2"/>
    <s v="CUST1195"/>
    <x v="0"/>
    <x v="0"/>
    <x v="2"/>
    <s v="PROD19"/>
    <s v="Knee Support Brace"/>
    <x v="0"/>
    <s v="Equipment"/>
    <s v="STORE3"/>
    <x v="0"/>
    <x v="0"/>
    <n v="270.45"/>
    <n v="0.15"/>
    <x v="2"/>
    <b v="1"/>
    <n v="229.88249999999999"/>
    <n v="229.88249999999999"/>
  </r>
  <r>
    <s v="SALE875"/>
    <x v="508"/>
    <x v="0"/>
    <s v="CUST1041"/>
    <x v="2"/>
    <x v="0"/>
    <x v="1"/>
    <s v="PROD76"/>
    <s v="Wireless Mouse"/>
    <x v="1"/>
    <s v="Computer"/>
    <s v="STORE10"/>
    <x v="3"/>
    <x v="2"/>
    <n v="762.94"/>
    <n v="0.09"/>
    <x v="2"/>
    <b v="1"/>
    <n v="2777.1016000000004"/>
    <n v="2777.1016"/>
  </r>
  <r>
    <s v="SALE876"/>
    <x v="495"/>
    <x v="1"/>
    <s v="CUST1494"/>
    <x v="2"/>
    <x v="0"/>
    <x v="0"/>
    <s v="PROD41"/>
    <s v="Yoga Exercise Mat"/>
    <x v="0"/>
    <s v="Fitness"/>
    <s v="STORE13"/>
    <x v="3"/>
    <x v="0"/>
    <n v="409.03"/>
    <n v="0.25"/>
    <x v="2"/>
    <b v="1"/>
    <n v="306.77249999999998"/>
    <n v="306.77249999999998"/>
  </r>
  <r>
    <s v="SALE877"/>
    <x v="168"/>
    <x v="0"/>
    <s v="CUST1219"/>
    <x v="1"/>
    <x v="1"/>
    <x v="0"/>
    <s v="PROD96"/>
    <s v="Women's Formal Blazer"/>
    <x v="4"/>
    <s v="Outerwear"/>
    <s v="STORE18"/>
    <x v="3"/>
    <x v="3"/>
    <n v="891.13"/>
    <n v="0.13"/>
    <x v="0"/>
    <b v="1"/>
    <n v="1550.5662"/>
    <n v="1550.5662"/>
  </r>
  <r>
    <s v="SALE878"/>
    <x v="31"/>
    <x v="0"/>
    <s v="CUST1032"/>
    <x v="1"/>
    <x v="1"/>
    <x v="0"/>
    <s v="PROD92"/>
    <s v="Microwave Oven"/>
    <x v="3"/>
    <s v="Appliances"/>
    <s v="STORE16"/>
    <x v="1"/>
    <x v="0"/>
    <n v="553.38"/>
    <n v="0.21"/>
    <x v="1"/>
    <b v="1"/>
    <n v="437.17020000000002"/>
    <n v="437.17020000000002"/>
  </r>
  <r>
    <s v="SALE879"/>
    <x v="374"/>
    <x v="1"/>
    <s v="CUST1160"/>
    <x v="1"/>
    <x v="1"/>
    <x v="1"/>
    <s v="PROD85"/>
    <s v="Women's Beanie Hat"/>
    <x v="4"/>
    <s v="Accessories"/>
    <s v="STORE13"/>
    <x v="3"/>
    <x v="3"/>
    <n v="652.29999999999995"/>
    <n v="0.16"/>
    <x v="2"/>
    <b v="1"/>
    <n v="1095.8639999999998"/>
    <n v="1095.864"/>
  </r>
  <r>
    <s v="SALE880"/>
    <x v="509"/>
    <x v="0"/>
    <s v="CUST1122"/>
    <x v="1"/>
    <x v="0"/>
    <x v="1"/>
    <s v="PROD42"/>
    <s v="Smart Home WiFi Camera"/>
    <x v="1"/>
    <s v="Accessories"/>
    <s v="STORE9"/>
    <x v="2"/>
    <x v="2"/>
    <n v="194.36"/>
    <n v="0.18"/>
    <x v="2"/>
    <b v="1"/>
    <n v="637.50080000000014"/>
    <n v="637.50080000000014"/>
  </r>
  <r>
    <s v="SALE881"/>
    <x v="510"/>
    <x v="2"/>
    <s v="CUST1153"/>
    <x v="1"/>
    <x v="0"/>
    <x v="3"/>
    <s v="PROD92"/>
    <s v="Microwave Oven"/>
    <x v="3"/>
    <s v="Appliances"/>
    <s v="STORE1"/>
    <x v="0"/>
    <x v="1"/>
    <n v="476.37"/>
    <n v="0.21"/>
    <x v="2"/>
    <b v="1"/>
    <n v="1128.9969000000001"/>
    <n v="1128.9969000000001"/>
  </r>
  <r>
    <s v="SALE882"/>
    <x v="398"/>
    <x v="0"/>
    <s v="CUST1365"/>
    <x v="0"/>
    <x v="1"/>
    <x v="1"/>
    <s v="PROD40"/>
    <s v="Noise-Canceling Headphones"/>
    <x v="1"/>
    <s v="Audio"/>
    <s v="STORE5"/>
    <x v="0"/>
    <x v="1"/>
    <n v="174.57"/>
    <n v="0"/>
    <x v="1"/>
    <b v="1"/>
    <n v="523.71"/>
    <n v="523.71"/>
  </r>
  <r>
    <s v="SALE883"/>
    <x v="455"/>
    <x v="0"/>
    <s v="CUST1119"/>
    <x v="1"/>
    <x v="0"/>
    <x v="3"/>
    <s v="PROD85"/>
    <s v="Women's Beanie Hat"/>
    <x v="4"/>
    <s v="Accessories"/>
    <s v="STORE0"/>
    <x v="3"/>
    <x v="1"/>
    <n v="762"/>
    <n v="0.02"/>
    <x v="1"/>
    <b v="1"/>
    <n v="2240.2799999999997"/>
    <n v="2240.2800000000002"/>
  </r>
  <r>
    <s v="SALE884"/>
    <x v="511"/>
    <x v="0"/>
    <s v="CUST1425"/>
    <x v="1"/>
    <x v="0"/>
    <x v="3"/>
    <s v="PROD72"/>
    <s v="Professional Jump Rope"/>
    <x v="0"/>
    <s v="Fitness"/>
    <s v="STORE19"/>
    <x v="3"/>
    <x v="0"/>
    <n v="44.08"/>
    <n v="0.05"/>
    <x v="0"/>
    <b v="1"/>
    <n v="41.875999999999998"/>
    <n v="41.875999999999998"/>
  </r>
  <r>
    <s v="SALE885"/>
    <x v="23"/>
    <x v="0"/>
    <s v="CUST1495"/>
    <x v="2"/>
    <x v="1"/>
    <x v="3"/>
    <s v="PROD59"/>
    <s v="Men's Hair Styling Gel"/>
    <x v="2"/>
    <s v="Haircare"/>
    <s v="STORE13"/>
    <x v="3"/>
    <x v="0"/>
    <n v="992.37"/>
    <n v="0.24"/>
    <x v="2"/>
    <b v="1"/>
    <n v="754.20119999999997"/>
    <n v="754.20119999999997"/>
  </r>
  <r>
    <s v="SALE886"/>
    <x v="213"/>
    <x v="2"/>
    <s v="CUST1201"/>
    <x v="2"/>
    <x v="1"/>
    <x v="3"/>
    <s v="PROD31"/>
    <s v="Basketball"/>
    <x v="0"/>
    <s v="Team Sports"/>
    <s v="STORE10"/>
    <x v="3"/>
    <x v="1"/>
    <n v="465.4"/>
    <n v="0.28999999999999998"/>
    <x v="2"/>
    <b v="1"/>
    <n v="991.30199999999979"/>
    <n v="991.30199999999979"/>
  </r>
  <r>
    <s v="SALE887"/>
    <x v="512"/>
    <x v="2"/>
    <s v="CUST1337"/>
    <x v="1"/>
    <x v="1"/>
    <x v="3"/>
    <s v="PROD16"/>
    <s v="Beard Grooming Kit"/>
    <x v="2"/>
    <s v="Grooming"/>
    <s v="STORE10"/>
    <x v="3"/>
    <x v="3"/>
    <n v="693.61"/>
    <n v="0.15"/>
    <x v="1"/>
    <b v="1"/>
    <n v="1179.1369999999999"/>
    <n v="1179.1369999999999"/>
  </r>
  <r>
    <s v="SALE888"/>
    <x v="11"/>
    <x v="2"/>
    <s v="CUST1465"/>
    <x v="2"/>
    <x v="1"/>
    <x v="2"/>
    <s v="PROD67"/>
    <s v="Smart LED Light Strip"/>
    <x v="1"/>
    <s v="Accessories"/>
    <s v="STORE8"/>
    <x v="1"/>
    <x v="3"/>
    <n v="995.11"/>
    <n v="0.13"/>
    <x v="1"/>
    <b v="1"/>
    <n v="1731.4914000000001"/>
    <n v="1731.4914000000001"/>
  </r>
  <r>
    <s v="SALE889"/>
    <x v="513"/>
    <x v="2"/>
    <s v="CUST1381"/>
    <x v="1"/>
    <x v="0"/>
    <x v="2"/>
    <s v="PROD23"/>
    <s v="Men's Formal Shirt"/>
    <x v="4"/>
    <s v="Tops"/>
    <s v="STORE4"/>
    <x v="2"/>
    <x v="1"/>
    <n v="70.97"/>
    <n v="0.06"/>
    <x v="2"/>
    <b v="1"/>
    <n v="200.13539999999998"/>
    <n v="200.1354"/>
  </r>
  <r>
    <s v="SALE890"/>
    <x v="474"/>
    <x v="0"/>
    <s v="CUST1113"/>
    <x v="0"/>
    <x v="0"/>
    <x v="0"/>
    <s v="PROD83"/>
    <s v="Hydrating Face Cleanser"/>
    <x v="2"/>
    <s v="Skincare"/>
    <s v="STORE9"/>
    <x v="2"/>
    <x v="1"/>
    <n v="470.42"/>
    <n v="0.16"/>
    <x v="0"/>
    <b v="1"/>
    <n v="1185.4584"/>
    <n v="1185.4584"/>
  </r>
  <r>
    <s v="SALE891"/>
    <x v="230"/>
    <x v="2"/>
    <s v="CUST1314"/>
    <x v="0"/>
    <x v="1"/>
    <x v="2"/>
    <s v="PROD86"/>
    <s v="Kitchen Cutting Board"/>
    <x v="3"/>
    <s v="Kitchen"/>
    <s v="STORE16"/>
    <x v="1"/>
    <x v="3"/>
    <n v="215.59"/>
    <n v="0.18"/>
    <x v="0"/>
    <b v="1"/>
    <n v="353.56760000000003"/>
    <n v="353.56760000000003"/>
  </r>
  <r>
    <s v="SALE892"/>
    <x v="371"/>
    <x v="2"/>
    <s v="CUST1239"/>
    <x v="0"/>
    <x v="1"/>
    <x v="1"/>
    <s v="PROD92"/>
    <s v="Microwave Oven"/>
    <x v="3"/>
    <s v="Appliances"/>
    <s v="STORE0"/>
    <x v="3"/>
    <x v="0"/>
    <n v="533.79999999999995"/>
    <n v="0.27"/>
    <x v="2"/>
    <b v="1"/>
    <n v="389.67399999999998"/>
    <n v="389.67399999999998"/>
  </r>
  <r>
    <s v="SALE893"/>
    <x v="339"/>
    <x v="0"/>
    <s v="CUST1093"/>
    <x v="2"/>
    <x v="1"/>
    <x v="0"/>
    <s v="PROD32"/>
    <s v="Vitamin C Face Serum"/>
    <x v="2"/>
    <s v="Skincare"/>
    <s v="STORE3"/>
    <x v="0"/>
    <x v="3"/>
    <n v="732.67"/>
    <n v="0.24"/>
    <x v="1"/>
    <b v="1"/>
    <n v="1113.6584"/>
    <n v="1113.6584"/>
  </r>
  <r>
    <s v="SALE894"/>
    <x v="514"/>
    <x v="1"/>
    <s v="CUST1489"/>
    <x v="1"/>
    <x v="1"/>
    <x v="2"/>
    <s v="PROD60"/>
    <s v="Luxury Perfume Spray"/>
    <x v="2"/>
    <s v="Fragrance"/>
    <s v="STORE13"/>
    <x v="3"/>
    <x v="2"/>
    <n v="106.48"/>
    <n v="0.1"/>
    <x v="2"/>
    <b v="1"/>
    <n v="383.32800000000003"/>
    <n v="383.32799999999997"/>
  </r>
  <r>
    <s v="SALE895"/>
    <x v="515"/>
    <x v="2"/>
    <s v="CUST1105"/>
    <x v="1"/>
    <x v="1"/>
    <x v="0"/>
    <s v="PROD57"/>
    <s v="Foam Roller"/>
    <x v="0"/>
    <s v="Fitness"/>
    <s v="STORE3"/>
    <x v="0"/>
    <x v="0"/>
    <n v="38.950000000000003"/>
    <n v="0.28000000000000003"/>
    <x v="0"/>
    <b v="1"/>
    <n v="28.044"/>
    <n v="28.044"/>
  </r>
  <r>
    <s v="SALE896"/>
    <x v="26"/>
    <x v="0"/>
    <s v="CUST1431"/>
    <x v="2"/>
    <x v="0"/>
    <x v="1"/>
    <s v="PROD96"/>
    <s v="Women's Formal Blazer"/>
    <x v="4"/>
    <s v="Outerwear"/>
    <s v="STORE16"/>
    <x v="1"/>
    <x v="0"/>
    <n v="835.17"/>
    <n v="0.02"/>
    <x v="2"/>
    <b v="1"/>
    <n v="818.46659999999997"/>
    <n v="818.46659999999997"/>
  </r>
  <r>
    <s v="SALE897"/>
    <x v="257"/>
    <x v="0"/>
    <s v="CUST1134"/>
    <x v="0"/>
    <x v="0"/>
    <x v="0"/>
    <s v="PROD83"/>
    <s v="Hydrating Face Cleanser"/>
    <x v="2"/>
    <s v="Skincare"/>
    <s v="STORE3"/>
    <x v="0"/>
    <x v="0"/>
    <n v="113.07"/>
    <n v="0.24"/>
    <x v="0"/>
    <b v="1"/>
    <n v="85.933199999999999"/>
    <n v="85.933199999999999"/>
  </r>
  <r>
    <s v="SALE898"/>
    <x v="516"/>
    <x v="2"/>
    <s v="CUST1466"/>
    <x v="2"/>
    <x v="0"/>
    <x v="2"/>
    <s v="PROD94"/>
    <s v="Vitamin E Body Lotion"/>
    <x v="2"/>
    <s v="Skincare"/>
    <s v="STORE12"/>
    <x v="0"/>
    <x v="3"/>
    <n v="451.33"/>
    <n v="0.23"/>
    <x v="2"/>
    <b v="1"/>
    <n v="695.04819999999995"/>
    <n v="695.04819999999995"/>
  </r>
  <r>
    <s v="SALE899"/>
    <x v="441"/>
    <x v="0"/>
    <s v="CUST1372"/>
    <x v="2"/>
    <x v="0"/>
    <x v="3"/>
    <s v="PROD86"/>
    <s v="Kitchen Cutting Board"/>
    <x v="3"/>
    <s v="Kitchen"/>
    <s v="STORE6"/>
    <x v="3"/>
    <x v="1"/>
    <n v="619.80999999999995"/>
    <n v="0.16"/>
    <x v="2"/>
    <b v="1"/>
    <n v="1561.9211999999998"/>
    <n v="1561.9212"/>
  </r>
  <r>
    <s v="SALE900"/>
    <x v="219"/>
    <x v="2"/>
    <s v="CUST1108"/>
    <x v="1"/>
    <x v="0"/>
    <x v="3"/>
    <s v="PROD62"/>
    <s v="Laptop Cooling Pad"/>
    <x v="1"/>
    <s v="Computer"/>
    <s v="STORE7"/>
    <x v="2"/>
    <x v="2"/>
    <n v="46.97"/>
    <n v="0.26"/>
    <x v="1"/>
    <b v="1"/>
    <n v="139.03119999999998"/>
    <n v="139.03120000000001"/>
  </r>
  <r>
    <s v="SALE901"/>
    <x v="517"/>
    <x v="2"/>
    <s v="CUST1184"/>
    <x v="1"/>
    <x v="1"/>
    <x v="2"/>
    <s v="PROD46"/>
    <s v="Men's Winter Jacket"/>
    <x v="4"/>
    <s v="Outerwear"/>
    <s v="STORE2"/>
    <x v="2"/>
    <x v="3"/>
    <n v="71.48"/>
    <n v="0.14000000000000001"/>
    <x v="2"/>
    <b v="1"/>
    <n v="122.9456"/>
    <n v="122.9456"/>
  </r>
  <r>
    <s v="SALE902"/>
    <x v="162"/>
    <x v="2"/>
    <s v="CUST1000"/>
    <x v="0"/>
    <x v="0"/>
    <x v="1"/>
    <s v="PROD56"/>
    <s v="Premium Blanket Throw"/>
    <x v="3"/>
    <s v="Decor"/>
    <s v="STORE19"/>
    <x v="3"/>
    <x v="3"/>
    <n v="404.08"/>
    <n v="7.0000000000000007E-2"/>
    <x v="0"/>
    <b v="1"/>
    <n v="751.58879999999988"/>
    <n v="751.58879999999988"/>
  </r>
  <r>
    <s v="SALE903"/>
    <x v="507"/>
    <x v="0"/>
    <s v="CUST1264"/>
    <x v="2"/>
    <x v="0"/>
    <x v="0"/>
    <s v="PROD17"/>
    <s v="Soccer Training Cone Set"/>
    <x v="0"/>
    <s v="Accessories"/>
    <s v="STORE16"/>
    <x v="1"/>
    <x v="0"/>
    <n v="519.91"/>
    <n v="0.05"/>
    <x v="2"/>
    <b v="1"/>
    <n v="493.91449999999992"/>
    <n v="493.91449999999992"/>
  </r>
  <r>
    <s v="SALE904"/>
    <x v="265"/>
    <x v="2"/>
    <s v="CUST1145"/>
    <x v="1"/>
    <x v="0"/>
    <x v="1"/>
    <s v="PROD48"/>
    <s v="Car Dashboard Phone Holder"/>
    <x v="1"/>
    <s v="Accessories"/>
    <s v="STORE13"/>
    <x v="3"/>
    <x v="1"/>
    <n v="566.16"/>
    <n v="0.05"/>
    <x v="1"/>
    <b v="1"/>
    <n v="1613.556"/>
    <n v="1613.556"/>
  </r>
  <r>
    <s v="SALE905"/>
    <x v="518"/>
    <x v="2"/>
    <s v="CUST1392"/>
    <x v="1"/>
    <x v="0"/>
    <x v="0"/>
    <s v="PROD52"/>
    <s v="Rugby Ball"/>
    <x v="0"/>
    <s v="Team Sports"/>
    <s v="STORE10"/>
    <x v="3"/>
    <x v="3"/>
    <n v="295.12"/>
    <n v="0.09"/>
    <x v="2"/>
    <b v="1"/>
    <n v="537.11840000000007"/>
    <n v="537.11840000000007"/>
  </r>
  <r>
    <s v="SALE906"/>
    <x v="84"/>
    <x v="2"/>
    <s v="CUST1109"/>
    <x v="2"/>
    <x v="0"/>
    <x v="2"/>
    <s v="PROD34"/>
    <s v="Gaming Mechanical Keyboard"/>
    <x v="1"/>
    <s v="Computer"/>
    <s v="STORE11"/>
    <x v="2"/>
    <x v="3"/>
    <n v="414.18"/>
    <n v="0.25"/>
    <x v="1"/>
    <b v="1"/>
    <n v="621.27"/>
    <n v="621.27"/>
  </r>
  <r>
    <s v="SALE907"/>
    <x v="147"/>
    <x v="2"/>
    <s v="CUST1268"/>
    <x v="0"/>
    <x v="1"/>
    <x v="3"/>
    <s v="PROD58"/>
    <s v="Womens Cotton Scarf"/>
    <x v="4"/>
    <s v="Accessories"/>
    <s v="STORE8"/>
    <x v="1"/>
    <x v="3"/>
    <n v="433.75"/>
    <n v="0"/>
    <x v="0"/>
    <b v="1"/>
    <n v="867.5"/>
    <n v="867.5"/>
  </r>
  <r>
    <s v="SALE908"/>
    <x v="519"/>
    <x v="1"/>
    <s v="CUST1281"/>
    <x v="0"/>
    <x v="0"/>
    <x v="1"/>
    <s v="PROD85"/>
    <s v="Women's Beanie Hat"/>
    <x v="4"/>
    <s v="Accessories"/>
    <s v="STORE19"/>
    <x v="3"/>
    <x v="1"/>
    <n v="104.33"/>
    <n v="0.13"/>
    <x v="2"/>
    <b v="1"/>
    <n v="272.30130000000003"/>
    <n v="272.30130000000003"/>
  </r>
  <r>
    <s v="SALE909"/>
    <x v="471"/>
    <x v="0"/>
    <s v="CUST1464"/>
    <x v="1"/>
    <x v="1"/>
    <x v="1"/>
    <s v="PROD4"/>
    <s v="Women's Yoga Pants"/>
    <x v="4"/>
    <s v="Bottoms"/>
    <s v="STORE12"/>
    <x v="0"/>
    <x v="0"/>
    <n v="221.7"/>
    <n v="0.04"/>
    <x v="0"/>
    <b v="1"/>
    <n v="212.83199999999999"/>
    <n v="212.83199999999999"/>
  </r>
  <r>
    <s v="SALE910"/>
    <x v="254"/>
    <x v="2"/>
    <s v="CUST1211"/>
    <x v="2"/>
    <x v="1"/>
    <x v="2"/>
    <s v="PROD67"/>
    <s v="Smart LED Light Strip"/>
    <x v="1"/>
    <s v="Accessories"/>
    <s v="STORE5"/>
    <x v="0"/>
    <x v="3"/>
    <n v="491.26"/>
    <n v="0.14000000000000001"/>
    <x v="2"/>
    <b v="1"/>
    <n v="844.96719999999993"/>
    <n v="844.96719999999993"/>
  </r>
  <r>
    <s v="SALE911"/>
    <x v="520"/>
    <x v="0"/>
    <s v="CUST1181"/>
    <x v="0"/>
    <x v="0"/>
    <x v="3"/>
    <s v="PROD37"/>
    <s v="Men's Casual Sneakers"/>
    <x v="4"/>
    <s v="Footwear"/>
    <s v="STORE8"/>
    <x v="1"/>
    <x v="2"/>
    <n v="923.14"/>
    <n v="0.15"/>
    <x v="0"/>
    <b v="1"/>
    <n v="3138.6759999999999"/>
    <n v="3138.6759999999999"/>
  </r>
  <r>
    <s v="SALE912"/>
    <x v="450"/>
    <x v="0"/>
    <s v="CUST1193"/>
    <x v="1"/>
    <x v="0"/>
    <x v="0"/>
    <s v="PROD64"/>
    <s v="Matte Lipstick Set"/>
    <x v="2"/>
    <s v="Makeup"/>
    <s v="STORE7"/>
    <x v="2"/>
    <x v="3"/>
    <n v="747.65"/>
    <n v="0.08"/>
    <x v="0"/>
    <b v="1"/>
    <n v="1375.6759999999999"/>
    <n v="1375.6759999999999"/>
  </r>
  <r>
    <s v="SALE913"/>
    <x v="218"/>
    <x v="2"/>
    <s v="CUST1109"/>
    <x v="2"/>
    <x v="0"/>
    <x v="2"/>
    <s v="PROD42"/>
    <s v="Smart Home WiFi Camera"/>
    <x v="1"/>
    <s v="Accessories"/>
    <s v="STORE7"/>
    <x v="2"/>
    <x v="1"/>
    <n v="94.55"/>
    <n v="0.13"/>
    <x v="2"/>
    <b v="1"/>
    <n v="246.77549999999997"/>
    <n v="246.77549999999999"/>
  </r>
  <r>
    <s v="SALE914"/>
    <x v="238"/>
    <x v="0"/>
    <s v="CUST1039"/>
    <x v="0"/>
    <x v="1"/>
    <x v="0"/>
    <s v="PROD15"/>
    <s v="4K Home Projector"/>
    <x v="1"/>
    <s v="Appliances"/>
    <s v="STORE19"/>
    <x v="3"/>
    <x v="1"/>
    <n v="620.12"/>
    <n v="0.06"/>
    <x v="0"/>
    <b v="1"/>
    <n v="1748.7384"/>
    <n v="1748.7384"/>
  </r>
  <r>
    <s v="SALE915"/>
    <x v="9"/>
    <x v="2"/>
    <s v="CUST1486"/>
    <x v="2"/>
    <x v="1"/>
    <x v="3"/>
    <s v="PROD69"/>
    <s v="Men's Sports Shorts"/>
    <x v="4"/>
    <s v="Bottoms"/>
    <s v="STORE6"/>
    <x v="3"/>
    <x v="3"/>
    <n v="354.09"/>
    <n v="0.12"/>
    <x v="2"/>
    <b v="1"/>
    <n v="623.19839999999999"/>
    <n v="623.19839999999999"/>
  </r>
  <r>
    <s v="SALE916"/>
    <x v="284"/>
    <x v="0"/>
    <s v="CUST1130"/>
    <x v="2"/>
    <x v="0"/>
    <x v="1"/>
    <s v="PROD53"/>
    <s v="Men's Track Pants"/>
    <x v="4"/>
    <s v="Bottoms"/>
    <s v="STORE5"/>
    <x v="0"/>
    <x v="1"/>
    <n v="214.94"/>
    <n v="0.22"/>
    <x v="2"/>
    <b v="1"/>
    <n v="502.95959999999997"/>
    <n v="502.95960000000002"/>
  </r>
  <r>
    <s v="SALE917"/>
    <x v="504"/>
    <x v="0"/>
    <s v="CUST1199"/>
    <x v="1"/>
    <x v="0"/>
    <x v="3"/>
    <s v="PROD9"/>
    <s v="Adjustable Dumbbell Set"/>
    <x v="0"/>
    <s v="Fitness"/>
    <s v="STORE12"/>
    <x v="0"/>
    <x v="3"/>
    <n v="309.77999999999997"/>
    <n v="0.16"/>
    <x v="0"/>
    <b v="1"/>
    <n v="520.43039999999996"/>
    <n v="520.43039999999996"/>
  </r>
  <r>
    <s v="SALE918"/>
    <x v="185"/>
    <x v="2"/>
    <s v="CUST1069"/>
    <x v="2"/>
    <x v="1"/>
    <x v="1"/>
    <s v="PROD13"/>
    <s v="USB-C Fast Charger"/>
    <x v="1"/>
    <s v="Accessories"/>
    <s v="STORE3"/>
    <x v="0"/>
    <x v="3"/>
    <n v="183.85"/>
    <n v="0.14000000000000001"/>
    <x v="1"/>
    <b v="1"/>
    <n v="316.22199999999998"/>
    <n v="316.22199999999998"/>
  </r>
  <r>
    <s v="SALE919"/>
    <x v="353"/>
    <x v="1"/>
    <s v="CUST1409"/>
    <x v="0"/>
    <x v="0"/>
    <x v="0"/>
    <s v="PROD70"/>
    <s v="Kitchen Storage Rack"/>
    <x v="3"/>
    <s v="Storage"/>
    <s v="STORE0"/>
    <x v="3"/>
    <x v="0"/>
    <n v="550.05999999999995"/>
    <n v="0.01"/>
    <x v="0"/>
    <b v="1"/>
    <n v="544.55939999999998"/>
    <n v="544.55939999999998"/>
  </r>
  <r>
    <s v="SALE920"/>
    <x v="205"/>
    <x v="1"/>
    <s v="CUST1029"/>
    <x v="0"/>
    <x v="1"/>
    <x v="2"/>
    <s v="PROD79"/>
    <s v="Decorative Lamp Shade"/>
    <x v="3"/>
    <s v="Lighting"/>
    <s v="STORE4"/>
    <x v="2"/>
    <x v="3"/>
    <n v="32.19"/>
    <n v="0.13"/>
    <x v="2"/>
    <b v="1"/>
    <n v="56.010599999999997"/>
    <n v="56.010599999999997"/>
  </r>
  <r>
    <s v="SALE921"/>
    <x v="325"/>
    <x v="0"/>
    <s v="CUST1138"/>
    <x v="1"/>
    <x v="0"/>
    <x v="0"/>
    <s v="PROD33"/>
    <s v="Modern Wall Clock"/>
    <x v="3"/>
    <s v="Decor"/>
    <s v="STORE19"/>
    <x v="3"/>
    <x v="3"/>
    <n v="892.06"/>
    <n v="0.08"/>
    <x v="0"/>
    <b v="1"/>
    <n v="1641.3904"/>
    <n v="1641.3904"/>
  </r>
  <r>
    <s v="SALE922"/>
    <x v="312"/>
    <x v="0"/>
    <s v="CUST1472"/>
    <x v="1"/>
    <x v="0"/>
    <x v="2"/>
    <s v="PROD58"/>
    <s v="Womens Cotton Scarf"/>
    <x v="4"/>
    <s v="Accessories"/>
    <s v="STORE6"/>
    <x v="3"/>
    <x v="0"/>
    <n v="127.47"/>
    <n v="0.16"/>
    <x v="2"/>
    <b v="1"/>
    <n v="107.0748"/>
    <n v="107.0748"/>
  </r>
  <r>
    <s v="SALE923"/>
    <x v="428"/>
    <x v="2"/>
    <s v="CUST1388"/>
    <x v="0"/>
    <x v="0"/>
    <x v="1"/>
    <s v="PROD77"/>
    <s v="WiFi Mesh Router"/>
    <x v="1"/>
    <s v="Appliances"/>
    <s v="STORE14"/>
    <x v="2"/>
    <x v="1"/>
    <n v="212.87"/>
    <n v="0.18"/>
    <x v="0"/>
    <b v="1"/>
    <n v="523.66020000000003"/>
    <n v="523.66020000000003"/>
  </r>
  <r>
    <s v="SALE924"/>
    <x v="521"/>
    <x v="0"/>
    <s v="CUST1181"/>
    <x v="0"/>
    <x v="0"/>
    <x v="3"/>
    <s v="PROD81"/>
    <s v="Badminton Racket Set"/>
    <x v="0"/>
    <s v="Equipment"/>
    <s v="STORE7"/>
    <x v="2"/>
    <x v="0"/>
    <n v="26.37"/>
    <n v="0.3"/>
    <x v="2"/>
    <b v="1"/>
    <n v="18.459"/>
    <n v="18.459"/>
  </r>
  <r>
    <s v="SALE925"/>
    <x v="505"/>
    <x v="2"/>
    <s v="CUST1466"/>
    <x v="2"/>
    <x v="0"/>
    <x v="2"/>
    <s v="PROD34"/>
    <s v="Gaming Mechanical Keyboard"/>
    <x v="1"/>
    <s v="Computer"/>
    <s v="STORE18"/>
    <x v="3"/>
    <x v="2"/>
    <n v="953.98"/>
    <n v="0.16"/>
    <x v="0"/>
    <b v="1"/>
    <n v="3205.3728000000001"/>
    <n v="3205.3728000000001"/>
  </r>
  <r>
    <s v="SALE926"/>
    <x v="19"/>
    <x v="0"/>
    <s v="CUST1215"/>
    <x v="1"/>
    <x v="1"/>
    <x v="0"/>
    <s v="PROD67"/>
    <s v="Smart LED Light Strip"/>
    <x v="1"/>
    <s v="Accessories"/>
    <s v="STORE19"/>
    <x v="3"/>
    <x v="1"/>
    <n v="968.88"/>
    <n v="0.15"/>
    <x v="0"/>
    <b v="1"/>
    <n v="2470.6439999999998"/>
    <n v="2470.6439999999998"/>
  </r>
  <r>
    <s v="SALE927"/>
    <x v="126"/>
    <x v="2"/>
    <s v="CUST1187"/>
    <x v="0"/>
    <x v="1"/>
    <x v="1"/>
    <s v="PROD76"/>
    <s v="Wireless Mouse"/>
    <x v="1"/>
    <s v="Computer"/>
    <s v="STORE18"/>
    <x v="3"/>
    <x v="0"/>
    <n v="533.04999999999995"/>
    <n v="0.11"/>
    <x v="1"/>
    <b v="1"/>
    <n v="474.41449999999998"/>
    <n v="474.41449999999998"/>
  </r>
  <r>
    <s v="SALE928"/>
    <x v="17"/>
    <x v="0"/>
    <s v="CUST1381"/>
    <x v="1"/>
    <x v="0"/>
    <x v="2"/>
    <s v="PROD81"/>
    <s v="Badminton Racket Set"/>
    <x v="0"/>
    <s v="Equipment"/>
    <s v="STORE1"/>
    <x v="0"/>
    <x v="1"/>
    <n v="138.86000000000001"/>
    <n v="0.11"/>
    <x v="1"/>
    <b v="1"/>
    <n v="370.75620000000004"/>
    <n v="370.75619999999998"/>
  </r>
  <r>
    <s v="SALE929"/>
    <x v="52"/>
    <x v="2"/>
    <s v="CUST1159"/>
    <x v="1"/>
    <x v="1"/>
    <x v="0"/>
    <s v="PROD22"/>
    <s v="Carbon Fiber Tennis Racket"/>
    <x v="0"/>
    <s v="Equipment"/>
    <s v="STORE0"/>
    <x v="3"/>
    <x v="0"/>
    <n v="588.92999999999995"/>
    <n v="0.03"/>
    <x v="2"/>
    <b v="1"/>
    <n v="571.26209999999992"/>
    <n v="571.26209999999992"/>
  </r>
  <r>
    <s v="SALE930"/>
    <x v="278"/>
    <x v="0"/>
    <s v="CUST1403"/>
    <x v="1"/>
    <x v="0"/>
    <x v="3"/>
    <s v="PROD52"/>
    <s v="Rugby Ball"/>
    <x v="0"/>
    <s v="Team Sports"/>
    <s v="STORE5"/>
    <x v="0"/>
    <x v="3"/>
    <n v="576.83000000000004"/>
    <n v="0.19"/>
    <x v="1"/>
    <b v="1"/>
    <n v="934.46460000000013"/>
    <n v="934.46460000000013"/>
  </r>
  <r>
    <s v="SALE931"/>
    <x v="214"/>
    <x v="0"/>
    <s v="CUST1323"/>
    <x v="0"/>
    <x v="1"/>
    <x v="1"/>
    <s v="PROD65"/>
    <s v="Adjustable Dumbbells 20kg"/>
    <x v="0"/>
    <s v="Fitness"/>
    <s v="STORE12"/>
    <x v="0"/>
    <x v="0"/>
    <n v="681.3"/>
    <n v="0.05"/>
    <x v="0"/>
    <b v="1"/>
    <n v="647.2349999999999"/>
    <n v="647.2349999999999"/>
  </r>
  <r>
    <s v="SALE932"/>
    <x v="522"/>
    <x v="0"/>
    <s v="CUST1457"/>
    <x v="0"/>
    <x v="0"/>
    <x v="1"/>
    <s v="PROD25"/>
    <s v="Women's Scarf Set"/>
    <x v="4"/>
    <s v="Accessories"/>
    <s v="STORE15"/>
    <x v="0"/>
    <x v="1"/>
    <n v="504.97"/>
    <n v="0.3"/>
    <x v="0"/>
    <b v="1"/>
    <n v="1060.4369999999999"/>
    <n v="1060.4369999999999"/>
  </r>
  <r>
    <s v="SALE933"/>
    <x v="523"/>
    <x v="0"/>
    <s v="CUST1060"/>
    <x v="2"/>
    <x v="1"/>
    <x v="2"/>
    <s v="PROD38"/>
    <s v="Sports Water Hydration Pack"/>
    <x v="0"/>
    <s v="Outdoor"/>
    <s v="STORE11"/>
    <x v="2"/>
    <x v="1"/>
    <n v="649.78"/>
    <n v="0.1"/>
    <x v="1"/>
    <b v="1"/>
    <n v="1754.4059999999999"/>
    <n v="1754.4059999999999"/>
  </r>
  <r>
    <s v="SALE934"/>
    <x v="524"/>
    <x v="0"/>
    <s v="CUST1245"/>
    <x v="0"/>
    <x v="1"/>
    <x v="1"/>
    <s v="PROD39"/>
    <s v="Portable Power Bank"/>
    <x v="1"/>
    <s v="Mobile"/>
    <s v="STORE9"/>
    <x v="2"/>
    <x v="3"/>
    <n v="986.73"/>
    <n v="0.05"/>
    <x v="1"/>
    <b v="1"/>
    <n v="1874.787"/>
    <n v="1874.787"/>
  </r>
  <r>
    <s v="SALE935"/>
    <x v="163"/>
    <x v="1"/>
    <s v="CUST1119"/>
    <x v="1"/>
    <x v="0"/>
    <x v="3"/>
    <s v="PROD13"/>
    <s v="USB-C Fast Charger"/>
    <x v="1"/>
    <s v="Accessories"/>
    <s v="STORE15"/>
    <x v="0"/>
    <x v="3"/>
    <n v="65.44"/>
    <n v="0.05"/>
    <x v="1"/>
    <b v="1"/>
    <n v="124.33599999999998"/>
    <n v="124.336"/>
  </r>
  <r>
    <s v="SALE936"/>
    <x v="317"/>
    <x v="2"/>
    <s v="CUST1383"/>
    <x v="2"/>
    <x v="1"/>
    <x v="2"/>
    <s v="PROD63"/>
    <s v="Organic Sunscreen Lotion"/>
    <x v="2"/>
    <s v="Skincare"/>
    <s v="STORE13"/>
    <x v="3"/>
    <x v="1"/>
    <n v="953.74"/>
    <n v="0.04"/>
    <x v="0"/>
    <b v="1"/>
    <n v="2746.7712000000001"/>
    <n v="2746.7712000000001"/>
  </r>
  <r>
    <s v="SALE937"/>
    <x v="525"/>
    <x v="0"/>
    <s v="CUST1067"/>
    <x v="0"/>
    <x v="0"/>
    <x v="2"/>
    <s v="PROD76"/>
    <s v="Wireless Mouse"/>
    <x v="1"/>
    <s v="Computer"/>
    <s v="STORE10"/>
    <x v="3"/>
    <x v="1"/>
    <n v="904.48"/>
    <n v="0.21"/>
    <x v="1"/>
    <b v="1"/>
    <n v="2143.6176"/>
    <n v="2143.6176"/>
  </r>
  <r>
    <s v="SALE938"/>
    <x v="526"/>
    <x v="0"/>
    <s v="CUST1492"/>
    <x v="0"/>
    <x v="1"/>
    <x v="1"/>
    <s v="PROD62"/>
    <s v="Laptop Cooling Pad"/>
    <x v="1"/>
    <s v="Computer"/>
    <s v="STORE15"/>
    <x v="0"/>
    <x v="1"/>
    <n v="920.82"/>
    <n v="0.1"/>
    <x v="1"/>
    <b v="1"/>
    <n v="2486.2139999999999"/>
    <n v="2486.2139999999999"/>
  </r>
  <r>
    <s v="SALE939"/>
    <x v="225"/>
    <x v="2"/>
    <s v="CUST1305"/>
    <x v="0"/>
    <x v="0"/>
    <x v="1"/>
    <s v="PROD28"/>
    <s v="Sports Stopwatch Timer"/>
    <x v="0"/>
    <s v="Accessories"/>
    <s v="STORE1"/>
    <x v="0"/>
    <x v="0"/>
    <n v="182.28"/>
    <n v="0.15"/>
    <x v="2"/>
    <b v="1"/>
    <n v="154.93799999999999"/>
    <n v="154.93799999999999"/>
  </r>
  <r>
    <s v="SALE940"/>
    <x v="200"/>
    <x v="2"/>
    <s v="CUST1445"/>
    <x v="1"/>
    <x v="1"/>
    <x v="1"/>
    <s v="PROD31"/>
    <s v="Basketball"/>
    <x v="0"/>
    <s v="Team Sports"/>
    <s v="STORE16"/>
    <x v="1"/>
    <x v="1"/>
    <n v="938.68"/>
    <n v="0.14000000000000001"/>
    <x v="0"/>
    <b v="1"/>
    <n v="2421.7943999999998"/>
    <n v="2421.7944000000002"/>
  </r>
  <r>
    <s v="SALE941"/>
    <x v="527"/>
    <x v="2"/>
    <s v="CUST1081"/>
    <x v="1"/>
    <x v="1"/>
    <x v="1"/>
    <s v="PROD91"/>
    <s v="Women's High Heels"/>
    <x v="4"/>
    <s v="Footwear"/>
    <s v="STORE5"/>
    <x v="0"/>
    <x v="1"/>
    <n v="219.96"/>
    <n v="0.18"/>
    <x v="1"/>
    <b v="1"/>
    <n v="541.10160000000008"/>
    <n v="541.10160000000008"/>
  </r>
  <r>
    <s v="SALE942"/>
    <x v="484"/>
    <x v="2"/>
    <s v="CUST1473"/>
    <x v="0"/>
    <x v="0"/>
    <x v="3"/>
    <s v="PROD71"/>
    <s v="Hair Repair Oil Treatment"/>
    <x v="2"/>
    <s v="Haircare"/>
    <s v="STORE18"/>
    <x v="3"/>
    <x v="1"/>
    <n v="385.74"/>
    <n v="0.27"/>
    <x v="0"/>
    <b v="1"/>
    <n v="844.77059999999994"/>
    <n v="844.77059999999994"/>
  </r>
  <r>
    <s v="SALE943"/>
    <x v="264"/>
    <x v="0"/>
    <s v="CUST1453"/>
    <x v="0"/>
    <x v="1"/>
    <x v="1"/>
    <s v="PROD81"/>
    <s v="Badminton Racket Set"/>
    <x v="0"/>
    <s v="Equipment"/>
    <s v="STORE18"/>
    <x v="3"/>
    <x v="3"/>
    <n v="830.94"/>
    <n v="0.28000000000000003"/>
    <x v="1"/>
    <b v="1"/>
    <n v="1196.5536"/>
    <n v="1196.5536"/>
  </r>
  <r>
    <s v="SALE944"/>
    <x v="112"/>
    <x v="0"/>
    <s v="CUST1383"/>
    <x v="2"/>
    <x v="1"/>
    <x v="2"/>
    <s v="PROD3"/>
    <s v="Men's Running Jacket"/>
    <x v="4"/>
    <s v="Outerwear"/>
    <s v="STORE9"/>
    <x v="2"/>
    <x v="1"/>
    <n v="462.75"/>
    <n v="0.22"/>
    <x v="1"/>
    <b v="1"/>
    <n v="1082.835"/>
    <n v="1082.835"/>
  </r>
  <r>
    <s v="SALE945"/>
    <x v="528"/>
    <x v="0"/>
    <s v="CUST1067"/>
    <x v="0"/>
    <x v="0"/>
    <x v="2"/>
    <s v="PROD14"/>
    <s v="Decorative Wall Mirror"/>
    <x v="3"/>
    <s v="Decor"/>
    <s v="STORE15"/>
    <x v="0"/>
    <x v="2"/>
    <n v="973.9"/>
    <n v="0.02"/>
    <x v="2"/>
    <b v="1"/>
    <n v="3817.6879999999996"/>
    <n v="3817.6880000000001"/>
  </r>
  <r>
    <s v="SALE946"/>
    <x v="167"/>
    <x v="0"/>
    <s v="CUST1140"/>
    <x v="0"/>
    <x v="1"/>
    <x v="0"/>
    <s v="PROD35"/>
    <s v="Bedroom Table Lamp"/>
    <x v="3"/>
    <s v="Lighting"/>
    <s v="STORE1"/>
    <x v="0"/>
    <x v="3"/>
    <n v="157.18"/>
    <n v="0.15"/>
    <x v="0"/>
    <b v="1"/>
    <n v="267.20600000000002"/>
    <n v="267.20600000000002"/>
  </r>
  <r>
    <s v="SALE947"/>
    <x v="529"/>
    <x v="0"/>
    <s v="CUST1013"/>
    <x v="1"/>
    <x v="1"/>
    <x v="2"/>
    <s v="PROD73"/>
    <s v="Shin Guards – Adult"/>
    <x v="0"/>
    <s v="Team Sports"/>
    <s v="STORE13"/>
    <x v="3"/>
    <x v="1"/>
    <n v="239.57"/>
    <n v="0.16"/>
    <x v="0"/>
    <b v="1"/>
    <n v="603.71640000000002"/>
    <n v="603.71640000000002"/>
  </r>
  <r>
    <s v="SALE948"/>
    <x v="530"/>
    <x v="0"/>
    <s v="CUST1327"/>
    <x v="0"/>
    <x v="1"/>
    <x v="3"/>
    <s v="PROD9"/>
    <s v="Adjustable Dumbbell Set"/>
    <x v="0"/>
    <s v="Fitness"/>
    <s v="STORE16"/>
    <x v="1"/>
    <x v="2"/>
    <n v="583.21"/>
    <n v="0.2"/>
    <x v="0"/>
    <b v="1"/>
    <n v="1866.2720000000002"/>
    <n v="1866.2719999999999"/>
  </r>
  <r>
    <s v="SALE949"/>
    <x v="531"/>
    <x v="0"/>
    <s v="CUST1413"/>
    <x v="0"/>
    <x v="1"/>
    <x v="3"/>
    <s v="PROD81"/>
    <s v="Badminton Racket Set"/>
    <x v="0"/>
    <s v="Equipment"/>
    <s v="STORE8"/>
    <x v="1"/>
    <x v="1"/>
    <n v="758.75"/>
    <n v="0.27"/>
    <x v="1"/>
    <b v="1"/>
    <n v="1661.6624999999999"/>
    <n v="1661.6624999999999"/>
  </r>
  <r>
    <s v="SALE950"/>
    <x v="50"/>
    <x v="2"/>
    <s v="CUST1309"/>
    <x v="1"/>
    <x v="1"/>
    <x v="3"/>
    <s v="PROD61"/>
    <s v="Tennis Ball 3-Pack"/>
    <x v="0"/>
    <s v="Equipment"/>
    <s v="STORE5"/>
    <x v="0"/>
    <x v="2"/>
    <n v="372.42"/>
    <n v="0.19"/>
    <x v="0"/>
    <b v="1"/>
    <n v="1206.6408000000001"/>
    <n v="1206.6407999999999"/>
  </r>
  <r>
    <s v="SALE951"/>
    <x v="322"/>
    <x v="2"/>
    <s v="CUST1154"/>
    <x v="1"/>
    <x v="1"/>
    <x v="0"/>
    <s v="PROD63"/>
    <s v="Organic Sunscreen Lotion"/>
    <x v="2"/>
    <s v="Skincare"/>
    <s v="STORE19"/>
    <x v="3"/>
    <x v="2"/>
    <n v="286.27999999999997"/>
    <n v="0.28000000000000003"/>
    <x v="1"/>
    <b v="1"/>
    <n v="824.48639999999989"/>
    <n v="824.48639999999989"/>
  </r>
  <r>
    <s v="SALE952"/>
    <x v="261"/>
    <x v="2"/>
    <s v="CUST1279"/>
    <x v="2"/>
    <x v="1"/>
    <x v="3"/>
    <s v="PROD73"/>
    <s v="Shin Guards – Adult"/>
    <x v="0"/>
    <s v="Team Sports"/>
    <s v="STORE11"/>
    <x v="2"/>
    <x v="1"/>
    <n v="488.37"/>
    <n v="0.27"/>
    <x v="2"/>
    <b v="1"/>
    <n v="1069.5303000000001"/>
    <n v="1069.5302999999999"/>
  </r>
  <r>
    <s v="SALE953"/>
    <x v="532"/>
    <x v="0"/>
    <s v="CUST1469"/>
    <x v="2"/>
    <x v="0"/>
    <x v="0"/>
    <s v="PROD87"/>
    <s v="LED Bedside Lamp"/>
    <x v="3"/>
    <s v="Lighting"/>
    <s v="STORE8"/>
    <x v="1"/>
    <x v="1"/>
    <n v="662.82"/>
    <n v="0.01"/>
    <x v="2"/>
    <b v="1"/>
    <n v="1968.5753999999999"/>
    <n v="1968.5753999999999"/>
  </r>
  <r>
    <s v="SALE954"/>
    <x v="502"/>
    <x v="0"/>
    <s v="CUST1497"/>
    <x v="1"/>
    <x v="1"/>
    <x v="0"/>
    <s v="PROD6"/>
    <s v="Herbal Face Moisturizer"/>
    <x v="2"/>
    <s v="Skincare"/>
    <s v="STORE16"/>
    <x v="1"/>
    <x v="3"/>
    <n v="824.34"/>
    <n v="0.1"/>
    <x v="2"/>
    <b v="1"/>
    <n v="1483.8120000000001"/>
    <n v="1483.8119999999999"/>
  </r>
  <r>
    <s v="SALE955"/>
    <x v="209"/>
    <x v="0"/>
    <s v="CUST1113"/>
    <x v="0"/>
    <x v="0"/>
    <x v="0"/>
    <s v="PROD59"/>
    <s v="Men's Hair Styling Gel"/>
    <x v="2"/>
    <s v="Haircare"/>
    <s v="STORE8"/>
    <x v="1"/>
    <x v="0"/>
    <n v="437.12"/>
    <n v="0.21"/>
    <x v="0"/>
    <b v="1"/>
    <n v="345.32480000000004"/>
    <n v="345.32479999999998"/>
  </r>
  <r>
    <s v="SALE956"/>
    <x v="40"/>
    <x v="0"/>
    <s v="CUST1357"/>
    <x v="1"/>
    <x v="0"/>
    <x v="0"/>
    <s v="PROD88"/>
    <s v="Sports Wrist Sweatbands"/>
    <x v="0"/>
    <s v="Accessories"/>
    <s v="STORE6"/>
    <x v="3"/>
    <x v="1"/>
    <n v="23.37"/>
    <n v="0.15"/>
    <x v="1"/>
    <b v="1"/>
    <n v="59.593499999999999"/>
    <n v="59.593499999999999"/>
  </r>
  <r>
    <s v="SALE957"/>
    <x v="533"/>
    <x v="2"/>
    <s v="CUST1187"/>
    <x v="0"/>
    <x v="1"/>
    <x v="1"/>
    <s v="PROD36"/>
    <s v="Women's Summer Dress"/>
    <x v="4"/>
    <s v="Tops"/>
    <s v="STORE8"/>
    <x v="1"/>
    <x v="0"/>
    <n v="579.69000000000005"/>
    <n v="0.02"/>
    <x v="0"/>
    <b v="1"/>
    <n v="568.09620000000007"/>
    <n v="568.09620000000007"/>
  </r>
  <r>
    <s v="SALE958"/>
    <x v="236"/>
    <x v="0"/>
    <s v="CUST1430"/>
    <x v="1"/>
    <x v="1"/>
    <x v="0"/>
    <s v="PROD78"/>
    <s v="Essential Oil Diffuser"/>
    <x v="3"/>
    <s v="Decor"/>
    <s v="STORE14"/>
    <x v="2"/>
    <x v="1"/>
    <n v="240.51"/>
    <n v="7.0000000000000007E-2"/>
    <x v="0"/>
    <b v="1"/>
    <n v="671.02289999999994"/>
    <n v="671.02289999999994"/>
  </r>
  <r>
    <s v="SALE959"/>
    <x v="534"/>
    <x v="2"/>
    <s v="CUST1382"/>
    <x v="2"/>
    <x v="1"/>
    <x v="0"/>
    <s v="PROD25"/>
    <s v="Women's Scarf Set"/>
    <x v="4"/>
    <s v="Accessories"/>
    <s v="STORE14"/>
    <x v="2"/>
    <x v="3"/>
    <n v="855.4"/>
    <n v="0.08"/>
    <x v="2"/>
    <b v="1"/>
    <n v="1573.9359999999999"/>
    <n v="1573.9359999999999"/>
  </r>
  <r>
    <s v="SALE960"/>
    <x v="174"/>
    <x v="1"/>
    <s v="CUST1007"/>
    <x v="2"/>
    <x v="1"/>
    <x v="3"/>
    <s v="PROD90"/>
    <s v="Gaming Mouse Pad XL"/>
    <x v="1"/>
    <s v="Accessories"/>
    <s v="STORE7"/>
    <x v="2"/>
    <x v="0"/>
    <n v="537.26"/>
    <n v="0.09"/>
    <x v="0"/>
    <b v="1"/>
    <n v="488.90660000000003"/>
    <n v="488.90660000000003"/>
  </r>
  <r>
    <s v="SALE961"/>
    <x v="17"/>
    <x v="0"/>
    <s v="CUST1384"/>
    <x v="0"/>
    <x v="1"/>
    <x v="3"/>
    <s v="PROD51"/>
    <s v="HDMI Cable – 2m"/>
    <x v="1"/>
    <s v="Accessories"/>
    <s v="STORE10"/>
    <x v="3"/>
    <x v="1"/>
    <n v="918.26"/>
    <n v="0.17"/>
    <x v="2"/>
    <b v="1"/>
    <n v="2286.4673999999995"/>
    <n v="2286.4674"/>
  </r>
  <r>
    <s v="SALE962"/>
    <x v="469"/>
    <x v="0"/>
    <s v="CUST1095"/>
    <x v="0"/>
    <x v="1"/>
    <x v="1"/>
    <s v="PROD6"/>
    <s v="Herbal Face Moisturizer"/>
    <x v="2"/>
    <s v="Skincare"/>
    <s v="STORE9"/>
    <x v="2"/>
    <x v="2"/>
    <n v="579.70000000000005"/>
    <n v="0.18"/>
    <x v="1"/>
    <b v="1"/>
    <n v="1901.4160000000004"/>
    <n v="1901.4159999999999"/>
  </r>
  <r>
    <s v="SALE963"/>
    <x v="27"/>
    <x v="2"/>
    <s v="CUST1145"/>
    <x v="1"/>
    <x v="0"/>
    <x v="1"/>
    <s v="PROD43"/>
    <s v="USB External Hard Drive"/>
    <x v="1"/>
    <s v="Computer"/>
    <s v="STORE6"/>
    <x v="3"/>
    <x v="0"/>
    <n v="824.32"/>
    <n v="0.18"/>
    <x v="0"/>
    <b v="1"/>
    <n v="675.94240000000013"/>
    <n v="675.94240000000013"/>
  </r>
  <r>
    <s v="SALE964"/>
    <x v="535"/>
    <x v="2"/>
    <s v="CUST1109"/>
    <x v="2"/>
    <x v="0"/>
    <x v="2"/>
    <s v="PROD46"/>
    <s v="Men's Winter Jacket"/>
    <x v="4"/>
    <s v="Outerwear"/>
    <s v="STORE15"/>
    <x v="0"/>
    <x v="2"/>
    <n v="614.99"/>
    <n v="0.16"/>
    <x v="1"/>
    <b v="1"/>
    <n v="2066.3663999999999"/>
    <n v="2066.3663999999999"/>
  </r>
  <r>
    <s v="SALE965"/>
    <x v="536"/>
    <x v="2"/>
    <s v="CUST1128"/>
    <x v="1"/>
    <x v="0"/>
    <x v="2"/>
    <s v="PROD62"/>
    <s v="Laptop Cooling Pad"/>
    <x v="1"/>
    <s v="Computer"/>
    <s v="STORE0"/>
    <x v="3"/>
    <x v="2"/>
    <n v="189.21"/>
    <n v="0.06"/>
    <x v="2"/>
    <b v="1"/>
    <n v="711.42959999999994"/>
    <n v="711.42959999999994"/>
  </r>
  <r>
    <s v="SALE966"/>
    <x v="434"/>
    <x v="0"/>
    <s v="CUST1154"/>
    <x v="1"/>
    <x v="1"/>
    <x v="0"/>
    <s v="PROD62"/>
    <s v="Laptop Cooling Pad"/>
    <x v="1"/>
    <s v="Computer"/>
    <s v="STORE14"/>
    <x v="2"/>
    <x v="3"/>
    <n v="233.33"/>
    <n v="0.05"/>
    <x v="0"/>
    <b v="1"/>
    <n v="443.327"/>
    <n v="443.327"/>
  </r>
  <r>
    <s v="SALE967"/>
    <x v="454"/>
    <x v="2"/>
    <s v="CUST1248"/>
    <x v="2"/>
    <x v="0"/>
    <x v="0"/>
    <s v="PROD39"/>
    <s v="Portable Power Bank"/>
    <x v="1"/>
    <s v="Mobile"/>
    <s v="STORE18"/>
    <x v="3"/>
    <x v="1"/>
    <n v="529.89"/>
    <n v="0.21"/>
    <x v="0"/>
    <b v="1"/>
    <n v="1255.8393000000001"/>
    <n v="1255.8393000000001"/>
  </r>
  <r>
    <s v="SALE968"/>
    <x v="79"/>
    <x v="0"/>
    <s v="CUST1489"/>
    <x v="1"/>
    <x v="1"/>
    <x v="2"/>
    <s v="PROD92"/>
    <s v="Microwave Oven"/>
    <x v="3"/>
    <s v="Appliances"/>
    <s v="STORE1"/>
    <x v="0"/>
    <x v="3"/>
    <n v="954.1"/>
    <n v="0.17"/>
    <x v="1"/>
    <b v="1"/>
    <n v="1583.806"/>
    <n v="1583.806"/>
  </r>
  <r>
    <s v="SALE969"/>
    <x v="113"/>
    <x v="1"/>
    <s v="CUST1323"/>
    <x v="0"/>
    <x v="1"/>
    <x v="1"/>
    <s v="PROD65"/>
    <s v="Adjustable Dumbbells 20kg"/>
    <x v="0"/>
    <s v="Fitness"/>
    <s v="STORE7"/>
    <x v="2"/>
    <x v="0"/>
    <n v="370.04"/>
    <n v="0.04"/>
    <x v="2"/>
    <b v="1"/>
    <n v="355.23840000000001"/>
    <n v="355.23840000000001"/>
  </r>
  <r>
    <s v="SALE970"/>
    <x v="4"/>
    <x v="0"/>
    <s v="CUST1061"/>
    <x v="2"/>
    <x v="0"/>
    <x v="2"/>
    <s v="PROD96"/>
    <s v="Women's Formal Blazer"/>
    <x v="4"/>
    <s v="Outerwear"/>
    <s v="STORE19"/>
    <x v="3"/>
    <x v="2"/>
    <n v="492.71"/>
    <n v="0.08"/>
    <x v="0"/>
    <b v="1"/>
    <n v="1813.1728000000001"/>
    <n v="1813.1728000000001"/>
  </r>
  <r>
    <s v="SALE971"/>
    <x v="89"/>
    <x v="0"/>
    <s v="CUST1280"/>
    <x v="1"/>
    <x v="0"/>
    <x v="3"/>
    <s v="PROD91"/>
    <s v="Women's High Heels"/>
    <x v="4"/>
    <s v="Footwear"/>
    <s v="STORE13"/>
    <x v="3"/>
    <x v="2"/>
    <n v="853.26"/>
    <n v="0.24"/>
    <x v="2"/>
    <b v="1"/>
    <n v="2593.9104000000002"/>
    <n v="2593.9104000000002"/>
  </r>
  <r>
    <s v="SALE972"/>
    <x v="459"/>
    <x v="2"/>
    <s v="CUST1406"/>
    <x v="2"/>
    <x v="1"/>
    <x v="0"/>
    <s v="PROD3"/>
    <s v="Men's Running Jacket"/>
    <x v="4"/>
    <s v="Outerwear"/>
    <s v="STORE16"/>
    <x v="1"/>
    <x v="0"/>
    <n v="402.47"/>
    <n v="0.19"/>
    <x v="1"/>
    <b v="1"/>
    <n v="326.00070000000005"/>
    <n v="326.00070000000011"/>
  </r>
  <r>
    <s v="SALE973"/>
    <x v="331"/>
    <x v="0"/>
    <s v="CUST1402"/>
    <x v="1"/>
    <x v="0"/>
    <x v="3"/>
    <s v="PROD54"/>
    <s v="Sports Stopwatch Pro"/>
    <x v="0"/>
    <s v="Accessories"/>
    <s v="STORE18"/>
    <x v="3"/>
    <x v="3"/>
    <n v="528.29999999999995"/>
    <n v="0.24"/>
    <x v="0"/>
    <b v="1"/>
    <n v="803.01599999999996"/>
    <n v="803.01599999999996"/>
  </r>
  <r>
    <s v="SALE974"/>
    <x v="228"/>
    <x v="2"/>
    <s v="CUST1444"/>
    <x v="2"/>
    <x v="0"/>
    <x v="0"/>
    <s v="PROD10"/>
    <s v="Ceramic Kitchen Bowl Set"/>
    <x v="3"/>
    <s v="Kitchen"/>
    <s v="STORE6"/>
    <x v="3"/>
    <x v="2"/>
    <n v="599.85"/>
    <n v="0.25"/>
    <x v="0"/>
    <b v="1"/>
    <n v="1799.5500000000002"/>
    <n v="1799.55"/>
  </r>
  <r>
    <s v="SALE975"/>
    <x v="374"/>
    <x v="1"/>
    <s v="CUST1303"/>
    <x v="2"/>
    <x v="1"/>
    <x v="1"/>
    <s v="PROD16"/>
    <s v="Beard Grooming Kit"/>
    <x v="2"/>
    <s v="Grooming"/>
    <s v="STORE9"/>
    <x v="2"/>
    <x v="3"/>
    <n v="61.42"/>
    <n v="0.08"/>
    <x v="1"/>
    <b v="1"/>
    <n v="113.01280000000001"/>
    <n v="113.0128"/>
  </r>
  <r>
    <s v="SALE976"/>
    <x v="227"/>
    <x v="2"/>
    <s v="CUST1249"/>
    <x v="1"/>
    <x v="1"/>
    <x v="0"/>
    <s v="PROD19"/>
    <s v="Knee Support Brace"/>
    <x v="0"/>
    <s v="Equipment"/>
    <s v="STORE10"/>
    <x v="3"/>
    <x v="3"/>
    <n v="466.42"/>
    <n v="0.12"/>
    <x v="1"/>
    <b v="1"/>
    <n v="820.89920000000006"/>
    <n v="820.89920000000006"/>
  </r>
  <r>
    <s v="SALE977"/>
    <x v="446"/>
    <x v="2"/>
    <s v="CUST1099"/>
    <x v="1"/>
    <x v="0"/>
    <x v="2"/>
    <s v="PROD31"/>
    <s v="Basketball"/>
    <x v="0"/>
    <s v="Team Sports"/>
    <s v="STORE5"/>
    <x v="0"/>
    <x v="2"/>
    <n v="540.69000000000005"/>
    <n v="0.09"/>
    <x v="2"/>
    <b v="1"/>
    <n v="1968.1116000000002"/>
    <n v="1968.1116"/>
  </r>
  <r>
    <s v="SALE978"/>
    <x v="537"/>
    <x v="2"/>
    <s v="CUST1298"/>
    <x v="0"/>
    <x v="0"/>
    <x v="1"/>
    <s v="PROD19"/>
    <s v="Knee Support Brace"/>
    <x v="0"/>
    <s v="Equipment"/>
    <s v="STORE13"/>
    <x v="3"/>
    <x v="1"/>
    <n v="677.46"/>
    <n v="0.05"/>
    <x v="0"/>
    <b v="1"/>
    <n v="1930.761"/>
    <n v="1930.761"/>
  </r>
  <r>
    <s v="SALE979"/>
    <x v="538"/>
    <x v="2"/>
    <s v="CUST1328"/>
    <x v="1"/>
    <x v="0"/>
    <x v="1"/>
    <s v="PROD21"/>
    <s v="Multi-Purpose Storage Box"/>
    <x v="3"/>
    <s v="Storage"/>
    <s v="STORE1"/>
    <x v="0"/>
    <x v="1"/>
    <n v="614.63"/>
    <n v="0.06"/>
    <x v="1"/>
    <b v="1"/>
    <n v="1733.2565999999997"/>
    <n v="1733.2565999999999"/>
  </r>
  <r>
    <s v="SALE980"/>
    <x v="539"/>
    <x v="1"/>
    <s v="CUST1232"/>
    <x v="2"/>
    <x v="1"/>
    <x v="1"/>
    <s v="PROD66"/>
    <s v="Women's Hair Dryer Brush"/>
    <x v="2"/>
    <s v="Haircare"/>
    <s v="STORE8"/>
    <x v="1"/>
    <x v="2"/>
    <n v="649.52"/>
    <n v="0.11"/>
    <x v="0"/>
    <b v="1"/>
    <n v="2312.2912000000001"/>
    <n v="2312.2912000000001"/>
  </r>
  <r>
    <s v="SALE981"/>
    <x v="540"/>
    <x v="0"/>
    <s v="CUST1445"/>
    <x v="1"/>
    <x v="1"/>
    <x v="1"/>
    <s v="PROD85"/>
    <s v="Women's Beanie Hat"/>
    <x v="4"/>
    <s v="Accessories"/>
    <s v="STORE8"/>
    <x v="1"/>
    <x v="3"/>
    <n v="943.93"/>
    <n v="0.22"/>
    <x v="1"/>
    <b v="1"/>
    <n v="1472.5308"/>
    <n v="1472.5308"/>
  </r>
  <r>
    <s v="SALE982"/>
    <x v="541"/>
    <x v="1"/>
    <s v="CUST1165"/>
    <x v="1"/>
    <x v="1"/>
    <x v="1"/>
    <s v="PROD31"/>
    <s v="Basketball"/>
    <x v="0"/>
    <s v="Team Sports"/>
    <s v="STORE8"/>
    <x v="1"/>
    <x v="2"/>
    <n v="538.73"/>
    <n v="0.03"/>
    <x v="0"/>
    <b v="1"/>
    <n v="2090.2723999999998"/>
    <n v="2090.2723999999998"/>
  </r>
  <r>
    <s v="SALE983"/>
    <x v="542"/>
    <x v="0"/>
    <s v="CUST1088"/>
    <x v="0"/>
    <x v="0"/>
    <x v="2"/>
    <s v="PROD66"/>
    <s v="Women's Hair Dryer Brush"/>
    <x v="2"/>
    <s v="Haircare"/>
    <s v="STORE8"/>
    <x v="1"/>
    <x v="3"/>
    <n v="853.93"/>
    <n v="0.01"/>
    <x v="1"/>
    <b v="1"/>
    <n v="1690.7813999999998"/>
    <n v="1690.7814000000001"/>
  </r>
  <r>
    <s v="SALE984"/>
    <x v="62"/>
    <x v="2"/>
    <s v="CUST1491"/>
    <x v="0"/>
    <x v="1"/>
    <x v="0"/>
    <s v="PROD29"/>
    <s v="Fabric Sofa Throw Blanket"/>
    <x v="3"/>
    <s v="Decor"/>
    <s v="STORE4"/>
    <x v="2"/>
    <x v="2"/>
    <n v="465.42"/>
    <n v="0.26"/>
    <x v="2"/>
    <b v="1"/>
    <n v="1377.6432"/>
    <n v="1377.6432"/>
  </r>
  <r>
    <s v="SALE985"/>
    <x v="543"/>
    <x v="2"/>
    <s v="CUST1055"/>
    <x v="0"/>
    <x v="1"/>
    <x v="3"/>
    <s v="PROD1"/>
    <s v="Men's Graphic T-Shirt"/>
    <x v="4"/>
    <s v="Tops"/>
    <s v="STORE11"/>
    <x v="2"/>
    <x v="2"/>
    <n v="880.26"/>
    <n v="0.11"/>
    <x v="2"/>
    <b v="1"/>
    <n v="3133.7256000000002"/>
    <n v="3133.7256000000002"/>
  </r>
  <r>
    <s v="SALE986"/>
    <x v="449"/>
    <x v="0"/>
    <s v="CUST1483"/>
    <x v="1"/>
    <x v="0"/>
    <x v="0"/>
    <s v="PROD51"/>
    <s v="HDMI Cable – 2m"/>
    <x v="1"/>
    <s v="Accessories"/>
    <s v="STORE11"/>
    <x v="2"/>
    <x v="1"/>
    <n v="461.02"/>
    <n v="0.28999999999999998"/>
    <x v="1"/>
    <b v="1"/>
    <n v="981.97259999999994"/>
    <n v="981.97259999999994"/>
  </r>
  <r>
    <s v="SALE987"/>
    <x v="372"/>
    <x v="0"/>
    <s v="CUST1026"/>
    <x v="2"/>
    <x v="1"/>
    <x v="0"/>
    <s v="PROD25"/>
    <s v="Women's Scarf Set"/>
    <x v="4"/>
    <s v="Accessories"/>
    <s v="STORE13"/>
    <x v="3"/>
    <x v="0"/>
    <n v="531.99"/>
    <n v="0.17"/>
    <x v="1"/>
    <b v="1"/>
    <n v="441.55169999999998"/>
    <n v="441.55169999999998"/>
  </r>
  <r>
    <s v="SALE988"/>
    <x v="40"/>
    <x v="0"/>
    <s v="CUST1004"/>
    <x v="0"/>
    <x v="1"/>
    <x v="2"/>
    <s v="PROD47"/>
    <s v="Makeup Brush Set"/>
    <x v="2"/>
    <s v="Makeup"/>
    <s v="STORE17"/>
    <x v="0"/>
    <x v="3"/>
    <n v="274.08999999999997"/>
    <n v="0.13"/>
    <x v="1"/>
    <b v="1"/>
    <n v="476.91659999999996"/>
    <n v="476.91660000000002"/>
  </r>
  <r>
    <s v="SALE989"/>
    <x v="544"/>
    <x v="2"/>
    <s v="CUST1443"/>
    <x v="0"/>
    <x v="0"/>
    <x v="2"/>
    <s v="PROD88"/>
    <s v="Sports Wrist Sweatbands"/>
    <x v="0"/>
    <s v="Accessories"/>
    <s v="STORE10"/>
    <x v="3"/>
    <x v="0"/>
    <n v="66.14"/>
    <n v="0.14000000000000001"/>
    <x v="2"/>
    <b v="1"/>
    <n v="56.880400000000002"/>
    <n v="56.880400000000002"/>
  </r>
  <r>
    <s v="SALE990"/>
    <x v="13"/>
    <x v="2"/>
    <s v="CUST1077"/>
    <x v="2"/>
    <x v="0"/>
    <x v="0"/>
    <s v="PROD20"/>
    <s v="Outdoor Sports Water Bottle"/>
    <x v="0"/>
    <s v="Accessories"/>
    <s v="STORE9"/>
    <x v="2"/>
    <x v="1"/>
    <n v="955.82"/>
    <n v="0.16"/>
    <x v="2"/>
    <b v="1"/>
    <n v="2408.6664000000001"/>
    <n v="2408.6664000000001"/>
  </r>
  <r>
    <s v="SALE991"/>
    <x v="542"/>
    <x v="0"/>
    <s v="CUST1319"/>
    <x v="0"/>
    <x v="0"/>
    <x v="1"/>
    <s v="PROD22"/>
    <s v="Carbon Fiber Tennis Racket"/>
    <x v="0"/>
    <s v="Equipment"/>
    <s v="STORE12"/>
    <x v="0"/>
    <x v="0"/>
    <n v="904.92"/>
    <n v="0.13"/>
    <x v="0"/>
    <b v="1"/>
    <n v="787.28039999999999"/>
    <n v="787.28039999999999"/>
  </r>
  <r>
    <s v="SALE992"/>
    <x v="509"/>
    <x v="0"/>
    <s v="CUST1000"/>
    <x v="0"/>
    <x v="0"/>
    <x v="1"/>
    <s v="PROD40"/>
    <s v="Noise-Canceling Headphones"/>
    <x v="1"/>
    <s v="Audio"/>
    <s v="STORE7"/>
    <x v="2"/>
    <x v="1"/>
    <n v="490.02"/>
    <n v="0.26"/>
    <x v="0"/>
    <b v="1"/>
    <n v="1087.8444"/>
    <n v="1087.8444"/>
  </r>
  <r>
    <s v="SALE993"/>
    <x v="481"/>
    <x v="0"/>
    <s v="CUST1363"/>
    <x v="2"/>
    <x v="0"/>
    <x v="3"/>
    <s v="PROD19"/>
    <s v="Knee Support Brace"/>
    <x v="0"/>
    <s v="Equipment"/>
    <s v="STORE6"/>
    <x v="3"/>
    <x v="3"/>
    <n v="957.54"/>
    <n v="0.1"/>
    <x v="2"/>
    <b v="1"/>
    <n v="1723.5719999999999"/>
    <n v="1723.5719999999999"/>
  </r>
  <r>
    <s v="SALE994"/>
    <x v="545"/>
    <x v="2"/>
    <s v="CUST1329"/>
    <x v="0"/>
    <x v="1"/>
    <x v="3"/>
    <s v="PROD99"/>
    <s v="Stainless Steel Cookware Set"/>
    <x v="3"/>
    <s v="Kitchen"/>
    <s v="STORE13"/>
    <x v="3"/>
    <x v="3"/>
    <n v="314.39999999999998"/>
    <n v="7.0000000000000007E-2"/>
    <x v="1"/>
    <b v="1"/>
    <n v="584.78399999999988"/>
    <n v="584.78399999999988"/>
  </r>
  <r>
    <s v="SALE995"/>
    <x v="297"/>
    <x v="0"/>
    <s v="CUST1394"/>
    <x v="1"/>
    <x v="1"/>
    <x v="3"/>
    <s v="PROD24"/>
    <s v="Foldable Camping Chair"/>
    <x v="0"/>
    <s v="Outdoor"/>
    <s v="STORE6"/>
    <x v="3"/>
    <x v="1"/>
    <n v="480.11"/>
    <n v="0.11"/>
    <x v="1"/>
    <b v="1"/>
    <n v="1281.8936999999999"/>
    <n v="1281.8937000000001"/>
  </r>
  <r>
    <s v="SALE996"/>
    <x v="140"/>
    <x v="0"/>
    <s v="CUST1388"/>
    <x v="0"/>
    <x v="0"/>
    <x v="1"/>
    <s v="PROD48"/>
    <s v="Car Dashboard Phone Holder"/>
    <x v="1"/>
    <s v="Accessories"/>
    <s v="STORE6"/>
    <x v="3"/>
    <x v="2"/>
    <n v="826.55"/>
    <n v="0.28000000000000003"/>
    <x v="0"/>
    <b v="1"/>
    <n v="2380.4639999999999"/>
    <n v="2380.4639999999999"/>
  </r>
  <r>
    <s v="SALE997"/>
    <x v="546"/>
    <x v="2"/>
    <s v="CUST1190"/>
    <x v="2"/>
    <x v="0"/>
    <x v="3"/>
    <s v="PROD27"/>
    <s v="Decorative Floor Vase"/>
    <x v="3"/>
    <s v="Decor"/>
    <s v="STORE3"/>
    <x v="0"/>
    <x v="1"/>
    <n v="530.16999999999996"/>
    <n v="0.18"/>
    <x v="1"/>
    <b v="1"/>
    <n v="1304.2181999999998"/>
    <n v="1304.2182"/>
  </r>
  <r>
    <s v="SALE998"/>
    <x v="135"/>
    <x v="0"/>
    <s v="CUST1407"/>
    <x v="1"/>
    <x v="0"/>
    <x v="0"/>
    <s v="PROD34"/>
    <s v="Gaming Mechanical Keyboard"/>
    <x v="1"/>
    <s v="Computer"/>
    <s v="STORE17"/>
    <x v="0"/>
    <x v="1"/>
    <n v="336.17"/>
    <n v="0.04"/>
    <x v="2"/>
    <b v="1"/>
    <n v="968.16959999999995"/>
    <n v="968.16959999999995"/>
  </r>
  <r>
    <s v="SALE999"/>
    <x v="288"/>
    <x v="0"/>
    <s v="CUST1421"/>
    <x v="1"/>
    <x v="1"/>
    <x v="1"/>
    <s v="PROD81"/>
    <s v="Badminton Racket Set"/>
    <x v="0"/>
    <s v="Equipment"/>
    <s v="STORE8"/>
    <x v="1"/>
    <x v="2"/>
    <n v="22.51"/>
    <n v="0.27"/>
    <x v="1"/>
    <b v="1"/>
    <n v="65.729200000000006"/>
    <n v="65.729200000000006"/>
  </r>
  <r>
    <s v="SALE1000"/>
    <x v="441"/>
    <x v="0"/>
    <s v="CUST1190"/>
    <x v="2"/>
    <x v="0"/>
    <x v="3"/>
    <s v="PROD59"/>
    <s v="Men's Hair Styling Gel"/>
    <x v="2"/>
    <s v="Haircare"/>
    <s v="STORE2"/>
    <x v="2"/>
    <x v="3"/>
    <n v="909.51"/>
    <n v="0.27"/>
    <x v="0"/>
    <b v="1"/>
    <n v="1327.8845999999999"/>
    <n v="1327.8846000000001"/>
  </r>
  <r>
    <s v="SALE1001"/>
    <x v="547"/>
    <x v="2"/>
    <s v="CUST1052"/>
    <x v="0"/>
    <x v="0"/>
    <x v="3"/>
    <s v="PROD69"/>
    <s v="Men's Sports Shorts"/>
    <x v="4"/>
    <s v="Bottoms"/>
    <s v="STORE14"/>
    <x v="2"/>
    <x v="2"/>
    <n v="593.84"/>
    <n v="0.24"/>
    <x v="1"/>
    <b v="1"/>
    <n v="1805.2736000000002"/>
    <n v="1805.2736"/>
  </r>
  <r>
    <s v="SALE1002"/>
    <x v="548"/>
    <x v="0"/>
    <s v="CUST1109"/>
    <x v="2"/>
    <x v="0"/>
    <x v="2"/>
    <s v="PROD73"/>
    <s v="Shin Guards – Adult"/>
    <x v="0"/>
    <s v="Team Sports"/>
    <s v="STORE10"/>
    <x v="3"/>
    <x v="1"/>
    <n v="909.11"/>
    <n v="0.23"/>
    <x v="2"/>
    <b v="1"/>
    <n v="2100.0441000000001"/>
    <n v="2100.0441000000001"/>
  </r>
  <r>
    <s v="SALE1003"/>
    <x v="549"/>
    <x v="0"/>
    <s v="CUST1399"/>
    <x v="2"/>
    <x v="0"/>
    <x v="3"/>
    <s v="PROD24"/>
    <s v="Foldable Camping Chair"/>
    <x v="0"/>
    <s v="Outdoor"/>
    <s v="STORE1"/>
    <x v="0"/>
    <x v="2"/>
    <n v="996.85"/>
    <n v="0.24"/>
    <x v="1"/>
    <b v="1"/>
    <n v="3030.424"/>
    <n v="3030.424"/>
  </r>
  <r>
    <s v="SALE1004"/>
    <x v="550"/>
    <x v="2"/>
    <s v="CUST1300"/>
    <x v="2"/>
    <x v="0"/>
    <x v="2"/>
    <s v="PROD0"/>
    <s v="Brother Laser Printer"/>
    <x v="1"/>
    <s v="Computer"/>
    <s v="STORE17"/>
    <x v="0"/>
    <x v="0"/>
    <n v="522.69000000000005"/>
    <n v="0.06"/>
    <x v="2"/>
    <b v="1"/>
    <n v="491.32860000000005"/>
    <n v="491.32860000000011"/>
  </r>
  <r>
    <s v="SALE1005"/>
    <x v="111"/>
    <x v="0"/>
    <s v="CUST1194"/>
    <x v="1"/>
    <x v="0"/>
    <x v="0"/>
    <s v="PROD54"/>
    <s v="Sports Stopwatch Pro"/>
    <x v="0"/>
    <s v="Accessories"/>
    <s v="STORE3"/>
    <x v="0"/>
    <x v="1"/>
    <n v="261.05"/>
    <n v="0.12"/>
    <x v="1"/>
    <b v="1"/>
    <n v="689.17200000000014"/>
    <n v="689.17200000000014"/>
  </r>
  <r>
    <s v="SALE1006"/>
    <x v="147"/>
    <x v="2"/>
    <s v="CUST1087"/>
    <x v="0"/>
    <x v="1"/>
    <x v="3"/>
    <s v="PROD23"/>
    <s v="Men's Formal Shirt"/>
    <x v="4"/>
    <s v="Tops"/>
    <s v="STORE17"/>
    <x v="0"/>
    <x v="1"/>
    <n v="644.73"/>
    <n v="0.01"/>
    <x v="2"/>
    <b v="1"/>
    <n v="1914.8480999999999"/>
    <n v="1914.8480999999999"/>
  </r>
  <r>
    <s v="SALE1007"/>
    <x v="30"/>
    <x v="1"/>
    <s v="CUST1198"/>
    <x v="0"/>
    <x v="0"/>
    <x v="3"/>
    <s v="PROD75"/>
    <s v="Women's Ankle Boots"/>
    <x v="4"/>
    <s v="Footwear"/>
    <s v="STORE2"/>
    <x v="2"/>
    <x v="3"/>
    <n v="541.52"/>
    <n v="0.26"/>
    <x v="1"/>
    <b v="1"/>
    <n v="801.44959999999992"/>
    <n v="801.44959999999992"/>
  </r>
  <r>
    <s v="SALE1008"/>
    <x v="3"/>
    <x v="1"/>
    <s v="CUST1426"/>
    <x v="2"/>
    <x v="0"/>
    <x v="1"/>
    <s v="PROD63"/>
    <s v="Organic Sunscreen Lotion"/>
    <x v="2"/>
    <s v="Skincare"/>
    <s v="STORE10"/>
    <x v="3"/>
    <x v="0"/>
    <n v="395.18"/>
    <n v="0.09"/>
    <x v="1"/>
    <b v="1"/>
    <n v="359.61380000000003"/>
    <n v="359.61380000000003"/>
  </r>
  <r>
    <s v="SALE1009"/>
    <x v="459"/>
    <x v="2"/>
    <s v="CUST1100"/>
    <x v="0"/>
    <x v="1"/>
    <x v="1"/>
    <s v="PROD8"/>
    <s v="Wireless Bluetooth Earbuds"/>
    <x v="1"/>
    <s v="Audio"/>
    <s v="STORE8"/>
    <x v="1"/>
    <x v="2"/>
    <n v="56.37"/>
    <n v="0.17"/>
    <x v="0"/>
    <b v="1"/>
    <n v="187.14839999999998"/>
    <n v="187.14840000000001"/>
  </r>
  <r>
    <s v="SALE1010"/>
    <x v="24"/>
    <x v="2"/>
    <s v="CUST1209"/>
    <x v="1"/>
    <x v="1"/>
    <x v="1"/>
    <s v="PROD79"/>
    <s v="Decorative Lamp Shade"/>
    <x v="3"/>
    <s v="Lighting"/>
    <s v="STORE9"/>
    <x v="2"/>
    <x v="2"/>
    <n v="202.59"/>
    <n v="0.06"/>
    <x v="2"/>
    <b v="1"/>
    <n v="761.73839999999996"/>
    <n v="761.73839999999996"/>
  </r>
  <r>
    <s v="SALE1011"/>
    <x v="145"/>
    <x v="0"/>
    <s v="CUST1004"/>
    <x v="0"/>
    <x v="1"/>
    <x v="2"/>
    <s v="PROD81"/>
    <s v="Badminton Racket Set"/>
    <x v="0"/>
    <s v="Equipment"/>
    <s v="STORE5"/>
    <x v="0"/>
    <x v="3"/>
    <n v="358.36"/>
    <n v="0.05"/>
    <x v="1"/>
    <b v="1"/>
    <n v="680.88400000000001"/>
    <n v="680.88400000000001"/>
  </r>
  <r>
    <s v="SALE1012"/>
    <x v="300"/>
    <x v="0"/>
    <s v="CUST1072"/>
    <x v="1"/>
    <x v="1"/>
    <x v="0"/>
    <s v="PROD37"/>
    <s v="Men's Casual Sneakers"/>
    <x v="4"/>
    <s v="Footwear"/>
    <s v="STORE18"/>
    <x v="3"/>
    <x v="2"/>
    <n v="85.62"/>
    <n v="0.28000000000000003"/>
    <x v="2"/>
    <b v="1"/>
    <n v="246.5856"/>
    <n v="246.5856"/>
  </r>
  <r>
    <s v="SALE1013"/>
    <x v="170"/>
    <x v="0"/>
    <s v="CUST1185"/>
    <x v="0"/>
    <x v="1"/>
    <x v="1"/>
    <s v="PROD7"/>
    <s v="LED Table Lamp"/>
    <x v="3"/>
    <s v="Lighting"/>
    <s v="STORE17"/>
    <x v="0"/>
    <x v="2"/>
    <n v="929.26"/>
    <n v="0.23"/>
    <x v="1"/>
    <b v="1"/>
    <n v="2862.1208000000001"/>
    <n v="2862.1208000000001"/>
  </r>
  <r>
    <s v="SALE1014"/>
    <x v="551"/>
    <x v="2"/>
    <s v="CUST1309"/>
    <x v="1"/>
    <x v="1"/>
    <x v="3"/>
    <s v="PROD60"/>
    <s v="Luxury Perfume Spray"/>
    <x v="2"/>
    <s v="Fragrance"/>
    <s v="STORE13"/>
    <x v="3"/>
    <x v="3"/>
    <n v="92.64"/>
    <n v="0.14000000000000001"/>
    <x v="2"/>
    <b v="1"/>
    <n v="159.3408"/>
    <n v="159.3408"/>
  </r>
  <r>
    <s v="SALE1015"/>
    <x v="176"/>
    <x v="2"/>
    <s v="CUST1248"/>
    <x v="2"/>
    <x v="0"/>
    <x v="0"/>
    <s v="PROD62"/>
    <s v="Laptop Cooling Pad"/>
    <x v="1"/>
    <s v="Computer"/>
    <s v="STORE4"/>
    <x v="2"/>
    <x v="2"/>
    <n v="139.05000000000001"/>
    <n v="0.28999999999999998"/>
    <x v="2"/>
    <b v="1"/>
    <n v="394.90199999999999"/>
    <n v="394.90199999999999"/>
  </r>
  <r>
    <s v="SALE1016"/>
    <x v="552"/>
    <x v="0"/>
    <s v="CUST1140"/>
    <x v="0"/>
    <x v="1"/>
    <x v="0"/>
    <s v="PROD53"/>
    <s v="Men's Track Pants"/>
    <x v="4"/>
    <s v="Bottoms"/>
    <s v="STORE4"/>
    <x v="2"/>
    <x v="1"/>
    <n v="155.87"/>
    <n v="0.03"/>
    <x v="2"/>
    <b v="1"/>
    <n v="453.58170000000001"/>
    <n v="453.58170000000001"/>
  </r>
  <r>
    <s v="SALE1017"/>
    <x v="315"/>
    <x v="2"/>
    <s v="CUST1442"/>
    <x v="1"/>
    <x v="1"/>
    <x v="3"/>
    <s v="PROD34"/>
    <s v="Gaming Mechanical Keyboard"/>
    <x v="1"/>
    <s v="Computer"/>
    <s v="STORE16"/>
    <x v="1"/>
    <x v="2"/>
    <n v="115.42"/>
    <n v="0.03"/>
    <x v="2"/>
    <b v="1"/>
    <n v="447.82959999999997"/>
    <n v="447.82960000000003"/>
  </r>
  <r>
    <s v="SALE1018"/>
    <x v="260"/>
    <x v="2"/>
    <s v="CUST1122"/>
    <x v="1"/>
    <x v="0"/>
    <x v="1"/>
    <s v="PROD52"/>
    <s v="Rugby Ball"/>
    <x v="0"/>
    <s v="Team Sports"/>
    <s v="STORE6"/>
    <x v="3"/>
    <x v="1"/>
    <n v="593.62"/>
    <n v="0.08"/>
    <x v="0"/>
    <b v="1"/>
    <n v="1638.3912000000003"/>
    <n v="1638.3912"/>
  </r>
  <r>
    <s v="SALE1019"/>
    <x v="295"/>
    <x v="2"/>
    <s v="CUST1353"/>
    <x v="0"/>
    <x v="1"/>
    <x v="1"/>
    <s v="PROD45"/>
    <s v="High-Grip Football"/>
    <x v="0"/>
    <s v="Team Sports"/>
    <s v="STORE4"/>
    <x v="2"/>
    <x v="3"/>
    <n v="825.04"/>
    <n v="0.2"/>
    <x v="0"/>
    <b v="1"/>
    <n v="1320.0640000000001"/>
    <n v="1320.0640000000001"/>
  </r>
  <r>
    <s v="SALE1020"/>
    <x v="302"/>
    <x v="0"/>
    <s v="CUST1464"/>
    <x v="1"/>
    <x v="1"/>
    <x v="1"/>
    <s v="PROD25"/>
    <s v="Women's Scarf Set"/>
    <x v="4"/>
    <s v="Accessories"/>
    <s v="STORE13"/>
    <x v="3"/>
    <x v="0"/>
    <n v="963.76"/>
    <n v="0.14000000000000001"/>
    <x v="1"/>
    <b v="1"/>
    <n v="828.83359999999993"/>
    <n v="828.83359999999993"/>
  </r>
  <r>
    <s v="SALE1021"/>
    <x v="529"/>
    <x v="0"/>
    <s v="CUST1292"/>
    <x v="2"/>
    <x v="0"/>
    <x v="2"/>
    <s v="PROD55"/>
    <s v="Ceramic Plant Pot"/>
    <x v="3"/>
    <s v="Decor"/>
    <s v="STORE6"/>
    <x v="3"/>
    <x v="0"/>
    <n v="238.24"/>
    <n v="0.12"/>
    <x v="1"/>
    <b v="1"/>
    <n v="209.65120000000002"/>
    <n v="209.65119999999999"/>
  </r>
  <r>
    <s v="SALE1022"/>
    <x v="350"/>
    <x v="0"/>
    <s v="CUST1457"/>
    <x v="0"/>
    <x v="0"/>
    <x v="1"/>
    <s v="PROD82"/>
    <s v="Fitness Resistance Bands"/>
    <x v="0"/>
    <s v="Fitness"/>
    <s v="STORE16"/>
    <x v="1"/>
    <x v="0"/>
    <n v="756.63"/>
    <n v="0.04"/>
    <x v="1"/>
    <b v="1"/>
    <n v="726.36479999999995"/>
    <n v="726.36479999999995"/>
  </r>
  <r>
    <s v="SALE1023"/>
    <x v="553"/>
    <x v="2"/>
    <s v="CUST1019"/>
    <x v="1"/>
    <x v="1"/>
    <x v="1"/>
    <s v="PROD93"/>
    <s v="USB-C Laptop Charger"/>
    <x v="1"/>
    <s v="Computer"/>
    <s v="STORE7"/>
    <x v="2"/>
    <x v="1"/>
    <n v="159.76"/>
    <n v="0.22"/>
    <x v="0"/>
    <b v="1"/>
    <n v="373.83839999999998"/>
    <n v="373.83839999999998"/>
  </r>
  <r>
    <s v="SALE1024"/>
    <x v="166"/>
    <x v="0"/>
    <s v="CUST1368"/>
    <x v="1"/>
    <x v="1"/>
    <x v="1"/>
    <s v="PROD95"/>
    <s v="Sports Stopwatch Basic"/>
    <x v="0"/>
    <s v="Accessories"/>
    <s v="STORE8"/>
    <x v="1"/>
    <x v="0"/>
    <n v="329.94"/>
    <n v="0.14000000000000001"/>
    <x v="2"/>
    <b v="1"/>
    <n v="283.7484"/>
    <n v="283.7484"/>
  </r>
  <r>
    <s v="SALE1025"/>
    <x v="554"/>
    <x v="2"/>
    <s v="CUST1060"/>
    <x v="2"/>
    <x v="1"/>
    <x v="2"/>
    <s v="PROD17"/>
    <s v="Soccer Training Cone Set"/>
    <x v="0"/>
    <s v="Accessories"/>
    <s v="STORE8"/>
    <x v="1"/>
    <x v="0"/>
    <n v="234.06"/>
    <n v="0.11"/>
    <x v="1"/>
    <b v="1"/>
    <n v="208.3134"/>
    <n v="208.3134"/>
  </r>
  <r>
    <s v="SALE1026"/>
    <x v="443"/>
    <x v="1"/>
    <s v="CUST1317"/>
    <x v="0"/>
    <x v="1"/>
    <x v="0"/>
    <s v="PROD81"/>
    <s v="Badminton Racket Set"/>
    <x v="0"/>
    <s v="Equipment"/>
    <s v="STORE0"/>
    <x v="3"/>
    <x v="3"/>
    <n v="773.75"/>
    <n v="0.16"/>
    <x v="1"/>
    <b v="1"/>
    <n v="1299.8999999999999"/>
    <n v="1299.9000000000001"/>
  </r>
  <r>
    <s v="SALE1027"/>
    <x v="555"/>
    <x v="0"/>
    <s v="CUST1436"/>
    <x v="0"/>
    <x v="0"/>
    <x v="0"/>
    <s v="PROD52"/>
    <s v="Rugby Ball"/>
    <x v="0"/>
    <s v="Team Sports"/>
    <s v="STORE18"/>
    <x v="3"/>
    <x v="0"/>
    <n v="73.88"/>
    <n v="0.04"/>
    <x v="0"/>
    <b v="1"/>
    <n v="70.924799999999991"/>
    <n v="70.924799999999991"/>
  </r>
  <r>
    <s v="SALE1028"/>
    <x v="556"/>
    <x v="0"/>
    <s v="CUST1005"/>
    <x v="2"/>
    <x v="0"/>
    <x v="3"/>
    <s v="PROD86"/>
    <s v="Kitchen Cutting Board"/>
    <x v="3"/>
    <s v="Kitchen"/>
    <s v="STORE18"/>
    <x v="3"/>
    <x v="0"/>
    <n v="859.3"/>
    <n v="0.16"/>
    <x v="1"/>
    <b v="1"/>
    <n v="721.8119999999999"/>
    <n v="721.8119999999999"/>
  </r>
  <r>
    <s v="SALE1029"/>
    <x v="290"/>
    <x v="0"/>
    <s v="CUST1129"/>
    <x v="1"/>
    <x v="1"/>
    <x v="2"/>
    <s v="PROD81"/>
    <s v="Badminton Racket Set"/>
    <x v="0"/>
    <s v="Equipment"/>
    <s v="STORE6"/>
    <x v="3"/>
    <x v="2"/>
    <n v="762.43"/>
    <n v="0.05"/>
    <x v="0"/>
    <b v="1"/>
    <n v="2897.2339999999995"/>
    <n v="2897.233999999999"/>
  </r>
  <r>
    <s v="SALE1030"/>
    <x v="557"/>
    <x v="0"/>
    <s v="CUST1124"/>
    <x v="2"/>
    <x v="0"/>
    <x v="3"/>
    <s v="PROD73"/>
    <s v="Shin Guards – Adult"/>
    <x v="0"/>
    <s v="Team Sports"/>
    <s v="STORE0"/>
    <x v="3"/>
    <x v="0"/>
    <n v="328.51"/>
    <n v="0.2"/>
    <x v="2"/>
    <b v="1"/>
    <n v="262.80799999999999"/>
    <n v="262.80799999999999"/>
  </r>
  <r>
    <s v="SALE1031"/>
    <x v="558"/>
    <x v="2"/>
    <s v="CUST1274"/>
    <x v="1"/>
    <x v="0"/>
    <x v="2"/>
    <s v="PROD44"/>
    <s v="Adjustable Jump Rope"/>
    <x v="0"/>
    <s v="Fitness"/>
    <s v="STORE4"/>
    <x v="2"/>
    <x v="0"/>
    <n v="34.51"/>
    <n v="0.04"/>
    <x v="2"/>
    <b v="1"/>
    <n v="33.129599999999996"/>
    <n v="33.129600000000003"/>
  </r>
  <r>
    <s v="SALE1032"/>
    <x v="400"/>
    <x v="1"/>
    <s v="CUST1105"/>
    <x v="1"/>
    <x v="1"/>
    <x v="0"/>
    <s v="PROD19"/>
    <s v="Knee Support Brace"/>
    <x v="0"/>
    <s v="Equipment"/>
    <s v="STORE11"/>
    <x v="2"/>
    <x v="1"/>
    <n v="663.73"/>
    <n v="0.06"/>
    <x v="2"/>
    <b v="1"/>
    <n v="1871.7185999999999"/>
    <n v="1871.7185999999999"/>
  </r>
  <r>
    <s v="SALE1033"/>
    <x v="94"/>
    <x v="0"/>
    <s v="CUST1246"/>
    <x v="0"/>
    <x v="0"/>
    <x v="3"/>
    <s v="PROD33"/>
    <s v="Modern Wall Clock"/>
    <x v="3"/>
    <s v="Decor"/>
    <s v="STORE9"/>
    <x v="2"/>
    <x v="0"/>
    <n v="409.41"/>
    <n v="0.13"/>
    <x v="1"/>
    <b v="1"/>
    <n v="356.18670000000003"/>
    <n v="356.18669999999997"/>
  </r>
  <r>
    <s v="SALE1034"/>
    <x v="277"/>
    <x v="2"/>
    <s v="CUST1092"/>
    <x v="1"/>
    <x v="1"/>
    <x v="1"/>
    <s v="PROD78"/>
    <s v="Essential Oil Diffuser"/>
    <x v="3"/>
    <s v="Decor"/>
    <s v="STORE3"/>
    <x v="0"/>
    <x v="1"/>
    <n v="461.03"/>
    <n v="0.11"/>
    <x v="1"/>
    <b v="1"/>
    <n v="1230.9501"/>
    <n v="1230.9501"/>
  </r>
  <r>
    <s v="SALE1035"/>
    <x v="22"/>
    <x v="0"/>
    <s v="CUST1368"/>
    <x v="1"/>
    <x v="1"/>
    <x v="1"/>
    <s v="PROD19"/>
    <s v="Knee Support Brace"/>
    <x v="0"/>
    <s v="Equipment"/>
    <s v="STORE14"/>
    <x v="2"/>
    <x v="3"/>
    <n v="760.14"/>
    <n v="0.02"/>
    <x v="2"/>
    <b v="1"/>
    <n v="1489.8743999999999"/>
    <n v="1489.8743999999999"/>
  </r>
  <r>
    <s v="SALE1036"/>
    <x v="218"/>
    <x v="2"/>
    <s v="CUST1278"/>
    <x v="1"/>
    <x v="1"/>
    <x v="1"/>
    <s v="PROD23"/>
    <s v="Men's Formal Shirt"/>
    <x v="4"/>
    <s v="Tops"/>
    <s v="STORE1"/>
    <x v="0"/>
    <x v="1"/>
    <n v="688.76"/>
    <n v="0.12"/>
    <x v="1"/>
    <b v="1"/>
    <n v="1818.3263999999997"/>
    <n v="1818.3263999999999"/>
  </r>
  <r>
    <s v="SALE1037"/>
    <x v="559"/>
    <x v="2"/>
    <s v="CUST1159"/>
    <x v="1"/>
    <x v="1"/>
    <x v="0"/>
    <s v="PROD43"/>
    <s v="USB External Hard Drive"/>
    <x v="1"/>
    <s v="Computer"/>
    <s v="STORE9"/>
    <x v="2"/>
    <x v="3"/>
    <n v="257.77999999999997"/>
    <n v="0.05"/>
    <x v="0"/>
    <b v="1"/>
    <n v="489.78199999999993"/>
    <n v="489.78199999999993"/>
  </r>
  <r>
    <s v="SALE1038"/>
    <x v="560"/>
    <x v="0"/>
    <s v="CUST1052"/>
    <x v="0"/>
    <x v="0"/>
    <x v="3"/>
    <s v="PROD53"/>
    <s v="Men's Track Pants"/>
    <x v="4"/>
    <s v="Bottoms"/>
    <s v="STORE7"/>
    <x v="2"/>
    <x v="3"/>
    <n v="314.29000000000002"/>
    <n v="0.19"/>
    <x v="2"/>
    <b v="1"/>
    <n v="509.14980000000008"/>
    <n v="509.14980000000008"/>
  </r>
  <r>
    <s v="SALE1039"/>
    <x v="296"/>
    <x v="0"/>
    <s v="CUST1155"/>
    <x v="0"/>
    <x v="1"/>
    <x v="0"/>
    <s v="PROD72"/>
    <s v="Professional Jump Rope"/>
    <x v="0"/>
    <s v="Fitness"/>
    <s v="STORE14"/>
    <x v="2"/>
    <x v="1"/>
    <n v="336.09"/>
    <n v="0.01"/>
    <x v="1"/>
    <b v="1"/>
    <n v="998.18729999999994"/>
    <n v="998.18729999999994"/>
  </r>
  <r>
    <s v="SALE1040"/>
    <x v="206"/>
    <x v="2"/>
    <s v="CUST1002"/>
    <x v="2"/>
    <x v="1"/>
    <x v="1"/>
    <s v="PROD75"/>
    <s v="Women's Ankle Boots"/>
    <x v="4"/>
    <s v="Footwear"/>
    <s v="STORE17"/>
    <x v="0"/>
    <x v="1"/>
    <n v="202.07"/>
    <n v="0.23"/>
    <x v="1"/>
    <b v="1"/>
    <n v="466.78170000000006"/>
    <n v="466.78170000000011"/>
  </r>
  <r>
    <s v="SALE1041"/>
    <x v="8"/>
    <x v="2"/>
    <s v="CUST1310"/>
    <x v="2"/>
    <x v="0"/>
    <x v="2"/>
    <s v="PROD17"/>
    <s v="Soccer Training Cone Set"/>
    <x v="0"/>
    <s v="Accessories"/>
    <s v="STORE8"/>
    <x v="1"/>
    <x v="3"/>
    <n v="485.25"/>
    <n v="0.28000000000000003"/>
    <x v="0"/>
    <b v="1"/>
    <n v="698.76"/>
    <n v="698.76"/>
  </r>
  <r>
    <s v="SALE1042"/>
    <x v="332"/>
    <x v="2"/>
    <s v="CUST1171"/>
    <x v="1"/>
    <x v="1"/>
    <x v="1"/>
    <s v="PROD75"/>
    <s v="Women's Ankle Boots"/>
    <x v="4"/>
    <s v="Footwear"/>
    <s v="STORE10"/>
    <x v="3"/>
    <x v="2"/>
    <n v="552.38"/>
    <n v="0.1"/>
    <x v="1"/>
    <b v="1"/>
    <n v="1988.568"/>
    <n v="1988.568"/>
  </r>
  <r>
    <s v="SALE1043"/>
    <x v="378"/>
    <x v="1"/>
    <s v="CUST1107"/>
    <x v="0"/>
    <x v="1"/>
    <x v="1"/>
    <s v="PROD58"/>
    <s v="Womens Cotton Scarf"/>
    <x v="4"/>
    <s v="Accessories"/>
    <s v="STORE17"/>
    <x v="0"/>
    <x v="2"/>
    <n v="377.26"/>
    <n v="0.22"/>
    <x v="2"/>
    <b v="1"/>
    <n v="1177.0512000000001"/>
    <n v="1177.0512000000001"/>
  </r>
  <r>
    <s v="SALE1044"/>
    <x v="57"/>
    <x v="1"/>
    <s v="CUST1053"/>
    <x v="1"/>
    <x v="1"/>
    <x v="0"/>
    <s v="PROD47"/>
    <s v="Makeup Brush Set"/>
    <x v="2"/>
    <s v="Makeup"/>
    <s v="STORE19"/>
    <x v="3"/>
    <x v="2"/>
    <n v="189.07"/>
    <n v="0.1"/>
    <x v="2"/>
    <b v="1"/>
    <n v="680.65200000000004"/>
    <n v="680.65200000000004"/>
  </r>
  <r>
    <s v="SALE1045"/>
    <x v="561"/>
    <x v="2"/>
    <s v="CUST1499"/>
    <x v="2"/>
    <x v="1"/>
    <x v="1"/>
    <s v="PROD30"/>
    <s v="Stainless Steel Cutlery Set"/>
    <x v="3"/>
    <s v="Kitchen"/>
    <s v="STORE4"/>
    <x v="2"/>
    <x v="1"/>
    <n v="272.27"/>
    <n v="0.01"/>
    <x v="0"/>
    <b v="1"/>
    <n v="808.64189999999996"/>
    <n v="808.64189999999996"/>
  </r>
  <r>
    <s v="SALE1046"/>
    <x v="330"/>
    <x v="2"/>
    <s v="CUST1264"/>
    <x v="2"/>
    <x v="0"/>
    <x v="0"/>
    <s v="PROD92"/>
    <s v="Microwave Oven"/>
    <x v="3"/>
    <s v="Appliances"/>
    <s v="STORE11"/>
    <x v="2"/>
    <x v="0"/>
    <n v="209.39"/>
    <n v="0.28000000000000003"/>
    <x v="1"/>
    <b v="1"/>
    <n v="150.76079999999999"/>
    <n v="150.76079999999999"/>
  </r>
  <r>
    <s v="SALE1047"/>
    <x v="519"/>
    <x v="1"/>
    <s v="CUST1053"/>
    <x v="1"/>
    <x v="1"/>
    <x v="0"/>
    <s v="PROD80"/>
    <s v="Wall-Mounted Spice Rack"/>
    <x v="3"/>
    <s v="Kitchen"/>
    <s v="STORE9"/>
    <x v="2"/>
    <x v="0"/>
    <n v="813.87"/>
    <n v="0.23"/>
    <x v="0"/>
    <b v="1"/>
    <n v="626.67989999999998"/>
    <n v="626.67989999999998"/>
  </r>
  <r>
    <s v="SALE1048"/>
    <x v="454"/>
    <x v="2"/>
    <s v="CUST1257"/>
    <x v="1"/>
    <x v="0"/>
    <x v="2"/>
    <s v="PROD28"/>
    <s v="Sports Stopwatch Timer"/>
    <x v="0"/>
    <s v="Accessories"/>
    <s v="STORE0"/>
    <x v="3"/>
    <x v="0"/>
    <n v="143.69999999999999"/>
    <n v="0.19"/>
    <x v="1"/>
    <b v="1"/>
    <n v="116.39699999999999"/>
    <n v="116.39700000000001"/>
  </r>
  <r>
    <s v="SALE1049"/>
    <x v="562"/>
    <x v="0"/>
    <s v="CUST1470"/>
    <x v="2"/>
    <x v="1"/>
    <x v="0"/>
    <s v="PROD46"/>
    <s v="Men's Winter Jacket"/>
    <x v="4"/>
    <s v="Outerwear"/>
    <s v="STORE1"/>
    <x v="0"/>
    <x v="2"/>
    <n v="837.34"/>
    <n v="0.05"/>
    <x v="1"/>
    <b v="1"/>
    <n v="3181.8919999999998"/>
    <n v="3181.8919999999998"/>
  </r>
  <r>
    <s v="SALE1050"/>
    <x v="35"/>
    <x v="2"/>
    <s v="CUST1120"/>
    <x v="1"/>
    <x v="1"/>
    <x v="1"/>
    <s v="PROD15"/>
    <s v="4K Home Projector"/>
    <x v="1"/>
    <s v="Appliances"/>
    <s v="STORE19"/>
    <x v="3"/>
    <x v="0"/>
    <n v="151.66"/>
    <n v="0.16"/>
    <x v="2"/>
    <b v="1"/>
    <n v="127.39439999999999"/>
    <n v="127.3944"/>
  </r>
  <r>
    <s v="SALE1051"/>
    <x v="554"/>
    <x v="2"/>
    <s v="CUST1499"/>
    <x v="2"/>
    <x v="1"/>
    <x v="1"/>
    <s v="PROD44"/>
    <s v="Adjustable Jump Rope"/>
    <x v="0"/>
    <s v="Fitness"/>
    <s v="STORE8"/>
    <x v="1"/>
    <x v="1"/>
    <n v="961.4"/>
    <n v="0.02"/>
    <x v="1"/>
    <b v="1"/>
    <n v="2826.5159999999996"/>
    <n v="2826.5160000000001"/>
  </r>
  <r>
    <s v="SALE1052"/>
    <x v="112"/>
    <x v="0"/>
    <s v="CUST1370"/>
    <x v="1"/>
    <x v="0"/>
    <x v="2"/>
    <s v="PROD74"/>
    <s v="Bluetooth Car Audio System"/>
    <x v="1"/>
    <s v="Audio"/>
    <s v="STORE18"/>
    <x v="3"/>
    <x v="2"/>
    <n v="475.98"/>
    <n v="0.19"/>
    <x v="1"/>
    <b v="1"/>
    <n v="1542.1752000000001"/>
    <n v="1542.1751999999999"/>
  </r>
  <r>
    <s v="SALE1053"/>
    <x v="327"/>
    <x v="0"/>
    <s v="CUST1380"/>
    <x v="2"/>
    <x v="0"/>
    <x v="0"/>
    <s v="PROD38"/>
    <s v="Sports Water Hydration Pack"/>
    <x v="0"/>
    <s v="Outdoor"/>
    <s v="STORE15"/>
    <x v="0"/>
    <x v="2"/>
    <n v="132.88999999999999"/>
    <n v="0.12"/>
    <x v="0"/>
    <b v="1"/>
    <n v="467.77279999999996"/>
    <n v="467.77280000000002"/>
  </r>
  <r>
    <s v="SALE1054"/>
    <x v="6"/>
    <x v="2"/>
    <s v="CUST1437"/>
    <x v="1"/>
    <x v="1"/>
    <x v="1"/>
    <s v="PROD35"/>
    <s v="Bedroom Table Lamp"/>
    <x v="3"/>
    <s v="Lighting"/>
    <s v="STORE12"/>
    <x v="0"/>
    <x v="1"/>
    <n v="471.31"/>
    <n v="0"/>
    <x v="1"/>
    <b v="1"/>
    <n v="1413.93"/>
    <n v="1413.93"/>
  </r>
  <r>
    <s v="SALE1055"/>
    <x v="522"/>
    <x v="0"/>
    <s v="CUST1464"/>
    <x v="1"/>
    <x v="1"/>
    <x v="1"/>
    <s v="PROD76"/>
    <s v="Wireless Mouse"/>
    <x v="1"/>
    <s v="Computer"/>
    <s v="STORE14"/>
    <x v="2"/>
    <x v="3"/>
    <n v="720.32"/>
    <n v="0.26"/>
    <x v="0"/>
    <b v="1"/>
    <n v="1066.0736000000002"/>
    <n v="1066.0735999999999"/>
  </r>
  <r>
    <s v="SALE1056"/>
    <x v="251"/>
    <x v="0"/>
    <s v="CUST1075"/>
    <x v="0"/>
    <x v="1"/>
    <x v="0"/>
    <s v="PROD66"/>
    <s v="Women's Hair Dryer Brush"/>
    <x v="2"/>
    <s v="Haircare"/>
    <s v="STORE18"/>
    <x v="3"/>
    <x v="2"/>
    <n v="99.92"/>
    <n v="0.11"/>
    <x v="2"/>
    <b v="1"/>
    <n v="355.71520000000004"/>
    <n v="355.71519999999998"/>
  </r>
  <r>
    <s v="SALE1057"/>
    <x v="498"/>
    <x v="2"/>
    <s v="CUST1067"/>
    <x v="0"/>
    <x v="0"/>
    <x v="2"/>
    <s v="PROD10"/>
    <s v="Ceramic Kitchen Bowl Set"/>
    <x v="3"/>
    <s v="Kitchen"/>
    <s v="STORE3"/>
    <x v="0"/>
    <x v="1"/>
    <n v="900.63"/>
    <n v="0.11"/>
    <x v="2"/>
    <b v="1"/>
    <n v="2404.6821"/>
    <n v="2404.6821"/>
  </r>
  <r>
    <s v="SALE1058"/>
    <x v="434"/>
    <x v="0"/>
    <s v="CUST1442"/>
    <x v="1"/>
    <x v="1"/>
    <x v="3"/>
    <s v="PROD46"/>
    <s v="Men's Winter Jacket"/>
    <x v="4"/>
    <s v="Outerwear"/>
    <s v="STORE8"/>
    <x v="1"/>
    <x v="0"/>
    <n v="681.72"/>
    <n v="0.11"/>
    <x v="1"/>
    <b v="1"/>
    <n v="606.73080000000004"/>
    <n v="606.73080000000004"/>
  </r>
  <r>
    <s v="SALE1059"/>
    <x v="383"/>
    <x v="1"/>
    <s v="CUST1009"/>
    <x v="0"/>
    <x v="0"/>
    <x v="1"/>
    <s v="PROD78"/>
    <s v="Essential Oil Diffuser"/>
    <x v="3"/>
    <s v="Decor"/>
    <s v="STORE13"/>
    <x v="3"/>
    <x v="3"/>
    <n v="838.22"/>
    <n v="0.3"/>
    <x v="0"/>
    <b v="1"/>
    <n v="1173.508"/>
    <n v="1173.508"/>
  </r>
  <r>
    <s v="SALE1060"/>
    <x v="343"/>
    <x v="2"/>
    <s v="CUST1194"/>
    <x v="1"/>
    <x v="0"/>
    <x v="0"/>
    <s v="PROD87"/>
    <s v="LED Bedside Lamp"/>
    <x v="3"/>
    <s v="Lighting"/>
    <s v="STORE12"/>
    <x v="0"/>
    <x v="3"/>
    <n v="816.22"/>
    <n v="0.27"/>
    <x v="0"/>
    <b v="1"/>
    <n v="1191.6812"/>
    <n v="1191.6812"/>
  </r>
  <r>
    <s v="SALE1061"/>
    <x v="110"/>
    <x v="0"/>
    <s v="CUST1380"/>
    <x v="2"/>
    <x v="0"/>
    <x v="0"/>
    <s v="PROD61"/>
    <s v="Tennis Ball 3-Pack"/>
    <x v="0"/>
    <s v="Equipment"/>
    <s v="STORE7"/>
    <x v="2"/>
    <x v="3"/>
    <n v="654.12"/>
    <n v="0.27"/>
    <x v="1"/>
    <b v="1"/>
    <n v="955.01519999999994"/>
    <n v="955.01519999999994"/>
  </r>
  <r>
    <s v="SALE1062"/>
    <x v="562"/>
    <x v="0"/>
    <s v="CUST1105"/>
    <x v="1"/>
    <x v="1"/>
    <x v="0"/>
    <s v="PROD73"/>
    <s v="Shin Guards – Adult"/>
    <x v="0"/>
    <s v="Team Sports"/>
    <s v="STORE13"/>
    <x v="3"/>
    <x v="2"/>
    <n v="528.22"/>
    <n v="0.2"/>
    <x v="1"/>
    <b v="1"/>
    <n v="1690.3040000000001"/>
    <n v="1690.3040000000001"/>
  </r>
  <r>
    <s v="SALE1063"/>
    <x v="563"/>
    <x v="2"/>
    <s v="CUST1221"/>
    <x v="1"/>
    <x v="0"/>
    <x v="1"/>
    <s v="PROD34"/>
    <s v="Gaming Mechanical Keyboard"/>
    <x v="1"/>
    <s v="Computer"/>
    <s v="STORE7"/>
    <x v="2"/>
    <x v="2"/>
    <n v="36.72"/>
    <n v="7.0000000000000007E-2"/>
    <x v="2"/>
    <b v="1"/>
    <n v="136.5984"/>
    <n v="136.5984"/>
  </r>
  <r>
    <s v="SALE1064"/>
    <x v="81"/>
    <x v="0"/>
    <s v="CUST1370"/>
    <x v="1"/>
    <x v="0"/>
    <x v="2"/>
    <s v="PROD78"/>
    <s v="Essential Oil Diffuser"/>
    <x v="3"/>
    <s v="Decor"/>
    <s v="STORE19"/>
    <x v="3"/>
    <x v="3"/>
    <n v="705.97"/>
    <n v="0.1"/>
    <x v="1"/>
    <b v="1"/>
    <n v="1270.7460000000001"/>
    <n v="1270.7460000000001"/>
  </r>
  <r>
    <s v="SALE1065"/>
    <x v="324"/>
    <x v="2"/>
    <s v="CUST1023"/>
    <x v="0"/>
    <x v="1"/>
    <x v="2"/>
    <s v="PROD40"/>
    <s v="Noise-Canceling Headphones"/>
    <x v="1"/>
    <s v="Audio"/>
    <s v="STORE1"/>
    <x v="0"/>
    <x v="3"/>
    <n v="994.29"/>
    <n v="0.01"/>
    <x v="1"/>
    <b v="1"/>
    <n v="1968.6941999999999"/>
    <n v="1968.6941999999999"/>
  </r>
  <r>
    <s v="SALE1066"/>
    <x v="418"/>
    <x v="0"/>
    <s v="CUST1421"/>
    <x v="1"/>
    <x v="1"/>
    <x v="1"/>
    <s v="PROD92"/>
    <s v="Microwave Oven"/>
    <x v="3"/>
    <s v="Appliances"/>
    <s v="STORE18"/>
    <x v="3"/>
    <x v="0"/>
    <n v="909.04"/>
    <n v="0.11"/>
    <x v="0"/>
    <b v="1"/>
    <n v="809.04560000000004"/>
    <n v="809.04560000000004"/>
  </r>
  <r>
    <s v="SALE1067"/>
    <x v="427"/>
    <x v="0"/>
    <s v="CUST1349"/>
    <x v="1"/>
    <x v="0"/>
    <x v="3"/>
    <s v="PROD34"/>
    <s v="Gaming Mechanical Keyboard"/>
    <x v="1"/>
    <s v="Computer"/>
    <s v="STORE11"/>
    <x v="2"/>
    <x v="0"/>
    <n v="164.73"/>
    <n v="0.12"/>
    <x v="1"/>
    <b v="1"/>
    <n v="144.9624"/>
    <n v="144.9624"/>
  </r>
  <r>
    <s v="SALE1068"/>
    <x v="527"/>
    <x v="2"/>
    <s v="CUST1062"/>
    <x v="1"/>
    <x v="0"/>
    <x v="3"/>
    <s v="PROD37"/>
    <s v="Men's Casual Sneakers"/>
    <x v="4"/>
    <s v="Footwear"/>
    <s v="STORE7"/>
    <x v="2"/>
    <x v="3"/>
    <n v="606.35"/>
    <n v="0.16"/>
    <x v="2"/>
    <b v="1"/>
    <n v="1018.668"/>
    <n v="1018.668"/>
  </r>
  <r>
    <s v="SALE1069"/>
    <x v="540"/>
    <x v="0"/>
    <s v="CUST1163"/>
    <x v="2"/>
    <x v="0"/>
    <x v="3"/>
    <s v="PROD98"/>
    <s v="Portable Bluetooth Speaker"/>
    <x v="1"/>
    <s v="Audio"/>
    <s v="STORE4"/>
    <x v="2"/>
    <x v="1"/>
    <n v="904.19"/>
    <n v="0.09"/>
    <x v="0"/>
    <b v="1"/>
    <n v="2468.4387000000002"/>
    <n v="2468.4387000000002"/>
  </r>
  <r>
    <s v="SALE1070"/>
    <x v="311"/>
    <x v="0"/>
    <s v="CUST1151"/>
    <x v="2"/>
    <x v="1"/>
    <x v="0"/>
    <s v="PROD50"/>
    <s v="Boxing Hand Wraps"/>
    <x v="0"/>
    <s v="Fitness"/>
    <s v="STORE2"/>
    <x v="2"/>
    <x v="2"/>
    <n v="694.61"/>
    <n v="0.18"/>
    <x v="2"/>
    <b v="1"/>
    <n v="2278.3208000000004"/>
    <n v="2278.3208"/>
  </r>
  <r>
    <s v="SALE1071"/>
    <x v="34"/>
    <x v="1"/>
    <s v="CUST1225"/>
    <x v="1"/>
    <x v="1"/>
    <x v="1"/>
    <s v="PROD89"/>
    <s v="Face Foundation Kit"/>
    <x v="2"/>
    <s v="Makeup"/>
    <s v="STORE2"/>
    <x v="2"/>
    <x v="2"/>
    <n v="753.83"/>
    <n v="0.24"/>
    <x v="0"/>
    <b v="1"/>
    <n v="2291.6432"/>
    <n v="2291.6432"/>
  </r>
  <r>
    <s v="SALE1072"/>
    <x v="507"/>
    <x v="0"/>
    <s v="CUST1197"/>
    <x v="1"/>
    <x v="1"/>
    <x v="1"/>
    <s v="PROD21"/>
    <s v="Multi-Purpose Storage Box"/>
    <x v="3"/>
    <s v="Storage"/>
    <s v="STORE8"/>
    <x v="1"/>
    <x v="0"/>
    <n v="66.22"/>
    <n v="0.02"/>
    <x v="0"/>
    <b v="1"/>
    <n v="64.895600000000002"/>
    <n v="64.895600000000002"/>
  </r>
  <r>
    <s v="SALE1073"/>
    <x v="41"/>
    <x v="1"/>
    <s v="CUST1337"/>
    <x v="1"/>
    <x v="1"/>
    <x v="3"/>
    <s v="PROD64"/>
    <s v="Matte Lipstick Set"/>
    <x v="2"/>
    <s v="Makeup"/>
    <s v="STORE14"/>
    <x v="2"/>
    <x v="3"/>
    <n v="891.8"/>
    <n v="0.28999999999999998"/>
    <x v="2"/>
    <b v="1"/>
    <n v="1266.3559999999998"/>
    <n v="1266.356"/>
  </r>
  <r>
    <s v="SALE1074"/>
    <x v="504"/>
    <x v="0"/>
    <s v="CUST1363"/>
    <x v="2"/>
    <x v="0"/>
    <x v="3"/>
    <s v="PROD75"/>
    <s v="Women's Ankle Boots"/>
    <x v="4"/>
    <s v="Footwear"/>
    <s v="STORE9"/>
    <x v="2"/>
    <x v="2"/>
    <n v="255.48"/>
    <n v="0.03"/>
    <x v="2"/>
    <b v="1"/>
    <n v="991.26239999999996"/>
    <n v="991.26239999999996"/>
  </r>
  <r>
    <s v="SALE1075"/>
    <x v="31"/>
    <x v="0"/>
    <s v="CUST1301"/>
    <x v="1"/>
    <x v="0"/>
    <x v="0"/>
    <s v="PROD84"/>
    <s v="Wooden Bookshelf"/>
    <x v="3"/>
    <s v="Furniture"/>
    <s v="STORE17"/>
    <x v="0"/>
    <x v="2"/>
    <n v="604.87"/>
    <n v="0.28000000000000003"/>
    <x v="1"/>
    <b v="1"/>
    <n v="1742.0255999999999"/>
    <n v="1742.0255999999999"/>
  </r>
  <r>
    <s v="SALE1076"/>
    <x v="564"/>
    <x v="0"/>
    <s v="CUST1045"/>
    <x v="0"/>
    <x v="0"/>
    <x v="0"/>
    <s v="PROD33"/>
    <s v="Modern Wall Clock"/>
    <x v="3"/>
    <s v="Decor"/>
    <s v="STORE17"/>
    <x v="0"/>
    <x v="1"/>
    <n v="623.82000000000005"/>
    <n v="0.13"/>
    <x v="2"/>
    <b v="1"/>
    <n v="1628.1702"/>
    <n v="1628.1702"/>
  </r>
  <r>
    <s v="SALE1077"/>
    <x v="416"/>
    <x v="2"/>
    <s v="CUST1138"/>
    <x v="1"/>
    <x v="0"/>
    <x v="0"/>
    <s v="PROD71"/>
    <s v="Hair Repair Oil Treatment"/>
    <x v="2"/>
    <s v="Haircare"/>
    <s v="STORE16"/>
    <x v="1"/>
    <x v="1"/>
    <n v="575.24"/>
    <n v="0.12"/>
    <x v="2"/>
    <b v="1"/>
    <n v="1518.6336000000001"/>
    <n v="1518.6335999999999"/>
  </r>
  <r>
    <s v="SALE1078"/>
    <x v="35"/>
    <x v="2"/>
    <s v="CUST1414"/>
    <x v="1"/>
    <x v="1"/>
    <x v="0"/>
    <s v="PROD4"/>
    <s v="Women's Yoga Pants"/>
    <x v="4"/>
    <s v="Bottoms"/>
    <s v="STORE11"/>
    <x v="2"/>
    <x v="0"/>
    <n v="769.4"/>
    <n v="0.16"/>
    <x v="0"/>
    <b v="1"/>
    <n v="646.29599999999994"/>
    <n v="646.29599999999994"/>
  </r>
  <r>
    <s v="SALE1079"/>
    <x v="109"/>
    <x v="0"/>
    <s v="CUST1329"/>
    <x v="0"/>
    <x v="1"/>
    <x v="3"/>
    <s v="PROD4"/>
    <s v="Women's Yoga Pants"/>
    <x v="4"/>
    <s v="Bottoms"/>
    <s v="STORE17"/>
    <x v="0"/>
    <x v="0"/>
    <n v="227.28"/>
    <n v="0.13"/>
    <x v="2"/>
    <b v="1"/>
    <n v="197.7336"/>
    <n v="197.7336"/>
  </r>
  <r>
    <s v="SALE1080"/>
    <x v="191"/>
    <x v="0"/>
    <s v="CUST1051"/>
    <x v="2"/>
    <x v="1"/>
    <x v="0"/>
    <s v="PROD2"/>
    <s v="Women's Casual Hoodie"/>
    <x v="4"/>
    <s v="Outerwear"/>
    <s v="STORE17"/>
    <x v="0"/>
    <x v="2"/>
    <n v="127.58"/>
    <n v="0.15"/>
    <x v="0"/>
    <b v="1"/>
    <n v="433.77199999999999"/>
    <n v="433.77199999999999"/>
  </r>
  <r>
    <s v="SALE1081"/>
    <x v="404"/>
    <x v="2"/>
    <s v="CUST1418"/>
    <x v="0"/>
    <x v="1"/>
    <x v="2"/>
    <s v="PROD44"/>
    <s v="Adjustable Jump Rope"/>
    <x v="0"/>
    <s v="Fitness"/>
    <s v="STORE3"/>
    <x v="0"/>
    <x v="0"/>
    <n v="793.21"/>
    <n v="0.09"/>
    <x v="0"/>
    <b v="1"/>
    <n v="721.8211"/>
    <n v="721.8211"/>
  </r>
  <r>
    <s v="SALE1082"/>
    <x v="245"/>
    <x v="2"/>
    <s v="CUST1301"/>
    <x v="1"/>
    <x v="0"/>
    <x v="0"/>
    <s v="PROD83"/>
    <s v="Hydrating Face Cleanser"/>
    <x v="2"/>
    <s v="Skincare"/>
    <s v="STORE12"/>
    <x v="0"/>
    <x v="1"/>
    <n v="435.61"/>
    <n v="0.03"/>
    <x v="1"/>
    <b v="1"/>
    <n v="1267.6251"/>
    <n v="1267.6251"/>
  </r>
  <r>
    <s v="SALE1083"/>
    <x v="429"/>
    <x v="0"/>
    <s v="CUST1385"/>
    <x v="0"/>
    <x v="0"/>
    <x v="0"/>
    <s v="PROD29"/>
    <s v="Fabric Sofa Throw Blanket"/>
    <x v="3"/>
    <s v="Decor"/>
    <s v="STORE16"/>
    <x v="1"/>
    <x v="0"/>
    <n v="850.06"/>
    <n v="0.28999999999999998"/>
    <x v="1"/>
    <b v="1"/>
    <n v="603.54259999999988"/>
    <n v="603.54259999999988"/>
  </r>
  <r>
    <s v="SALE1084"/>
    <x v="97"/>
    <x v="0"/>
    <s v="CUST1347"/>
    <x v="1"/>
    <x v="1"/>
    <x v="0"/>
    <s v="PROD16"/>
    <s v="Beard Grooming Kit"/>
    <x v="2"/>
    <s v="Grooming"/>
    <s v="STORE16"/>
    <x v="1"/>
    <x v="3"/>
    <n v="753.92"/>
    <n v="0.17"/>
    <x v="1"/>
    <b v="1"/>
    <n v="1251.5071999999998"/>
    <n v="1251.5072"/>
  </r>
  <r>
    <s v="SALE1085"/>
    <x v="331"/>
    <x v="0"/>
    <s v="CUST1488"/>
    <x v="2"/>
    <x v="1"/>
    <x v="1"/>
    <s v="PROD4"/>
    <s v="Women's Yoga Pants"/>
    <x v="4"/>
    <s v="Bottoms"/>
    <s v="STORE13"/>
    <x v="3"/>
    <x v="1"/>
    <n v="408.99"/>
    <n v="0.27"/>
    <x v="1"/>
    <b v="1"/>
    <n v="895.68809999999996"/>
    <n v="895.68809999999996"/>
  </r>
  <r>
    <s v="SALE1086"/>
    <x v="528"/>
    <x v="0"/>
    <s v="CUST1285"/>
    <x v="1"/>
    <x v="1"/>
    <x v="2"/>
    <s v="PROD57"/>
    <s v="Foam Roller"/>
    <x v="0"/>
    <s v="Fitness"/>
    <s v="STORE5"/>
    <x v="0"/>
    <x v="1"/>
    <n v="404.5"/>
    <n v="0.22"/>
    <x v="1"/>
    <b v="1"/>
    <n v="946.53000000000009"/>
    <n v="946.53000000000009"/>
  </r>
  <r>
    <s v="SALE1087"/>
    <x v="565"/>
    <x v="1"/>
    <s v="CUST1380"/>
    <x v="2"/>
    <x v="0"/>
    <x v="0"/>
    <s v="PROD39"/>
    <s v="Portable Power Bank"/>
    <x v="1"/>
    <s v="Mobile"/>
    <s v="STORE3"/>
    <x v="0"/>
    <x v="1"/>
    <n v="717.81"/>
    <n v="0.17"/>
    <x v="2"/>
    <b v="1"/>
    <n v="1787.3468999999998"/>
    <n v="1787.3469"/>
  </r>
  <r>
    <s v="SALE1088"/>
    <x v="195"/>
    <x v="1"/>
    <s v="CUST1251"/>
    <x v="0"/>
    <x v="0"/>
    <x v="2"/>
    <s v="PROD84"/>
    <s v="Wooden Bookshelf"/>
    <x v="3"/>
    <s v="Furniture"/>
    <s v="STORE1"/>
    <x v="0"/>
    <x v="1"/>
    <n v="204.77"/>
    <n v="0.14000000000000001"/>
    <x v="0"/>
    <b v="1"/>
    <n v="528.3066"/>
    <n v="528.3066"/>
  </r>
  <r>
    <s v="SALE1089"/>
    <x v="165"/>
    <x v="2"/>
    <s v="CUST1039"/>
    <x v="0"/>
    <x v="1"/>
    <x v="0"/>
    <s v="PROD48"/>
    <s v="Car Dashboard Phone Holder"/>
    <x v="1"/>
    <s v="Accessories"/>
    <s v="STORE18"/>
    <x v="3"/>
    <x v="2"/>
    <n v="106.23"/>
    <n v="0.28000000000000003"/>
    <x v="2"/>
    <b v="1"/>
    <n v="305.94240000000002"/>
    <n v="305.94240000000002"/>
  </r>
  <r>
    <s v="SALE1090"/>
    <x v="317"/>
    <x v="2"/>
    <s v="CUST1325"/>
    <x v="0"/>
    <x v="0"/>
    <x v="3"/>
    <s v="PROD66"/>
    <s v="Women's Hair Dryer Brush"/>
    <x v="2"/>
    <s v="Haircare"/>
    <s v="STORE5"/>
    <x v="0"/>
    <x v="3"/>
    <n v="769.48"/>
    <n v="0.11"/>
    <x v="1"/>
    <b v="1"/>
    <n v="1369.6744000000001"/>
    <n v="1369.6744000000001"/>
  </r>
  <r>
    <s v="SALE1091"/>
    <x v="566"/>
    <x v="2"/>
    <s v="CUST1255"/>
    <x v="2"/>
    <x v="0"/>
    <x v="0"/>
    <s v="PROD57"/>
    <s v="Foam Roller"/>
    <x v="0"/>
    <s v="Fitness"/>
    <s v="STORE13"/>
    <x v="3"/>
    <x v="3"/>
    <n v="714.21"/>
    <n v="0.14000000000000001"/>
    <x v="0"/>
    <b v="1"/>
    <n v="1228.4412"/>
    <n v="1228.4412"/>
  </r>
  <r>
    <s v="SALE1092"/>
    <x v="372"/>
    <x v="0"/>
    <s v="CUST1271"/>
    <x v="0"/>
    <x v="0"/>
    <x v="1"/>
    <s v="PROD11"/>
    <s v="HD Smart TV Stick"/>
    <x v="1"/>
    <s v="Accessories"/>
    <s v="STORE15"/>
    <x v="0"/>
    <x v="2"/>
    <n v="632.24"/>
    <n v="0.25"/>
    <x v="1"/>
    <b v="1"/>
    <n v="1896.72"/>
    <n v="1896.72"/>
  </r>
  <r>
    <s v="SALE1093"/>
    <x v="509"/>
    <x v="0"/>
    <s v="CUST1161"/>
    <x v="2"/>
    <x v="1"/>
    <x v="2"/>
    <s v="PROD78"/>
    <s v="Essential Oil Diffuser"/>
    <x v="3"/>
    <s v="Decor"/>
    <s v="STORE3"/>
    <x v="0"/>
    <x v="3"/>
    <n v="845.27"/>
    <n v="0.18"/>
    <x v="1"/>
    <b v="1"/>
    <n v="1386.2428"/>
    <n v="1386.2428"/>
  </r>
  <r>
    <s v="SALE1094"/>
    <x v="567"/>
    <x v="2"/>
    <s v="CUST1497"/>
    <x v="1"/>
    <x v="1"/>
    <x v="0"/>
    <s v="PROD87"/>
    <s v="LED Bedside Lamp"/>
    <x v="3"/>
    <s v="Lighting"/>
    <s v="STORE13"/>
    <x v="3"/>
    <x v="0"/>
    <n v="575.94000000000005"/>
    <n v="0.17"/>
    <x v="0"/>
    <b v="1"/>
    <n v="478.03020000000004"/>
    <n v="478.03019999999998"/>
  </r>
  <r>
    <s v="SALE1095"/>
    <x v="33"/>
    <x v="0"/>
    <s v="CUST1251"/>
    <x v="0"/>
    <x v="0"/>
    <x v="2"/>
    <s v="PROD84"/>
    <s v="Wooden Bookshelf"/>
    <x v="3"/>
    <s v="Furniture"/>
    <s v="STORE15"/>
    <x v="0"/>
    <x v="0"/>
    <n v="907.97"/>
    <n v="0.26"/>
    <x v="2"/>
    <b v="1"/>
    <n v="671.89779999999996"/>
    <n v="671.89779999999996"/>
  </r>
  <r>
    <s v="SALE1096"/>
    <x v="379"/>
    <x v="2"/>
    <s v="CUST1266"/>
    <x v="1"/>
    <x v="1"/>
    <x v="3"/>
    <s v="PROD20"/>
    <s v="Outdoor Sports Water Bottle"/>
    <x v="0"/>
    <s v="Accessories"/>
    <s v="STORE12"/>
    <x v="0"/>
    <x v="0"/>
    <n v="99.35"/>
    <n v="0.08"/>
    <x v="2"/>
    <b v="1"/>
    <n v="91.402000000000001"/>
    <n v="91.402000000000001"/>
  </r>
  <r>
    <s v="SALE1097"/>
    <x v="247"/>
    <x v="0"/>
    <s v="CUST1071"/>
    <x v="0"/>
    <x v="1"/>
    <x v="0"/>
    <s v="PROD0"/>
    <s v="Brother Laser Printer"/>
    <x v="1"/>
    <s v="Computer"/>
    <s v="STORE3"/>
    <x v="0"/>
    <x v="3"/>
    <n v="374.42"/>
    <n v="0.21"/>
    <x v="2"/>
    <b v="1"/>
    <n v="591.58360000000005"/>
    <n v="591.58360000000005"/>
  </r>
  <r>
    <s v="SALE1098"/>
    <x v="9"/>
    <x v="2"/>
    <s v="CUST1481"/>
    <x v="2"/>
    <x v="0"/>
    <x v="0"/>
    <s v="PROD15"/>
    <s v="4K Home Projector"/>
    <x v="1"/>
    <s v="Appliances"/>
    <s v="STORE15"/>
    <x v="0"/>
    <x v="1"/>
    <n v="248.43"/>
    <n v="0.24"/>
    <x v="2"/>
    <b v="1"/>
    <n v="566.42039999999997"/>
    <n v="566.42039999999997"/>
  </r>
  <r>
    <s v="SALE1099"/>
    <x v="568"/>
    <x v="0"/>
    <s v="CUST1468"/>
    <x v="1"/>
    <x v="0"/>
    <x v="3"/>
    <s v="PROD85"/>
    <s v="Women's Beanie Hat"/>
    <x v="4"/>
    <s v="Accessories"/>
    <s v="STORE1"/>
    <x v="0"/>
    <x v="0"/>
    <n v="784.46"/>
    <n v="0.14000000000000001"/>
    <x v="2"/>
    <b v="1"/>
    <n v="674.63560000000007"/>
    <n v="674.63560000000007"/>
  </r>
  <r>
    <s v="SALE1100"/>
    <x v="411"/>
    <x v="0"/>
    <s v="CUST1259"/>
    <x v="1"/>
    <x v="1"/>
    <x v="2"/>
    <s v="PROD52"/>
    <s v="Rugby Ball"/>
    <x v="0"/>
    <s v="Team Sports"/>
    <s v="STORE10"/>
    <x v="3"/>
    <x v="1"/>
    <n v="70.88"/>
    <n v="0.27"/>
    <x v="2"/>
    <b v="1"/>
    <n v="155.22719999999998"/>
    <n v="155.22720000000001"/>
  </r>
  <r>
    <s v="SALE1101"/>
    <x v="159"/>
    <x v="0"/>
    <s v="CUST1110"/>
    <x v="1"/>
    <x v="1"/>
    <x v="0"/>
    <s v="PROD8"/>
    <s v="Wireless Bluetooth Earbuds"/>
    <x v="1"/>
    <s v="Audio"/>
    <s v="STORE1"/>
    <x v="0"/>
    <x v="1"/>
    <n v="324.29000000000002"/>
    <n v="0.16"/>
    <x v="2"/>
    <b v="1"/>
    <n v="817.21080000000006"/>
    <n v="817.21080000000006"/>
  </r>
  <r>
    <s v="SALE1102"/>
    <x v="253"/>
    <x v="2"/>
    <s v="CUST1141"/>
    <x v="2"/>
    <x v="0"/>
    <x v="3"/>
    <s v="PROD15"/>
    <s v="4K Home Projector"/>
    <x v="1"/>
    <s v="Appliances"/>
    <s v="STORE3"/>
    <x v="0"/>
    <x v="2"/>
    <n v="243.92"/>
    <n v="0.02"/>
    <x v="1"/>
    <b v="1"/>
    <n v="956.16639999999995"/>
    <n v="956.16639999999995"/>
  </r>
  <r>
    <s v="SALE1103"/>
    <x v="57"/>
    <x v="1"/>
    <s v="CUST1375"/>
    <x v="2"/>
    <x v="0"/>
    <x v="1"/>
    <s v="PROD28"/>
    <s v="Sports Stopwatch Timer"/>
    <x v="0"/>
    <s v="Accessories"/>
    <s v="STORE13"/>
    <x v="3"/>
    <x v="0"/>
    <n v="664.35"/>
    <n v="0"/>
    <x v="0"/>
    <b v="1"/>
    <n v="664.35"/>
    <n v="664.35"/>
  </r>
  <r>
    <s v="SALE1104"/>
    <x v="569"/>
    <x v="0"/>
    <s v="CUST1384"/>
    <x v="0"/>
    <x v="1"/>
    <x v="3"/>
    <s v="PROD21"/>
    <s v="Multi-Purpose Storage Box"/>
    <x v="3"/>
    <s v="Storage"/>
    <s v="STORE10"/>
    <x v="3"/>
    <x v="3"/>
    <n v="218.07"/>
    <n v="0.19"/>
    <x v="1"/>
    <b v="1"/>
    <n v="353.27340000000004"/>
    <n v="353.27339999999998"/>
  </r>
  <r>
    <s v="SALE1105"/>
    <x v="541"/>
    <x v="1"/>
    <s v="CUST1383"/>
    <x v="2"/>
    <x v="1"/>
    <x v="2"/>
    <s v="PROD15"/>
    <s v="4K Home Projector"/>
    <x v="1"/>
    <s v="Appliances"/>
    <s v="STORE3"/>
    <x v="0"/>
    <x v="2"/>
    <n v="921.83"/>
    <n v="0.27"/>
    <x v="0"/>
    <b v="1"/>
    <n v="2691.7436000000002"/>
    <n v="2691.7435999999998"/>
  </r>
  <r>
    <s v="SALE1106"/>
    <x v="232"/>
    <x v="2"/>
    <s v="CUST1168"/>
    <x v="1"/>
    <x v="1"/>
    <x v="1"/>
    <s v="PROD50"/>
    <s v="Boxing Hand Wraps"/>
    <x v="0"/>
    <s v="Fitness"/>
    <s v="STORE1"/>
    <x v="0"/>
    <x v="1"/>
    <n v="326.2"/>
    <n v="0.22"/>
    <x v="2"/>
    <b v="1"/>
    <n v="763.30799999999999"/>
    <n v="763.30799999999999"/>
  </r>
  <r>
    <s v="SALE1107"/>
    <x v="437"/>
    <x v="2"/>
    <s v="CUST1458"/>
    <x v="0"/>
    <x v="1"/>
    <x v="2"/>
    <s v="PROD17"/>
    <s v="Soccer Training Cone Set"/>
    <x v="0"/>
    <s v="Accessories"/>
    <s v="STORE19"/>
    <x v="3"/>
    <x v="0"/>
    <n v="244.25"/>
    <n v="0.09"/>
    <x v="1"/>
    <b v="1"/>
    <n v="222.26750000000001"/>
    <n v="222.26750000000001"/>
  </r>
  <r>
    <s v="SALE1108"/>
    <x v="134"/>
    <x v="0"/>
    <s v="CUST1369"/>
    <x v="2"/>
    <x v="1"/>
    <x v="1"/>
    <s v="PROD61"/>
    <s v="Tennis Ball 3-Pack"/>
    <x v="0"/>
    <s v="Equipment"/>
    <s v="STORE10"/>
    <x v="3"/>
    <x v="1"/>
    <n v="808.87"/>
    <n v="0.12"/>
    <x v="2"/>
    <b v="1"/>
    <n v="2135.4168"/>
    <n v="2135.4168"/>
  </r>
  <r>
    <s v="SALE1109"/>
    <x v="570"/>
    <x v="0"/>
    <s v="CUST1338"/>
    <x v="1"/>
    <x v="1"/>
    <x v="2"/>
    <s v="PROD31"/>
    <s v="Basketball"/>
    <x v="0"/>
    <s v="Team Sports"/>
    <s v="STORE2"/>
    <x v="2"/>
    <x v="1"/>
    <n v="826.15"/>
    <n v="0"/>
    <x v="1"/>
    <b v="1"/>
    <n v="2478.4499999999998"/>
    <n v="2478.4499999999998"/>
  </r>
  <r>
    <s v="SALE1110"/>
    <x v="413"/>
    <x v="0"/>
    <s v="CUST1187"/>
    <x v="0"/>
    <x v="1"/>
    <x v="1"/>
    <s v="PROD24"/>
    <s v="Foldable Camping Chair"/>
    <x v="0"/>
    <s v="Outdoor"/>
    <s v="STORE19"/>
    <x v="3"/>
    <x v="1"/>
    <n v="631.20000000000005"/>
    <n v="0.24"/>
    <x v="0"/>
    <b v="1"/>
    <n v="1439.1360000000002"/>
    <n v="1439.136"/>
  </r>
  <r>
    <s v="SALE1111"/>
    <x v="229"/>
    <x v="0"/>
    <s v="CUST1274"/>
    <x v="1"/>
    <x v="0"/>
    <x v="2"/>
    <s v="PROD58"/>
    <s v="Womens Cotton Scarf"/>
    <x v="4"/>
    <s v="Accessories"/>
    <s v="STORE10"/>
    <x v="3"/>
    <x v="0"/>
    <n v="937.01"/>
    <n v="7.0000000000000007E-2"/>
    <x v="0"/>
    <b v="1"/>
    <n v="871.41929999999991"/>
    <n v="871.41929999999991"/>
  </r>
  <r>
    <s v="SALE1112"/>
    <x v="229"/>
    <x v="0"/>
    <s v="CUST1151"/>
    <x v="2"/>
    <x v="1"/>
    <x v="0"/>
    <s v="PROD73"/>
    <s v="Shin Guards – Adult"/>
    <x v="0"/>
    <s v="Team Sports"/>
    <s v="STORE5"/>
    <x v="0"/>
    <x v="3"/>
    <n v="644"/>
    <n v="0.04"/>
    <x v="1"/>
    <b v="1"/>
    <n v="1236.48"/>
    <n v="1236.48"/>
  </r>
  <r>
    <s v="SALE1113"/>
    <x v="571"/>
    <x v="2"/>
    <s v="CUST1094"/>
    <x v="1"/>
    <x v="1"/>
    <x v="0"/>
    <s v="PROD91"/>
    <s v="Women's High Heels"/>
    <x v="4"/>
    <s v="Footwear"/>
    <s v="STORE5"/>
    <x v="0"/>
    <x v="1"/>
    <n v="629.58000000000004"/>
    <n v="0.05"/>
    <x v="0"/>
    <b v="1"/>
    <n v="1794.3030000000001"/>
    <n v="1794.3030000000001"/>
  </r>
  <r>
    <s v="SALE1114"/>
    <x v="572"/>
    <x v="2"/>
    <s v="CUST1466"/>
    <x v="2"/>
    <x v="0"/>
    <x v="2"/>
    <s v="PROD87"/>
    <s v="LED Bedside Lamp"/>
    <x v="3"/>
    <s v="Lighting"/>
    <s v="STORE2"/>
    <x v="2"/>
    <x v="3"/>
    <n v="121.52"/>
    <n v="0.18"/>
    <x v="2"/>
    <b v="1"/>
    <n v="199.2928"/>
    <n v="199.2928"/>
  </r>
  <r>
    <s v="SALE1115"/>
    <x v="109"/>
    <x v="0"/>
    <s v="CUST1401"/>
    <x v="0"/>
    <x v="1"/>
    <x v="1"/>
    <s v="PROD65"/>
    <s v="Adjustable Dumbbells 20kg"/>
    <x v="0"/>
    <s v="Fitness"/>
    <s v="STORE19"/>
    <x v="3"/>
    <x v="3"/>
    <n v="549.83000000000004"/>
    <n v="7.0000000000000007E-2"/>
    <x v="1"/>
    <b v="1"/>
    <n v="1022.6838"/>
    <n v="1022.6838"/>
  </r>
  <r>
    <s v="SALE1116"/>
    <x v="188"/>
    <x v="1"/>
    <s v="CUST1140"/>
    <x v="0"/>
    <x v="1"/>
    <x v="0"/>
    <s v="PROD13"/>
    <s v="USB-C Fast Charger"/>
    <x v="1"/>
    <s v="Accessories"/>
    <s v="STORE8"/>
    <x v="1"/>
    <x v="1"/>
    <n v="278.38"/>
    <n v="0.03"/>
    <x v="0"/>
    <b v="1"/>
    <n v="810.08579999999995"/>
    <n v="810.08579999999995"/>
  </r>
  <r>
    <s v="SALE1117"/>
    <x v="438"/>
    <x v="0"/>
    <s v="CUST1437"/>
    <x v="1"/>
    <x v="1"/>
    <x v="1"/>
    <s v="PROD96"/>
    <s v="Women's Formal Blazer"/>
    <x v="4"/>
    <s v="Outerwear"/>
    <s v="STORE3"/>
    <x v="0"/>
    <x v="2"/>
    <n v="723.66"/>
    <n v="0.03"/>
    <x v="1"/>
    <b v="1"/>
    <n v="2807.8008"/>
    <n v="2807.8008"/>
  </r>
  <r>
    <s v="SALE1118"/>
    <x v="456"/>
    <x v="2"/>
    <s v="CUST1205"/>
    <x v="1"/>
    <x v="1"/>
    <x v="0"/>
    <s v="PROD72"/>
    <s v="Professional Jump Rope"/>
    <x v="0"/>
    <s v="Fitness"/>
    <s v="STORE9"/>
    <x v="2"/>
    <x v="0"/>
    <n v="724.74"/>
    <n v="0.15"/>
    <x v="1"/>
    <b v="1"/>
    <n v="616.029"/>
    <n v="616.029"/>
  </r>
  <r>
    <s v="SALE1119"/>
    <x v="573"/>
    <x v="1"/>
    <s v="CUST1455"/>
    <x v="0"/>
    <x v="0"/>
    <x v="0"/>
    <s v="PROD21"/>
    <s v="Multi-Purpose Storage Box"/>
    <x v="3"/>
    <s v="Storage"/>
    <s v="STORE4"/>
    <x v="2"/>
    <x v="3"/>
    <n v="961.84"/>
    <n v="0.25"/>
    <x v="1"/>
    <b v="1"/>
    <n v="1442.76"/>
    <n v="1442.76"/>
  </r>
  <r>
    <s v="SALE1120"/>
    <x v="2"/>
    <x v="0"/>
    <s v="CUST1020"/>
    <x v="0"/>
    <x v="0"/>
    <x v="2"/>
    <s v="PROD37"/>
    <s v="Men's Casual Sneakers"/>
    <x v="4"/>
    <s v="Footwear"/>
    <s v="STORE16"/>
    <x v="1"/>
    <x v="2"/>
    <n v="21.12"/>
    <n v="0.18"/>
    <x v="2"/>
    <b v="1"/>
    <n v="69.273600000000002"/>
    <n v="69.273600000000002"/>
  </r>
  <r>
    <s v="SALE1121"/>
    <x v="140"/>
    <x v="0"/>
    <s v="CUST1319"/>
    <x v="0"/>
    <x v="0"/>
    <x v="1"/>
    <s v="PROD0"/>
    <s v="Brother Laser Printer"/>
    <x v="1"/>
    <s v="Computer"/>
    <s v="STORE4"/>
    <x v="2"/>
    <x v="1"/>
    <n v="819.93"/>
    <n v="0.08"/>
    <x v="1"/>
    <b v="1"/>
    <n v="2263.0068000000001"/>
    <n v="2263.0068000000001"/>
  </r>
  <r>
    <s v="SALE1122"/>
    <x v="176"/>
    <x v="2"/>
    <s v="CUST1294"/>
    <x v="2"/>
    <x v="0"/>
    <x v="1"/>
    <s v="PROD42"/>
    <s v="Smart Home WiFi Camera"/>
    <x v="1"/>
    <s v="Accessories"/>
    <s v="STORE0"/>
    <x v="3"/>
    <x v="3"/>
    <n v="700.95"/>
    <n v="0.18"/>
    <x v="0"/>
    <b v="1"/>
    <n v="1149.5580000000002"/>
    <n v="1149.558"/>
  </r>
  <r>
    <s v="SALE1123"/>
    <x v="126"/>
    <x v="2"/>
    <s v="CUST1141"/>
    <x v="2"/>
    <x v="0"/>
    <x v="3"/>
    <s v="PROD17"/>
    <s v="Soccer Training Cone Set"/>
    <x v="0"/>
    <s v="Accessories"/>
    <s v="STORE14"/>
    <x v="2"/>
    <x v="3"/>
    <n v="456.38"/>
    <n v="0.12"/>
    <x v="0"/>
    <b v="1"/>
    <n v="803.22879999999998"/>
    <n v="803.22879999999998"/>
  </r>
  <r>
    <s v="SALE1124"/>
    <x v="21"/>
    <x v="0"/>
    <s v="CUST1361"/>
    <x v="0"/>
    <x v="0"/>
    <x v="1"/>
    <s v="PROD76"/>
    <s v="Wireless Mouse"/>
    <x v="1"/>
    <s v="Computer"/>
    <s v="STORE14"/>
    <x v="2"/>
    <x v="1"/>
    <n v="291.05"/>
    <n v="0.3"/>
    <x v="0"/>
    <b v="1"/>
    <n v="611.20500000000004"/>
    <n v="611.20500000000004"/>
  </r>
  <r>
    <s v="SALE1125"/>
    <x v="482"/>
    <x v="0"/>
    <s v="CUST1233"/>
    <x v="0"/>
    <x v="0"/>
    <x v="2"/>
    <s v="PROD95"/>
    <s v="Sports Stopwatch Basic"/>
    <x v="0"/>
    <s v="Accessories"/>
    <s v="STORE15"/>
    <x v="0"/>
    <x v="3"/>
    <n v="463.52"/>
    <n v="0.27"/>
    <x v="1"/>
    <b v="1"/>
    <n v="676.73919999999998"/>
    <n v="676.73919999999998"/>
  </r>
  <r>
    <s v="SALE1126"/>
    <x v="507"/>
    <x v="0"/>
    <s v="CUST1379"/>
    <x v="1"/>
    <x v="1"/>
    <x v="0"/>
    <s v="PROD0"/>
    <s v="Brother Laser Printer"/>
    <x v="1"/>
    <s v="Computer"/>
    <s v="STORE17"/>
    <x v="0"/>
    <x v="1"/>
    <n v="241.64"/>
    <n v="0.28999999999999998"/>
    <x v="1"/>
    <b v="1"/>
    <n v="514.69319999999993"/>
    <n v="514.69319999999993"/>
  </r>
  <r>
    <s v="SALE1127"/>
    <x v="310"/>
    <x v="2"/>
    <s v="CUST1483"/>
    <x v="1"/>
    <x v="0"/>
    <x v="0"/>
    <s v="PROD30"/>
    <s v="Stainless Steel Cutlery Set"/>
    <x v="3"/>
    <s v="Kitchen"/>
    <s v="STORE10"/>
    <x v="3"/>
    <x v="3"/>
    <n v="47.86"/>
    <n v="0.03"/>
    <x v="1"/>
    <b v="1"/>
    <n v="92.848399999999998"/>
    <n v="92.848399999999998"/>
  </r>
  <r>
    <s v="SALE1128"/>
    <x v="574"/>
    <x v="0"/>
    <s v="CUST1344"/>
    <x v="1"/>
    <x v="0"/>
    <x v="0"/>
    <s v="PROD92"/>
    <s v="Microwave Oven"/>
    <x v="3"/>
    <s v="Appliances"/>
    <s v="STORE3"/>
    <x v="0"/>
    <x v="0"/>
    <n v="805.07"/>
    <n v="0.06"/>
    <x v="2"/>
    <b v="1"/>
    <n v="756.76580000000001"/>
    <n v="756.76580000000001"/>
  </r>
  <r>
    <s v="SALE1129"/>
    <x v="164"/>
    <x v="2"/>
    <s v="CUST1373"/>
    <x v="1"/>
    <x v="1"/>
    <x v="0"/>
    <s v="PROD34"/>
    <s v="Gaming Mechanical Keyboard"/>
    <x v="1"/>
    <s v="Computer"/>
    <s v="STORE1"/>
    <x v="0"/>
    <x v="1"/>
    <n v="848.48"/>
    <n v="0"/>
    <x v="2"/>
    <b v="1"/>
    <n v="2545.44"/>
    <n v="2545.44"/>
  </r>
  <r>
    <s v="SALE1130"/>
    <x v="575"/>
    <x v="0"/>
    <s v="CUST1244"/>
    <x v="2"/>
    <x v="0"/>
    <x v="3"/>
    <s v="PROD53"/>
    <s v="Men's Track Pants"/>
    <x v="4"/>
    <s v="Bottoms"/>
    <s v="STORE8"/>
    <x v="1"/>
    <x v="3"/>
    <n v="568.95000000000005"/>
    <n v="0.22"/>
    <x v="0"/>
    <b v="1"/>
    <n v="887.56200000000013"/>
    <n v="887.56200000000013"/>
  </r>
  <r>
    <s v="SALE1131"/>
    <x v="267"/>
    <x v="2"/>
    <s v="CUST1162"/>
    <x v="1"/>
    <x v="0"/>
    <x v="2"/>
    <s v="PROD53"/>
    <s v="Men's Track Pants"/>
    <x v="4"/>
    <s v="Bottoms"/>
    <s v="STORE11"/>
    <x v="2"/>
    <x v="1"/>
    <n v="269.83999999999997"/>
    <n v="0.05"/>
    <x v="1"/>
    <b v="1"/>
    <n v="769.04399999999998"/>
    <n v="769.04399999999998"/>
  </r>
  <r>
    <s v="SALE1132"/>
    <x v="215"/>
    <x v="2"/>
    <s v="CUST1309"/>
    <x v="1"/>
    <x v="1"/>
    <x v="3"/>
    <s v="PROD62"/>
    <s v="Laptop Cooling Pad"/>
    <x v="1"/>
    <s v="Computer"/>
    <s v="STORE13"/>
    <x v="3"/>
    <x v="2"/>
    <n v="267.36"/>
    <n v="0.27"/>
    <x v="1"/>
    <b v="1"/>
    <n v="780.69119999999998"/>
    <n v="780.69119999999998"/>
  </r>
  <r>
    <s v="SALE1133"/>
    <x v="576"/>
    <x v="0"/>
    <s v="CUST1114"/>
    <x v="2"/>
    <x v="0"/>
    <x v="3"/>
    <s v="PROD37"/>
    <s v="Men's Casual Sneakers"/>
    <x v="4"/>
    <s v="Footwear"/>
    <s v="STORE1"/>
    <x v="0"/>
    <x v="0"/>
    <n v="438.41"/>
    <n v="0.09"/>
    <x v="0"/>
    <b v="1"/>
    <n v="398.95310000000006"/>
    <n v="398.95310000000012"/>
  </r>
  <r>
    <s v="SALE1134"/>
    <x v="577"/>
    <x v="0"/>
    <s v="CUST1164"/>
    <x v="1"/>
    <x v="1"/>
    <x v="2"/>
    <s v="PROD51"/>
    <s v="HDMI Cable – 2m"/>
    <x v="1"/>
    <s v="Accessories"/>
    <s v="STORE18"/>
    <x v="3"/>
    <x v="3"/>
    <n v="86.72"/>
    <n v="0.28000000000000003"/>
    <x v="2"/>
    <b v="1"/>
    <n v="124.87679999999999"/>
    <n v="124.8768"/>
  </r>
  <r>
    <s v="SALE1135"/>
    <x v="578"/>
    <x v="2"/>
    <s v="CUST1425"/>
    <x v="1"/>
    <x v="0"/>
    <x v="3"/>
    <s v="PROD89"/>
    <s v="Face Foundation Kit"/>
    <x v="2"/>
    <s v="Makeup"/>
    <s v="STORE6"/>
    <x v="3"/>
    <x v="2"/>
    <n v="630.21"/>
    <n v="0.14000000000000001"/>
    <x v="2"/>
    <b v="1"/>
    <n v="2167.9223999999999"/>
    <n v="2167.9223999999999"/>
  </r>
  <r>
    <s v="SALE1136"/>
    <x v="509"/>
    <x v="0"/>
    <s v="CUST1359"/>
    <x v="1"/>
    <x v="0"/>
    <x v="2"/>
    <s v="PROD59"/>
    <s v="Men's Hair Styling Gel"/>
    <x v="2"/>
    <s v="Haircare"/>
    <s v="STORE6"/>
    <x v="3"/>
    <x v="1"/>
    <n v="180.84"/>
    <n v="0.03"/>
    <x v="1"/>
    <b v="1"/>
    <n v="526.24439999999993"/>
    <n v="526.24439999999993"/>
  </r>
  <r>
    <s v="SALE1137"/>
    <x v="522"/>
    <x v="0"/>
    <s v="CUST1004"/>
    <x v="0"/>
    <x v="1"/>
    <x v="2"/>
    <s v="PROD64"/>
    <s v="Matte Lipstick Set"/>
    <x v="2"/>
    <s v="Makeup"/>
    <s v="STORE16"/>
    <x v="1"/>
    <x v="0"/>
    <n v="453.41"/>
    <n v="0.04"/>
    <x v="2"/>
    <b v="1"/>
    <n v="435.27359999999999"/>
    <n v="435.27359999999999"/>
  </r>
  <r>
    <s v="SALE1138"/>
    <x v="280"/>
    <x v="2"/>
    <s v="CUST1024"/>
    <x v="1"/>
    <x v="0"/>
    <x v="1"/>
    <s v="PROD51"/>
    <s v="HDMI Cable – 2m"/>
    <x v="1"/>
    <s v="Accessories"/>
    <s v="STORE6"/>
    <x v="3"/>
    <x v="0"/>
    <n v="629.09"/>
    <n v="0.02"/>
    <x v="0"/>
    <b v="1"/>
    <n v="616.50819999999999"/>
    <n v="616.50819999999999"/>
  </r>
  <r>
    <s v="SALE1139"/>
    <x v="79"/>
    <x v="0"/>
    <s v="CUST1022"/>
    <x v="1"/>
    <x v="1"/>
    <x v="2"/>
    <s v="PROD77"/>
    <s v="WiFi Mesh Router"/>
    <x v="1"/>
    <s v="Appliances"/>
    <s v="STORE2"/>
    <x v="2"/>
    <x v="3"/>
    <n v="257.45"/>
    <n v="0"/>
    <x v="2"/>
    <b v="1"/>
    <n v="514.9"/>
    <n v="514.9"/>
  </r>
  <r>
    <s v="SALE1140"/>
    <x v="206"/>
    <x v="2"/>
    <s v="CUST1179"/>
    <x v="1"/>
    <x v="1"/>
    <x v="2"/>
    <s v="PROD34"/>
    <s v="Gaming Mechanical Keyboard"/>
    <x v="1"/>
    <s v="Computer"/>
    <s v="STORE15"/>
    <x v="0"/>
    <x v="3"/>
    <n v="696.61"/>
    <n v="0.17"/>
    <x v="1"/>
    <b v="1"/>
    <n v="1156.3725999999999"/>
    <n v="1156.3725999999999"/>
  </r>
  <r>
    <s v="SALE1141"/>
    <x v="579"/>
    <x v="0"/>
    <s v="CUST1373"/>
    <x v="1"/>
    <x v="1"/>
    <x v="0"/>
    <s v="PROD46"/>
    <s v="Men's Winter Jacket"/>
    <x v="4"/>
    <s v="Outerwear"/>
    <s v="STORE7"/>
    <x v="2"/>
    <x v="3"/>
    <n v="143.79"/>
    <n v="0.1"/>
    <x v="1"/>
    <b v="1"/>
    <n v="258.822"/>
    <n v="258.822"/>
  </r>
  <r>
    <s v="SALE1142"/>
    <x v="418"/>
    <x v="0"/>
    <s v="CUST1296"/>
    <x v="2"/>
    <x v="1"/>
    <x v="3"/>
    <s v="PROD83"/>
    <s v="Hydrating Face Cleanser"/>
    <x v="2"/>
    <s v="Skincare"/>
    <s v="STORE1"/>
    <x v="0"/>
    <x v="1"/>
    <n v="460.93"/>
    <n v="0.19"/>
    <x v="2"/>
    <b v="1"/>
    <n v="1120.0599"/>
    <n v="1120.0599"/>
  </r>
  <r>
    <s v="SALE1143"/>
    <x v="445"/>
    <x v="0"/>
    <s v="CUST1499"/>
    <x v="2"/>
    <x v="1"/>
    <x v="1"/>
    <s v="PROD28"/>
    <s v="Sports Stopwatch Timer"/>
    <x v="0"/>
    <s v="Accessories"/>
    <s v="STORE9"/>
    <x v="2"/>
    <x v="3"/>
    <n v="67.55"/>
    <n v="0.03"/>
    <x v="0"/>
    <b v="1"/>
    <n v="131.047"/>
    <n v="131.047"/>
  </r>
  <r>
    <s v="SALE1144"/>
    <x v="138"/>
    <x v="0"/>
    <s v="CUST1210"/>
    <x v="1"/>
    <x v="0"/>
    <x v="2"/>
    <s v="PROD49"/>
    <s v="Men's Roll-On Perfume"/>
    <x v="2"/>
    <s v="Fragrance"/>
    <s v="STORE1"/>
    <x v="0"/>
    <x v="1"/>
    <n v="803.31"/>
    <n v="0.1"/>
    <x v="1"/>
    <b v="1"/>
    <n v="2168.9369999999999"/>
    <n v="2168.9369999999999"/>
  </r>
  <r>
    <s v="SALE1145"/>
    <x v="468"/>
    <x v="2"/>
    <s v="CUST1432"/>
    <x v="1"/>
    <x v="0"/>
    <x v="3"/>
    <s v="PROD16"/>
    <s v="Beard Grooming Kit"/>
    <x v="2"/>
    <s v="Grooming"/>
    <s v="STORE13"/>
    <x v="3"/>
    <x v="2"/>
    <n v="254.71"/>
    <n v="0.2"/>
    <x v="2"/>
    <b v="1"/>
    <n v="815.07200000000012"/>
    <n v="815.07200000000012"/>
  </r>
  <r>
    <s v="SALE1146"/>
    <x v="151"/>
    <x v="0"/>
    <s v="CUST1051"/>
    <x v="2"/>
    <x v="1"/>
    <x v="0"/>
    <s v="PROD50"/>
    <s v="Boxing Hand Wraps"/>
    <x v="0"/>
    <s v="Fitness"/>
    <s v="STORE4"/>
    <x v="2"/>
    <x v="2"/>
    <n v="594.89"/>
    <n v="0.3"/>
    <x v="1"/>
    <b v="1"/>
    <n v="1665.6919999999998"/>
    <n v="1665.692"/>
  </r>
  <r>
    <s v="SALE1147"/>
    <x v="58"/>
    <x v="2"/>
    <s v="CUST1219"/>
    <x v="1"/>
    <x v="1"/>
    <x v="0"/>
    <s v="PROD91"/>
    <s v="Women's High Heels"/>
    <x v="4"/>
    <s v="Footwear"/>
    <s v="STORE0"/>
    <x v="3"/>
    <x v="3"/>
    <n v="844.31"/>
    <n v="7.0000000000000007E-2"/>
    <x v="1"/>
    <b v="1"/>
    <n v="1570.4165999999998"/>
    <n v="1570.4166"/>
  </r>
  <r>
    <s v="SALE1148"/>
    <x v="368"/>
    <x v="0"/>
    <s v="CUST1134"/>
    <x v="0"/>
    <x v="0"/>
    <x v="0"/>
    <s v="PROD15"/>
    <s v="4K Home Projector"/>
    <x v="1"/>
    <s v="Appliances"/>
    <s v="STORE6"/>
    <x v="3"/>
    <x v="2"/>
    <n v="101.33"/>
    <n v="0"/>
    <x v="0"/>
    <b v="1"/>
    <n v="405.32"/>
    <n v="405.32"/>
  </r>
  <r>
    <s v="SALE1149"/>
    <x v="317"/>
    <x v="2"/>
    <s v="CUST1131"/>
    <x v="1"/>
    <x v="1"/>
    <x v="3"/>
    <s v="PROD26"/>
    <s v="Wireless Bluetooth Speaker"/>
    <x v="1"/>
    <s v="Audio"/>
    <s v="STORE8"/>
    <x v="1"/>
    <x v="1"/>
    <n v="922.56"/>
    <n v="0.18"/>
    <x v="1"/>
    <b v="1"/>
    <n v="2269.4976000000001"/>
    <n v="2269.4976000000001"/>
  </r>
  <r>
    <s v="SALE1150"/>
    <x v="580"/>
    <x v="0"/>
    <s v="CUST1432"/>
    <x v="1"/>
    <x v="0"/>
    <x v="3"/>
    <s v="PROD38"/>
    <s v="Sports Water Hydration Pack"/>
    <x v="0"/>
    <s v="Outdoor"/>
    <s v="STORE14"/>
    <x v="2"/>
    <x v="2"/>
    <n v="867.19"/>
    <n v="7.0000000000000007E-2"/>
    <x v="2"/>
    <b v="1"/>
    <n v="3225.9468000000002"/>
    <n v="3225.9468000000002"/>
  </r>
  <r>
    <s v="SALE1151"/>
    <x v="146"/>
    <x v="0"/>
    <s v="CUST1006"/>
    <x v="2"/>
    <x v="1"/>
    <x v="1"/>
    <s v="PROD83"/>
    <s v="Hydrating Face Cleanser"/>
    <x v="2"/>
    <s v="Skincare"/>
    <s v="STORE17"/>
    <x v="0"/>
    <x v="1"/>
    <n v="816.87"/>
    <n v="0.14000000000000001"/>
    <x v="1"/>
    <b v="1"/>
    <n v="2107.5246000000002"/>
    <n v="2107.5246000000002"/>
  </r>
  <r>
    <s v="SALE1152"/>
    <x v="268"/>
    <x v="2"/>
    <s v="CUST1480"/>
    <x v="1"/>
    <x v="0"/>
    <x v="3"/>
    <s v="PROD65"/>
    <s v="Adjustable Dumbbells 20kg"/>
    <x v="0"/>
    <s v="Fitness"/>
    <s v="STORE3"/>
    <x v="0"/>
    <x v="1"/>
    <n v="258.06"/>
    <n v="0"/>
    <x v="1"/>
    <b v="1"/>
    <n v="774.18000000000006"/>
    <n v="774.18000000000006"/>
  </r>
  <r>
    <s v="SALE1153"/>
    <x v="544"/>
    <x v="2"/>
    <s v="CUST1312"/>
    <x v="1"/>
    <x v="1"/>
    <x v="2"/>
    <s v="PROD38"/>
    <s v="Sports Water Hydration Pack"/>
    <x v="0"/>
    <s v="Outdoor"/>
    <s v="STORE14"/>
    <x v="2"/>
    <x v="3"/>
    <n v="574.58000000000004"/>
    <n v="0.06"/>
    <x v="0"/>
    <b v="1"/>
    <n v="1080.2103999999999"/>
    <n v="1080.2103999999999"/>
  </r>
  <r>
    <s v="SALE1154"/>
    <x v="92"/>
    <x v="0"/>
    <s v="CUST1022"/>
    <x v="1"/>
    <x v="1"/>
    <x v="2"/>
    <s v="PROD83"/>
    <s v="Hydrating Face Cleanser"/>
    <x v="2"/>
    <s v="Skincare"/>
    <s v="STORE6"/>
    <x v="3"/>
    <x v="3"/>
    <n v="472.18"/>
    <n v="0.27"/>
    <x v="1"/>
    <b v="1"/>
    <n v="689.38279999999997"/>
    <n v="689.38279999999997"/>
  </r>
  <r>
    <s v="SALE1155"/>
    <x v="90"/>
    <x v="0"/>
    <s v="CUST1340"/>
    <x v="2"/>
    <x v="0"/>
    <x v="3"/>
    <s v="PROD41"/>
    <s v="Yoga Exercise Mat"/>
    <x v="0"/>
    <s v="Fitness"/>
    <s v="STORE5"/>
    <x v="0"/>
    <x v="3"/>
    <n v="20.47"/>
    <n v="0.12"/>
    <x v="2"/>
    <b v="1"/>
    <n v="36.027200000000001"/>
    <n v="36.027200000000001"/>
  </r>
  <r>
    <s v="SALE1156"/>
    <x v="28"/>
    <x v="2"/>
    <s v="CUST1023"/>
    <x v="0"/>
    <x v="1"/>
    <x v="2"/>
    <s v="PROD22"/>
    <s v="Carbon Fiber Tennis Racket"/>
    <x v="0"/>
    <s v="Equipment"/>
    <s v="STORE7"/>
    <x v="2"/>
    <x v="1"/>
    <n v="235.41"/>
    <n v="0.15"/>
    <x v="1"/>
    <b v="1"/>
    <n v="600.29549999999995"/>
    <n v="600.29549999999995"/>
  </r>
  <r>
    <s v="SALE1157"/>
    <x v="323"/>
    <x v="2"/>
    <s v="CUST1230"/>
    <x v="2"/>
    <x v="0"/>
    <x v="3"/>
    <s v="PROD78"/>
    <s v="Essential Oil Diffuser"/>
    <x v="3"/>
    <s v="Decor"/>
    <s v="STORE7"/>
    <x v="2"/>
    <x v="1"/>
    <n v="744.9"/>
    <n v="0.27"/>
    <x v="1"/>
    <b v="1"/>
    <n v="1631.3309999999999"/>
    <n v="1631.3309999999999"/>
  </r>
  <r>
    <s v="SALE1158"/>
    <x v="204"/>
    <x v="0"/>
    <s v="CUST1047"/>
    <x v="0"/>
    <x v="1"/>
    <x v="2"/>
    <s v="PROD18"/>
    <s v="Women's Denim Jeans"/>
    <x v="4"/>
    <s v="Bottoms"/>
    <s v="STORE3"/>
    <x v="0"/>
    <x v="3"/>
    <n v="382.2"/>
    <n v="0.15"/>
    <x v="0"/>
    <b v="1"/>
    <n v="649.74"/>
    <n v="649.74"/>
  </r>
  <r>
    <s v="SALE1159"/>
    <x v="377"/>
    <x v="2"/>
    <s v="CUST1346"/>
    <x v="0"/>
    <x v="1"/>
    <x v="1"/>
    <s v="PROD90"/>
    <s v="Gaming Mouse Pad XL"/>
    <x v="1"/>
    <s v="Accessories"/>
    <s v="STORE16"/>
    <x v="1"/>
    <x v="0"/>
    <n v="269.25"/>
    <n v="0.14000000000000001"/>
    <x v="1"/>
    <b v="1"/>
    <n v="231.55500000000001"/>
    <n v="231.55500000000001"/>
  </r>
  <r>
    <s v="SALE1160"/>
    <x v="581"/>
    <x v="0"/>
    <s v="CUST1365"/>
    <x v="0"/>
    <x v="1"/>
    <x v="1"/>
    <s v="PROD30"/>
    <s v="Stainless Steel Cutlery Set"/>
    <x v="3"/>
    <s v="Kitchen"/>
    <s v="STORE11"/>
    <x v="2"/>
    <x v="3"/>
    <n v="723.75"/>
    <n v="0.03"/>
    <x v="1"/>
    <b v="1"/>
    <n v="1404.075"/>
    <n v="1404.075"/>
  </r>
  <r>
    <s v="SALE1161"/>
    <x v="448"/>
    <x v="2"/>
    <s v="CUST1281"/>
    <x v="0"/>
    <x v="0"/>
    <x v="1"/>
    <s v="PROD19"/>
    <s v="Knee Support Brace"/>
    <x v="0"/>
    <s v="Equipment"/>
    <s v="STORE19"/>
    <x v="3"/>
    <x v="2"/>
    <n v="58.92"/>
    <n v="0.18"/>
    <x v="0"/>
    <b v="1"/>
    <n v="193.25760000000002"/>
    <n v="193.2576"/>
  </r>
  <r>
    <s v="SALE1162"/>
    <x v="240"/>
    <x v="0"/>
    <s v="CUST1188"/>
    <x v="1"/>
    <x v="0"/>
    <x v="2"/>
    <s v="PROD71"/>
    <s v="Hair Repair Oil Treatment"/>
    <x v="2"/>
    <s v="Haircare"/>
    <s v="STORE10"/>
    <x v="3"/>
    <x v="3"/>
    <n v="913.08"/>
    <n v="0.26"/>
    <x v="0"/>
    <b v="1"/>
    <n v="1351.3584000000001"/>
    <n v="1351.3584000000001"/>
  </r>
  <r>
    <s v="SALE1163"/>
    <x v="501"/>
    <x v="2"/>
    <s v="CUST1242"/>
    <x v="0"/>
    <x v="1"/>
    <x v="2"/>
    <s v="PROD81"/>
    <s v="Badminton Racket Set"/>
    <x v="0"/>
    <s v="Equipment"/>
    <s v="STORE1"/>
    <x v="0"/>
    <x v="0"/>
    <n v="791.83"/>
    <n v="0.28000000000000003"/>
    <x v="1"/>
    <b v="1"/>
    <n v="570.11760000000004"/>
    <n v="570.11760000000004"/>
  </r>
  <r>
    <s v="SALE1164"/>
    <x v="582"/>
    <x v="0"/>
    <s v="CUST1471"/>
    <x v="1"/>
    <x v="0"/>
    <x v="1"/>
    <s v="PROD3"/>
    <s v="Men's Running Jacket"/>
    <x v="4"/>
    <s v="Outerwear"/>
    <s v="STORE15"/>
    <x v="0"/>
    <x v="0"/>
    <n v="74.290000000000006"/>
    <n v="0.3"/>
    <x v="2"/>
    <b v="1"/>
    <n v="52.003"/>
    <n v="52.003"/>
  </r>
  <r>
    <s v="SALE1165"/>
    <x v="378"/>
    <x v="1"/>
    <s v="CUST1243"/>
    <x v="0"/>
    <x v="1"/>
    <x v="0"/>
    <s v="PROD35"/>
    <s v="Bedroom Table Lamp"/>
    <x v="3"/>
    <s v="Lighting"/>
    <s v="STORE0"/>
    <x v="3"/>
    <x v="3"/>
    <n v="961.68"/>
    <n v="0.27"/>
    <x v="1"/>
    <b v="1"/>
    <n v="1404.0527999999999"/>
    <n v="1404.0527999999999"/>
  </r>
  <r>
    <s v="SALE1166"/>
    <x v="578"/>
    <x v="2"/>
    <s v="CUST1494"/>
    <x v="2"/>
    <x v="0"/>
    <x v="0"/>
    <s v="PROD19"/>
    <s v="Knee Support Brace"/>
    <x v="0"/>
    <s v="Equipment"/>
    <s v="STORE14"/>
    <x v="2"/>
    <x v="0"/>
    <n v="90.72"/>
    <n v="0.1"/>
    <x v="1"/>
    <b v="1"/>
    <n v="81.647999999999996"/>
    <n v="81.647999999999996"/>
  </r>
  <r>
    <s v="SALE1167"/>
    <x v="50"/>
    <x v="2"/>
    <s v="CUST1060"/>
    <x v="2"/>
    <x v="1"/>
    <x v="2"/>
    <s v="PROD58"/>
    <s v="Womens Cotton Scarf"/>
    <x v="4"/>
    <s v="Accessories"/>
    <s v="STORE7"/>
    <x v="2"/>
    <x v="0"/>
    <n v="458.69"/>
    <n v="0.16"/>
    <x v="1"/>
    <b v="1"/>
    <n v="385.2996"/>
    <n v="385.2996"/>
  </r>
  <r>
    <s v="SALE1168"/>
    <x v="360"/>
    <x v="0"/>
    <s v="CUST1231"/>
    <x v="2"/>
    <x v="1"/>
    <x v="3"/>
    <s v="PROD34"/>
    <s v="Gaming Mechanical Keyboard"/>
    <x v="1"/>
    <s v="Computer"/>
    <s v="STORE7"/>
    <x v="2"/>
    <x v="0"/>
    <n v="168.29"/>
    <n v="0.05"/>
    <x v="1"/>
    <b v="1"/>
    <n v="159.87549999999999"/>
    <n v="159.87549999999999"/>
  </r>
  <r>
    <s v="SALE1169"/>
    <x v="583"/>
    <x v="0"/>
    <s v="CUST1211"/>
    <x v="2"/>
    <x v="1"/>
    <x v="2"/>
    <s v="PROD17"/>
    <s v="Soccer Training Cone Set"/>
    <x v="0"/>
    <s v="Accessories"/>
    <s v="STORE17"/>
    <x v="0"/>
    <x v="0"/>
    <n v="391.77"/>
    <n v="0.1"/>
    <x v="1"/>
    <b v="1"/>
    <n v="352.59300000000002"/>
    <n v="352.59300000000002"/>
  </r>
  <r>
    <s v="SALE1170"/>
    <x v="584"/>
    <x v="2"/>
    <s v="CUST1343"/>
    <x v="1"/>
    <x v="0"/>
    <x v="3"/>
    <s v="PROD12"/>
    <s v="Hair Strengthening Shampoo"/>
    <x v="2"/>
    <s v="Haircare"/>
    <s v="STORE14"/>
    <x v="2"/>
    <x v="0"/>
    <n v="424.83"/>
    <n v="0.05"/>
    <x v="2"/>
    <b v="1"/>
    <n v="403.58849999999995"/>
    <n v="403.58850000000001"/>
  </r>
  <r>
    <s v="SALE1171"/>
    <x v="238"/>
    <x v="0"/>
    <s v="CUST1053"/>
    <x v="1"/>
    <x v="1"/>
    <x v="0"/>
    <s v="PROD11"/>
    <s v="HD Smart TV Stick"/>
    <x v="1"/>
    <s v="Accessories"/>
    <s v="STORE3"/>
    <x v="0"/>
    <x v="0"/>
    <n v="499.46"/>
    <n v="0.1"/>
    <x v="0"/>
    <b v="1"/>
    <n v="449.51400000000001"/>
    <n v="449.51400000000001"/>
  </r>
  <r>
    <s v="SALE1172"/>
    <x v="314"/>
    <x v="0"/>
    <s v="CUST1019"/>
    <x v="1"/>
    <x v="1"/>
    <x v="1"/>
    <s v="PROD99"/>
    <s v="Stainless Steel Cookware Set"/>
    <x v="3"/>
    <s v="Kitchen"/>
    <s v="STORE1"/>
    <x v="0"/>
    <x v="3"/>
    <n v="698.34"/>
    <n v="0.15"/>
    <x v="1"/>
    <b v="1"/>
    <n v="1187.1780000000001"/>
    <n v="1187.1780000000001"/>
  </r>
  <r>
    <s v="SALE1173"/>
    <x v="64"/>
    <x v="1"/>
    <s v="CUST1283"/>
    <x v="0"/>
    <x v="1"/>
    <x v="2"/>
    <s v="PROD56"/>
    <s v="Premium Blanket Throw"/>
    <x v="3"/>
    <s v="Decor"/>
    <s v="STORE16"/>
    <x v="1"/>
    <x v="3"/>
    <n v="805.08"/>
    <n v="0.27"/>
    <x v="1"/>
    <b v="1"/>
    <n v="1175.4168"/>
    <n v="1175.4168"/>
  </r>
  <r>
    <s v="SALE1174"/>
    <x v="177"/>
    <x v="2"/>
    <s v="CUST1466"/>
    <x v="2"/>
    <x v="0"/>
    <x v="2"/>
    <s v="PROD76"/>
    <s v="Wireless Mouse"/>
    <x v="1"/>
    <s v="Computer"/>
    <s v="STORE2"/>
    <x v="2"/>
    <x v="2"/>
    <n v="934.79"/>
    <n v="0.08"/>
    <x v="1"/>
    <b v="1"/>
    <n v="3440.0272"/>
    <n v="3440.0272"/>
  </r>
  <r>
    <s v="SALE1175"/>
    <x v="230"/>
    <x v="2"/>
    <s v="CUST1019"/>
    <x v="1"/>
    <x v="1"/>
    <x v="1"/>
    <s v="PROD60"/>
    <s v="Luxury Perfume Spray"/>
    <x v="2"/>
    <s v="Fragrance"/>
    <s v="STORE1"/>
    <x v="0"/>
    <x v="3"/>
    <n v="424.54"/>
    <n v="0.24"/>
    <x v="1"/>
    <b v="1"/>
    <n v="645.30080000000009"/>
    <n v="645.30080000000009"/>
  </r>
  <r>
    <s v="SALE1176"/>
    <x v="55"/>
    <x v="0"/>
    <s v="CUST1327"/>
    <x v="0"/>
    <x v="1"/>
    <x v="3"/>
    <s v="PROD84"/>
    <s v="Wooden Bookshelf"/>
    <x v="3"/>
    <s v="Furniture"/>
    <s v="STORE17"/>
    <x v="0"/>
    <x v="0"/>
    <n v="235.44"/>
    <n v="0.19"/>
    <x v="2"/>
    <b v="1"/>
    <n v="190.7064"/>
    <n v="190.7064"/>
  </r>
  <r>
    <s v="SALE1177"/>
    <x v="352"/>
    <x v="0"/>
    <s v="CUST1271"/>
    <x v="0"/>
    <x v="0"/>
    <x v="1"/>
    <s v="PROD49"/>
    <s v="Men's Roll-On Perfume"/>
    <x v="2"/>
    <s v="Fragrance"/>
    <s v="STORE13"/>
    <x v="3"/>
    <x v="3"/>
    <n v="620.71"/>
    <n v="0.27"/>
    <x v="0"/>
    <b v="1"/>
    <n v="906.23660000000007"/>
    <n v="906.23660000000007"/>
  </r>
  <r>
    <s v="SALE1178"/>
    <x v="433"/>
    <x v="0"/>
    <s v="CUST1115"/>
    <x v="0"/>
    <x v="1"/>
    <x v="1"/>
    <s v="PROD16"/>
    <s v="Beard Grooming Kit"/>
    <x v="2"/>
    <s v="Grooming"/>
    <s v="STORE11"/>
    <x v="2"/>
    <x v="3"/>
    <n v="851.77"/>
    <n v="0.13"/>
    <x v="1"/>
    <b v="1"/>
    <n v="1482.0798"/>
    <n v="1482.0798"/>
  </r>
  <r>
    <s v="SALE1179"/>
    <x v="368"/>
    <x v="0"/>
    <s v="CUST1168"/>
    <x v="1"/>
    <x v="1"/>
    <x v="1"/>
    <s v="PROD45"/>
    <s v="High-Grip Football"/>
    <x v="0"/>
    <s v="Team Sports"/>
    <s v="STORE1"/>
    <x v="0"/>
    <x v="1"/>
    <n v="876.01"/>
    <n v="0.2"/>
    <x v="0"/>
    <b v="1"/>
    <n v="2102.424"/>
    <n v="2102.424"/>
  </r>
  <r>
    <s v="SALE1180"/>
    <x v="396"/>
    <x v="0"/>
    <s v="CUST1276"/>
    <x v="1"/>
    <x v="0"/>
    <x v="0"/>
    <s v="PROD27"/>
    <s v="Decorative Floor Vase"/>
    <x v="3"/>
    <s v="Decor"/>
    <s v="STORE9"/>
    <x v="2"/>
    <x v="3"/>
    <n v="717.21"/>
    <n v="0.15"/>
    <x v="2"/>
    <b v="1"/>
    <n v="1219.2570000000001"/>
    <n v="1219.2570000000001"/>
  </r>
  <r>
    <s v="SALE1181"/>
    <x v="530"/>
    <x v="0"/>
    <s v="CUST1056"/>
    <x v="1"/>
    <x v="1"/>
    <x v="0"/>
    <s v="PROD41"/>
    <s v="Yoga Exercise Mat"/>
    <x v="0"/>
    <s v="Fitness"/>
    <s v="STORE8"/>
    <x v="1"/>
    <x v="3"/>
    <n v="871.43"/>
    <n v="0.05"/>
    <x v="0"/>
    <b v="1"/>
    <n v="1655.7169999999999"/>
    <n v="1655.7170000000001"/>
  </r>
  <r>
    <s v="SALE1182"/>
    <x v="585"/>
    <x v="0"/>
    <s v="CUST1453"/>
    <x v="0"/>
    <x v="1"/>
    <x v="1"/>
    <s v="PROD36"/>
    <s v="Women's Summer Dress"/>
    <x v="4"/>
    <s v="Tops"/>
    <s v="STORE7"/>
    <x v="2"/>
    <x v="0"/>
    <n v="514.65"/>
    <n v="0.18"/>
    <x v="0"/>
    <b v="1"/>
    <n v="422.01300000000003"/>
    <n v="422.01299999999998"/>
  </r>
  <r>
    <s v="SALE1183"/>
    <x v="447"/>
    <x v="0"/>
    <s v="CUST1459"/>
    <x v="2"/>
    <x v="1"/>
    <x v="0"/>
    <s v="PROD62"/>
    <s v="Laptop Cooling Pad"/>
    <x v="1"/>
    <s v="Computer"/>
    <s v="STORE16"/>
    <x v="1"/>
    <x v="1"/>
    <n v="198.76"/>
    <n v="0.28000000000000003"/>
    <x v="2"/>
    <b v="1"/>
    <n v="429.32159999999999"/>
    <n v="429.32159999999999"/>
  </r>
  <r>
    <s v="SALE1184"/>
    <x v="323"/>
    <x v="2"/>
    <s v="CUST1225"/>
    <x v="1"/>
    <x v="1"/>
    <x v="1"/>
    <s v="PROD63"/>
    <s v="Organic Sunscreen Lotion"/>
    <x v="2"/>
    <s v="Skincare"/>
    <s v="STORE3"/>
    <x v="0"/>
    <x v="3"/>
    <n v="975.72"/>
    <n v="0.16"/>
    <x v="2"/>
    <b v="1"/>
    <n v="1639.2095999999999"/>
    <n v="1639.2095999999999"/>
  </r>
  <r>
    <s v="SALE1185"/>
    <x v="586"/>
    <x v="0"/>
    <s v="CUST1420"/>
    <x v="0"/>
    <x v="0"/>
    <x v="3"/>
    <s v="PROD15"/>
    <s v="4K Home Projector"/>
    <x v="1"/>
    <s v="Appliances"/>
    <s v="STORE1"/>
    <x v="0"/>
    <x v="0"/>
    <n v="86.03"/>
    <n v="0.01"/>
    <x v="0"/>
    <b v="1"/>
    <n v="85.169700000000006"/>
    <n v="85.169700000000006"/>
  </r>
  <r>
    <s v="SALE1186"/>
    <x v="67"/>
    <x v="2"/>
    <s v="CUST1087"/>
    <x v="0"/>
    <x v="1"/>
    <x v="3"/>
    <s v="PROD54"/>
    <s v="Sports Stopwatch Pro"/>
    <x v="0"/>
    <s v="Accessories"/>
    <s v="STORE12"/>
    <x v="0"/>
    <x v="2"/>
    <n v="705.12"/>
    <n v="0.15"/>
    <x v="1"/>
    <b v="1"/>
    <n v="2397.4079999999999"/>
    <n v="2397.4079999999999"/>
  </r>
  <r>
    <s v="SALE1187"/>
    <x v="392"/>
    <x v="0"/>
    <s v="CUST1371"/>
    <x v="2"/>
    <x v="1"/>
    <x v="1"/>
    <s v="PROD18"/>
    <s v="Women's Denim Jeans"/>
    <x v="4"/>
    <s v="Bottoms"/>
    <s v="STORE12"/>
    <x v="0"/>
    <x v="1"/>
    <n v="99.77"/>
    <n v="0.01"/>
    <x v="1"/>
    <b v="1"/>
    <n v="296.31689999999998"/>
    <n v="296.31689999999998"/>
  </r>
  <r>
    <s v="SALE1188"/>
    <x v="89"/>
    <x v="0"/>
    <s v="CUST1209"/>
    <x v="1"/>
    <x v="1"/>
    <x v="1"/>
    <s v="PROD34"/>
    <s v="Gaming Mechanical Keyboard"/>
    <x v="1"/>
    <s v="Computer"/>
    <s v="STORE9"/>
    <x v="2"/>
    <x v="3"/>
    <n v="166.26"/>
    <n v="0.14000000000000001"/>
    <x v="1"/>
    <b v="1"/>
    <n v="285.96719999999999"/>
    <n v="285.96719999999999"/>
  </r>
  <r>
    <s v="SALE1189"/>
    <x v="148"/>
    <x v="2"/>
    <s v="CUST1459"/>
    <x v="2"/>
    <x v="1"/>
    <x v="0"/>
    <s v="PROD26"/>
    <s v="Wireless Bluetooth Speaker"/>
    <x v="1"/>
    <s v="Audio"/>
    <s v="STORE5"/>
    <x v="0"/>
    <x v="0"/>
    <n v="429.25"/>
    <n v="0.28999999999999998"/>
    <x v="0"/>
    <b v="1"/>
    <n v="304.76749999999998"/>
    <n v="304.76749999999998"/>
  </r>
  <r>
    <s v="SALE1190"/>
    <x v="569"/>
    <x v="0"/>
    <s v="CUST1443"/>
    <x v="0"/>
    <x v="0"/>
    <x v="2"/>
    <s v="PROD0"/>
    <s v="Brother Laser Printer"/>
    <x v="1"/>
    <s v="Computer"/>
    <s v="STORE9"/>
    <x v="2"/>
    <x v="3"/>
    <n v="540.48"/>
    <n v="0.28999999999999998"/>
    <x v="0"/>
    <b v="1"/>
    <n v="767.48159999999996"/>
    <n v="767.48159999999996"/>
  </r>
  <r>
    <s v="SALE1191"/>
    <x v="494"/>
    <x v="2"/>
    <s v="CUST1269"/>
    <x v="1"/>
    <x v="1"/>
    <x v="2"/>
    <s v="PROD59"/>
    <s v="Men's Hair Styling Gel"/>
    <x v="2"/>
    <s v="Haircare"/>
    <s v="STORE14"/>
    <x v="2"/>
    <x v="3"/>
    <n v="579.52"/>
    <n v="0.01"/>
    <x v="1"/>
    <b v="1"/>
    <n v="1147.4495999999999"/>
    <n v="1147.4495999999999"/>
  </r>
  <r>
    <s v="SALE1192"/>
    <x v="587"/>
    <x v="0"/>
    <s v="CUST1026"/>
    <x v="2"/>
    <x v="1"/>
    <x v="0"/>
    <s v="PROD69"/>
    <s v="Men's Sports Shorts"/>
    <x v="4"/>
    <s v="Bottoms"/>
    <s v="STORE17"/>
    <x v="0"/>
    <x v="2"/>
    <n v="477.52"/>
    <n v="7.0000000000000007E-2"/>
    <x v="1"/>
    <b v="1"/>
    <n v="1776.3743999999999"/>
    <n v="1776.3743999999999"/>
  </r>
  <r>
    <s v="SALE1193"/>
    <x v="105"/>
    <x v="2"/>
    <s v="CUST1259"/>
    <x v="1"/>
    <x v="1"/>
    <x v="2"/>
    <s v="PROD91"/>
    <s v="Women's High Heels"/>
    <x v="4"/>
    <s v="Footwear"/>
    <s v="STORE6"/>
    <x v="3"/>
    <x v="1"/>
    <n v="242.58"/>
    <n v="0.25"/>
    <x v="0"/>
    <b v="1"/>
    <n v="545.80500000000006"/>
    <n v="545.80500000000006"/>
  </r>
  <r>
    <s v="SALE1194"/>
    <x v="400"/>
    <x v="1"/>
    <s v="CUST1367"/>
    <x v="0"/>
    <x v="0"/>
    <x v="3"/>
    <s v="PROD26"/>
    <s v="Wireless Bluetooth Speaker"/>
    <x v="1"/>
    <s v="Audio"/>
    <s v="STORE17"/>
    <x v="0"/>
    <x v="3"/>
    <n v="519.29999999999995"/>
    <n v="0.09"/>
    <x v="1"/>
    <b v="1"/>
    <n v="945.12599999999998"/>
    <n v="945.12599999999998"/>
  </r>
  <r>
    <s v="SALE1195"/>
    <x v="588"/>
    <x v="2"/>
    <s v="CUST1491"/>
    <x v="0"/>
    <x v="1"/>
    <x v="0"/>
    <s v="PROD94"/>
    <s v="Vitamin E Body Lotion"/>
    <x v="2"/>
    <s v="Skincare"/>
    <s v="STORE11"/>
    <x v="2"/>
    <x v="1"/>
    <n v="845.67"/>
    <n v="0.12"/>
    <x v="2"/>
    <b v="1"/>
    <n v="2232.5688"/>
    <n v="2232.5688"/>
  </r>
  <r>
    <s v="SALE1196"/>
    <x v="511"/>
    <x v="0"/>
    <s v="CUST1305"/>
    <x v="0"/>
    <x v="0"/>
    <x v="1"/>
    <s v="PROD55"/>
    <s v="Ceramic Plant Pot"/>
    <x v="3"/>
    <s v="Decor"/>
    <s v="STORE16"/>
    <x v="1"/>
    <x v="2"/>
    <n v="750.26"/>
    <n v="0.01"/>
    <x v="1"/>
    <b v="1"/>
    <n v="2971.0295999999998"/>
    <n v="2971.0295999999998"/>
  </r>
  <r>
    <s v="SALE1197"/>
    <x v="408"/>
    <x v="0"/>
    <s v="CUST1332"/>
    <x v="1"/>
    <x v="1"/>
    <x v="3"/>
    <s v="PROD92"/>
    <s v="Microwave Oven"/>
    <x v="3"/>
    <s v="Appliances"/>
    <s v="STORE12"/>
    <x v="0"/>
    <x v="2"/>
    <n v="294.38"/>
    <n v="0.2"/>
    <x v="0"/>
    <b v="1"/>
    <n v="942.01600000000008"/>
    <n v="942.01600000000008"/>
  </r>
  <r>
    <s v="SALE1198"/>
    <x v="347"/>
    <x v="2"/>
    <s v="CUST1097"/>
    <x v="1"/>
    <x v="0"/>
    <x v="2"/>
    <s v="PROD96"/>
    <s v="Women's Formal Blazer"/>
    <x v="4"/>
    <s v="Outerwear"/>
    <s v="STORE2"/>
    <x v="2"/>
    <x v="1"/>
    <n v="583.52"/>
    <n v="7.0000000000000007E-2"/>
    <x v="1"/>
    <b v="1"/>
    <n v="1628.0207999999998"/>
    <n v="1628.0208"/>
  </r>
  <r>
    <s v="SALE1199"/>
    <x v="95"/>
    <x v="0"/>
    <s v="CUST1470"/>
    <x v="2"/>
    <x v="1"/>
    <x v="0"/>
    <s v="PROD89"/>
    <s v="Face Foundation Kit"/>
    <x v="2"/>
    <s v="Makeup"/>
    <s v="STORE16"/>
    <x v="1"/>
    <x v="3"/>
    <n v="635.22"/>
    <n v="0.3"/>
    <x v="2"/>
    <b v="1"/>
    <n v="889.30799999999999"/>
    <n v="889.30799999999999"/>
  </r>
  <r>
    <s v="SALE1200"/>
    <x v="154"/>
    <x v="0"/>
    <s v="CUST1428"/>
    <x v="2"/>
    <x v="1"/>
    <x v="3"/>
    <s v="PROD66"/>
    <s v="Women's Hair Dryer Brush"/>
    <x v="2"/>
    <s v="Haircare"/>
    <s v="STORE2"/>
    <x v="2"/>
    <x v="0"/>
    <n v="743.55"/>
    <n v="0.11"/>
    <x v="2"/>
    <b v="1"/>
    <n v="661.7595"/>
    <n v="661.7595"/>
  </r>
  <r>
    <s v="SALE1201"/>
    <x v="532"/>
    <x v="0"/>
    <s v="CUST1101"/>
    <x v="2"/>
    <x v="0"/>
    <x v="0"/>
    <s v="PROD44"/>
    <s v="Adjustable Jump Rope"/>
    <x v="0"/>
    <s v="Fitness"/>
    <s v="STORE3"/>
    <x v="0"/>
    <x v="2"/>
    <n v="530.45000000000005"/>
    <n v="0.13"/>
    <x v="0"/>
    <b v="1"/>
    <n v="1845.9660000000001"/>
    <n v="1845.9659999999999"/>
  </r>
  <r>
    <s v="SALE1202"/>
    <x v="160"/>
    <x v="0"/>
    <s v="CUST1264"/>
    <x v="2"/>
    <x v="0"/>
    <x v="0"/>
    <s v="PROD66"/>
    <s v="Women's Hair Dryer Brush"/>
    <x v="2"/>
    <s v="Haircare"/>
    <s v="STORE9"/>
    <x v="2"/>
    <x v="3"/>
    <n v="972.4"/>
    <n v="0.06"/>
    <x v="2"/>
    <b v="1"/>
    <n v="1828.1119999999999"/>
    <n v="1828.1120000000001"/>
  </r>
  <r>
    <s v="SALE1203"/>
    <x v="343"/>
    <x v="2"/>
    <s v="CUST1378"/>
    <x v="1"/>
    <x v="1"/>
    <x v="3"/>
    <s v="PROD15"/>
    <s v="4K Home Projector"/>
    <x v="1"/>
    <s v="Appliances"/>
    <s v="STORE18"/>
    <x v="3"/>
    <x v="1"/>
    <n v="197.93"/>
    <n v="0"/>
    <x v="2"/>
    <b v="1"/>
    <n v="593.79"/>
    <n v="593.79"/>
  </r>
  <r>
    <s v="SALE1204"/>
    <x v="509"/>
    <x v="0"/>
    <s v="CUST1342"/>
    <x v="2"/>
    <x v="1"/>
    <x v="3"/>
    <s v="PROD87"/>
    <s v="LED Bedside Lamp"/>
    <x v="3"/>
    <s v="Lighting"/>
    <s v="STORE11"/>
    <x v="2"/>
    <x v="2"/>
    <n v="565.51"/>
    <n v="0.16"/>
    <x v="1"/>
    <b v="1"/>
    <n v="1900.1135999999999"/>
    <n v="1900.1135999999999"/>
  </r>
  <r>
    <s v="SALE1205"/>
    <x v="548"/>
    <x v="0"/>
    <s v="CUST1400"/>
    <x v="0"/>
    <x v="1"/>
    <x v="1"/>
    <s v="PROD39"/>
    <s v="Portable Power Bank"/>
    <x v="1"/>
    <s v="Mobile"/>
    <s v="STORE4"/>
    <x v="2"/>
    <x v="2"/>
    <n v="983.38"/>
    <n v="0.25"/>
    <x v="2"/>
    <b v="1"/>
    <n v="2950.14"/>
    <n v="2950.14"/>
  </r>
  <r>
    <s v="SALE1206"/>
    <x v="336"/>
    <x v="1"/>
    <s v="CUST1234"/>
    <x v="1"/>
    <x v="1"/>
    <x v="0"/>
    <s v="PROD99"/>
    <s v="Stainless Steel Cookware Set"/>
    <x v="3"/>
    <s v="Kitchen"/>
    <s v="STORE9"/>
    <x v="2"/>
    <x v="0"/>
    <n v="955.06"/>
    <n v="0.14000000000000001"/>
    <x v="0"/>
    <b v="1"/>
    <n v="821.35159999999996"/>
    <n v="821.35159999999996"/>
  </r>
  <r>
    <s v="SALE1207"/>
    <x v="227"/>
    <x v="2"/>
    <s v="CUST1352"/>
    <x v="0"/>
    <x v="1"/>
    <x v="2"/>
    <s v="PROD59"/>
    <s v="Men's Hair Styling Gel"/>
    <x v="2"/>
    <s v="Haircare"/>
    <s v="STORE15"/>
    <x v="0"/>
    <x v="1"/>
    <n v="597.46"/>
    <n v="0.02"/>
    <x v="1"/>
    <b v="1"/>
    <n v="1756.5324000000001"/>
    <n v="1756.5324000000001"/>
  </r>
  <r>
    <s v="SALE1208"/>
    <x v="2"/>
    <x v="0"/>
    <s v="CUST1317"/>
    <x v="0"/>
    <x v="1"/>
    <x v="0"/>
    <s v="PROD8"/>
    <s v="Wireless Bluetooth Earbuds"/>
    <x v="1"/>
    <s v="Audio"/>
    <s v="STORE16"/>
    <x v="1"/>
    <x v="1"/>
    <n v="581.09"/>
    <n v="0.1"/>
    <x v="2"/>
    <b v="1"/>
    <n v="1568.943"/>
    <n v="1568.943"/>
  </r>
  <r>
    <s v="SALE1209"/>
    <x v="589"/>
    <x v="2"/>
    <s v="CUST1054"/>
    <x v="2"/>
    <x v="0"/>
    <x v="1"/>
    <s v="PROD30"/>
    <s v="Stainless Steel Cutlery Set"/>
    <x v="3"/>
    <s v="Kitchen"/>
    <s v="STORE4"/>
    <x v="2"/>
    <x v="2"/>
    <n v="153.94999999999999"/>
    <n v="0.11"/>
    <x v="1"/>
    <b v="1"/>
    <n v="548.06200000000001"/>
    <n v="548.06200000000001"/>
  </r>
  <r>
    <s v="SALE1210"/>
    <x v="89"/>
    <x v="0"/>
    <s v="CUST1081"/>
    <x v="1"/>
    <x v="1"/>
    <x v="1"/>
    <s v="PROD36"/>
    <s v="Women's Summer Dress"/>
    <x v="4"/>
    <s v="Tops"/>
    <s v="STORE8"/>
    <x v="1"/>
    <x v="2"/>
    <n v="271.04000000000002"/>
    <n v="0.12"/>
    <x v="2"/>
    <b v="1"/>
    <n v="954.06080000000009"/>
    <n v="954.06080000000009"/>
  </r>
  <r>
    <s v="SALE1211"/>
    <x v="114"/>
    <x v="0"/>
    <s v="CUST1015"/>
    <x v="1"/>
    <x v="1"/>
    <x v="1"/>
    <s v="PROD35"/>
    <s v="Bedroom Table Lamp"/>
    <x v="3"/>
    <s v="Lighting"/>
    <s v="STORE6"/>
    <x v="3"/>
    <x v="2"/>
    <n v="328.27"/>
    <n v="0.09"/>
    <x v="1"/>
    <b v="1"/>
    <n v="1194.9028000000001"/>
    <n v="1194.9028000000001"/>
  </r>
  <r>
    <s v="SALE1212"/>
    <x v="469"/>
    <x v="0"/>
    <s v="CUST1494"/>
    <x v="2"/>
    <x v="0"/>
    <x v="0"/>
    <s v="PROD17"/>
    <s v="Soccer Training Cone Set"/>
    <x v="0"/>
    <s v="Accessories"/>
    <s v="STORE14"/>
    <x v="2"/>
    <x v="2"/>
    <n v="884.71"/>
    <n v="0.09"/>
    <x v="1"/>
    <b v="1"/>
    <n v="3220.3444000000004"/>
    <n v="3220.3444"/>
  </r>
  <r>
    <s v="SALE1213"/>
    <x v="203"/>
    <x v="2"/>
    <s v="CUST1249"/>
    <x v="1"/>
    <x v="1"/>
    <x v="0"/>
    <s v="PROD72"/>
    <s v="Professional Jump Rope"/>
    <x v="0"/>
    <s v="Fitness"/>
    <s v="STORE4"/>
    <x v="2"/>
    <x v="0"/>
    <n v="41.39"/>
    <n v="0.01"/>
    <x v="0"/>
    <b v="1"/>
    <n v="40.976100000000002"/>
    <n v="40.976100000000002"/>
  </r>
  <r>
    <s v="SALE1214"/>
    <x v="454"/>
    <x v="2"/>
    <s v="CUST1165"/>
    <x v="1"/>
    <x v="1"/>
    <x v="1"/>
    <s v="PROD57"/>
    <s v="Foam Roller"/>
    <x v="0"/>
    <s v="Fitness"/>
    <s v="STORE9"/>
    <x v="2"/>
    <x v="2"/>
    <n v="64.06"/>
    <n v="0.26"/>
    <x v="0"/>
    <b v="1"/>
    <n v="189.61760000000001"/>
    <n v="189.61760000000001"/>
  </r>
  <r>
    <s v="SALE1215"/>
    <x v="68"/>
    <x v="2"/>
    <s v="CUST1346"/>
    <x v="0"/>
    <x v="1"/>
    <x v="1"/>
    <s v="PROD46"/>
    <s v="Men's Winter Jacket"/>
    <x v="4"/>
    <s v="Outerwear"/>
    <s v="STORE9"/>
    <x v="2"/>
    <x v="3"/>
    <n v="152.25"/>
    <n v="0.13"/>
    <x v="0"/>
    <b v="1"/>
    <n v="264.91500000000002"/>
    <n v="264.91500000000002"/>
  </r>
  <r>
    <s v="SALE1216"/>
    <x v="374"/>
    <x v="1"/>
    <s v="CUST1100"/>
    <x v="0"/>
    <x v="1"/>
    <x v="1"/>
    <s v="PROD13"/>
    <s v="USB-C Fast Charger"/>
    <x v="1"/>
    <s v="Accessories"/>
    <s v="STORE19"/>
    <x v="3"/>
    <x v="3"/>
    <n v="889.04"/>
    <n v="0.23"/>
    <x v="0"/>
    <b v="1"/>
    <n v="1369.1215999999999"/>
    <n v="1369.1215999999999"/>
  </r>
  <r>
    <s v="SALE1217"/>
    <x v="302"/>
    <x v="0"/>
    <s v="CUST1161"/>
    <x v="2"/>
    <x v="1"/>
    <x v="2"/>
    <s v="PROD37"/>
    <s v="Men's Casual Sneakers"/>
    <x v="4"/>
    <s v="Footwear"/>
    <s v="STORE10"/>
    <x v="3"/>
    <x v="1"/>
    <n v="145.25"/>
    <n v="0.24"/>
    <x v="1"/>
    <b v="1"/>
    <n v="331.17"/>
    <n v="331.17"/>
  </r>
  <r>
    <s v="SALE1218"/>
    <x v="590"/>
    <x v="0"/>
    <s v="CUST1056"/>
    <x v="1"/>
    <x v="1"/>
    <x v="0"/>
    <s v="PROD88"/>
    <s v="Sports Wrist Sweatbands"/>
    <x v="0"/>
    <s v="Accessories"/>
    <s v="STORE2"/>
    <x v="2"/>
    <x v="3"/>
    <n v="898.45"/>
    <n v="0.28999999999999998"/>
    <x v="2"/>
    <b v="1"/>
    <n v="1275.799"/>
    <n v="1275.799"/>
  </r>
  <r>
    <s v="SALE1219"/>
    <x v="591"/>
    <x v="2"/>
    <s v="CUST1030"/>
    <x v="0"/>
    <x v="1"/>
    <x v="3"/>
    <s v="PROD35"/>
    <s v="Bedroom Table Lamp"/>
    <x v="3"/>
    <s v="Lighting"/>
    <s v="STORE15"/>
    <x v="0"/>
    <x v="2"/>
    <n v="642.04999999999995"/>
    <n v="0.25"/>
    <x v="0"/>
    <b v="1"/>
    <n v="1926.1499999999999"/>
    <n v="1926.15"/>
  </r>
  <r>
    <s v="SALE1220"/>
    <x v="429"/>
    <x v="0"/>
    <s v="CUST1313"/>
    <x v="0"/>
    <x v="0"/>
    <x v="1"/>
    <s v="PROD84"/>
    <s v="Wooden Bookshelf"/>
    <x v="3"/>
    <s v="Furniture"/>
    <s v="STORE7"/>
    <x v="2"/>
    <x v="2"/>
    <n v="450.83"/>
    <n v="0.24"/>
    <x v="0"/>
    <b v="1"/>
    <n v="1370.5231999999999"/>
    <n v="1370.5232000000001"/>
  </r>
  <r>
    <s v="SALE1221"/>
    <x v="592"/>
    <x v="1"/>
    <s v="CUST1010"/>
    <x v="0"/>
    <x v="0"/>
    <x v="3"/>
    <s v="PROD52"/>
    <s v="Rugby Ball"/>
    <x v="0"/>
    <s v="Team Sports"/>
    <s v="STORE19"/>
    <x v="3"/>
    <x v="3"/>
    <n v="441.03"/>
    <n v="0.23"/>
    <x v="2"/>
    <b v="1"/>
    <n v="679.18619999999999"/>
    <n v="679.18619999999999"/>
  </r>
  <r>
    <s v="SALE1222"/>
    <x v="393"/>
    <x v="0"/>
    <s v="CUST1082"/>
    <x v="0"/>
    <x v="0"/>
    <x v="3"/>
    <s v="PROD25"/>
    <s v="Women's Scarf Set"/>
    <x v="4"/>
    <s v="Accessories"/>
    <s v="STORE2"/>
    <x v="2"/>
    <x v="1"/>
    <n v="377.69"/>
    <n v="7.0000000000000007E-2"/>
    <x v="1"/>
    <b v="1"/>
    <n v="1053.7550999999999"/>
    <n v="1053.7551000000001"/>
  </r>
  <r>
    <s v="SALE1223"/>
    <x v="579"/>
    <x v="0"/>
    <s v="CUST1160"/>
    <x v="1"/>
    <x v="1"/>
    <x v="1"/>
    <s v="PROD10"/>
    <s v="Ceramic Kitchen Bowl Set"/>
    <x v="3"/>
    <s v="Kitchen"/>
    <s v="STORE7"/>
    <x v="2"/>
    <x v="0"/>
    <n v="457.33"/>
    <n v="0.27"/>
    <x v="0"/>
    <b v="1"/>
    <n v="333.85089999999997"/>
    <n v="333.85090000000002"/>
  </r>
  <r>
    <s v="SALE1224"/>
    <x v="200"/>
    <x v="2"/>
    <s v="CUST1244"/>
    <x v="2"/>
    <x v="0"/>
    <x v="3"/>
    <s v="PROD76"/>
    <s v="Wireless Mouse"/>
    <x v="1"/>
    <s v="Computer"/>
    <s v="STORE6"/>
    <x v="3"/>
    <x v="2"/>
    <n v="218.01"/>
    <n v="0.06"/>
    <x v="0"/>
    <b v="1"/>
    <n v="819.71759999999995"/>
    <n v="819.71759999999995"/>
  </r>
  <r>
    <s v="SALE1225"/>
    <x v="483"/>
    <x v="2"/>
    <s v="CUST1218"/>
    <x v="1"/>
    <x v="0"/>
    <x v="1"/>
    <s v="PROD92"/>
    <s v="Microwave Oven"/>
    <x v="3"/>
    <s v="Appliances"/>
    <s v="STORE18"/>
    <x v="3"/>
    <x v="3"/>
    <n v="682.7"/>
    <n v="0.13"/>
    <x v="0"/>
    <b v="1"/>
    <n v="1187.8980000000001"/>
    <n v="1187.8979999999999"/>
  </r>
  <r>
    <s v="SALE1226"/>
    <x v="593"/>
    <x v="0"/>
    <s v="CUST1323"/>
    <x v="0"/>
    <x v="1"/>
    <x v="1"/>
    <s v="PROD19"/>
    <s v="Knee Support Brace"/>
    <x v="0"/>
    <s v="Equipment"/>
    <s v="STORE18"/>
    <x v="3"/>
    <x v="1"/>
    <n v="726.97"/>
    <n v="0.04"/>
    <x v="1"/>
    <b v="1"/>
    <n v="2093.6735999999996"/>
    <n v="2093.6736000000001"/>
  </r>
  <r>
    <s v="SALE1227"/>
    <x v="551"/>
    <x v="2"/>
    <s v="CUST1408"/>
    <x v="1"/>
    <x v="0"/>
    <x v="0"/>
    <s v="PROD59"/>
    <s v="Men's Hair Styling Gel"/>
    <x v="2"/>
    <s v="Haircare"/>
    <s v="STORE9"/>
    <x v="2"/>
    <x v="3"/>
    <n v="107.97"/>
    <n v="0.06"/>
    <x v="0"/>
    <b v="1"/>
    <n v="202.9836"/>
    <n v="202.9836"/>
  </r>
  <r>
    <s v="SALE1228"/>
    <x v="101"/>
    <x v="2"/>
    <s v="CUST1007"/>
    <x v="2"/>
    <x v="1"/>
    <x v="3"/>
    <s v="PROD5"/>
    <s v="Men's Leather Belt"/>
    <x v="4"/>
    <s v="Accessories"/>
    <s v="STORE14"/>
    <x v="2"/>
    <x v="0"/>
    <n v="38.880000000000003"/>
    <n v="0.16"/>
    <x v="2"/>
    <b v="1"/>
    <n v="32.659199999999998"/>
    <n v="32.659199999999998"/>
  </r>
  <r>
    <s v="SALE1229"/>
    <x v="260"/>
    <x v="2"/>
    <s v="CUST1078"/>
    <x v="2"/>
    <x v="0"/>
    <x v="0"/>
    <s v="PROD16"/>
    <s v="Beard Grooming Kit"/>
    <x v="2"/>
    <s v="Grooming"/>
    <s v="STORE17"/>
    <x v="0"/>
    <x v="1"/>
    <n v="484.39"/>
    <n v="0.28999999999999998"/>
    <x v="2"/>
    <b v="1"/>
    <n v="1031.7507000000001"/>
    <n v="1031.7507000000001"/>
  </r>
  <r>
    <s v="SALE1230"/>
    <x v="423"/>
    <x v="0"/>
    <s v="CUST1018"/>
    <x v="1"/>
    <x v="0"/>
    <x v="1"/>
    <s v="PROD80"/>
    <s v="Wall-Mounted Spice Rack"/>
    <x v="3"/>
    <s v="Kitchen"/>
    <s v="STORE15"/>
    <x v="0"/>
    <x v="3"/>
    <n v="949.3"/>
    <n v="0.08"/>
    <x v="2"/>
    <b v="1"/>
    <n v="1746.712"/>
    <n v="1746.712"/>
  </r>
  <r>
    <s v="SALE1231"/>
    <x v="3"/>
    <x v="1"/>
    <s v="CUST1433"/>
    <x v="0"/>
    <x v="1"/>
    <x v="2"/>
    <s v="PROD71"/>
    <s v="Hair Repair Oil Treatment"/>
    <x v="2"/>
    <s v="Haircare"/>
    <s v="STORE6"/>
    <x v="3"/>
    <x v="1"/>
    <n v="664.75"/>
    <n v="0.12"/>
    <x v="0"/>
    <b v="1"/>
    <n v="1754.94"/>
    <n v="1754.94"/>
  </r>
  <r>
    <s v="SALE1232"/>
    <x v="459"/>
    <x v="2"/>
    <s v="CUST1282"/>
    <x v="1"/>
    <x v="1"/>
    <x v="0"/>
    <s v="PROD70"/>
    <s v="Kitchen Storage Rack"/>
    <x v="3"/>
    <s v="Storage"/>
    <s v="STORE17"/>
    <x v="0"/>
    <x v="1"/>
    <n v="190.04"/>
    <n v="7.0000000000000007E-2"/>
    <x v="1"/>
    <b v="1"/>
    <n v="530.21159999999998"/>
    <n v="530.21159999999998"/>
  </r>
  <r>
    <s v="SALE1233"/>
    <x v="9"/>
    <x v="2"/>
    <s v="CUST1277"/>
    <x v="2"/>
    <x v="1"/>
    <x v="1"/>
    <s v="PROD7"/>
    <s v="LED Table Lamp"/>
    <x v="3"/>
    <s v="Lighting"/>
    <s v="STORE15"/>
    <x v="0"/>
    <x v="1"/>
    <n v="754.02"/>
    <n v="0.1"/>
    <x v="2"/>
    <b v="1"/>
    <n v="2035.854"/>
    <n v="2035.854"/>
  </r>
  <r>
    <s v="SALE1234"/>
    <x v="455"/>
    <x v="0"/>
    <s v="CUST1384"/>
    <x v="0"/>
    <x v="1"/>
    <x v="3"/>
    <s v="PROD34"/>
    <s v="Gaming Mechanical Keyboard"/>
    <x v="1"/>
    <s v="Computer"/>
    <s v="STORE12"/>
    <x v="0"/>
    <x v="2"/>
    <n v="94.13"/>
    <n v="0.04"/>
    <x v="2"/>
    <b v="1"/>
    <n v="361.45919999999995"/>
    <n v="361.45920000000001"/>
  </r>
  <r>
    <s v="SALE1235"/>
    <x v="282"/>
    <x v="0"/>
    <s v="CUST1468"/>
    <x v="1"/>
    <x v="0"/>
    <x v="3"/>
    <s v="PROD1"/>
    <s v="Men's Graphic T-Shirt"/>
    <x v="4"/>
    <s v="Tops"/>
    <s v="STORE15"/>
    <x v="0"/>
    <x v="1"/>
    <n v="402.3"/>
    <n v="0.21"/>
    <x v="1"/>
    <b v="1"/>
    <n v="953.45100000000014"/>
    <n v="953.45100000000014"/>
  </r>
  <r>
    <s v="SALE1236"/>
    <x v="24"/>
    <x v="2"/>
    <s v="CUST1239"/>
    <x v="0"/>
    <x v="1"/>
    <x v="1"/>
    <s v="PROD86"/>
    <s v="Kitchen Cutting Board"/>
    <x v="3"/>
    <s v="Kitchen"/>
    <s v="STORE7"/>
    <x v="2"/>
    <x v="0"/>
    <n v="729.05"/>
    <n v="0.06"/>
    <x v="2"/>
    <b v="1"/>
    <n v="685.3069999999999"/>
    <n v="685.3069999999999"/>
  </r>
  <r>
    <s v="SALE1237"/>
    <x v="340"/>
    <x v="2"/>
    <s v="CUST1134"/>
    <x v="0"/>
    <x v="0"/>
    <x v="0"/>
    <s v="PROD90"/>
    <s v="Gaming Mouse Pad XL"/>
    <x v="1"/>
    <s v="Accessories"/>
    <s v="STORE13"/>
    <x v="3"/>
    <x v="0"/>
    <n v="822.6"/>
    <n v="0.28999999999999998"/>
    <x v="1"/>
    <b v="1"/>
    <n v="584.04599999999994"/>
    <n v="584.04599999999994"/>
  </r>
  <r>
    <s v="SALE1238"/>
    <x v="538"/>
    <x v="2"/>
    <s v="CUST1193"/>
    <x v="1"/>
    <x v="0"/>
    <x v="0"/>
    <s v="PROD83"/>
    <s v="Hydrating Face Cleanser"/>
    <x v="2"/>
    <s v="Skincare"/>
    <s v="STORE8"/>
    <x v="1"/>
    <x v="3"/>
    <n v="327.25"/>
    <n v="0.19"/>
    <x v="1"/>
    <b v="1"/>
    <n v="530.14499999999998"/>
    <n v="530.14499999999998"/>
  </r>
  <r>
    <s v="SALE1239"/>
    <x v="500"/>
    <x v="0"/>
    <s v="CUST1084"/>
    <x v="2"/>
    <x v="1"/>
    <x v="1"/>
    <s v="PROD70"/>
    <s v="Kitchen Storage Rack"/>
    <x v="3"/>
    <s v="Storage"/>
    <s v="STORE9"/>
    <x v="2"/>
    <x v="2"/>
    <n v="930.38"/>
    <n v="0"/>
    <x v="2"/>
    <b v="1"/>
    <n v="3721.52"/>
    <n v="3721.52"/>
  </r>
  <r>
    <s v="SALE1240"/>
    <x v="22"/>
    <x v="0"/>
    <s v="CUST1144"/>
    <x v="0"/>
    <x v="1"/>
    <x v="3"/>
    <s v="PROD27"/>
    <s v="Decorative Floor Vase"/>
    <x v="3"/>
    <s v="Decor"/>
    <s v="STORE5"/>
    <x v="0"/>
    <x v="3"/>
    <n v="437.84"/>
    <n v="0.24"/>
    <x v="0"/>
    <b v="1"/>
    <n v="665.51679999999999"/>
    <n v="665.51679999999999"/>
  </r>
  <r>
    <s v="SALE1241"/>
    <x v="461"/>
    <x v="2"/>
    <s v="CUST1070"/>
    <x v="2"/>
    <x v="1"/>
    <x v="0"/>
    <s v="PROD16"/>
    <s v="Beard Grooming Kit"/>
    <x v="2"/>
    <s v="Grooming"/>
    <s v="STORE16"/>
    <x v="1"/>
    <x v="3"/>
    <n v="126.02"/>
    <n v="0.09"/>
    <x v="2"/>
    <b v="1"/>
    <n v="229.35640000000001"/>
    <n v="229.35640000000001"/>
  </r>
  <r>
    <s v="SALE1242"/>
    <x v="594"/>
    <x v="2"/>
    <s v="CUST1437"/>
    <x v="1"/>
    <x v="1"/>
    <x v="1"/>
    <s v="PROD83"/>
    <s v="Hydrating Face Cleanser"/>
    <x v="2"/>
    <s v="Skincare"/>
    <s v="STORE15"/>
    <x v="0"/>
    <x v="0"/>
    <n v="860.84"/>
    <n v="7.0000000000000007E-2"/>
    <x v="1"/>
    <b v="1"/>
    <n v="800.58119999999997"/>
    <n v="800.58119999999997"/>
  </r>
  <r>
    <s v="SALE1243"/>
    <x v="43"/>
    <x v="2"/>
    <s v="CUST1093"/>
    <x v="2"/>
    <x v="1"/>
    <x v="0"/>
    <s v="PROD48"/>
    <s v="Car Dashboard Phone Holder"/>
    <x v="1"/>
    <s v="Accessories"/>
    <s v="STORE13"/>
    <x v="3"/>
    <x v="0"/>
    <n v="161.80000000000001"/>
    <n v="0.24"/>
    <x v="1"/>
    <b v="1"/>
    <n v="122.968"/>
    <n v="122.968"/>
  </r>
  <r>
    <s v="SALE1244"/>
    <x v="595"/>
    <x v="2"/>
    <s v="CUST1385"/>
    <x v="0"/>
    <x v="0"/>
    <x v="0"/>
    <s v="PROD38"/>
    <s v="Sports Water Hydration Pack"/>
    <x v="0"/>
    <s v="Outdoor"/>
    <s v="STORE17"/>
    <x v="0"/>
    <x v="2"/>
    <n v="347.82"/>
    <n v="0.02"/>
    <x v="2"/>
    <b v="1"/>
    <n v="1363.4543999999999"/>
    <n v="1363.4544000000001"/>
  </r>
  <r>
    <s v="SALE1245"/>
    <x v="289"/>
    <x v="0"/>
    <s v="CUST1453"/>
    <x v="0"/>
    <x v="1"/>
    <x v="1"/>
    <s v="PROD85"/>
    <s v="Women's Beanie Hat"/>
    <x v="4"/>
    <s v="Accessories"/>
    <s v="STORE16"/>
    <x v="1"/>
    <x v="1"/>
    <n v="416.44"/>
    <n v="0.27"/>
    <x v="0"/>
    <b v="1"/>
    <n v="912.00359999999989"/>
    <n v="912.00359999999989"/>
  </r>
  <r>
    <s v="SALE1246"/>
    <x v="534"/>
    <x v="2"/>
    <s v="CUST1005"/>
    <x v="2"/>
    <x v="0"/>
    <x v="3"/>
    <s v="PROD62"/>
    <s v="Laptop Cooling Pad"/>
    <x v="1"/>
    <s v="Computer"/>
    <s v="STORE0"/>
    <x v="3"/>
    <x v="0"/>
    <n v="147.96"/>
    <n v="0.24"/>
    <x v="2"/>
    <b v="1"/>
    <n v="112.4496"/>
    <n v="112.4496"/>
  </r>
  <r>
    <s v="SALE1247"/>
    <x v="590"/>
    <x v="0"/>
    <s v="CUST1445"/>
    <x v="1"/>
    <x v="1"/>
    <x v="1"/>
    <s v="PROD18"/>
    <s v="Women's Denim Jeans"/>
    <x v="4"/>
    <s v="Bottoms"/>
    <s v="STORE8"/>
    <x v="1"/>
    <x v="1"/>
    <n v="550.26"/>
    <n v="0.22"/>
    <x v="0"/>
    <b v="1"/>
    <n v="1287.6084000000001"/>
    <n v="1287.6084000000001"/>
  </r>
  <r>
    <s v="SALE1248"/>
    <x v="157"/>
    <x v="1"/>
    <s v="CUST1371"/>
    <x v="2"/>
    <x v="1"/>
    <x v="1"/>
    <s v="PROD97"/>
    <s v="Cricket Bat"/>
    <x v="0"/>
    <s v="Team Sports"/>
    <s v="STORE7"/>
    <x v="2"/>
    <x v="2"/>
    <n v="938.21"/>
    <n v="0.04"/>
    <x v="1"/>
    <b v="1"/>
    <n v="3602.7264"/>
    <n v="3602.7264"/>
  </r>
  <r>
    <s v="SALE1249"/>
    <x v="596"/>
    <x v="0"/>
    <s v="CUST1134"/>
    <x v="0"/>
    <x v="0"/>
    <x v="0"/>
    <s v="PROD94"/>
    <s v="Vitamin E Body Lotion"/>
    <x v="2"/>
    <s v="Skincare"/>
    <s v="STORE16"/>
    <x v="1"/>
    <x v="1"/>
    <n v="517.98"/>
    <n v="0.01"/>
    <x v="1"/>
    <b v="1"/>
    <n v="1538.4005999999999"/>
    <n v="1538.4005999999999"/>
  </r>
  <r>
    <s v="SALE1250"/>
    <x v="597"/>
    <x v="2"/>
    <s v="CUST1036"/>
    <x v="2"/>
    <x v="1"/>
    <x v="0"/>
    <s v="PROD6"/>
    <s v="Herbal Face Moisturizer"/>
    <x v="2"/>
    <s v="Skincare"/>
    <s v="STORE8"/>
    <x v="1"/>
    <x v="0"/>
    <n v="98.27"/>
    <n v="0.16"/>
    <x v="1"/>
    <b v="1"/>
    <n v="82.54679999999999"/>
    <n v="82.54679999999999"/>
  </r>
  <r>
    <s v="SALE1251"/>
    <x v="0"/>
    <x v="0"/>
    <s v="CUST1251"/>
    <x v="0"/>
    <x v="0"/>
    <x v="2"/>
    <s v="PROD48"/>
    <s v="Car Dashboard Phone Holder"/>
    <x v="1"/>
    <s v="Accessories"/>
    <s v="STORE11"/>
    <x v="2"/>
    <x v="3"/>
    <n v="875.2"/>
    <n v="0.19"/>
    <x v="0"/>
    <b v="1"/>
    <n v="1417.8240000000001"/>
    <n v="1417.8240000000001"/>
  </r>
  <r>
    <s v="SALE1252"/>
    <x v="593"/>
    <x v="0"/>
    <s v="CUST1305"/>
    <x v="0"/>
    <x v="0"/>
    <x v="1"/>
    <s v="PROD86"/>
    <s v="Kitchen Cutting Board"/>
    <x v="3"/>
    <s v="Kitchen"/>
    <s v="STORE0"/>
    <x v="3"/>
    <x v="0"/>
    <n v="227.35"/>
    <n v="0.06"/>
    <x v="2"/>
    <b v="1"/>
    <n v="213.70899999999997"/>
    <n v="213.709"/>
  </r>
  <r>
    <s v="SALE1253"/>
    <x v="163"/>
    <x v="1"/>
    <s v="CUST1210"/>
    <x v="1"/>
    <x v="0"/>
    <x v="2"/>
    <s v="PROD74"/>
    <s v="Bluetooth Car Audio System"/>
    <x v="1"/>
    <s v="Audio"/>
    <s v="STORE1"/>
    <x v="0"/>
    <x v="0"/>
    <n v="842.46"/>
    <n v="0.05"/>
    <x v="2"/>
    <b v="1"/>
    <n v="800.33699999999999"/>
    <n v="800.33699999999999"/>
  </r>
  <r>
    <s v="SALE1254"/>
    <x v="525"/>
    <x v="0"/>
    <s v="CUST1212"/>
    <x v="0"/>
    <x v="1"/>
    <x v="1"/>
    <s v="PROD36"/>
    <s v="Women's Summer Dress"/>
    <x v="4"/>
    <s v="Tops"/>
    <s v="STORE11"/>
    <x v="2"/>
    <x v="1"/>
    <n v="120.67"/>
    <n v="0.08"/>
    <x v="2"/>
    <b v="1"/>
    <n v="333.04919999999998"/>
    <n v="333.04919999999998"/>
  </r>
  <r>
    <s v="SALE1255"/>
    <x v="598"/>
    <x v="0"/>
    <s v="CUST1497"/>
    <x v="1"/>
    <x v="1"/>
    <x v="0"/>
    <s v="PROD20"/>
    <s v="Outdoor Sports Water Bottle"/>
    <x v="0"/>
    <s v="Accessories"/>
    <s v="STORE3"/>
    <x v="0"/>
    <x v="2"/>
    <n v="176.13"/>
    <n v="0.27"/>
    <x v="1"/>
    <b v="1"/>
    <n v="514.29959999999994"/>
    <n v="514.29959999999994"/>
  </r>
  <r>
    <s v="SALE1256"/>
    <x v="202"/>
    <x v="2"/>
    <s v="CUST1450"/>
    <x v="0"/>
    <x v="0"/>
    <x v="3"/>
    <s v="PROD63"/>
    <s v="Organic Sunscreen Lotion"/>
    <x v="2"/>
    <s v="Skincare"/>
    <s v="STORE11"/>
    <x v="2"/>
    <x v="2"/>
    <n v="592.67999999999995"/>
    <n v="0.03"/>
    <x v="0"/>
    <b v="1"/>
    <n v="2299.5983999999999"/>
    <n v="2299.5983999999999"/>
  </r>
  <r>
    <s v="SALE1257"/>
    <x v="581"/>
    <x v="0"/>
    <s v="CUST1176"/>
    <x v="1"/>
    <x v="0"/>
    <x v="2"/>
    <s v="PROD70"/>
    <s v="Kitchen Storage Rack"/>
    <x v="3"/>
    <s v="Storage"/>
    <s v="STORE4"/>
    <x v="2"/>
    <x v="2"/>
    <n v="662.43"/>
    <n v="0.24"/>
    <x v="1"/>
    <b v="1"/>
    <n v="2013.7872"/>
    <n v="2013.7872"/>
  </r>
  <r>
    <s v="SALE1258"/>
    <x v="599"/>
    <x v="0"/>
    <s v="CUST1128"/>
    <x v="1"/>
    <x v="0"/>
    <x v="2"/>
    <s v="PROD43"/>
    <s v="USB External Hard Drive"/>
    <x v="1"/>
    <s v="Computer"/>
    <s v="STORE8"/>
    <x v="1"/>
    <x v="1"/>
    <n v="518.35"/>
    <n v="0.21"/>
    <x v="2"/>
    <b v="1"/>
    <n v="1228.4895000000001"/>
    <n v="1228.4894999999999"/>
  </r>
  <r>
    <s v="SALE1259"/>
    <x v="574"/>
    <x v="0"/>
    <s v="CUST1310"/>
    <x v="2"/>
    <x v="0"/>
    <x v="2"/>
    <s v="PROD61"/>
    <s v="Tennis Ball 3-Pack"/>
    <x v="0"/>
    <s v="Equipment"/>
    <s v="STORE5"/>
    <x v="0"/>
    <x v="0"/>
    <n v="85.58"/>
    <n v="0.1"/>
    <x v="2"/>
    <b v="1"/>
    <n v="77.022000000000006"/>
    <n v="77.022000000000006"/>
  </r>
  <r>
    <s v="SALE1260"/>
    <x v="100"/>
    <x v="0"/>
    <s v="CUST1363"/>
    <x v="2"/>
    <x v="0"/>
    <x v="3"/>
    <s v="PROD87"/>
    <s v="LED Bedside Lamp"/>
    <x v="3"/>
    <s v="Lighting"/>
    <s v="STORE1"/>
    <x v="0"/>
    <x v="2"/>
    <n v="800"/>
    <n v="0.2"/>
    <x v="0"/>
    <b v="1"/>
    <n v="2560"/>
    <n v="2560"/>
  </r>
  <r>
    <s v="SALE1261"/>
    <x v="69"/>
    <x v="2"/>
    <s v="CUST1155"/>
    <x v="0"/>
    <x v="1"/>
    <x v="0"/>
    <s v="PROD60"/>
    <s v="Luxury Perfume Spray"/>
    <x v="2"/>
    <s v="Fragrance"/>
    <s v="STORE10"/>
    <x v="3"/>
    <x v="1"/>
    <n v="118.25"/>
    <n v="0.26"/>
    <x v="1"/>
    <b v="1"/>
    <n v="262.51499999999999"/>
    <n v="262.51499999999999"/>
  </r>
  <r>
    <s v="SALE1262"/>
    <x v="205"/>
    <x v="1"/>
    <s v="CUST1421"/>
    <x v="1"/>
    <x v="1"/>
    <x v="1"/>
    <s v="PROD32"/>
    <s v="Vitamin C Face Serum"/>
    <x v="2"/>
    <s v="Skincare"/>
    <s v="STORE15"/>
    <x v="0"/>
    <x v="0"/>
    <n v="223.25"/>
    <n v="0.28999999999999998"/>
    <x v="0"/>
    <b v="1"/>
    <n v="158.50749999999999"/>
    <n v="158.50749999999999"/>
  </r>
  <r>
    <s v="SALE1263"/>
    <x v="89"/>
    <x v="0"/>
    <s v="CUST1427"/>
    <x v="2"/>
    <x v="1"/>
    <x v="0"/>
    <s v="PROD32"/>
    <s v="Vitamin C Face Serum"/>
    <x v="2"/>
    <s v="Skincare"/>
    <s v="STORE4"/>
    <x v="2"/>
    <x v="1"/>
    <n v="918.76"/>
    <n v="0.2"/>
    <x v="1"/>
    <b v="1"/>
    <n v="2205.0239999999999"/>
    <n v="2205.0239999999999"/>
  </r>
  <r>
    <s v="SALE1264"/>
    <x v="600"/>
    <x v="0"/>
    <s v="CUST1280"/>
    <x v="1"/>
    <x v="0"/>
    <x v="3"/>
    <s v="PROD84"/>
    <s v="Wooden Bookshelf"/>
    <x v="3"/>
    <s v="Furniture"/>
    <s v="STORE13"/>
    <x v="3"/>
    <x v="3"/>
    <n v="905.26"/>
    <n v="0.15"/>
    <x v="2"/>
    <b v="1"/>
    <n v="1538.942"/>
    <n v="1538.942"/>
  </r>
  <r>
    <s v="SALE1265"/>
    <x v="312"/>
    <x v="0"/>
    <s v="CUST1312"/>
    <x v="1"/>
    <x v="1"/>
    <x v="2"/>
    <s v="PROD16"/>
    <s v="Beard Grooming Kit"/>
    <x v="2"/>
    <s v="Grooming"/>
    <s v="STORE19"/>
    <x v="3"/>
    <x v="2"/>
    <n v="295.39999999999998"/>
    <n v="0.23"/>
    <x v="1"/>
    <b v="1"/>
    <n v="909.83199999999999"/>
    <n v="909.83199999999999"/>
  </r>
  <r>
    <s v="SALE1266"/>
    <x v="206"/>
    <x v="2"/>
    <s v="CUST1087"/>
    <x v="0"/>
    <x v="1"/>
    <x v="3"/>
    <s v="PROD94"/>
    <s v="Vitamin E Body Lotion"/>
    <x v="2"/>
    <s v="Skincare"/>
    <s v="STORE5"/>
    <x v="0"/>
    <x v="0"/>
    <n v="252.18"/>
    <n v="0.23"/>
    <x v="1"/>
    <b v="1"/>
    <n v="194.17860000000002"/>
    <n v="194.17859999999999"/>
  </r>
  <r>
    <s v="SALE1267"/>
    <x v="35"/>
    <x v="2"/>
    <s v="CUST1152"/>
    <x v="1"/>
    <x v="1"/>
    <x v="1"/>
    <s v="PROD97"/>
    <s v="Cricket Bat"/>
    <x v="0"/>
    <s v="Team Sports"/>
    <s v="STORE12"/>
    <x v="0"/>
    <x v="2"/>
    <n v="792.1"/>
    <n v="0.19"/>
    <x v="2"/>
    <b v="1"/>
    <n v="2566.4040000000005"/>
    <n v="2566.404"/>
  </r>
  <r>
    <s v="SALE1268"/>
    <x v="601"/>
    <x v="0"/>
    <s v="CUST1076"/>
    <x v="1"/>
    <x v="0"/>
    <x v="0"/>
    <s v="PROD88"/>
    <s v="Sports Wrist Sweatbands"/>
    <x v="0"/>
    <s v="Accessories"/>
    <s v="STORE14"/>
    <x v="2"/>
    <x v="0"/>
    <n v="883.36"/>
    <n v="0.11"/>
    <x v="1"/>
    <b v="1"/>
    <n v="786.19040000000007"/>
    <n v="786.19040000000007"/>
  </r>
  <r>
    <s v="SALE1269"/>
    <x v="602"/>
    <x v="1"/>
    <s v="CUST1276"/>
    <x v="1"/>
    <x v="0"/>
    <x v="0"/>
    <s v="PROD69"/>
    <s v="Men's Sports Shorts"/>
    <x v="4"/>
    <s v="Bottoms"/>
    <s v="STORE0"/>
    <x v="3"/>
    <x v="2"/>
    <n v="305.95"/>
    <n v="0.08"/>
    <x v="1"/>
    <b v="1"/>
    <n v="1125.896"/>
    <n v="1125.896"/>
  </r>
  <r>
    <s v="SALE1270"/>
    <x v="75"/>
    <x v="0"/>
    <s v="CUST1401"/>
    <x v="0"/>
    <x v="1"/>
    <x v="1"/>
    <s v="PROD58"/>
    <s v="Womens Cotton Scarf"/>
    <x v="4"/>
    <s v="Accessories"/>
    <s v="STORE7"/>
    <x v="2"/>
    <x v="1"/>
    <n v="742.45"/>
    <n v="0.23"/>
    <x v="2"/>
    <b v="1"/>
    <n v="1715.0595000000003"/>
    <n v="1715.0595000000001"/>
  </r>
  <r>
    <s v="SALE1271"/>
    <x v="130"/>
    <x v="0"/>
    <s v="CUST1355"/>
    <x v="2"/>
    <x v="0"/>
    <x v="0"/>
    <s v="PROD25"/>
    <s v="Women's Scarf Set"/>
    <x v="4"/>
    <s v="Accessories"/>
    <s v="STORE18"/>
    <x v="3"/>
    <x v="1"/>
    <n v="336.1"/>
    <n v="0.12"/>
    <x v="2"/>
    <b v="1"/>
    <n v="887.30400000000009"/>
    <n v="887.30400000000009"/>
  </r>
  <r>
    <s v="SALE1272"/>
    <x v="213"/>
    <x v="2"/>
    <s v="CUST1412"/>
    <x v="2"/>
    <x v="1"/>
    <x v="0"/>
    <s v="PROD29"/>
    <s v="Fabric Sofa Throw Blanket"/>
    <x v="3"/>
    <s v="Decor"/>
    <s v="STORE7"/>
    <x v="2"/>
    <x v="1"/>
    <n v="310.36"/>
    <n v="0.14000000000000001"/>
    <x v="2"/>
    <b v="1"/>
    <n v="800.72879999999998"/>
    <n v="800.72879999999998"/>
  </r>
  <r>
    <s v="SALE1273"/>
    <x v="359"/>
    <x v="2"/>
    <s v="CUST1279"/>
    <x v="2"/>
    <x v="1"/>
    <x v="3"/>
    <s v="PROD98"/>
    <s v="Portable Bluetooth Speaker"/>
    <x v="1"/>
    <s v="Audio"/>
    <s v="STORE8"/>
    <x v="1"/>
    <x v="1"/>
    <n v="992.81"/>
    <n v="0.04"/>
    <x v="1"/>
    <b v="1"/>
    <n v="2859.2927999999997"/>
    <n v="2859.2928000000002"/>
  </r>
  <r>
    <s v="SALE1274"/>
    <x v="30"/>
    <x v="1"/>
    <s v="CUST1198"/>
    <x v="0"/>
    <x v="0"/>
    <x v="3"/>
    <s v="PROD60"/>
    <s v="Luxury Perfume Spray"/>
    <x v="2"/>
    <s v="Fragrance"/>
    <s v="STORE11"/>
    <x v="2"/>
    <x v="1"/>
    <n v="257.11"/>
    <n v="0.26"/>
    <x v="2"/>
    <b v="1"/>
    <n v="570.78420000000006"/>
    <n v="570.78420000000006"/>
  </r>
  <r>
    <s v="SALE1275"/>
    <x v="603"/>
    <x v="2"/>
    <s v="CUST1220"/>
    <x v="1"/>
    <x v="1"/>
    <x v="3"/>
    <s v="PROD95"/>
    <s v="Sports Stopwatch Basic"/>
    <x v="0"/>
    <s v="Accessories"/>
    <s v="STORE12"/>
    <x v="0"/>
    <x v="2"/>
    <n v="816.29"/>
    <n v="0.24"/>
    <x v="1"/>
    <b v="1"/>
    <n v="2481.5216"/>
    <n v="2481.5216"/>
  </r>
  <r>
    <s v="SALE1276"/>
    <x v="539"/>
    <x v="1"/>
    <s v="CUST1122"/>
    <x v="1"/>
    <x v="0"/>
    <x v="1"/>
    <s v="PROD60"/>
    <s v="Luxury Perfume Spray"/>
    <x v="2"/>
    <s v="Fragrance"/>
    <s v="STORE12"/>
    <x v="0"/>
    <x v="2"/>
    <n v="755.82"/>
    <n v="0.22"/>
    <x v="2"/>
    <b v="1"/>
    <n v="2358.1584000000003"/>
    <n v="2358.1583999999998"/>
  </r>
  <r>
    <s v="SALE1277"/>
    <x v="414"/>
    <x v="0"/>
    <s v="CUST1003"/>
    <x v="0"/>
    <x v="1"/>
    <x v="3"/>
    <s v="PROD0"/>
    <s v="Brother Laser Printer"/>
    <x v="1"/>
    <s v="Computer"/>
    <s v="STORE14"/>
    <x v="2"/>
    <x v="0"/>
    <n v="449.6"/>
    <n v="0.01"/>
    <x v="1"/>
    <b v="1"/>
    <n v="445.10400000000004"/>
    <n v="445.10399999999998"/>
  </r>
  <r>
    <s v="SALE1278"/>
    <x v="540"/>
    <x v="0"/>
    <s v="CUST1351"/>
    <x v="2"/>
    <x v="1"/>
    <x v="3"/>
    <s v="PROD14"/>
    <s v="Decorative Wall Mirror"/>
    <x v="3"/>
    <s v="Decor"/>
    <s v="STORE0"/>
    <x v="3"/>
    <x v="3"/>
    <n v="779.29"/>
    <n v="0.12"/>
    <x v="2"/>
    <b v="1"/>
    <n v="1371.5503999999999"/>
    <n v="1371.5504000000001"/>
  </r>
  <r>
    <s v="SALE1279"/>
    <x v="157"/>
    <x v="1"/>
    <s v="CUST1464"/>
    <x v="1"/>
    <x v="1"/>
    <x v="1"/>
    <s v="PROD77"/>
    <s v="WiFi Mesh Router"/>
    <x v="1"/>
    <s v="Appliances"/>
    <s v="STORE17"/>
    <x v="0"/>
    <x v="0"/>
    <n v="748.75"/>
    <n v="0.1"/>
    <x v="2"/>
    <b v="1"/>
    <n v="673.875"/>
    <n v="673.875"/>
  </r>
  <r>
    <s v="SALE1280"/>
    <x v="604"/>
    <x v="0"/>
    <s v="CUST1181"/>
    <x v="0"/>
    <x v="0"/>
    <x v="3"/>
    <s v="PROD89"/>
    <s v="Face Foundation Kit"/>
    <x v="2"/>
    <s v="Makeup"/>
    <s v="STORE0"/>
    <x v="3"/>
    <x v="3"/>
    <n v="121.67"/>
    <n v="0.08"/>
    <x v="2"/>
    <b v="1"/>
    <n v="223.87280000000001"/>
    <n v="223.87280000000001"/>
  </r>
  <r>
    <s v="SALE1281"/>
    <x v="605"/>
    <x v="2"/>
    <s v="CUST1492"/>
    <x v="0"/>
    <x v="1"/>
    <x v="1"/>
    <s v="PROD49"/>
    <s v="Men's Roll-On Perfume"/>
    <x v="2"/>
    <s v="Fragrance"/>
    <s v="STORE15"/>
    <x v="0"/>
    <x v="1"/>
    <n v="225.14"/>
    <n v="0.15"/>
    <x v="2"/>
    <b v="1"/>
    <n v="574.10699999999997"/>
    <n v="574.10699999999997"/>
  </r>
  <r>
    <s v="SALE1282"/>
    <x v="213"/>
    <x v="2"/>
    <s v="CUST1321"/>
    <x v="2"/>
    <x v="1"/>
    <x v="3"/>
    <s v="PROD29"/>
    <s v="Fabric Sofa Throw Blanket"/>
    <x v="3"/>
    <s v="Decor"/>
    <s v="STORE19"/>
    <x v="3"/>
    <x v="0"/>
    <n v="654.17999999999995"/>
    <n v="0.19"/>
    <x v="1"/>
    <b v="1"/>
    <n v="529.88580000000002"/>
    <n v="529.88580000000002"/>
  </r>
  <r>
    <s v="SALE1283"/>
    <x v="25"/>
    <x v="0"/>
    <s v="CUST1058"/>
    <x v="0"/>
    <x v="0"/>
    <x v="1"/>
    <s v="PROD71"/>
    <s v="Hair Repair Oil Treatment"/>
    <x v="2"/>
    <s v="Haircare"/>
    <s v="STORE5"/>
    <x v="0"/>
    <x v="3"/>
    <n v="504.98"/>
    <n v="0.08"/>
    <x v="2"/>
    <b v="1"/>
    <n v="929.16320000000007"/>
    <n v="929.16320000000007"/>
  </r>
  <r>
    <s v="SALE1284"/>
    <x v="260"/>
    <x v="2"/>
    <s v="CUST1378"/>
    <x v="1"/>
    <x v="1"/>
    <x v="3"/>
    <s v="PROD54"/>
    <s v="Sports Stopwatch Pro"/>
    <x v="0"/>
    <s v="Accessories"/>
    <s v="STORE8"/>
    <x v="1"/>
    <x v="3"/>
    <n v="623.20000000000005"/>
    <n v="0.14000000000000001"/>
    <x v="2"/>
    <b v="1"/>
    <n v="1071.904"/>
    <n v="1071.904"/>
  </r>
  <r>
    <s v="SALE1285"/>
    <x v="587"/>
    <x v="0"/>
    <s v="CUST1325"/>
    <x v="0"/>
    <x v="0"/>
    <x v="3"/>
    <s v="PROD5"/>
    <s v="Men's Leather Belt"/>
    <x v="4"/>
    <s v="Accessories"/>
    <s v="STORE16"/>
    <x v="1"/>
    <x v="3"/>
    <n v="530.54"/>
    <n v="0.28000000000000003"/>
    <x v="2"/>
    <b v="1"/>
    <n v="763.97759999999994"/>
    <n v="763.97759999999994"/>
  </r>
  <r>
    <s v="SALE1286"/>
    <x v="402"/>
    <x v="2"/>
    <s v="CUST1365"/>
    <x v="0"/>
    <x v="1"/>
    <x v="1"/>
    <s v="PROD0"/>
    <s v="Brother Laser Printer"/>
    <x v="1"/>
    <s v="Computer"/>
    <s v="STORE16"/>
    <x v="1"/>
    <x v="1"/>
    <n v="279.45"/>
    <n v="0.15"/>
    <x v="2"/>
    <b v="1"/>
    <n v="712.59749999999985"/>
    <n v="712.59749999999985"/>
  </r>
  <r>
    <s v="SALE1287"/>
    <x v="606"/>
    <x v="0"/>
    <s v="CUST1266"/>
    <x v="1"/>
    <x v="1"/>
    <x v="3"/>
    <s v="PROD12"/>
    <s v="Hair Strengthening Shampoo"/>
    <x v="2"/>
    <s v="Haircare"/>
    <s v="STORE8"/>
    <x v="1"/>
    <x v="1"/>
    <n v="906.99"/>
    <n v="0.26"/>
    <x v="2"/>
    <b v="1"/>
    <n v="2013.5178000000001"/>
    <n v="2013.5178000000001"/>
  </r>
  <r>
    <s v="SALE1288"/>
    <x v="513"/>
    <x v="2"/>
    <s v="CUST1070"/>
    <x v="2"/>
    <x v="1"/>
    <x v="0"/>
    <s v="PROD80"/>
    <s v="Wall-Mounted Spice Rack"/>
    <x v="3"/>
    <s v="Kitchen"/>
    <s v="STORE17"/>
    <x v="0"/>
    <x v="2"/>
    <n v="408.76"/>
    <n v="0.12"/>
    <x v="2"/>
    <b v="1"/>
    <n v="1438.8352"/>
    <n v="1438.8352"/>
  </r>
  <r>
    <s v="SALE1289"/>
    <x v="607"/>
    <x v="0"/>
    <s v="CUST1177"/>
    <x v="0"/>
    <x v="0"/>
    <x v="1"/>
    <s v="PROD36"/>
    <s v="Women's Summer Dress"/>
    <x v="4"/>
    <s v="Tops"/>
    <s v="STORE9"/>
    <x v="2"/>
    <x v="3"/>
    <n v="117.34"/>
    <n v="0.09"/>
    <x v="1"/>
    <b v="1"/>
    <n v="213.55880000000002"/>
    <n v="213.55879999999999"/>
  </r>
  <r>
    <s v="SALE1290"/>
    <x v="490"/>
    <x v="0"/>
    <s v="CUST1168"/>
    <x v="1"/>
    <x v="1"/>
    <x v="1"/>
    <s v="PROD91"/>
    <s v="Women's High Heels"/>
    <x v="4"/>
    <s v="Footwear"/>
    <s v="STORE14"/>
    <x v="2"/>
    <x v="1"/>
    <n v="690.27"/>
    <n v="7.0000000000000007E-2"/>
    <x v="1"/>
    <b v="1"/>
    <n v="1925.8532999999998"/>
    <n v="1925.8533"/>
  </r>
  <r>
    <s v="SALE1291"/>
    <x v="326"/>
    <x v="2"/>
    <s v="CUST1108"/>
    <x v="1"/>
    <x v="0"/>
    <x v="3"/>
    <s v="PROD28"/>
    <s v="Sports Stopwatch Timer"/>
    <x v="0"/>
    <s v="Accessories"/>
    <s v="STORE17"/>
    <x v="0"/>
    <x v="2"/>
    <n v="377.18"/>
    <n v="0.24"/>
    <x v="1"/>
    <b v="1"/>
    <n v="1146.6272000000001"/>
    <n v="1146.6271999999999"/>
  </r>
  <r>
    <s v="SALE1292"/>
    <x v="2"/>
    <x v="0"/>
    <s v="CUST1112"/>
    <x v="2"/>
    <x v="1"/>
    <x v="2"/>
    <s v="PROD40"/>
    <s v="Noise-Canceling Headphones"/>
    <x v="1"/>
    <s v="Audio"/>
    <s v="STORE0"/>
    <x v="3"/>
    <x v="0"/>
    <n v="70.52"/>
    <n v="0.08"/>
    <x v="2"/>
    <b v="1"/>
    <n v="64.878399999999999"/>
    <n v="64.878399999999999"/>
  </r>
  <r>
    <s v="SALE1293"/>
    <x v="97"/>
    <x v="0"/>
    <s v="CUST1275"/>
    <x v="2"/>
    <x v="0"/>
    <x v="0"/>
    <s v="PROD38"/>
    <s v="Sports Water Hydration Pack"/>
    <x v="0"/>
    <s v="Outdoor"/>
    <s v="STORE9"/>
    <x v="2"/>
    <x v="0"/>
    <n v="40.25"/>
    <n v="0.1"/>
    <x v="1"/>
    <b v="1"/>
    <n v="36.225000000000001"/>
    <n v="36.225000000000001"/>
  </r>
  <r>
    <s v="SALE1294"/>
    <x v="432"/>
    <x v="0"/>
    <s v="CUST1232"/>
    <x v="2"/>
    <x v="1"/>
    <x v="1"/>
    <s v="PROD89"/>
    <s v="Face Foundation Kit"/>
    <x v="2"/>
    <s v="Makeup"/>
    <s v="STORE11"/>
    <x v="2"/>
    <x v="1"/>
    <n v="539.44000000000005"/>
    <n v="0.05"/>
    <x v="2"/>
    <b v="1"/>
    <n v="1537.404"/>
    <n v="1537.404"/>
  </r>
  <r>
    <s v="SALE1295"/>
    <x v="154"/>
    <x v="0"/>
    <s v="CUST1247"/>
    <x v="1"/>
    <x v="0"/>
    <x v="1"/>
    <s v="PROD60"/>
    <s v="Luxury Perfume Spray"/>
    <x v="2"/>
    <s v="Fragrance"/>
    <s v="STORE4"/>
    <x v="2"/>
    <x v="1"/>
    <n v="543.49"/>
    <n v="0.05"/>
    <x v="1"/>
    <b v="1"/>
    <n v="1548.9465"/>
    <n v="1548.9465"/>
  </r>
  <r>
    <s v="SALE1296"/>
    <x v="608"/>
    <x v="1"/>
    <s v="CUST1324"/>
    <x v="0"/>
    <x v="0"/>
    <x v="3"/>
    <s v="PROD7"/>
    <s v="LED Table Lamp"/>
    <x v="3"/>
    <s v="Lighting"/>
    <s v="STORE6"/>
    <x v="3"/>
    <x v="2"/>
    <n v="547.21"/>
    <n v="0.1"/>
    <x v="2"/>
    <b v="1"/>
    <n v="1969.9560000000001"/>
    <n v="1969.9559999999999"/>
  </r>
  <r>
    <s v="SALE1297"/>
    <x v="500"/>
    <x v="0"/>
    <s v="CUST1241"/>
    <x v="1"/>
    <x v="0"/>
    <x v="1"/>
    <s v="PROD65"/>
    <s v="Adjustable Dumbbells 20kg"/>
    <x v="0"/>
    <s v="Fitness"/>
    <s v="STORE1"/>
    <x v="0"/>
    <x v="3"/>
    <n v="892.46"/>
    <n v="7.0000000000000007E-2"/>
    <x v="1"/>
    <b v="1"/>
    <n v="1659.9756"/>
    <n v="1659.9756"/>
  </r>
  <r>
    <s v="SALE1298"/>
    <x v="363"/>
    <x v="1"/>
    <s v="CUST1387"/>
    <x v="2"/>
    <x v="1"/>
    <x v="2"/>
    <s v="PROD26"/>
    <s v="Wireless Bluetooth Speaker"/>
    <x v="1"/>
    <s v="Audio"/>
    <s v="STORE8"/>
    <x v="1"/>
    <x v="3"/>
    <n v="853.41"/>
    <n v="0.25"/>
    <x v="0"/>
    <b v="1"/>
    <n v="1280.115"/>
    <n v="1280.115"/>
  </r>
  <r>
    <s v="SALE1299"/>
    <x v="470"/>
    <x v="0"/>
    <s v="CUST1110"/>
    <x v="1"/>
    <x v="1"/>
    <x v="0"/>
    <s v="PROD82"/>
    <s v="Fitness Resistance Bands"/>
    <x v="0"/>
    <s v="Fitness"/>
    <s v="STORE7"/>
    <x v="2"/>
    <x v="0"/>
    <n v="162.13999999999999"/>
    <n v="7.0000000000000007E-2"/>
    <x v="1"/>
    <b v="1"/>
    <n v="150.79019999999997"/>
    <n v="150.7902"/>
  </r>
  <r>
    <s v="SALE1300"/>
    <x v="270"/>
    <x v="0"/>
    <s v="CUST1147"/>
    <x v="1"/>
    <x v="1"/>
    <x v="1"/>
    <s v="PROD96"/>
    <s v="Women's Formal Blazer"/>
    <x v="4"/>
    <s v="Outerwear"/>
    <s v="STORE16"/>
    <x v="1"/>
    <x v="0"/>
    <n v="893.14"/>
    <n v="0.09"/>
    <x v="0"/>
    <b v="1"/>
    <n v="812.75739999999996"/>
    <n v="812.75739999999996"/>
  </r>
  <r>
    <s v="SALE1301"/>
    <x v="12"/>
    <x v="0"/>
    <s v="CUST1103"/>
    <x v="2"/>
    <x v="0"/>
    <x v="3"/>
    <s v="PROD34"/>
    <s v="Gaming Mechanical Keyboard"/>
    <x v="1"/>
    <s v="Computer"/>
    <s v="STORE8"/>
    <x v="1"/>
    <x v="2"/>
    <n v="349.07"/>
    <n v="0.28000000000000003"/>
    <x v="0"/>
    <b v="1"/>
    <n v="1005.3216"/>
    <n v="1005.3216"/>
  </r>
  <r>
    <s v="SALE1302"/>
    <x v="150"/>
    <x v="0"/>
    <s v="CUST1283"/>
    <x v="0"/>
    <x v="1"/>
    <x v="2"/>
    <s v="PROD81"/>
    <s v="Badminton Racket Set"/>
    <x v="0"/>
    <s v="Equipment"/>
    <s v="STORE13"/>
    <x v="3"/>
    <x v="0"/>
    <n v="747.9"/>
    <n v="0.21"/>
    <x v="2"/>
    <b v="1"/>
    <n v="590.84100000000001"/>
    <n v="590.84100000000001"/>
  </r>
  <r>
    <s v="SALE1303"/>
    <x v="270"/>
    <x v="0"/>
    <s v="CUST1031"/>
    <x v="1"/>
    <x v="0"/>
    <x v="2"/>
    <s v="PROD81"/>
    <s v="Badminton Racket Set"/>
    <x v="0"/>
    <s v="Equipment"/>
    <s v="STORE6"/>
    <x v="3"/>
    <x v="1"/>
    <n v="438.92"/>
    <n v="0.21"/>
    <x v="0"/>
    <b v="1"/>
    <n v="1040.2404000000001"/>
    <n v="1040.2403999999999"/>
  </r>
  <r>
    <s v="SALE1304"/>
    <x v="444"/>
    <x v="1"/>
    <s v="CUST1123"/>
    <x v="1"/>
    <x v="0"/>
    <x v="2"/>
    <s v="PROD77"/>
    <s v="WiFi Mesh Router"/>
    <x v="1"/>
    <s v="Appliances"/>
    <s v="STORE4"/>
    <x v="2"/>
    <x v="2"/>
    <n v="665.38"/>
    <n v="0.18"/>
    <x v="0"/>
    <b v="1"/>
    <n v="2182.4464000000003"/>
    <n v="2182.4463999999998"/>
  </r>
  <r>
    <s v="SALE1305"/>
    <x v="78"/>
    <x v="0"/>
    <s v="CUST1003"/>
    <x v="0"/>
    <x v="1"/>
    <x v="3"/>
    <s v="PROD60"/>
    <s v="Luxury Perfume Spray"/>
    <x v="2"/>
    <s v="Fragrance"/>
    <s v="STORE18"/>
    <x v="3"/>
    <x v="0"/>
    <n v="146.49"/>
    <n v="0.28000000000000003"/>
    <x v="0"/>
    <b v="1"/>
    <n v="105.47280000000001"/>
    <n v="105.47280000000001"/>
  </r>
  <r>
    <s v="SALE1306"/>
    <x v="367"/>
    <x v="2"/>
    <s v="CUST1139"/>
    <x v="1"/>
    <x v="0"/>
    <x v="3"/>
    <s v="PROD38"/>
    <s v="Sports Water Hydration Pack"/>
    <x v="0"/>
    <s v="Outdoor"/>
    <s v="STORE15"/>
    <x v="0"/>
    <x v="3"/>
    <n v="235.39"/>
    <n v="0.27"/>
    <x v="2"/>
    <b v="1"/>
    <n v="343.6694"/>
    <n v="343.6694"/>
  </r>
  <r>
    <s v="SALE1307"/>
    <x v="609"/>
    <x v="0"/>
    <s v="CUST1028"/>
    <x v="2"/>
    <x v="1"/>
    <x v="1"/>
    <s v="PROD61"/>
    <s v="Tennis Ball 3-Pack"/>
    <x v="0"/>
    <s v="Equipment"/>
    <s v="STORE5"/>
    <x v="0"/>
    <x v="1"/>
    <n v="38.07"/>
    <n v="0.09"/>
    <x v="1"/>
    <b v="1"/>
    <n v="103.93110000000001"/>
    <n v="103.9311"/>
  </r>
  <r>
    <s v="SALE1308"/>
    <x v="465"/>
    <x v="2"/>
    <s v="CUST1403"/>
    <x v="1"/>
    <x v="0"/>
    <x v="3"/>
    <s v="PROD34"/>
    <s v="Gaming Mechanical Keyboard"/>
    <x v="1"/>
    <s v="Computer"/>
    <s v="STORE4"/>
    <x v="2"/>
    <x v="3"/>
    <n v="511.7"/>
    <n v="0.12"/>
    <x v="2"/>
    <b v="1"/>
    <n v="900.59199999999998"/>
    <n v="900.59199999999998"/>
  </r>
  <r>
    <s v="SALE1309"/>
    <x v="410"/>
    <x v="0"/>
    <s v="CUST1092"/>
    <x v="1"/>
    <x v="1"/>
    <x v="1"/>
    <s v="PROD75"/>
    <s v="Women's Ankle Boots"/>
    <x v="4"/>
    <s v="Footwear"/>
    <s v="STORE8"/>
    <x v="1"/>
    <x v="2"/>
    <n v="488.72"/>
    <n v="0.23"/>
    <x v="1"/>
    <b v="1"/>
    <n v="1505.2576000000001"/>
    <n v="1505.2575999999999"/>
  </r>
  <r>
    <s v="SALE1310"/>
    <x v="216"/>
    <x v="2"/>
    <s v="CUST1391"/>
    <x v="1"/>
    <x v="1"/>
    <x v="3"/>
    <s v="PROD50"/>
    <s v="Boxing Hand Wraps"/>
    <x v="0"/>
    <s v="Fitness"/>
    <s v="STORE12"/>
    <x v="0"/>
    <x v="3"/>
    <n v="520.45000000000005"/>
    <n v="0.11"/>
    <x v="2"/>
    <b v="1"/>
    <n v="926.40100000000007"/>
    <n v="926.40100000000007"/>
  </r>
  <r>
    <s v="SALE1311"/>
    <x v="490"/>
    <x v="0"/>
    <s v="CUST1432"/>
    <x v="1"/>
    <x v="0"/>
    <x v="3"/>
    <s v="PROD48"/>
    <s v="Car Dashboard Phone Holder"/>
    <x v="1"/>
    <s v="Accessories"/>
    <s v="STORE5"/>
    <x v="0"/>
    <x v="0"/>
    <n v="340.9"/>
    <n v="0.28999999999999998"/>
    <x v="0"/>
    <b v="1"/>
    <n v="242.03899999999996"/>
    <n v="242.03899999999999"/>
  </r>
  <r>
    <s v="SALE1312"/>
    <x v="311"/>
    <x v="0"/>
    <s v="CUST1346"/>
    <x v="0"/>
    <x v="1"/>
    <x v="1"/>
    <s v="PROD31"/>
    <s v="Basketball"/>
    <x v="0"/>
    <s v="Team Sports"/>
    <s v="STORE8"/>
    <x v="1"/>
    <x v="1"/>
    <n v="653.59"/>
    <n v="0.17"/>
    <x v="2"/>
    <b v="1"/>
    <n v="1627.4390999999998"/>
    <n v="1627.4391000000001"/>
  </r>
  <r>
    <s v="SALE1313"/>
    <x v="332"/>
    <x v="2"/>
    <s v="CUST1021"/>
    <x v="1"/>
    <x v="1"/>
    <x v="0"/>
    <s v="PROD26"/>
    <s v="Wireless Bluetooth Speaker"/>
    <x v="1"/>
    <s v="Audio"/>
    <s v="STORE18"/>
    <x v="3"/>
    <x v="0"/>
    <n v="179.77"/>
    <n v="0.23"/>
    <x v="2"/>
    <b v="1"/>
    <n v="138.4229"/>
    <n v="138.4229"/>
  </r>
  <r>
    <s v="SALE1314"/>
    <x v="91"/>
    <x v="0"/>
    <s v="CUST1008"/>
    <x v="0"/>
    <x v="1"/>
    <x v="0"/>
    <s v="PROD0"/>
    <s v="Brother Laser Printer"/>
    <x v="1"/>
    <s v="Computer"/>
    <s v="STORE9"/>
    <x v="2"/>
    <x v="3"/>
    <n v="943.8"/>
    <n v="0.06"/>
    <x v="0"/>
    <b v="1"/>
    <n v="1774.3439999999998"/>
    <n v="1774.3440000000001"/>
  </r>
  <r>
    <s v="SALE1315"/>
    <x v="610"/>
    <x v="1"/>
    <s v="CUST1409"/>
    <x v="0"/>
    <x v="0"/>
    <x v="0"/>
    <s v="PROD71"/>
    <s v="Hair Repair Oil Treatment"/>
    <x v="2"/>
    <s v="Haircare"/>
    <s v="STORE15"/>
    <x v="0"/>
    <x v="3"/>
    <n v="985"/>
    <n v="0.25"/>
    <x v="0"/>
    <b v="1"/>
    <n v="1477.5"/>
    <n v="1477.5"/>
  </r>
  <r>
    <s v="SALE1316"/>
    <x v="111"/>
    <x v="0"/>
    <s v="CUST1485"/>
    <x v="1"/>
    <x v="1"/>
    <x v="3"/>
    <s v="PROD88"/>
    <s v="Sports Wrist Sweatbands"/>
    <x v="0"/>
    <s v="Accessories"/>
    <s v="STORE10"/>
    <x v="3"/>
    <x v="2"/>
    <n v="216.81"/>
    <n v="0.28999999999999998"/>
    <x v="0"/>
    <b v="1"/>
    <n v="615.74040000000002"/>
    <n v="615.74040000000002"/>
  </r>
  <r>
    <s v="SALE1317"/>
    <x v="389"/>
    <x v="1"/>
    <s v="CUST1117"/>
    <x v="2"/>
    <x v="1"/>
    <x v="1"/>
    <s v="PROD64"/>
    <s v="Matte Lipstick Set"/>
    <x v="2"/>
    <s v="Makeup"/>
    <s v="STORE2"/>
    <x v="2"/>
    <x v="2"/>
    <n v="950.21"/>
    <n v="0.27"/>
    <x v="2"/>
    <b v="1"/>
    <n v="2774.6132000000002"/>
    <n v="2774.6131999999998"/>
  </r>
  <r>
    <s v="SALE1318"/>
    <x v="611"/>
    <x v="2"/>
    <s v="CUST1256"/>
    <x v="0"/>
    <x v="0"/>
    <x v="1"/>
    <s v="PROD48"/>
    <s v="Car Dashboard Phone Holder"/>
    <x v="1"/>
    <s v="Accessories"/>
    <s v="STORE7"/>
    <x v="2"/>
    <x v="3"/>
    <n v="271.39999999999998"/>
    <n v="0.17"/>
    <x v="1"/>
    <b v="1"/>
    <n v="450.52399999999994"/>
    <n v="450.52399999999989"/>
  </r>
  <r>
    <s v="SALE1319"/>
    <x v="144"/>
    <x v="2"/>
    <s v="CUST1168"/>
    <x v="1"/>
    <x v="1"/>
    <x v="1"/>
    <s v="PROD39"/>
    <s v="Portable Power Bank"/>
    <x v="1"/>
    <s v="Mobile"/>
    <s v="STORE8"/>
    <x v="1"/>
    <x v="2"/>
    <n v="708.19"/>
    <n v="0.1"/>
    <x v="1"/>
    <b v="1"/>
    <n v="2549.4840000000004"/>
    <n v="2549.4839999999999"/>
  </r>
  <r>
    <s v="SALE1320"/>
    <x v="612"/>
    <x v="2"/>
    <s v="CUST1444"/>
    <x v="2"/>
    <x v="0"/>
    <x v="0"/>
    <s v="PROD54"/>
    <s v="Sports Stopwatch Pro"/>
    <x v="0"/>
    <s v="Accessories"/>
    <s v="STORE3"/>
    <x v="0"/>
    <x v="1"/>
    <n v="477.05"/>
    <n v="0.05"/>
    <x v="1"/>
    <b v="1"/>
    <n v="1359.5925"/>
    <n v="1359.5925"/>
  </r>
  <r>
    <s v="SALE1321"/>
    <x v="613"/>
    <x v="0"/>
    <s v="CUST1307"/>
    <x v="0"/>
    <x v="1"/>
    <x v="3"/>
    <s v="PROD74"/>
    <s v="Bluetooth Car Audio System"/>
    <x v="1"/>
    <s v="Audio"/>
    <s v="STORE9"/>
    <x v="2"/>
    <x v="1"/>
    <n v="627.29"/>
    <n v="0.27"/>
    <x v="2"/>
    <b v="1"/>
    <n v="1373.7650999999998"/>
    <n v="1373.7651000000001"/>
  </r>
  <r>
    <s v="SALE1322"/>
    <x v="10"/>
    <x v="0"/>
    <s v="CUST1304"/>
    <x v="1"/>
    <x v="0"/>
    <x v="2"/>
    <s v="PROD94"/>
    <s v="Vitamin E Body Lotion"/>
    <x v="2"/>
    <s v="Skincare"/>
    <s v="STORE11"/>
    <x v="2"/>
    <x v="1"/>
    <n v="206.84"/>
    <n v="0.19"/>
    <x v="1"/>
    <b v="1"/>
    <n v="502.62120000000004"/>
    <n v="502.62119999999999"/>
  </r>
  <r>
    <s v="SALE1323"/>
    <x v="288"/>
    <x v="0"/>
    <s v="CUST1251"/>
    <x v="0"/>
    <x v="0"/>
    <x v="2"/>
    <s v="PROD30"/>
    <s v="Stainless Steel Cutlery Set"/>
    <x v="3"/>
    <s v="Kitchen"/>
    <s v="STORE1"/>
    <x v="0"/>
    <x v="2"/>
    <n v="629.04999999999995"/>
    <n v="0.26"/>
    <x v="0"/>
    <b v="1"/>
    <n v="1861.9879999999998"/>
    <n v="1861.9880000000001"/>
  </r>
  <r>
    <s v="SALE1324"/>
    <x v="525"/>
    <x v="0"/>
    <s v="CUST1438"/>
    <x v="0"/>
    <x v="1"/>
    <x v="1"/>
    <s v="PROD74"/>
    <s v="Bluetooth Car Audio System"/>
    <x v="1"/>
    <s v="Audio"/>
    <s v="STORE17"/>
    <x v="0"/>
    <x v="2"/>
    <n v="529.04"/>
    <n v="0.1"/>
    <x v="1"/>
    <b v="1"/>
    <n v="1904.5439999999999"/>
    <n v="1904.5440000000001"/>
  </r>
  <r>
    <s v="SALE1325"/>
    <x v="387"/>
    <x v="0"/>
    <s v="CUST1349"/>
    <x v="1"/>
    <x v="0"/>
    <x v="3"/>
    <s v="PROD30"/>
    <s v="Stainless Steel Cutlery Set"/>
    <x v="3"/>
    <s v="Kitchen"/>
    <s v="STORE17"/>
    <x v="0"/>
    <x v="0"/>
    <n v="350.67"/>
    <n v="0.22"/>
    <x v="1"/>
    <b v="1"/>
    <n v="273.52260000000001"/>
    <n v="273.52260000000001"/>
  </r>
  <r>
    <s v="SALE1326"/>
    <x v="614"/>
    <x v="0"/>
    <s v="CUST1371"/>
    <x v="2"/>
    <x v="1"/>
    <x v="1"/>
    <s v="PROD95"/>
    <s v="Sports Stopwatch Basic"/>
    <x v="0"/>
    <s v="Accessories"/>
    <s v="STORE1"/>
    <x v="0"/>
    <x v="0"/>
    <n v="128.93"/>
    <n v="0.26"/>
    <x v="0"/>
    <b v="1"/>
    <n v="95.408200000000008"/>
    <n v="95.408200000000008"/>
  </r>
  <r>
    <s v="SALE1327"/>
    <x v="128"/>
    <x v="0"/>
    <s v="CUST1145"/>
    <x v="1"/>
    <x v="0"/>
    <x v="1"/>
    <s v="PROD86"/>
    <s v="Kitchen Cutting Board"/>
    <x v="3"/>
    <s v="Kitchen"/>
    <s v="STORE15"/>
    <x v="0"/>
    <x v="3"/>
    <n v="384.92"/>
    <n v="0.09"/>
    <x v="0"/>
    <b v="1"/>
    <n v="700.5544000000001"/>
    <n v="700.5544000000001"/>
  </r>
  <r>
    <s v="SALE1328"/>
    <x v="76"/>
    <x v="1"/>
    <s v="CUST1334"/>
    <x v="1"/>
    <x v="1"/>
    <x v="2"/>
    <s v="PROD5"/>
    <s v="Men's Leather Belt"/>
    <x v="4"/>
    <s v="Accessories"/>
    <s v="STORE8"/>
    <x v="1"/>
    <x v="1"/>
    <n v="120.77"/>
    <n v="0.28999999999999998"/>
    <x v="1"/>
    <b v="1"/>
    <n v="257.24009999999998"/>
    <n v="257.24009999999998"/>
  </r>
  <r>
    <s v="SALE1329"/>
    <x v="317"/>
    <x v="2"/>
    <s v="CUST1222"/>
    <x v="1"/>
    <x v="0"/>
    <x v="1"/>
    <s v="PROD76"/>
    <s v="Wireless Mouse"/>
    <x v="1"/>
    <s v="Computer"/>
    <s v="STORE17"/>
    <x v="0"/>
    <x v="2"/>
    <n v="661.39"/>
    <n v="7.0000000000000007E-2"/>
    <x v="0"/>
    <b v="1"/>
    <n v="2460.3707999999997"/>
    <n v="2460.3708000000001"/>
  </r>
  <r>
    <s v="SALE1330"/>
    <x v="615"/>
    <x v="1"/>
    <s v="CUST1449"/>
    <x v="2"/>
    <x v="0"/>
    <x v="3"/>
    <s v="PROD62"/>
    <s v="Laptop Cooling Pad"/>
    <x v="1"/>
    <s v="Computer"/>
    <s v="STORE2"/>
    <x v="2"/>
    <x v="0"/>
    <n v="195.24"/>
    <n v="0.27"/>
    <x v="1"/>
    <b v="1"/>
    <n v="142.52520000000001"/>
    <n v="142.52520000000001"/>
  </r>
  <r>
    <s v="SALE1331"/>
    <x v="305"/>
    <x v="1"/>
    <s v="CUST1004"/>
    <x v="0"/>
    <x v="1"/>
    <x v="2"/>
    <s v="PROD92"/>
    <s v="Microwave Oven"/>
    <x v="3"/>
    <s v="Appliances"/>
    <s v="STORE18"/>
    <x v="3"/>
    <x v="3"/>
    <n v="177.4"/>
    <n v="0.19"/>
    <x v="1"/>
    <b v="1"/>
    <n v="287.38800000000003"/>
    <n v="287.38799999999998"/>
  </r>
  <r>
    <s v="SALE1332"/>
    <x v="435"/>
    <x v="2"/>
    <s v="CUST1057"/>
    <x v="1"/>
    <x v="1"/>
    <x v="1"/>
    <s v="PROD98"/>
    <s v="Portable Bluetooth Speaker"/>
    <x v="1"/>
    <s v="Audio"/>
    <s v="STORE11"/>
    <x v="2"/>
    <x v="2"/>
    <n v="862.67"/>
    <n v="0.2"/>
    <x v="1"/>
    <b v="1"/>
    <n v="2760.5439999999999"/>
    <n v="2760.5439999999999"/>
  </r>
  <r>
    <s v="SALE1333"/>
    <x v="338"/>
    <x v="0"/>
    <s v="CUST1444"/>
    <x v="2"/>
    <x v="0"/>
    <x v="0"/>
    <s v="PROD17"/>
    <s v="Soccer Training Cone Set"/>
    <x v="0"/>
    <s v="Accessories"/>
    <s v="STORE6"/>
    <x v="3"/>
    <x v="0"/>
    <n v="55.04"/>
    <n v="0.01"/>
    <x v="2"/>
    <b v="1"/>
    <n v="54.489599999999996"/>
    <n v="54.489600000000003"/>
  </r>
  <r>
    <s v="SALE1334"/>
    <x v="175"/>
    <x v="0"/>
    <s v="CUST1049"/>
    <x v="1"/>
    <x v="1"/>
    <x v="0"/>
    <s v="PROD45"/>
    <s v="High-Grip Football"/>
    <x v="0"/>
    <s v="Team Sports"/>
    <s v="STORE0"/>
    <x v="3"/>
    <x v="3"/>
    <n v="905.47"/>
    <n v="0.2"/>
    <x v="2"/>
    <b v="1"/>
    <n v="1448.7520000000002"/>
    <n v="1448.752"/>
  </r>
  <r>
    <s v="SALE1335"/>
    <x v="401"/>
    <x v="0"/>
    <s v="CUST1461"/>
    <x v="0"/>
    <x v="1"/>
    <x v="2"/>
    <s v="PROD63"/>
    <s v="Organic Sunscreen Lotion"/>
    <x v="2"/>
    <s v="Skincare"/>
    <s v="STORE13"/>
    <x v="3"/>
    <x v="1"/>
    <n v="217.13"/>
    <n v="0.28000000000000003"/>
    <x v="0"/>
    <b v="1"/>
    <n v="469.00079999999997"/>
    <n v="469.00080000000003"/>
  </r>
  <r>
    <s v="SALE1336"/>
    <x v="494"/>
    <x v="2"/>
    <s v="CUST1389"/>
    <x v="1"/>
    <x v="0"/>
    <x v="1"/>
    <s v="PROD75"/>
    <s v="Women's Ankle Boots"/>
    <x v="4"/>
    <s v="Footwear"/>
    <s v="STORE0"/>
    <x v="3"/>
    <x v="1"/>
    <n v="580.45000000000005"/>
    <n v="0"/>
    <x v="1"/>
    <b v="1"/>
    <n v="1741.3500000000001"/>
    <n v="1741.35"/>
  </r>
  <r>
    <s v="SALE1337"/>
    <x v="58"/>
    <x v="2"/>
    <s v="CUST1103"/>
    <x v="2"/>
    <x v="0"/>
    <x v="3"/>
    <s v="PROD4"/>
    <s v="Women's Yoga Pants"/>
    <x v="4"/>
    <s v="Bottoms"/>
    <s v="STORE17"/>
    <x v="0"/>
    <x v="3"/>
    <n v="892.88"/>
    <n v="0.17"/>
    <x v="1"/>
    <b v="1"/>
    <n v="1482.1807999999999"/>
    <n v="1482.1808000000001"/>
  </r>
  <r>
    <s v="SALE1338"/>
    <x v="494"/>
    <x v="2"/>
    <s v="CUST1091"/>
    <x v="2"/>
    <x v="1"/>
    <x v="2"/>
    <s v="PROD40"/>
    <s v="Noise-Canceling Headphones"/>
    <x v="1"/>
    <s v="Audio"/>
    <s v="STORE18"/>
    <x v="3"/>
    <x v="3"/>
    <n v="356.28"/>
    <n v="0.11"/>
    <x v="2"/>
    <b v="1"/>
    <n v="634.17840000000001"/>
    <n v="634.17840000000001"/>
  </r>
  <r>
    <s v="SALE1339"/>
    <x v="275"/>
    <x v="2"/>
    <s v="CUST1384"/>
    <x v="0"/>
    <x v="1"/>
    <x v="3"/>
    <s v="PROD80"/>
    <s v="Wall-Mounted Spice Rack"/>
    <x v="3"/>
    <s v="Kitchen"/>
    <s v="STORE2"/>
    <x v="2"/>
    <x v="2"/>
    <n v="806.99"/>
    <n v="0.06"/>
    <x v="0"/>
    <b v="1"/>
    <n v="3034.2824000000001"/>
    <n v="3034.2824000000001"/>
  </r>
  <r>
    <s v="SALE1340"/>
    <x v="375"/>
    <x v="2"/>
    <s v="CUST1439"/>
    <x v="0"/>
    <x v="0"/>
    <x v="2"/>
    <s v="PROD20"/>
    <s v="Outdoor Sports Water Bottle"/>
    <x v="0"/>
    <s v="Accessories"/>
    <s v="STORE1"/>
    <x v="0"/>
    <x v="1"/>
    <n v="684.22"/>
    <n v="0.09"/>
    <x v="0"/>
    <b v="1"/>
    <n v="1867.9205999999999"/>
    <n v="1867.9205999999999"/>
  </r>
  <r>
    <s v="SALE1341"/>
    <x v="315"/>
    <x v="2"/>
    <s v="CUST1443"/>
    <x v="0"/>
    <x v="0"/>
    <x v="2"/>
    <s v="PROD93"/>
    <s v="USB-C Laptop Charger"/>
    <x v="1"/>
    <s v="Computer"/>
    <s v="STORE7"/>
    <x v="2"/>
    <x v="2"/>
    <n v="763.34"/>
    <n v="7.0000000000000007E-2"/>
    <x v="1"/>
    <b v="1"/>
    <n v="2839.6248000000001"/>
    <n v="2839.6248000000001"/>
  </r>
  <r>
    <s v="SALE1342"/>
    <x v="102"/>
    <x v="2"/>
    <s v="CUST1361"/>
    <x v="0"/>
    <x v="0"/>
    <x v="1"/>
    <s v="PROD50"/>
    <s v="Boxing Hand Wraps"/>
    <x v="0"/>
    <s v="Fitness"/>
    <s v="STORE3"/>
    <x v="0"/>
    <x v="1"/>
    <n v="721.94"/>
    <n v="0.26"/>
    <x v="0"/>
    <b v="1"/>
    <n v="1602.7068000000002"/>
    <n v="1602.7067999999999"/>
  </r>
  <r>
    <s v="SALE1343"/>
    <x v="100"/>
    <x v="0"/>
    <s v="CUST1406"/>
    <x v="2"/>
    <x v="1"/>
    <x v="0"/>
    <s v="PROD97"/>
    <s v="Cricket Bat"/>
    <x v="0"/>
    <s v="Team Sports"/>
    <s v="STORE1"/>
    <x v="0"/>
    <x v="1"/>
    <n v="760.38"/>
    <n v="0"/>
    <x v="2"/>
    <b v="1"/>
    <n v="2281.14"/>
    <n v="2281.14"/>
  </r>
  <r>
    <s v="SALE1344"/>
    <x v="369"/>
    <x v="0"/>
    <s v="CUST1298"/>
    <x v="0"/>
    <x v="0"/>
    <x v="1"/>
    <s v="PROD97"/>
    <s v="Cricket Bat"/>
    <x v="0"/>
    <s v="Team Sports"/>
    <s v="STORE6"/>
    <x v="3"/>
    <x v="1"/>
    <n v="612.53"/>
    <n v="0.21"/>
    <x v="2"/>
    <b v="1"/>
    <n v="1451.6960999999999"/>
    <n v="1451.6960999999999"/>
  </r>
  <r>
    <s v="SALE1345"/>
    <x v="128"/>
    <x v="0"/>
    <s v="CUST1041"/>
    <x v="2"/>
    <x v="0"/>
    <x v="1"/>
    <s v="PROD63"/>
    <s v="Organic Sunscreen Lotion"/>
    <x v="2"/>
    <s v="Skincare"/>
    <s v="STORE16"/>
    <x v="1"/>
    <x v="1"/>
    <n v="841.37"/>
    <n v="0.28999999999999998"/>
    <x v="1"/>
    <b v="1"/>
    <n v="1792.1180999999999"/>
    <n v="1792.1180999999999"/>
  </r>
  <r>
    <s v="SALE1346"/>
    <x v="394"/>
    <x v="1"/>
    <s v="CUST1261"/>
    <x v="2"/>
    <x v="1"/>
    <x v="2"/>
    <s v="PROD48"/>
    <s v="Car Dashboard Phone Holder"/>
    <x v="1"/>
    <s v="Accessories"/>
    <s v="STORE9"/>
    <x v="2"/>
    <x v="3"/>
    <n v="636.51"/>
    <n v="0.25"/>
    <x v="0"/>
    <b v="1"/>
    <n v="954.76499999999999"/>
    <n v="954.76499999999999"/>
  </r>
  <r>
    <s v="SALE1347"/>
    <x v="616"/>
    <x v="2"/>
    <s v="CUST1091"/>
    <x v="2"/>
    <x v="1"/>
    <x v="2"/>
    <s v="PROD45"/>
    <s v="High-Grip Football"/>
    <x v="0"/>
    <s v="Team Sports"/>
    <s v="STORE8"/>
    <x v="1"/>
    <x v="3"/>
    <n v="732.37"/>
    <n v="0.22"/>
    <x v="2"/>
    <b v="1"/>
    <n v="1142.4972"/>
    <n v="1142.4972"/>
  </r>
  <r>
    <s v="SALE1348"/>
    <x v="61"/>
    <x v="2"/>
    <s v="CUST1164"/>
    <x v="1"/>
    <x v="1"/>
    <x v="2"/>
    <s v="PROD54"/>
    <s v="Sports Stopwatch Pro"/>
    <x v="0"/>
    <s v="Accessories"/>
    <s v="STORE16"/>
    <x v="1"/>
    <x v="1"/>
    <n v="183.44"/>
    <n v="0.28000000000000003"/>
    <x v="2"/>
    <b v="1"/>
    <n v="396.23039999999992"/>
    <n v="396.23039999999992"/>
  </r>
  <r>
    <s v="SALE1349"/>
    <x v="297"/>
    <x v="0"/>
    <s v="CUST1065"/>
    <x v="2"/>
    <x v="1"/>
    <x v="2"/>
    <s v="PROD11"/>
    <s v="HD Smart TV Stick"/>
    <x v="1"/>
    <s v="Accessories"/>
    <s v="STORE13"/>
    <x v="3"/>
    <x v="2"/>
    <n v="898.58"/>
    <n v="0.16"/>
    <x v="1"/>
    <b v="1"/>
    <n v="3019.2287999999999"/>
    <n v="3019.2287999999999"/>
  </r>
  <r>
    <s v="SALE1350"/>
    <x v="617"/>
    <x v="0"/>
    <s v="CUST1390"/>
    <x v="0"/>
    <x v="0"/>
    <x v="2"/>
    <s v="PROD23"/>
    <s v="Men's Formal Shirt"/>
    <x v="4"/>
    <s v="Tops"/>
    <s v="STORE2"/>
    <x v="2"/>
    <x v="1"/>
    <n v="152.41"/>
    <n v="0.25"/>
    <x v="0"/>
    <b v="1"/>
    <n v="342.92250000000001"/>
    <n v="342.92250000000001"/>
  </r>
  <r>
    <s v="SALE1351"/>
    <x v="618"/>
    <x v="2"/>
    <s v="CUST1223"/>
    <x v="1"/>
    <x v="0"/>
    <x v="1"/>
    <s v="PROD92"/>
    <s v="Microwave Oven"/>
    <x v="3"/>
    <s v="Appliances"/>
    <s v="STORE14"/>
    <x v="2"/>
    <x v="1"/>
    <n v="972.58"/>
    <n v="0.28000000000000003"/>
    <x v="2"/>
    <b v="1"/>
    <n v="2100.7728000000002"/>
    <n v="2100.7728000000002"/>
  </r>
  <r>
    <s v="SALE1352"/>
    <x v="157"/>
    <x v="1"/>
    <s v="CUST1466"/>
    <x v="2"/>
    <x v="0"/>
    <x v="2"/>
    <s v="PROD69"/>
    <s v="Men's Sports Shorts"/>
    <x v="4"/>
    <s v="Bottoms"/>
    <s v="STORE11"/>
    <x v="2"/>
    <x v="2"/>
    <n v="136.4"/>
    <n v="0.04"/>
    <x v="2"/>
    <b v="1"/>
    <n v="523.77599999999995"/>
    <n v="523.77599999999995"/>
  </r>
  <r>
    <s v="SALE1353"/>
    <x v="51"/>
    <x v="2"/>
    <s v="CUST1400"/>
    <x v="0"/>
    <x v="1"/>
    <x v="1"/>
    <s v="PROD94"/>
    <s v="Vitamin E Body Lotion"/>
    <x v="2"/>
    <s v="Skincare"/>
    <s v="STORE15"/>
    <x v="0"/>
    <x v="0"/>
    <n v="509.63"/>
    <n v="0.27"/>
    <x v="2"/>
    <b v="1"/>
    <n v="372.0299"/>
    <n v="372.0299"/>
  </r>
  <r>
    <s v="SALE1354"/>
    <x v="316"/>
    <x v="0"/>
    <s v="CUST1003"/>
    <x v="0"/>
    <x v="1"/>
    <x v="3"/>
    <s v="PROD97"/>
    <s v="Cricket Bat"/>
    <x v="0"/>
    <s v="Team Sports"/>
    <s v="STORE3"/>
    <x v="0"/>
    <x v="2"/>
    <n v="360.28"/>
    <n v="0.09"/>
    <x v="2"/>
    <b v="1"/>
    <n v="1311.4192"/>
    <n v="1311.4192"/>
  </r>
  <r>
    <s v="SALE1355"/>
    <x v="126"/>
    <x v="2"/>
    <s v="CUST1080"/>
    <x v="0"/>
    <x v="1"/>
    <x v="3"/>
    <s v="PROD89"/>
    <s v="Face Foundation Kit"/>
    <x v="2"/>
    <s v="Makeup"/>
    <s v="STORE15"/>
    <x v="0"/>
    <x v="1"/>
    <n v="882.05"/>
    <n v="0.06"/>
    <x v="1"/>
    <b v="1"/>
    <n v="2487.3809999999994"/>
    <n v="2487.3809999999989"/>
  </r>
  <r>
    <s v="SALE1356"/>
    <x v="290"/>
    <x v="0"/>
    <s v="CUST1195"/>
    <x v="0"/>
    <x v="0"/>
    <x v="2"/>
    <s v="PROD79"/>
    <s v="Decorative Lamp Shade"/>
    <x v="3"/>
    <s v="Lighting"/>
    <s v="STORE8"/>
    <x v="1"/>
    <x v="1"/>
    <n v="141.54"/>
    <n v="0.12"/>
    <x v="1"/>
    <b v="1"/>
    <n v="373.66559999999998"/>
    <n v="373.66559999999998"/>
  </r>
  <r>
    <s v="SALE1357"/>
    <x v="552"/>
    <x v="0"/>
    <s v="CUST1043"/>
    <x v="1"/>
    <x v="0"/>
    <x v="0"/>
    <s v="PROD15"/>
    <s v="4K Home Projector"/>
    <x v="1"/>
    <s v="Appliances"/>
    <s v="STORE4"/>
    <x v="2"/>
    <x v="1"/>
    <n v="83.5"/>
    <n v="0.23"/>
    <x v="2"/>
    <b v="1"/>
    <n v="192.88499999999999"/>
    <n v="192.88499999999999"/>
  </r>
  <r>
    <s v="SALE1358"/>
    <x v="619"/>
    <x v="1"/>
    <s v="CUST1123"/>
    <x v="1"/>
    <x v="0"/>
    <x v="2"/>
    <s v="PROD14"/>
    <s v="Decorative Wall Mirror"/>
    <x v="3"/>
    <s v="Decor"/>
    <s v="STORE6"/>
    <x v="3"/>
    <x v="3"/>
    <n v="629.73"/>
    <n v="7.0000000000000007E-2"/>
    <x v="1"/>
    <b v="1"/>
    <n v="1171.2978000000001"/>
    <n v="1171.2978000000001"/>
  </r>
  <r>
    <s v="SALE1359"/>
    <x v="541"/>
    <x v="1"/>
    <s v="CUST1012"/>
    <x v="0"/>
    <x v="1"/>
    <x v="1"/>
    <s v="PROD33"/>
    <s v="Modern Wall Clock"/>
    <x v="3"/>
    <s v="Decor"/>
    <s v="STORE6"/>
    <x v="3"/>
    <x v="3"/>
    <n v="159.93"/>
    <n v="0.2"/>
    <x v="2"/>
    <b v="1"/>
    <n v="255.88800000000003"/>
    <n v="255.88800000000001"/>
  </r>
  <r>
    <s v="SALE1360"/>
    <x v="620"/>
    <x v="2"/>
    <s v="CUST1012"/>
    <x v="0"/>
    <x v="1"/>
    <x v="1"/>
    <s v="PROD45"/>
    <s v="High-Grip Football"/>
    <x v="0"/>
    <s v="Team Sports"/>
    <s v="STORE18"/>
    <x v="3"/>
    <x v="0"/>
    <n v="459.89"/>
    <n v="0.18"/>
    <x v="2"/>
    <b v="1"/>
    <n v="377.10980000000001"/>
    <n v="377.10980000000001"/>
  </r>
  <r>
    <s v="SALE1361"/>
    <x v="486"/>
    <x v="0"/>
    <s v="CUST1188"/>
    <x v="1"/>
    <x v="0"/>
    <x v="2"/>
    <s v="PROD33"/>
    <s v="Modern Wall Clock"/>
    <x v="3"/>
    <s v="Decor"/>
    <s v="STORE19"/>
    <x v="3"/>
    <x v="2"/>
    <n v="885.57"/>
    <n v="0.27"/>
    <x v="0"/>
    <b v="1"/>
    <n v="2585.8643999999999"/>
    <n v="2585.8643999999999"/>
  </r>
  <r>
    <s v="SALE1362"/>
    <x v="146"/>
    <x v="0"/>
    <s v="CUST1402"/>
    <x v="1"/>
    <x v="0"/>
    <x v="3"/>
    <s v="PROD54"/>
    <s v="Sports Stopwatch Pro"/>
    <x v="0"/>
    <s v="Accessories"/>
    <s v="STORE15"/>
    <x v="0"/>
    <x v="1"/>
    <n v="789.05"/>
    <n v="0"/>
    <x v="1"/>
    <b v="1"/>
    <n v="2367.1499999999996"/>
    <n v="2367.15"/>
  </r>
  <r>
    <s v="SALE1363"/>
    <x v="313"/>
    <x v="1"/>
    <s v="CUST1154"/>
    <x v="1"/>
    <x v="1"/>
    <x v="0"/>
    <s v="PROD66"/>
    <s v="Women's Hair Dryer Brush"/>
    <x v="2"/>
    <s v="Haircare"/>
    <s v="STORE0"/>
    <x v="3"/>
    <x v="0"/>
    <n v="570.52"/>
    <n v="0"/>
    <x v="1"/>
    <b v="1"/>
    <n v="570.52"/>
    <n v="570.52"/>
  </r>
  <r>
    <s v="SALE1364"/>
    <x v="302"/>
    <x v="0"/>
    <s v="CUST1179"/>
    <x v="1"/>
    <x v="1"/>
    <x v="2"/>
    <s v="PROD27"/>
    <s v="Decorative Floor Vase"/>
    <x v="3"/>
    <s v="Decor"/>
    <s v="STORE16"/>
    <x v="1"/>
    <x v="2"/>
    <n v="310.79000000000002"/>
    <n v="0.22"/>
    <x v="2"/>
    <b v="1"/>
    <n v="969.66480000000013"/>
    <n v="969.66480000000013"/>
  </r>
  <r>
    <s v="SALE1365"/>
    <x v="234"/>
    <x v="2"/>
    <s v="CUST1057"/>
    <x v="1"/>
    <x v="1"/>
    <x v="1"/>
    <s v="PROD68"/>
    <s v="Wooden Nightstand"/>
    <x v="3"/>
    <s v="Furniture"/>
    <s v="STORE17"/>
    <x v="0"/>
    <x v="2"/>
    <n v="255.67"/>
    <n v="0.17"/>
    <x v="0"/>
    <b v="1"/>
    <n v="848.82439999999997"/>
    <n v="848.82439999999997"/>
  </r>
  <r>
    <s v="SALE1366"/>
    <x v="433"/>
    <x v="0"/>
    <s v="CUST1129"/>
    <x v="1"/>
    <x v="1"/>
    <x v="2"/>
    <s v="PROD27"/>
    <s v="Decorative Floor Vase"/>
    <x v="3"/>
    <s v="Decor"/>
    <s v="STORE16"/>
    <x v="1"/>
    <x v="3"/>
    <n v="270.66000000000003"/>
    <n v="0.1"/>
    <x v="2"/>
    <b v="1"/>
    <n v="487.18800000000005"/>
    <n v="487.18799999999999"/>
  </r>
  <r>
    <s v="SALE1367"/>
    <x v="62"/>
    <x v="2"/>
    <s v="CUST1299"/>
    <x v="1"/>
    <x v="1"/>
    <x v="1"/>
    <s v="PROD23"/>
    <s v="Men's Formal Shirt"/>
    <x v="4"/>
    <s v="Tops"/>
    <s v="STORE17"/>
    <x v="0"/>
    <x v="1"/>
    <n v="373.35"/>
    <n v="0.2"/>
    <x v="2"/>
    <b v="1"/>
    <n v="896.04000000000019"/>
    <n v="896.04000000000019"/>
  </r>
  <r>
    <s v="SALE1368"/>
    <x v="542"/>
    <x v="0"/>
    <s v="CUST1036"/>
    <x v="2"/>
    <x v="1"/>
    <x v="0"/>
    <s v="PROD59"/>
    <s v="Men's Hair Styling Gel"/>
    <x v="2"/>
    <s v="Haircare"/>
    <s v="STORE11"/>
    <x v="2"/>
    <x v="3"/>
    <n v="23.58"/>
    <n v="0.02"/>
    <x v="1"/>
    <b v="1"/>
    <n v="46.216799999999999"/>
    <n v="46.216799999999999"/>
  </r>
  <r>
    <s v="SALE1369"/>
    <x v="104"/>
    <x v="2"/>
    <s v="CUST1005"/>
    <x v="2"/>
    <x v="0"/>
    <x v="3"/>
    <s v="PROD35"/>
    <s v="Bedroom Table Lamp"/>
    <x v="3"/>
    <s v="Lighting"/>
    <s v="STORE7"/>
    <x v="2"/>
    <x v="2"/>
    <n v="185.67"/>
    <n v="0.21"/>
    <x v="1"/>
    <b v="1"/>
    <n v="586.71719999999993"/>
    <n v="586.71719999999993"/>
  </r>
  <r>
    <s v="SALE1370"/>
    <x v="523"/>
    <x v="0"/>
    <s v="CUST1120"/>
    <x v="1"/>
    <x v="1"/>
    <x v="1"/>
    <s v="PROD18"/>
    <s v="Women's Denim Jeans"/>
    <x v="4"/>
    <s v="Bottoms"/>
    <s v="STORE13"/>
    <x v="3"/>
    <x v="1"/>
    <n v="928.74"/>
    <n v="0.27"/>
    <x v="1"/>
    <b v="1"/>
    <n v="2033.9406000000001"/>
    <n v="2033.9405999999999"/>
  </r>
  <r>
    <s v="SALE1371"/>
    <x v="163"/>
    <x v="1"/>
    <s v="CUST1029"/>
    <x v="0"/>
    <x v="1"/>
    <x v="2"/>
    <s v="PROD84"/>
    <s v="Wooden Bookshelf"/>
    <x v="3"/>
    <s v="Furniture"/>
    <s v="STORE5"/>
    <x v="0"/>
    <x v="1"/>
    <n v="923.38"/>
    <n v="7.0000000000000007E-2"/>
    <x v="2"/>
    <b v="1"/>
    <n v="2576.2301999999995"/>
    <n v="2576.2302"/>
  </r>
  <r>
    <s v="SALE1372"/>
    <x v="5"/>
    <x v="0"/>
    <s v="CUST1462"/>
    <x v="1"/>
    <x v="1"/>
    <x v="2"/>
    <s v="PROD4"/>
    <s v="Women's Yoga Pants"/>
    <x v="4"/>
    <s v="Bottoms"/>
    <s v="STORE9"/>
    <x v="2"/>
    <x v="3"/>
    <n v="409.26"/>
    <n v="0.1"/>
    <x v="1"/>
    <b v="1"/>
    <n v="736.66800000000001"/>
    <n v="736.66800000000001"/>
  </r>
  <r>
    <s v="SALE1373"/>
    <x v="539"/>
    <x v="1"/>
    <s v="CUST1254"/>
    <x v="1"/>
    <x v="0"/>
    <x v="2"/>
    <s v="PROD23"/>
    <s v="Men's Formal Shirt"/>
    <x v="4"/>
    <s v="Tops"/>
    <s v="STORE7"/>
    <x v="2"/>
    <x v="3"/>
    <n v="608.46"/>
    <n v="0.16"/>
    <x v="0"/>
    <b v="1"/>
    <n v="1022.2128"/>
    <n v="1022.2128"/>
  </r>
  <r>
    <s v="SALE1374"/>
    <x v="101"/>
    <x v="2"/>
    <s v="CUST1212"/>
    <x v="0"/>
    <x v="1"/>
    <x v="1"/>
    <s v="PROD42"/>
    <s v="Smart Home WiFi Camera"/>
    <x v="1"/>
    <s v="Accessories"/>
    <s v="STORE19"/>
    <x v="3"/>
    <x v="2"/>
    <n v="150.47999999999999"/>
    <n v="0.09"/>
    <x v="0"/>
    <b v="1"/>
    <n v="547.74720000000002"/>
    <n v="547.74720000000002"/>
  </r>
  <r>
    <s v="SALE1375"/>
    <x v="415"/>
    <x v="0"/>
    <s v="CUST1245"/>
    <x v="0"/>
    <x v="1"/>
    <x v="1"/>
    <s v="PROD68"/>
    <s v="Wooden Nightstand"/>
    <x v="3"/>
    <s v="Furniture"/>
    <s v="STORE14"/>
    <x v="2"/>
    <x v="2"/>
    <n v="207.41"/>
    <n v="0.02"/>
    <x v="0"/>
    <b v="1"/>
    <n v="813.04719999999998"/>
    <n v="813.04719999999998"/>
  </r>
  <r>
    <s v="SALE1376"/>
    <x v="225"/>
    <x v="2"/>
    <s v="CUST1172"/>
    <x v="1"/>
    <x v="1"/>
    <x v="3"/>
    <s v="PROD11"/>
    <s v="HD Smart TV Stick"/>
    <x v="1"/>
    <s v="Accessories"/>
    <s v="STORE6"/>
    <x v="3"/>
    <x v="0"/>
    <n v="56.59"/>
    <n v="0.15"/>
    <x v="1"/>
    <b v="1"/>
    <n v="48.101500000000001"/>
    <n v="48.101500000000001"/>
  </r>
  <r>
    <s v="SALE1377"/>
    <x v="228"/>
    <x v="2"/>
    <s v="CUST1405"/>
    <x v="2"/>
    <x v="1"/>
    <x v="0"/>
    <s v="PROD39"/>
    <s v="Portable Power Bank"/>
    <x v="1"/>
    <s v="Mobile"/>
    <s v="STORE4"/>
    <x v="2"/>
    <x v="2"/>
    <n v="995.4"/>
    <n v="0.27"/>
    <x v="0"/>
    <b v="1"/>
    <n v="2906.5679999999998"/>
    <n v="2906.5680000000002"/>
  </r>
  <r>
    <s v="SALE1378"/>
    <x v="361"/>
    <x v="0"/>
    <s v="CUST1064"/>
    <x v="1"/>
    <x v="0"/>
    <x v="0"/>
    <s v="PROD47"/>
    <s v="Makeup Brush Set"/>
    <x v="2"/>
    <s v="Makeup"/>
    <s v="STORE12"/>
    <x v="0"/>
    <x v="3"/>
    <n v="591.33000000000004"/>
    <n v="0.24"/>
    <x v="0"/>
    <b v="1"/>
    <n v="898.8216000000001"/>
    <n v="898.8216000000001"/>
  </r>
  <r>
    <s v="SALE1379"/>
    <x v="9"/>
    <x v="2"/>
    <s v="CUST1378"/>
    <x v="1"/>
    <x v="1"/>
    <x v="3"/>
    <s v="PROD48"/>
    <s v="Car Dashboard Phone Holder"/>
    <x v="1"/>
    <s v="Accessories"/>
    <s v="STORE17"/>
    <x v="0"/>
    <x v="3"/>
    <n v="204.89"/>
    <n v="0.24"/>
    <x v="0"/>
    <b v="1"/>
    <n v="311.43279999999999"/>
    <n v="311.43279999999999"/>
  </r>
  <r>
    <s v="SALE1380"/>
    <x v="583"/>
    <x v="0"/>
    <s v="CUST1090"/>
    <x v="0"/>
    <x v="1"/>
    <x v="1"/>
    <s v="PROD65"/>
    <s v="Adjustable Dumbbells 20kg"/>
    <x v="0"/>
    <s v="Fitness"/>
    <s v="STORE14"/>
    <x v="2"/>
    <x v="3"/>
    <n v="546.41"/>
    <n v="0.08"/>
    <x v="2"/>
    <b v="1"/>
    <n v="1005.3944"/>
    <n v="1005.3944"/>
  </r>
  <r>
    <s v="SALE1381"/>
    <x v="199"/>
    <x v="0"/>
    <s v="CUST1056"/>
    <x v="1"/>
    <x v="1"/>
    <x v="0"/>
    <s v="PROD18"/>
    <s v="Women's Denim Jeans"/>
    <x v="4"/>
    <s v="Bottoms"/>
    <s v="STORE12"/>
    <x v="0"/>
    <x v="2"/>
    <n v="455.49"/>
    <n v="0.17"/>
    <x v="0"/>
    <b v="1"/>
    <n v="1512.2267999999999"/>
    <n v="1512.2267999999999"/>
  </r>
  <r>
    <s v="SALE1382"/>
    <x v="621"/>
    <x v="0"/>
    <s v="CUST1422"/>
    <x v="1"/>
    <x v="1"/>
    <x v="1"/>
    <s v="PROD10"/>
    <s v="Ceramic Kitchen Bowl Set"/>
    <x v="3"/>
    <s v="Kitchen"/>
    <s v="STORE16"/>
    <x v="1"/>
    <x v="3"/>
    <n v="700.27"/>
    <n v="0.16"/>
    <x v="0"/>
    <b v="1"/>
    <n v="1176.4535999999998"/>
    <n v="1176.4536000000001"/>
  </r>
  <r>
    <s v="SALE1383"/>
    <x v="54"/>
    <x v="1"/>
    <s v="CUST1345"/>
    <x v="1"/>
    <x v="0"/>
    <x v="3"/>
    <s v="PROD82"/>
    <s v="Fitness Resistance Bands"/>
    <x v="0"/>
    <s v="Fitness"/>
    <s v="STORE17"/>
    <x v="0"/>
    <x v="3"/>
    <n v="160.21"/>
    <n v="0.09"/>
    <x v="0"/>
    <b v="1"/>
    <n v="291.5822"/>
    <n v="291.5822"/>
  </r>
  <r>
    <s v="SALE1384"/>
    <x v="177"/>
    <x v="2"/>
    <s v="CUST1031"/>
    <x v="1"/>
    <x v="0"/>
    <x v="2"/>
    <s v="PROD47"/>
    <s v="Makeup Brush Set"/>
    <x v="2"/>
    <s v="Makeup"/>
    <s v="STORE11"/>
    <x v="2"/>
    <x v="0"/>
    <n v="713.63"/>
    <n v="0.28000000000000003"/>
    <x v="2"/>
    <b v="1"/>
    <n v="513.81359999999995"/>
    <n v="513.81359999999995"/>
  </r>
  <r>
    <s v="SALE1385"/>
    <x v="21"/>
    <x v="0"/>
    <s v="CUST1227"/>
    <x v="0"/>
    <x v="1"/>
    <x v="0"/>
    <s v="PROD93"/>
    <s v="USB-C Laptop Charger"/>
    <x v="1"/>
    <s v="Computer"/>
    <s v="STORE7"/>
    <x v="2"/>
    <x v="3"/>
    <n v="224.69"/>
    <n v="0.2"/>
    <x v="2"/>
    <b v="1"/>
    <n v="359.50400000000002"/>
    <n v="359.50400000000002"/>
  </r>
  <r>
    <s v="SALE1386"/>
    <x v="295"/>
    <x v="2"/>
    <s v="CUST1453"/>
    <x v="0"/>
    <x v="1"/>
    <x v="1"/>
    <s v="PROD20"/>
    <s v="Outdoor Sports Water Bottle"/>
    <x v="0"/>
    <s v="Accessories"/>
    <s v="STORE14"/>
    <x v="2"/>
    <x v="3"/>
    <n v="740.57"/>
    <n v="0.06"/>
    <x v="0"/>
    <b v="1"/>
    <n v="1392.2716"/>
    <n v="1392.2716"/>
  </r>
  <r>
    <s v="SALE1387"/>
    <x v="297"/>
    <x v="0"/>
    <s v="CUST1142"/>
    <x v="1"/>
    <x v="0"/>
    <x v="3"/>
    <s v="PROD11"/>
    <s v="HD Smart TV Stick"/>
    <x v="1"/>
    <s v="Accessories"/>
    <s v="STORE3"/>
    <x v="0"/>
    <x v="1"/>
    <n v="250.14"/>
    <n v="0.23"/>
    <x v="1"/>
    <b v="1"/>
    <n v="577.82339999999999"/>
    <n v="577.82339999999999"/>
  </r>
  <r>
    <s v="SALE1388"/>
    <x v="622"/>
    <x v="0"/>
    <s v="CUST1020"/>
    <x v="0"/>
    <x v="0"/>
    <x v="2"/>
    <s v="PROD98"/>
    <s v="Portable Bluetooth Speaker"/>
    <x v="1"/>
    <s v="Audio"/>
    <s v="STORE19"/>
    <x v="3"/>
    <x v="1"/>
    <n v="34.97"/>
    <n v="0.01"/>
    <x v="0"/>
    <b v="1"/>
    <n v="103.8609"/>
    <n v="103.8609"/>
  </r>
  <r>
    <s v="SALE1389"/>
    <x v="233"/>
    <x v="2"/>
    <s v="CUST1304"/>
    <x v="1"/>
    <x v="0"/>
    <x v="2"/>
    <s v="PROD42"/>
    <s v="Smart Home WiFi Camera"/>
    <x v="1"/>
    <s v="Accessories"/>
    <s v="STORE16"/>
    <x v="1"/>
    <x v="0"/>
    <n v="653.91"/>
    <n v="0.3"/>
    <x v="1"/>
    <b v="1"/>
    <n v="457.73699999999997"/>
    <n v="457.73700000000002"/>
  </r>
  <r>
    <s v="SALE1390"/>
    <x v="214"/>
    <x v="0"/>
    <s v="CUST1363"/>
    <x v="2"/>
    <x v="0"/>
    <x v="3"/>
    <s v="PROD66"/>
    <s v="Women's Hair Dryer Brush"/>
    <x v="2"/>
    <s v="Haircare"/>
    <s v="STORE3"/>
    <x v="0"/>
    <x v="0"/>
    <n v="997.87"/>
    <n v="0.24"/>
    <x v="0"/>
    <b v="1"/>
    <n v="758.38120000000004"/>
    <n v="758.38120000000004"/>
  </r>
  <r>
    <s v="SALE1391"/>
    <x v="209"/>
    <x v="0"/>
    <s v="CUST1208"/>
    <x v="0"/>
    <x v="0"/>
    <x v="1"/>
    <s v="PROD89"/>
    <s v="Face Foundation Kit"/>
    <x v="2"/>
    <s v="Makeup"/>
    <s v="STORE14"/>
    <x v="2"/>
    <x v="0"/>
    <n v="174.27"/>
    <n v="0.27"/>
    <x v="2"/>
    <b v="1"/>
    <n v="127.2171"/>
    <n v="127.2171"/>
  </r>
  <r>
    <s v="SALE1392"/>
    <x v="623"/>
    <x v="0"/>
    <s v="CUST1115"/>
    <x v="0"/>
    <x v="1"/>
    <x v="1"/>
    <s v="PROD49"/>
    <s v="Men's Roll-On Perfume"/>
    <x v="2"/>
    <s v="Fragrance"/>
    <s v="STORE7"/>
    <x v="2"/>
    <x v="1"/>
    <n v="847.44"/>
    <n v="0.17"/>
    <x v="0"/>
    <b v="1"/>
    <n v="2110.1255999999998"/>
    <n v="2110.1255999999998"/>
  </r>
  <r>
    <s v="SALE1393"/>
    <x v="463"/>
    <x v="1"/>
    <s v="CUST1428"/>
    <x v="2"/>
    <x v="1"/>
    <x v="3"/>
    <s v="PROD2"/>
    <s v="Women's Casual Hoodie"/>
    <x v="4"/>
    <s v="Outerwear"/>
    <s v="STORE2"/>
    <x v="2"/>
    <x v="0"/>
    <n v="493.45"/>
    <n v="0.09"/>
    <x v="0"/>
    <b v="1"/>
    <n v="449.03950000000003"/>
    <n v="449.03949999999998"/>
  </r>
  <r>
    <s v="SALE1394"/>
    <x v="85"/>
    <x v="0"/>
    <s v="CUST1232"/>
    <x v="2"/>
    <x v="1"/>
    <x v="1"/>
    <s v="PROD62"/>
    <s v="Laptop Cooling Pad"/>
    <x v="1"/>
    <s v="Computer"/>
    <s v="STORE2"/>
    <x v="2"/>
    <x v="2"/>
    <n v="111.66"/>
    <n v="0.14000000000000001"/>
    <x v="0"/>
    <b v="1"/>
    <n v="384.11039999999997"/>
    <n v="384.11040000000003"/>
  </r>
  <r>
    <s v="SALE1395"/>
    <x v="530"/>
    <x v="0"/>
    <s v="CUST1278"/>
    <x v="1"/>
    <x v="1"/>
    <x v="1"/>
    <s v="PROD90"/>
    <s v="Gaming Mouse Pad XL"/>
    <x v="1"/>
    <s v="Accessories"/>
    <s v="STORE11"/>
    <x v="2"/>
    <x v="0"/>
    <n v="413.65"/>
    <n v="0.1"/>
    <x v="2"/>
    <b v="1"/>
    <n v="372.28499999999997"/>
    <n v="372.28500000000003"/>
  </r>
  <r>
    <s v="SALE1396"/>
    <x v="299"/>
    <x v="2"/>
    <s v="CUST1475"/>
    <x v="2"/>
    <x v="1"/>
    <x v="1"/>
    <s v="PROD89"/>
    <s v="Face Foundation Kit"/>
    <x v="2"/>
    <s v="Makeup"/>
    <s v="STORE9"/>
    <x v="2"/>
    <x v="0"/>
    <n v="317.14999999999998"/>
    <n v="0.24"/>
    <x v="2"/>
    <b v="1"/>
    <n v="241.03399999999999"/>
    <n v="241.03399999999999"/>
  </r>
  <r>
    <s v="SALE1397"/>
    <x v="498"/>
    <x v="2"/>
    <s v="CUST1359"/>
    <x v="1"/>
    <x v="0"/>
    <x v="2"/>
    <s v="PROD88"/>
    <s v="Sports Wrist Sweatbands"/>
    <x v="0"/>
    <s v="Accessories"/>
    <s v="STORE1"/>
    <x v="0"/>
    <x v="1"/>
    <n v="642.94000000000005"/>
    <n v="0.05"/>
    <x v="2"/>
    <b v="1"/>
    <n v="1832.3790000000001"/>
    <n v="1832.3789999999999"/>
  </r>
  <r>
    <s v="SALE1398"/>
    <x v="145"/>
    <x v="0"/>
    <s v="CUST1133"/>
    <x v="0"/>
    <x v="1"/>
    <x v="3"/>
    <s v="PROD57"/>
    <s v="Foam Roller"/>
    <x v="0"/>
    <s v="Fitness"/>
    <s v="STORE10"/>
    <x v="3"/>
    <x v="2"/>
    <n v="559.59"/>
    <n v="0.19"/>
    <x v="2"/>
    <b v="1"/>
    <n v="1813.0716000000002"/>
    <n v="1813.0716"/>
  </r>
  <r>
    <s v="SALE1399"/>
    <x v="624"/>
    <x v="0"/>
    <s v="CUST1114"/>
    <x v="2"/>
    <x v="0"/>
    <x v="3"/>
    <s v="PROD29"/>
    <s v="Fabric Sofa Throw Blanket"/>
    <x v="3"/>
    <s v="Decor"/>
    <s v="STORE18"/>
    <x v="3"/>
    <x v="0"/>
    <n v="758.54"/>
    <n v="0.28999999999999998"/>
    <x v="1"/>
    <b v="1"/>
    <n v="538.5634"/>
    <n v="538.5634"/>
  </r>
  <r>
    <s v="SALE1400"/>
    <x v="42"/>
    <x v="0"/>
    <s v="CUST1462"/>
    <x v="1"/>
    <x v="1"/>
    <x v="2"/>
    <s v="PROD80"/>
    <s v="Wall-Mounted Spice Rack"/>
    <x v="3"/>
    <s v="Kitchen"/>
    <s v="STORE15"/>
    <x v="0"/>
    <x v="2"/>
    <n v="643.96"/>
    <n v="0.16"/>
    <x v="1"/>
    <b v="1"/>
    <n v="2163.7056000000002"/>
    <n v="2163.7055999999998"/>
  </r>
  <r>
    <s v="SALE1401"/>
    <x v="507"/>
    <x v="0"/>
    <s v="CUST1243"/>
    <x v="0"/>
    <x v="1"/>
    <x v="0"/>
    <s v="PROD24"/>
    <s v="Foldable Camping Chair"/>
    <x v="0"/>
    <s v="Outdoor"/>
    <s v="STORE9"/>
    <x v="2"/>
    <x v="0"/>
    <n v="882.73"/>
    <n v="0.1"/>
    <x v="0"/>
    <b v="1"/>
    <n v="794.45699999999999"/>
    <n v="794.45699999999999"/>
  </r>
  <r>
    <s v="SALE1402"/>
    <x v="38"/>
    <x v="0"/>
    <s v="CUST1325"/>
    <x v="0"/>
    <x v="0"/>
    <x v="3"/>
    <s v="PROD91"/>
    <s v="Women's High Heels"/>
    <x v="4"/>
    <s v="Footwear"/>
    <s v="STORE19"/>
    <x v="3"/>
    <x v="3"/>
    <n v="600.03"/>
    <n v="0.26"/>
    <x v="1"/>
    <b v="1"/>
    <n v="888.0444"/>
    <n v="888.0444"/>
  </r>
  <r>
    <s v="SALE1403"/>
    <x v="625"/>
    <x v="0"/>
    <s v="CUST1157"/>
    <x v="0"/>
    <x v="0"/>
    <x v="1"/>
    <s v="PROD54"/>
    <s v="Sports Stopwatch Pro"/>
    <x v="0"/>
    <s v="Accessories"/>
    <s v="STORE5"/>
    <x v="0"/>
    <x v="3"/>
    <n v="628.83000000000004"/>
    <n v="7.0000000000000007E-2"/>
    <x v="1"/>
    <b v="1"/>
    <n v="1169.6238000000001"/>
    <n v="1169.6238000000001"/>
  </r>
  <r>
    <s v="SALE1404"/>
    <x v="477"/>
    <x v="1"/>
    <s v="CUST1175"/>
    <x v="0"/>
    <x v="0"/>
    <x v="1"/>
    <s v="PROD81"/>
    <s v="Badminton Racket Set"/>
    <x v="0"/>
    <s v="Equipment"/>
    <s v="STORE9"/>
    <x v="2"/>
    <x v="1"/>
    <n v="113.87"/>
    <n v="0.21"/>
    <x v="2"/>
    <b v="1"/>
    <n v="269.87190000000004"/>
    <n v="269.87189999999998"/>
  </r>
  <r>
    <s v="SALE1405"/>
    <x v="626"/>
    <x v="0"/>
    <s v="CUST1418"/>
    <x v="0"/>
    <x v="1"/>
    <x v="2"/>
    <s v="PROD72"/>
    <s v="Professional Jump Rope"/>
    <x v="0"/>
    <s v="Fitness"/>
    <s v="STORE7"/>
    <x v="2"/>
    <x v="2"/>
    <n v="282.07"/>
    <n v="0.18"/>
    <x v="1"/>
    <b v="1"/>
    <n v="925.18960000000004"/>
    <n v="925.18960000000004"/>
  </r>
  <r>
    <s v="SALE1406"/>
    <x v="63"/>
    <x v="1"/>
    <s v="CUST1156"/>
    <x v="1"/>
    <x v="0"/>
    <x v="3"/>
    <s v="PROD54"/>
    <s v="Sports Stopwatch Pro"/>
    <x v="0"/>
    <s v="Accessories"/>
    <s v="STORE6"/>
    <x v="3"/>
    <x v="1"/>
    <n v="676.77"/>
    <n v="0.17"/>
    <x v="1"/>
    <b v="1"/>
    <n v="1685.1572999999999"/>
    <n v="1685.1573000000001"/>
  </r>
  <r>
    <s v="SALE1407"/>
    <x v="625"/>
    <x v="0"/>
    <s v="CUST1220"/>
    <x v="1"/>
    <x v="1"/>
    <x v="3"/>
    <s v="PROD7"/>
    <s v="LED Table Lamp"/>
    <x v="3"/>
    <s v="Lighting"/>
    <s v="STORE16"/>
    <x v="1"/>
    <x v="3"/>
    <n v="362.7"/>
    <n v="0.09"/>
    <x v="0"/>
    <b v="1"/>
    <n v="660.11400000000003"/>
    <n v="660.11400000000003"/>
  </r>
  <r>
    <s v="SALE1408"/>
    <x v="252"/>
    <x v="2"/>
    <s v="CUST1135"/>
    <x v="1"/>
    <x v="1"/>
    <x v="1"/>
    <s v="PROD13"/>
    <s v="USB-C Fast Charger"/>
    <x v="1"/>
    <s v="Accessories"/>
    <s v="STORE2"/>
    <x v="2"/>
    <x v="0"/>
    <n v="908.5"/>
    <n v="0.2"/>
    <x v="2"/>
    <b v="1"/>
    <n v="726.80000000000007"/>
    <n v="726.80000000000007"/>
  </r>
  <r>
    <s v="SALE1409"/>
    <x v="627"/>
    <x v="0"/>
    <s v="CUST1067"/>
    <x v="0"/>
    <x v="0"/>
    <x v="2"/>
    <s v="PROD25"/>
    <s v="Women's Scarf Set"/>
    <x v="4"/>
    <s v="Accessories"/>
    <s v="STORE15"/>
    <x v="0"/>
    <x v="3"/>
    <n v="795.37"/>
    <n v="0.2"/>
    <x v="2"/>
    <b v="1"/>
    <n v="1272.5920000000001"/>
    <n v="1272.5920000000001"/>
  </r>
  <r>
    <s v="SALE1410"/>
    <x v="451"/>
    <x v="2"/>
    <s v="CUST1144"/>
    <x v="0"/>
    <x v="1"/>
    <x v="3"/>
    <s v="PROD35"/>
    <s v="Bedroom Table Lamp"/>
    <x v="3"/>
    <s v="Lighting"/>
    <s v="STORE4"/>
    <x v="2"/>
    <x v="3"/>
    <n v="326.85000000000002"/>
    <n v="0.17"/>
    <x v="2"/>
    <b v="1"/>
    <n v="542.57100000000003"/>
    <n v="542.57100000000003"/>
  </r>
  <r>
    <s v="SALE1411"/>
    <x v="285"/>
    <x v="0"/>
    <s v="CUST1350"/>
    <x v="2"/>
    <x v="0"/>
    <x v="2"/>
    <s v="PROD56"/>
    <s v="Premium Blanket Throw"/>
    <x v="3"/>
    <s v="Decor"/>
    <s v="STORE14"/>
    <x v="2"/>
    <x v="1"/>
    <n v="169.43"/>
    <n v="0.19"/>
    <x v="0"/>
    <b v="1"/>
    <n v="411.71490000000006"/>
    <n v="411.71490000000011"/>
  </r>
  <r>
    <s v="SALE1412"/>
    <x v="106"/>
    <x v="0"/>
    <s v="CUST1163"/>
    <x v="2"/>
    <x v="0"/>
    <x v="3"/>
    <s v="PROD83"/>
    <s v="Hydrating Face Cleanser"/>
    <x v="2"/>
    <s v="Skincare"/>
    <s v="STORE6"/>
    <x v="3"/>
    <x v="0"/>
    <n v="254.47"/>
    <n v="0.1"/>
    <x v="0"/>
    <b v="1"/>
    <n v="229.023"/>
    <n v="229.023"/>
  </r>
  <r>
    <s v="SALE1413"/>
    <x v="582"/>
    <x v="0"/>
    <s v="CUST1418"/>
    <x v="0"/>
    <x v="1"/>
    <x v="2"/>
    <s v="PROD25"/>
    <s v="Women's Scarf Set"/>
    <x v="4"/>
    <s v="Accessories"/>
    <s v="STORE16"/>
    <x v="1"/>
    <x v="2"/>
    <n v="627.73"/>
    <n v="0.11"/>
    <x v="2"/>
    <b v="1"/>
    <n v="2234.7188000000001"/>
    <n v="2234.7188000000001"/>
  </r>
  <r>
    <s v="SALE1414"/>
    <x v="22"/>
    <x v="0"/>
    <s v="CUST1371"/>
    <x v="2"/>
    <x v="1"/>
    <x v="1"/>
    <s v="PROD31"/>
    <s v="Basketball"/>
    <x v="0"/>
    <s v="Team Sports"/>
    <s v="STORE19"/>
    <x v="3"/>
    <x v="2"/>
    <n v="327.25"/>
    <n v="0.13"/>
    <x v="2"/>
    <b v="1"/>
    <n v="1138.83"/>
    <n v="1138.83"/>
  </r>
  <r>
    <s v="SALE1415"/>
    <x v="82"/>
    <x v="2"/>
    <s v="CUST1145"/>
    <x v="1"/>
    <x v="0"/>
    <x v="1"/>
    <s v="PROD59"/>
    <s v="Men's Hair Styling Gel"/>
    <x v="2"/>
    <s v="Haircare"/>
    <s v="STORE11"/>
    <x v="2"/>
    <x v="2"/>
    <n v="511.43"/>
    <n v="0.18"/>
    <x v="2"/>
    <b v="1"/>
    <n v="1677.4904000000001"/>
    <n v="1677.4903999999999"/>
  </r>
  <r>
    <s v="SALE1416"/>
    <x v="628"/>
    <x v="0"/>
    <s v="CUST1165"/>
    <x v="1"/>
    <x v="1"/>
    <x v="1"/>
    <s v="PROD63"/>
    <s v="Organic Sunscreen Lotion"/>
    <x v="2"/>
    <s v="Skincare"/>
    <s v="STORE17"/>
    <x v="0"/>
    <x v="2"/>
    <n v="194.67"/>
    <n v="0.23"/>
    <x v="1"/>
    <b v="1"/>
    <n v="599.58359999999993"/>
    <n v="599.58359999999993"/>
  </r>
  <r>
    <s v="SALE1417"/>
    <x v="288"/>
    <x v="0"/>
    <s v="CUST1059"/>
    <x v="0"/>
    <x v="0"/>
    <x v="1"/>
    <s v="PROD23"/>
    <s v="Men's Formal Shirt"/>
    <x v="4"/>
    <s v="Tops"/>
    <s v="STORE1"/>
    <x v="0"/>
    <x v="3"/>
    <n v="54.51"/>
    <n v="7.0000000000000007E-2"/>
    <x v="0"/>
    <b v="1"/>
    <n v="101.38859999999998"/>
    <n v="101.3886"/>
  </r>
  <r>
    <s v="SALE1418"/>
    <x v="278"/>
    <x v="0"/>
    <s v="CUST1076"/>
    <x v="1"/>
    <x v="0"/>
    <x v="0"/>
    <s v="PROD62"/>
    <s v="Laptop Cooling Pad"/>
    <x v="1"/>
    <s v="Computer"/>
    <s v="STORE11"/>
    <x v="2"/>
    <x v="2"/>
    <n v="964"/>
    <n v="0.14000000000000001"/>
    <x v="1"/>
    <b v="1"/>
    <n v="3316.16"/>
    <n v="3316.16"/>
  </r>
  <r>
    <s v="SALE1419"/>
    <x v="333"/>
    <x v="0"/>
    <s v="CUST1040"/>
    <x v="1"/>
    <x v="0"/>
    <x v="0"/>
    <s v="PROD89"/>
    <s v="Face Foundation Kit"/>
    <x v="2"/>
    <s v="Makeup"/>
    <s v="STORE4"/>
    <x v="2"/>
    <x v="0"/>
    <n v="170.12"/>
    <n v="0.26"/>
    <x v="1"/>
    <b v="1"/>
    <n v="125.8888"/>
    <n v="125.8888"/>
  </r>
  <r>
    <s v="SALE1420"/>
    <x v="13"/>
    <x v="2"/>
    <s v="CUST1152"/>
    <x v="1"/>
    <x v="1"/>
    <x v="1"/>
    <s v="PROD53"/>
    <s v="Men's Track Pants"/>
    <x v="4"/>
    <s v="Bottoms"/>
    <s v="STORE19"/>
    <x v="3"/>
    <x v="3"/>
    <n v="664.5"/>
    <n v="0.23"/>
    <x v="0"/>
    <b v="1"/>
    <n v="1023.33"/>
    <n v="1023.33"/>
  </r>
  <r>
    <s v="SALE1421"/>
    <x v="494"/>
    <x v="2"/>
    <s v="CUST1371"/>
    <x v="2"/>
    <x v="1"/>
    <x v="1"/>
    <s v="PROD45"/>
    <s v="High-Grip Football"/>
    <x v="0"/>
    <s v="Team Sports"/>
    <s v="STORE10"/>
    <x v="3"/>
    <x v="2"/>
    <n v="557.51"/>
    <n v="0.11"/>
    <x v="0"/>
    <b v="1"/>
    <n v="1984.7356"/>
    <n v="1984.7356"/>
  </r>
  <r>
    <s v="SALE1422"/>
    <x v="185"/>
    <x v="2"/>
    <s v="CUST1397"/>
    <x v="0"/>
    <x v="1"/>
    <x v="1"/>
    <s v="PROD90"/>
    <s v="Gaming Mouse Pad XL"/>
    <x v="1"/>
    <s v="Accessories"/>
    <s v="STORE1"/>
    <x v="0"/>
    <x v="3"/>
    <n v="410"/>
    <n v="0.13"/>
    <x v="2"/>
    <b v="1"/>
    <n v="713.4"/>
    <n v="713.4"/>
  </r>
  <r>
    <s v="SALE1423"/>
    <x v="628"/>
    <x v="0"/>
    <s v="CUST1306"/>
    <x v="1"/>
    <x v="0"/>
    <x v="1"/>
    <s v="PROD83"/>
    <s v="Hydrating Face Cleanser"/>
    <x v="2"/>
    <s v="Skincare"/>
    <s v="STORE5"/>
    <x v="0"/>
    <x v="3"/>
    <n v="879.93"/>
    <n v="0.28999999999999998"/>
    <x v="2"/>
    <b v="1"/>
    <n v="1249.5005999999998"/>
    <n v="1249.5006000000001"/>
  </r>
  <r>
    <s v="SALE1424"/>
    <x v="629"/>
    <x v="2"/>
    <s v="CUST1007"/>
    <x v="2"/>
    <x v="1"/>
    <x v="3"/>
    <s v="PROD13"/>
    <s v="USB-C Fast Charger"/>
    <x v="1"/>
    <s v="Accessories"/>
    <s v="STORE18"/>
    <x v="3"/>
    <x v="0"/>
    <n v="350.58"/>
    <n v="0.03"/>
    <x v="2"/>
    <b v="1"/>
    <n v="340.06259999999997"/>
    <n v="340.06259999999997"/>
  </r>
  <r>
    <s v="SALE1425"/>
    <x v="56"/>
    <x v="0"/>
    <s v="CUST1350"/>
    <x v="2"/>
    <x v="0"/>
    <x v="2"/>
    <s v="PROD58"/>
    <s v="Womens Cotton Scarf"/>
    <x v="4"/>
    <s v="Accessories"/>
    <s v="STORE3"/>
    <x v="0"/>
    <x v="2"/>
    <n v="348.58"/>
    <n v="0.16"/>
    <x v="0"/>
    <b v="1"/>
    <n v="1171.2287999999999"/>
    <n v="1171.2288000000001"/>
  </r>
  <r>
    <s v="SALE1426"/>
    <x v="488"/>
    <x v="0"/>
    <s v="CUST1459"/>
    <x v="2"/>
    <x v="1"/>
    <x v="0"/>
    <s v="PROD25"/>
    <s v="Women's Scarf Set"/>
    <x v="4"/>
    <s v="Accessories"/>
    <s v="STORE3"/>
    <x v="0"/>
    <x v="1"/>
    <n v="247.66"/>
    <n v="0.02"/>
    <x v="2"/>
    <b v="1"/>
    <n v="728.12040000000002"/>
    <n v="728.12040000000002"/>
  </r>
  <r>
    <s v="SALE1427"/>
    <x v="313"/>
    <x v="1"/>
    <s v="CUST1388"/>
    <x v="0"/>
    <x v="0"/>
    <x v="1"/>
    <s v="PROD39"/>
    <s v="Portable Power Bank"/>
    <x v="1"/>
    <s v="Mobile"/>
    <s v="STORE15"/>
    <x v="0"/>
    <x v="1"/>
    <n v="836.27"/>
    <n v="0.16"/>
    <x v="0"/>
    <b v="1"/>
    <n v="2107.4004"/>
    <n v="2107.4004"/>
  </r>
  <r>
    <s v="SALE1428"/>
    <x v="164"/>
    <x v="2"/>
    <s v="CUST1195"/>
    <x v="0"/>
    <x v="0"/>
    <x v="2"/>
    <s v="PROD14"/>
    <s v="Decorative Wall Mirror"/>
    <x v="3"/>
    <s v="Decor"/>
    <s v="STORE10"/>
    <x v="3"/>
    <x v="1"/>
    <n v="696.74"/>
    <n v="0.13"/>
    <x v="2"/>
    <b v="1"/>
    <n v="1818.4914000000001"/>
    <n v="1818.4914000000001"/>
  </r>
  <r>
    <s v="SALE1429"/>
    <x v="391"/>
    <x v="2"/>
    <s v="CUST1245"/>
    <x v="0"/>
    <x v="1"/>
    <x v="1"/>
    <s v="PROD94"/>
    <s v="Vitamin E Body Lotion"/>
    <x v="2"/>
    <s v="Skincare"/>
    <s v="STORE13"/>
    <x v="3"/>
    <x v="3"/>
    <n v="822.59"/>
    <n v="0.22"/>
    <x v="1"/>
    <b v="1"/>
    <n v="1283.2404000000001"/>
    <n v="1283.2403999999999"/>
  </r>
  <r>
    <s v="SALE1430"/>
    <x v="453"/>
    <x v="1"/>
    <s v="CUST1222"/>
    <x v="1"/>
    <x v="0"/>
    <x v="1"/>
    <s v="PROD79"/>
    <s v="Decorative Lamp Shade"/>
    <x v="3"/>
    <s v="Lighting"/>
    <s v="STORE2"/>
    <x v="2"/>
    <x v="0"/>
    <n v="462.23"/>
    <n v="0.3"/>
    <x v="1"/>
    <b v="1"/>
    <n v="323.56099999999998"/>
    <n v="323.56099999999998"/>
  </r>
  <r>
    <s v="SALE1431"/>
    <x v="332"/>
    <x v="2"/>
    <s v="CUST1447"/>
    <x v="1"/>
    <x v="0"/>
    <x v="0"/>
    <s v="PROD42"/>
    <s v="Smart Home WiFi Camera"/>
    <x v="1"/>
    <s v="Accessories"/>
    <s v="STORE17"/>
    <x v="0"/>
    <x v="0"/>
    <n v="361.09"/>
    <n v="0.06"/>
    <x v="1"/>
    <b v="1"/>
    <n v="339.42459999999994"/>
    <n v="339.42459999999988"/>
  </r>
  <r>
    <s v="SALE1432"/>
    <x v="463"/>
    <x v="1"/>
    <s v="CUST1383"/>
    <x v="2"/>
    <x v="1"/>
    <x v="2"/>
    <s v="PROD73"/>
    <s v="Shin Guards – Adult"/>
    <x v="0"/>
    <s v="Team Sports"/>
    <s v="STORE19"/>
    <x v="3"/>
    <x v="1"/>
    <n v="59.37"/>
    <n v="0.03"/>
    <x v="1"/>
    <b v="1"/>
    <n v="172.76669999999999"/>
    <n v="172.76669999999999"/>
  </r>
  <r>
    <s v="SALE1433"/>
    <x v="165"/>
    <x v="2"/>
    <s v="CUST1036"/>
    <x v="2"/>
    <x v="1"/>
    <x v="0"/>
    <s v="PROD40"/>
    <s v="Noise-Canceling Headphones"/>
    <x v="1"/>
    <s v="Audio"/>
    <s v="STORE1"/>
    <x v="0"/>
    <x v="1"/>
    <n v="765.21"/>
    <n v="0.14000000000000001"/>
    <x v="2"/>
    <b v="1"/>
    <n v="1974.2418"/>
    <n v="1974.2418"/>
  </r>
  <r>
    <s v="SALE1434"/>
    <x v="469"/>
    <x v="0"/>
    <s v="CUST1243"/>
    <x v="0"/>
    <x v="1"/>
    <x v="0"/>
    <s v="PROD32"/>
    <s v="Vitamin C Face Serum"/>
    <x v="2"/>
    <s v="Skincare"/>
    <s v="STORE12"/>
    <x v="0"/>
    <x v="2"/>
    <n v="303.56"/>
    <n v="0.2"/>
    <x v="2"/>
    <b v="1"/>
    <n v="971.39200000000005"/>
    <n v="971.39200000000005"/>
  </r>
  <r>
    <s v="SALE1435"/>
    <x v="559"/>
    <x v="2"/>
    <s v="CUST1443"/>
    <x v="0"/>
    <x v="0"/>
    <x v="2"/>
    <s v="PROD27"/>
    <s v="Decorative Floor Vase"/>
    <x v="3"/>
    <s v="Decor"/>
    <s v="STORE0"/>
    <x v="3"/>
    <x v="0"/>
    <n v="640.92999999999995"/>
    <n v="0.19"/>
    <x v="1"/>
    <b v="1"/>
    <n v="519.15329999999994"/>
    <n v="519.15329999999994"/>
  </r>
  <r>
    <s v="SALE1436"/>
    <x v="630"/>
    <x v="2"/>
    <s v="CUST1174"/>
    <x v="2"/>
    <x v="1"/>
    <x v="0"/>
    <s v="PROD86"/>
    <s v="Kitchen Cutting Board"/>
    <x v="3"/>
    <s v="Kitchen"/>
    <s v="STORE10"/>
    <x v="3"/>
    <x v="3"/>
    <n v="611.25"/>
    <n v="0.22"/>
    <x v="0"/>
    <b v="1"/>
    <n v="953.55000000000007"/>
    <n v="953.55000000000007"/>
  </r>
  <r>
    <s v="SALE1437"/>
    <x v="131"/>
    <x v="2"/>
    <s v="CUST1461"/>
    <x v="0"/>
    <x v="1"/>
    <x v="2"/>
    <s v="PROD66"/>
    <s v="Women's Hair Dryer Brush"/>
    <x v="2"/>
    <s v="Haircare"/>
    <s v="STORE1"/>
    <x v="0"/>
    <x v="0"/>
    <n v="209.93"/>
    <n v="0.21"/>
    <x v="0"/>
    <b v="1"/>
    <n v="165.84470000000002"/>
    <n v="165.84469999999999"/>
  </r>
  <r>
    <s v="SALE1438"/>
    <x v="597"/>
    <x v="2"/>
    <s v="CUST1110"/>
    <x v="1"/>
    <x v="1"/>
    <x v="0"/>
    <s v="PROD99"/>
    <s v="Stainless Steel Cookware Set"/>
    <x v="3"/>
    <s v="Kitchen"/>
    <s v="STORE10"/>
    <x v="3"/>
    <x v="1"/>
    <n v="130.38999999999999"/>
    <n v="0.24"/>
    <x v="1"/>
    <b v="1"/>
    <n v="297.28919999999999"/>
    <n v="297.28919999999999"/>
  </r>
  <r>
    <s v="SALE1439"/>
    <x v="302"/>
    <x v="0"/>
    <s v="CUST1291"/>
    <x v="1"/>
    <x v="1"/>
    <x v="3"/>
    <s v="PROD93"/>
    <s v="USB-C Laptop Charger"/>
    <x v="1"/>
    <s v="Computer"/>
    <s v="STORE7"/>
    <x v="2"/>
    <x v="3"/>
    <n v="846.18"/>
    <n v="0.1"/>
    <x v="2"/>
    <b v="1"/>
    <n v="1523.124"/>
    <n v="1523.124"/>
  </r>
  <r>
    <s v="SALE1440"/>
    <x v="14"/>
    <x v="2"/>
    <s v="CUST1354"/>
    <x v="1"/>
    <x v="0"/>
    <x v="2"/>
    <s v="PROD70"/>
    <s v="Kitchen Storage Rack"/>
    <x v="3"/>
    <s v="Storage"/>
    <s v="STORE14"/>
    <x v="2"/>
    <x v="3"/>
    <n v="424.53"/>
    <n v="0.14000000000000001"/>
    <x v="2"/>
    <b v="1"/>
    <n v="730.19159999999999"/>
    <n v="730.19159999999999"/>
  </r>
  <r>
    <s v="SALE1441"/>
    <x v="401"/>
    <x v="0"/>
    <s v="CUST1258"/>
    <x v="2"/>
    <x v="1"/>
    <x v="1"/>
    <s v="PROD88"/>
    <s v="Sports Wrist Sweatbands"/>
    <x v="0"/>
    <s v="Accessories"/>
    <s v="STORE14"/>
    <x v="2"/>
    <x v="2"/>
    <n v="450.42"/>
    <n v="0.08"/>
    <x v="2"/>
    <b v="1"/>
    <n v="1657.5456000000001"/>
    <n v="1657.5455999999999"/>
  </r>
  <r>
    <s v="SALE1442"/>
    <x v="534"/>
    <x v="2"/>
    <s v="CUST1156"/>
    <x v="1"/>
    <x v="0"/>
    <x v="3"/>
    <s v="PROD26"/>
    <s v="Wireless Bluetooth Speaker"/>
    <x v="1"/>
    <s v="Audio"/>
    <s v="STORE9"/>
    <x v="2"/>
    <x v="2"/>
    <n v="896.91"/>
    <n v="0.1"/>
    <x v="0"/>
    <b v="1"/>
    <n v="3228.8759999999997"/>
    <n v="3228.8760000000002"/>
  </r>
  <r>
    <s v="SALE1443"/>
    <x v="631"/>
    <x v="2"/>
    <s v="CUST1485"/>
    <x v="1"/>
    <x v="1"/>
    <x v="3"/>
    <s v="PROD97"/>
    <s v="Cricket Bat"/>
    <x v="0"/>
    <s v="Team Sports"/>
    <s v="STORE10"/>
    <x v="3"/>
    <x v="1"/>
    <n v="679.38"/>
    <n v="0.3"/>
    <x v="2"/>
    <b v="1"/>
    <n v="1426.6979999999999"/>
    <n v="1426.6980000000001"/>
  </r>
  <r>
    <s v="SALE1444"/>
    <x v="506"/>
    <x v="0"/>
    <s v="CUST1016"/>
    <x v="2"/>
    <x v="1"/>
    <x v="3"/>
    <s v="PROD80"/>
    <s v="Wall-Mounted Spice Rack"/>
    <x v="3"/>
    <s v="Kitchen"/>
    <s v="STORE16"/>
    <x v="1"/>
    <x v="1"/>
    <n v="483.63"/>
    <n v="0"/>
    <x v="0"/>
    <b v="1"/>
    <n v="1450.8899999999999"/>
    <n v="1450.89"/>
  </r>
  <r>
    <s v="SALE1445"/>
    <x v="549"/>
    <x v="0"/>
    <s v="CUST1030"/>
    <x v="0"/>
    <x v="1"/>
    <x v="3"/>
    <s v="PROD39"/>
    <s v="Portable Power Bank"/>
    <x v="1"/>
    <s v="Mobile"/>
    <s v="STORE0"/>
    <x v="3"/>
    <x v="1"/>
    <n v="158.27000000000001"/>
    <n v="0.24"/>
    <x v="2"/>
    <b v="1"/>
    <n v="360.85560000000004"/>
    <n v="360.85559999999998"/>
  </r>
  <r>
    <s v="SALE1446"/>
    <x v="543"/>
    <x v="2"/>
    <s v="CUST1115"/>
    <x v="0"/>
    <x v="1"/>
    <x v="1"/>
    <s v="PROD2"/>
    <s v="Women's Casual Hoodie"/>
    <x v="4"/>
    <s v="Outerwear"/>
    <s v="STORE15"/>
    <x v="0"/>
    <x v="2"/>
    <n v="601.5"/>
    <n v="0.18"/>
    <x v="0"/>
    <b v="1"/>
    <n v="1972.92"/>
    <n v="1972.92"/>
  </r>
  <r>
    <s v="SALE1447"/>
    <x v="326"/>
    <x v="2"/>
    <s v="CUST1069"/>
    <x v="2"/>
    <x v="1"/>
    <x v="1"/>
    <s v="PROD31"/>
    <s v="Basketball"/>
    <x v="0"/>
    <s v="Team Sports"/>
    <s v="STORE18"/>
    <x v="3"/>
    <x v="3"/>
    <n v="46.39"/>
    <n v="7.0000000000000007E-2"/>
    <x v="0"/>
    <b v="1"/>
    <n v="86.285399999999996"/>
    <n v="86.285399999999996"/>
  </r>
  <r>
    <s v="SALE1448"/>
    <x v="92"/>
    <x v="0"/>
    <s v="CUST1119"/>
    <x v="1"/>
    <x v="0"/>
    <x v="3"/>
    <s v="PROD82"/>
    <s v="Fitness Resistance Bands"/>
    <x v="0"/>
    <s v="Fitness"/>
    <s v="STORE8"/>
    <x v="1"/>
    <x v="2"/>
    <n v="892.28"/>
    <n v="0.23"/>
    <x v="0"/>
    <b v="1"/>
    <n v="2748.2224000000001"/>
    <n v="2748.2224000000001"/>
  </r>
  <r>
    <s v="SALE1449"/>
    <x v="143"/>
    <x v="0"/>
    <s v="CUST1221"/>
    <x v="1"/>
    <x v="0"/>
    <x v="1"/>
    <s v="PROD10"/>
    <s v="Ceramic Kitchen Bowl Set"/>
    <x v="3"/>
    <s v="Kitchen"/>
    <s v="STORE7"/>
    <x v="2"/>
    <x v="3"/>
    <n v="164.23"/>
    <n v="0.17"/>
    <x v="0"/>
    <b v="1"/>
    <n v="272.62179999999995"/>
    <n v="272.62180000000001"/>
  </r>
  <r>
    <s v="SALE1450"/>
    <x v="632"/>
    <x v="0"/>
    <s v="CUST1452"/>
    <x v="0"/>
    <x v="1"/>
    <x v="3"/>
    <s v="PROD9"/>
    <s v="Adjustable Dumbbell Set"/>
    <x v="0"/>
    <s v="Fitness"/>
    <s v="STORE7"/>
    <x v="2"/>
    <x v="0"/>
    <n v="484.23"/>
    <n v="0.12"/>
    <x v="2"/>
    <b v="1"/>
    <n v="426.12240000000003"/>
    <n v="426.12240000000003"/>
  </r>
  <r>
    <s v="SALE1451"/>
    <x v="613"/>
    <x v="0"/>
    <s v="CUST1005"/>
    <x v="2"/>
    <x v="0"/>
    <x v="3"/>
    <s v="PROD35"/>
    <s v="Bedroom Table Lamp"/>
    <x v="3"/>
    <s v="Lighting"/>
    <s v="STORE18"/>
    <x v="3"/>
    <x v="1"/>
    <n v="341.51"/>
    <n v="0.22"/>
    <x v="2"/>
    <b v="1"/>
    <n v="799.13340000000005"/>
    <n v="799.13340000000005"/>
  </r>
  <r>
    <s v="SALE1452"/>
    <x v="612"/>
    <x v="2"/>
    <s v="CUST1109"/>
    <x v="2"/>
    <x v="0"/>
    <x v="2"/>
    <s v="PROD98"/>
    <s v="Portable Bluetooth Speaker"/>
    <x v="1"/>
    <s v="Audio"/>
    <s v="STORE13"/>
    <x v="3"/>
    <x v="1"/>
    <n v="758.87"/>
    <n v="0.11"/>
    <x v="1"/>
    <b v="1"/>
    <n v="2026.1829000000002"/>
    <n v="2026.1829"/>
  </r>
  <r>
    <s v="SALE1453"/>
    <x v="375"/>
    <x v="2"/>
    <s v="CUST1470"/>
    <x v="2"/>
    <x v="1"/>
    <x v="0"/>
    <s v="PROD56"/>
    <s v="Premium Blanket Throw"/>
    <x v="3"/>
    <s v="Decor"/>
    <s v="STORE12"/>
    <x v="0"/>
    <x v="1"/>
    <n v="560.52"/>
    <n v="0.17"/>
    <x v="0"/>
    <b v="1"/>
    <n v="1395.6948"/>
    <n v="1395.6948"/>
  </r>
  <r>
    <s v="SALE1454"/>
    <x v="70"/>
    <x v="0"/>
    <s v="CUST1351"/>
    <x v="2"/>
    <x v="1"/>
    <x v="3"/>
    <s v="PROD96"/>
    <s v="Women's Formal Blazer"/>
    <x v="4"/>
    <s v="Outerwear"/>
    <s v="STORE17"/>
    <x v="0"/>
    <x v="3"/>
    <n v="977.18"/>
    <n v="0.19"/>
    <x v="0"/>
    <b v="1"/>
    <n v="1583.0316"/>
    <n v="1583.0316"/>
  </r>
  <r>
    <s v="SALE1455"/>
    <x v="171"/>
    <x v="2"/>
    <s v="CUST1236"/>
    <x v="1"/>
    <x v="1"/>
    <x v="3"/>
    <s v="PROD16"/>
    <s v="Beard Grooming Kit"/>
    <x v="2"/>
    <s v="Grooming"/>
    <s v="STORE14"/>
    <x v="2"/>
    <x v="2"/>
    <n v="761.35"/>
    <n v="0.08"/>
    <x v="0"/>
    <b v="1"/>
    <n v="2801.768"/>
    <n v="2801.768"/>
  </r>
  <r>
    <s v="SALE1456"/>
    <x v="584"/>
    <x v="2"/>
    <s v="CUST1179"/>
    <x v="1"/>
    <x v="1"/>
    <x v="2"/>
    <s v="PROD67"/>
    <s v="Smart LED Light Strip"/>
    <x v="1"/>
    <s v="Accessories"/>
    <s v="STORE18"/>
    <x v="3"/>
    <x v="3"/>
    <n v="947.56"/>
    <n v="0.02"/>
    <x v="2"/>
    <b v="1"/>
    <n v="1857.2175999999999"/>
    <n v="1857.2175999999999"/>
  </r>
  <r>
    <s v="SALE1457"/>
    <x v="186"/>
    <x v="2"/>
    <s v="CUST1238"/>
    <x v="1"/>
    <x v="0"/>
    <x v="1"/>
    <s v="PROD43"/>
    <s v="USB External Hard Drive"/>
    <x v="1"/>
    <s v="Computer"/>
    <s v="STORE18"/>
    <x v="3"/>
    <x v="2"/>
    <n v="975.47"/>
    <n v="0.04"/>
    <x v="0"/>
    <b v="1"/>
    <n v="3745.8047999999999"/>
    <n v="3745.8047999999999"/>
  </r>
  <r>
    <s v="SALE1458"/>
    <x v="134"/>
    <x v="0"/>
    <s v="CUST1477"/>
    <x v="1"/>
    <x v="1"/>
    <x v="1"/>
    <s v="PROD13"/>
    <s v="USB-C Fast Charger"/>
    <x v="1"/>
    <s v="Accessories"/>
    <s v="STORE9"/>
    <x v="2"/>
    <x v="1"/>
    <n v="769.06"/>
    <n v="0.23"/>
    <x v="2"/>
    <b v="1"/>
    <n v="1776.5285999999999"/>
    <n v="1776.5286000000001"/>
  </r>
  <r>
    <s v="SALE1459"/>
    <x v="308"/>
    <x v="2"/>
    <s v="CUST1486"/>
    <x v="2"/>
    <x v="1"/>
    <x v="3"/>
    <s v="PROD39"/>
    <s v="Portable Power Bank"/>
    <x v="1"/>
    <s v="Mobile"/>
    <s v="STORE2"/>
    <x v="2"/>
    <x v="1"/>
    <n v="824.75"/>
    <n v="0.23"/>
    <x v="0"/>
    <b v="1"/>
    <n v="1905.1725000000001"/>
    <n v="1905.1724999999999"/>
  </r>
  <r>
    <s v="SALE1460"/>
    <x v="270"/>
    <x v="0"/>
    <s v="CUST1401"/>
    <x v="0"/>
    <x v="1"/>
    <x v="1"/>
    <s v="PROD68"/>
    <s v="Wooden Nightstand"/>
    <x v="3"/>
    <s v="Furniture"/>
    <s v="STORE4"/>
    <x v="2"/>
    <x v="3"/>
    <n v="821.35"/>
    <n v="0.11"/>
    <x v="1"/>
    <b v="1"/>
    <n v="1462.0030000000002"/>
    <n v="1462.0029999999999"/>
  </r>
  <r>
    <s v="SALE1461"/>
    <x v="122"/>
    <x v="2"/>
    <s v="CUST1405"/>
    <x v="2"/>
    <x v="1"/>
    <x v="0"/>
    <s v="PROD13"/>
    <s v="USB-C Fast Charger"/>
    <x v="1"/>
    <s v="Accessories"/>
    <s v="STORE10"/>
    <x v="3"/>
    <x v="0"/>
    <n v="120.57"/>
    <n v="0.06"/>
    <x v="1"/>
    <b v="1"/>
    <n v="113.33579999999999"/>
    <n v="113.33580000000001"/>
  </r>
  <r>
    <s v="SALE1462"/>
    <x v="269"/>
    <x v="1"/>
    <s v="CUST1335"/>
    <x v="1"/>
    <x v="0"/>
    <x v="1"/>
    <s v="PROD89"/>
    <s v="Face Foundation Kit"/>
    <x v="2"/>
    <s v="Makeup"/>
    <s v="STORE1"/>
    <x v="0"/>
    <x v="0"/>
    <n v="122.27"/>
    <n v="0.26"/>
    <x v="1"/>
    <b v="1"/>
    <n v="90.479799999999997"/>
    <n v="90.479799999999997"/>
  </r>
  <r>
    <s v="SALE1463"/>
    <x v="271"/>
    <x v="2"/>
    <s v="CUST1170"/>
    <x v="2"/>
    <x v="0"/>
    <x v="0"/>
    <s v="PROD26"/>
    <s v="Wireless Bluetooth Speaker"/>
    <x v="1"/>
    <s v="Audio"/>
    <s v="STORE2"/>
    <x v="2"/>
    <x v="3"/>
    <n v="182.89"/>
    <n v="0.11"/>
    <x v="0"/>
    <b v="1"/>
    <n v="325.54419999999999"/>
    <n v="325.54419999999999"/>
  </r>
  <r>
    <s v="SALE1464"/>
    <x v="254"/>
    <x v="2"/>
    <s v="CUST1371"/>
    <x v="2"/>
    <x v="1"/>
    <x v="1"/>
    <s v="PROD46"/>
    <s v="Men's Winter Jacket"/>
    <x v="4"/>
    <s v="Outerwear"/>
    <s v="STORE4"/>
    <x v="2"/>
    <x v="0"/>
    <n v="695.26"/>
    <n v="0.23"/>
    <x v="1"/>
    <b v="1"/>
    <n v="535.35019999999997"/>
    <n v="535.35019999999997"/>
  </r>
  <r>
    <s v="SALE1465"/>
    <x v="371"/>
    <x v="2"/>
    <s v="CUST1027"/>
    <x v="1"/>
    <x v="0"/>
    <x v="1"/>
    <s v="PROD29"/>
    <s v="Fabric Sofa Throw Blanket"/>
    <x v="3"/>
    <s v="Decor"/>
    <s v="STORE6"/>
    <x v="3"/>
    <x v="3"/>
    <n v="408.8"/>
    <n v="0.17"/>
    <x v="2"/>
    <b v="1"/>
    <n v="678.60799999999995"/>
    <n v="678.60799999999995"/>
  </r>
  <r>
    <s v="SALE1466"/>
    <x v="197"/>
    <x v="2"/>
    <s v="CUST1226"/>
    <x v="0"/>
    <x v="0"/>
    <x v="0"/>
    <s v="PROD49"/>
    <s v="Men's Roll-On Perfume"/>
    <x v="2"/>
    <s v="Fragrance"/>
    <s v="STORE8"/>
    <x v="1"/>
    <x v="1"/>
    <n v="512.15"/>
    <n v="0.12"/>
    <x v="0"/>
    <b v="1"/>
    <n v="1352.0759999999998"/>
    <n v="1352.076"/>
  </r>
  <r>
    <s v="SALE1467"/>
    <x v="352"/>
    <x v="0"/>
    <s v="CUST1409"/>
    <x v="0"/>
    <x v="0"/>
    <x v="0"/>
    <s v="PROD9"/>
    <s v="Adjustable Dumbbell Set"/>
    <x v="0"/>
    <s v="Fitness"/>
    <s v="STORE8"/>
    <x v="1"/>
    <x v="1"/>
    <n v="136.4"/>
    <n v="0.15"/>
    <x v="1"/>
    <b v="1"/>
    <n v="347.82000000000005"/>
    <n v="347.82000000000011"/>
  </r>
  <r>
    <s v="SALE1468"/>
    <x v="539"/>
    <x v="1"/>
    <s v="CUST1175"/>
    <x v="0"/>
    <x v="0"/>
    <x v="1"/>
    <s v="PROD6"/>
    <s v="Herbal Face Moisturizer"/>
    <x v="2"/>
    <s v="Skincare"/>
    <s v="STORE3"/>
    <x v="0"/>
    <x v="3"/>
    <n v="42.51"/>
    <n v="0.04"/>
    <x v="2"/>
    <b v="1"/>
    <n v="81.619199999999992"/>
    <n v="81.619199999999992"/>
  </r>
  <r>
    <s v="SALE1469"/>
    <x v="132"/>
    <x v="2"/>
    <s v="CUST1359"/>
    <x v="1"/>
    <x v="0"/>
    <x v="2"/>
    <s v="PROD75"/>
    <s v="Women's Ankle Boots"/>
    <x v="4"/>
    <s v="Footwear"/>
    <s v="STORE7"/>
    <x v="2"/>
    <x v="1"/>
    <n v="582.1"/>
    <n v="0.12"/>
    <x v="1"/>
    <b v="1"/>
    <n v="1536.7440000000001"/>
    <n v="1536.7439999999999"/>
  </r>
  <r>
    <s v="SALE1470"/>
    <x v="187"/>
    <x v="0"/>
    <s v="CUST1219"/>
    <x v="1"/>
    <x v="1"/>
    <x v="0"/>
    <s v="PROD82"/>
    <s v="Fitness Resistance Bands"/>
    <x v="0"/>
    <s v="Fitness"/>
    <s v="STORE17"/>
    <x v="0"/>
    <x v="2"/>
    <n v="461.52"/>
    <n v="0"/>
    <x v="2"/>
    <b v="1"/>
    <n v="1846.08"/>
    <n v="1846.08"/>
  </r>
  <r>
    <s v="SALE1471"/>
    <x v="25"/>
    <x v="0"/>
    <s v="CUST1496"/>
    <x v="0"/>
    <x v="0"/>
    <x v="3"/>
    <s v="PROD16"/>
    <s v="Beard Grooming Kit"/>
    <x v="2"/>
    <s v="Grooming"/>
    <s v="STORE11"/>
    <x v="2"/>
    <x v="0"/>
    <n v="558.41999999999996"/>
    <n v="0.03"/>
    <x v="0"/>
    <b v="1"/>
    <n v="541.66739999999993"/>
    <n v="541.66739999999993"/>
  </r>
  <r>
    <s v="SALE1472"/>
    <x v="519"/>
    <x v="1"/>
    <s v="CUST1263"/>
    <x v="1"/>
    <x v="0"/>
    <x v="3"/>
    <s v="PROD12"/>
    <s v="Hair Strengthening Shampoo"/>
    <x v="2"/>
    <s v="Haircare"/>
    <s v="STORE18"/>
    <x v="3"/>
    <x v="2"/>
    <n v="700.98"/>
    <n v="0.12"/>
    <x v="1"/>
    <b v="1"/>
    <n v="2467.4495999999999"/>
    <n v="2467.4495999999999"/>
  </r>
  <r>
    <s v="SALE1473"/>
    <x v="421"/>
    <x v="0"/>
    <s v="CUST1405"/>
    <x v="2"/>
    <x v="1"/>
    <x v="0"/>
    <s v="PROD85"/>
    <s v="Women's Beanie Hat"/>
    <x v="4"/>
    <s v="Accessories"/>
    <s v="STORE18"/>
    <x v="3"/>
    <x v="3"/>
    <n v="227.97"/>
    <n v="0.08"/>
    <x v="2"/>
    <b v="1"/>
    <n v="419.46480000000003"/>
    <n v="419.46480000000003"/>
  </r>
  <r>
    <s v="SALE1474"/>
    <x v="633"/>
    <x v="0"/>
    <s v="CUST1474"/>
    <x v="1"/>
    <x v="1"/>
    <x v="1"/>
    <s v="PROD39"/>
    <s v="Portable Power Bank"/>
    <x v="1"/>
    <s v="Mobile"/>
    <s v="STORE11"/>
    <x v="2"/>
    <x v="2"/>
    <n v="278.70999999999998"/>
    <n v="0.2"/>
    <x v="1"/>
    <b v="1"/>
    <n v="891.87199999999996"/>
    <n v="891.87199999999996"/>
  </r>
  <r>
    <s v="SALE1475"/>
    <x v="411"/>
    <x v="0"/>
    <s v="CUST1259"/>
    <x v="1"/>
    <x v="1"/>
    <x v="2"/>
    <s v="PROD99"/>
    <s v="Stainless Steel Cookware Set"/>
    <x v="3"/>
    <s v="Kitchen"/>
    <s v="STORE8"/>
    <x v="1"/>
    <x v="3"/>
    <n v="916.12"/>
    <n v="0.05"/>
    <x v="1"/>
    <b v="1"/>
    <n v="1740.6279999999999"/>
    <n v="1740.6279999999999"/>
  </r>
  <r>
    <s v="SALE1476"/>
    <x v="528"/>
    <x v="0"/>
    <s v="CUST1133"/>
    <x v="0"/>
    <x v="1"/>
    <x v="3"/>
    <s v="PROD10"/>
    <s v="Ceramic Kitchen Bowl Set"/>
    <x v="3"/>
    <s v="Kitchen"/>
    <s v="STORE12"/>
    <x v="0"/>
    <x v="2"/>
    <n v="228.98"/>
    <n v="0.22"/>
    <x v="1"/>
    <b v="1"/>
    <n v="714.41759999999999"/>
    <n v="714.41759999999999"/>
  </r>
  <r>
    <s v="SALE1477"/>
    <x v="438"/>
    <x v="0"/>
    <s v="CUST1234"/>
    <x v="1"/>
    <x v="1"/>
    <x v="0"/>
    <s v="PROD89"/>
    <s v="Face Foundation Kit"/>
    <x v="2"/>
    <s v="Makeup"/>
    <s v="STORE15"/>
    <x v="0"/>
    <x v="2"/>
    <n v="904.82"/>
    <n v="0.09"/>
    <x v="1"/>
    <b v="1"/>
    <n v="3293.5448000000001"/>
    <n v="3293.5448000000001"/>
  </r>
  <r>
    <s v="SALE1478"/>
    <x v="330"/>
    <x v="2"/>
    <s v="CUST1081"/>
    <x v="1"/>
    <x v="1"/>
    <x v="1"/>
    <s v="PROD23"/>
    <s v="Men's Formal Shirt"/>
    <x v="4"/>
    <s v="Tops"/>
    <s v="STORE11"/>
    <x v="2"/>
    <x v="0"/>
    <n v="588.61"/>
    <n v="0.1"/>
    <x v="1"/>
    <b v="1"/>
    <n v="529.74900000000002"/>
    <n v="529.74900000000002"/>
  </r>
  <r>
    <s v="SALE1479"/>
    <x v="269"/>
    <x v="1"/>
    <s v="CUST1113"/>
    <x v="0"/>
    <x v="0"/>
    <x v="0"/>
    <s v="PROD33"/>
    <s v="Modern Wall Clock"/>
    <x v="3"/>
    <s v="Decor"/>
    <s v="STORE3"/>
    <x v="0"/>
    <x v="2"/>
    <n v="695.97"/>
    <n v="0.02"/>
    <x v="0"/>
    <b v="1"/>
    <n v="2728.2024000000001"/>
    <n v="2728.2024000000001"/>
  </r>
  <r>
    <s v="SALE1480"/>
    <x v="273"/>
    <x v="0"/>
    <s v="CUST1301"/>
    <x v="1"/>
    <x v="0"/>
    <x v="0"/>
    <s v="PROD97"/>
    <s v="Cricket Bat"/>
    <x v="0"/>
    <s v="Team Sports"/>
    <s v="STORE11"/>
    <x v="2"/>
    <x v="3"/>
    <n v="181.42"/>
    <n v="0.08"/>
    <x v="1"/>
    <b v="1"/>
    <n v="333.81279999999998"/>
    <n v="333.81279999999998"/>
  </r>
  <r>
    <s v="SALE1481"/>
    <x v="634"/>
    <x v="0"/>
    <s v="CUST1023"/>
    <x v="0"/>
    <x v="1"/>
    <x v="2"/>
    <s v="PROD97"/>
    <s v="Cricket Bat"/>
    <x v="0"/>
    <s v="Team Sports"/>
    <s v="STORE13"/>
    <x v="3"/>
    <x v="0"/>
    <n v="439.55"/>
    <n v="0.28999999999999998"/>
    <x v="2"/>
    <b v="1"/>
    <n v="312.08049999999997"/>
    <n v="312.08049999999997"/>
  </r>
  <r>
    <s v="SALE1482"/>
    <x v="295"/>
    <x v="2"/>
    <s v="CUST1114"/>
    <x v="2"/>
    <x v="0"/>
    <x v="3"/>
    <s v="PROD55"/>
    <s v="Ceramic Plant Pot"/>
    <x v="3"/>
    <s v="Decor"/>
    <s v="STORE18"/>
    <x v="3"/>
    <x v="1"/>
    <n v="471.27"/>
    <n v="0.27"/>
    <x v="2"/>
    <b v="1"/>
    <n v="1032.0812999999998"/>
    <n v="1032.0813000000001"/>
  </r>
  <r>
    <s v="SALE1483"/>
    <x v="259"/>
    <x v="0"/>
    <s v="CUST1044"/>
    <x v="1"/>
    <x v="0"/>
    <x v="3"/>
    <s v="PROD59"/>
    <s v="Men's Hair Styling Gel"/>
    <x v="2"/>
    <s v="Haircare"/>
    <s v="STORE12"/>
    <x v="0"/>
    <x v="0"/>
    <n v="758.89"/>
    <n v="0.1"/>
    <x v="0"/>
    <b v="1"/>
    <n v="683.00099999999998"/>
    <n v="683.00099999999998"/>
  </r>
  <r>
    <s v="SALE1484"/>
    <x v="342"/>
    <x v="2"/>
    <s v="CUST1485"/>
    <x v="1"/>
    <x v="1"/>
    <x v="3"/>
    <s v="PROD95"/>
    <s v="Sports Stopwatch Basic"/>
    <x v="0"/>
    <s v="Accessories"/>
    <s v="STORE15"/>
    <x v="0"/>
    <x v="2"/>
    <n v="918.1"/>
    <n v="0.19"/>
    <x v="2"/>
    <b v="1"/>
    <n v="2974.6440000000002"/>
    <n v="2974.6439999999998"/>
  </r>
  <r>
    <s v="SALE1485"/>
    <x v="368"/>
    <x v="0"/>
    <s v="CUST1259"/>
    <x v="1"/>
    <x v="1"/>
    <x v="2"/>
    <s v="PROD94"/>
    <s v="Vitamin E Body Lotion"/>
    <x v="2"/>
    <s v="Skincare"/>
    <s v="STORE11"/>
    <x v="2"/>
    <x v="0"/>
    <n v="861.5"/>
    <n v="0.05"/>
    <x v="2"/>
    <b v="1"/>
    <n v="818.42499999999995"/>
    <n v="818.42499999999995"/>
  </r>
  <r>
    <s v="SALE1486"/>
    <x v="629"/>
    <x v="2"/>
    <s v="CUST1462"/>
    <x v="1"/>
    <x v="1"/>
    <x v="2"/>
    <s v="PROD22"/>
    <s v="Carbon Fiber Tennis Racket"/>
    <x v="0"/>
    <s v="Equipment"/>
    <s v="STORE14"/>
    <x v="2"/>
    <x v="0"/>
    <n v="588.29999999999995"/>
    <n v="0.26"/>
    <x v="2"/>
    <b v="1"/>
    <n v="435.34199999999998"/>
    <n v="435.34199999999998"/>
  </r>
  <r>
    <s v="SALE1487"/>
    <x v="606"/>
    <x v="0"/>
    <s v="CUST1462"/>
    <x v="1"/>
    <x v="1"/>
    <x v="2"/>
    <s v="PROD55"/>
    <s v="Ceramic Plant Pot"/>
    <x v="3"/>
    <s v="Decor"/>
    <s v="STORE7"/>
    <x v="2"/>
    <x v="0"/>
    <n v="917.26"/>
    <n v="0.05"/>
    <x v="1"/>
    <b v="1"/>
    <n v="871.39699999999993"/>
    <n v="871.39699999999993"/>
  </r>
  <r>
    <s v="SALE1488"/>
    <x v="635"/>
    <x v="0"/>
    <s v="CUST1233"/>
    <x v="0"/>
    <x v="0"/>
    <x v="2"/>
    <s v="PROD6"/>
    <s v="Herbal Face Moisturizer"/>
    <x v="2"/>
    <s v="Skincare"/>
    <s v="STORE18"/>
    <x v="3"/>
    <x v="2"/>
    <n v="96.78"/>
    <n v="0.11"/>
    <x v="1"/>
    <b v="1"/>
    <n v="344.53680000000003"/>
    <n v="344.53680000000003"/>
  </r>
  <r>
    <s v="SALE1489"/>
    <x v="434"/>
    <x v="0"/>
    <s v="CUST1478"/>
    <x v="0"/>
    <x v="0"/>
    <x v="0"/>
    <s v="PROD28"/>
    <s v="Sports Stopwatch Timer"/>
    <x v="0"/>
    <s v="Accessories"/>
    <s v="STORE4"/>
    <x v="2"/>
    <x v="1"/>
    <n v="199.41"/>
    <n v="0.16"/>
    <x v="2"/>
    <b v="1"/>
    <n v="502.51319999999998"/>
    <n v="502.51319999999998"/>
  </r>
  <r>
    <s v="SALE1490"/>
    <x v="603"/>
    <x v="2"/>
    <s v="CUST1019"/>
    <x v="1"/>
    <x v="1"/>
    <x v="1"/>
    <s v="PROD54"/>
    <s v="Sports Stopwatch Pro"/>
    <x v="0"/>
    <s v="Accessories"/>
    <s v="STORE9"/>
    <x v="2"/>
    <x v="0"/>
    <n v="687.91"/>
    <n v="0.25"/>
    <x v="0"/>
    <b v="1"/>
    <n v="515.9325"/>
    <n v="515.9325"/>
  </r>
  <r>
    <s v="SALE1491"/>
    <x v="68"/>
    <x v="2"/>
    <s v="CUST1039"/>
    <x v="0"/>
    <x v="1"/>
    <x v="0"/>
    <s v="PROD71"/>
    <s v="Hair Repair Oil Treatment"/>
    <x v="2"/>
    <s v="Haircare"/>
    <s v="STORE2"/>
    <x v="2"/>
    <x v="1"/>
    <n v="769.62"/>
    <n v="0.09"/>
    <x v="1"/>
    <b v="1"/>
    <n v="2101.0626000000002"/>
    <n v="2101.0626000000002"/>
  </r>
  <r>
    <s v="SALE1492"/>
    <x v="636"/>
    <x v="1"/>
    <s v="CUST1220"/>
    <x v="1"/>
    <x v="1"/>
    <x v="3"/>
    <s v="PROD4"/>
    <s v="Women's Yoga Pants"/>
    <x v="4"/>
    <s v="Bottoms"/>
    <s v="STORE3"/>
    <x v="0"/>
    <x v="0"/>
    <n v="492.05"/>
    <n v="0.27"/>
    <x v="0"/>
    <b v="1"/>
    <n v="359.19650000000001"/>
    <n v="359.19650000000001"/>
  </r>
  <r>
    <s v="SALE1493"/>
    <x v="442"/>
    <x v="0"/>
    <s v="CUST1104"/>
    <x v="0"/>
    <x v="0"/>
    <x v="2"/>
    <s v="PROD17"/>
    <s v="Soccer Training Cone Set"/>
    <x v="0"/>
    <s v="Accessories"/>
    <s v="STORE12"/>
    <x v="0"/>
    <x v="3"/>
    <n v="428.55"/>
    <n v="0"/>
    <x v="1"/>
    <b v="1"/>
    <n v="857.1"/>
    <n v="857.1"/>
  </r>
  <r>
    <s v="SALE1494"/>
    <x v="378"/>
    <x v="1"/>
    <s v="CUST1229"/>
    <x v="1"/>
    <x v="1"/>
    <x v="3"/>
    <s v="PROD10"/>
    <s v="Ceramic Kitchen Bowl Set"/>
    <x v="3"/>
    <s v="Kitchen"/>
    <s v="STORE15"/>
    <x v="0"/>
    <x v="2"/>
    <n v="316.18"/>
    <n v="0.12"/>
    <x v="0"/>
    <b v="1"/>
    <n v="1112.9536000000001"/>
    <n v="1112.9536000000001"/>
  </r>
  <r>
    <s v="SALE1495"/>
    <x v="224"/>
    <x v="0"/>
    <s v="CUST1007"/>
    <x v="2"/>
    <x v="1"/>
    <x v="3"/>
    <s v="PROD13"/>
    <s v="USB-C Fast Charger"/>
    <x v="1"/>
    <s v="Accessories"/>
    <s v="STORE3"/>
    <x v="0"/>
    <x v="1"/>
    <n v="162.16999999999999"/>
    <n v="0.15"/>
    <x v="1"/>
    <b v="1"/>
    <n v="413.5335"/>
    <n v="413.5335"/>
  </r>
  <r>
    <s v="SALE1496"/>
    <x v="562"/>
    <x v="0"/>
    <s v="CUST1331"/>
    <x v="1"/>
    <x v="1"/>
    <x v="3"/>
    <s v="PROD4"/>
    <s v="Women's Yoga Pants"/>
    <x v="4"/>
    <s v="Bottoms"/>
    <s v="STORE3"/>
    <x v="0"/>
    <x v="1"/>
    <n v="698.14"/>
    <n v="0.04"/>
    <x v="1"/>
    <b v="1"/>
    <n v="2010.6432"/>
    <n v="2010.6432"/>
  </r>
  <r>
    <s v="SALE1497"/>
    <x v="605"/>
    <x v="2"/>
    <s v="CUST1310"/>
    <x v="2"/>
    <x v="0"/>
    <x v="2"/>
    <s v="PROD74"/>
    <s v="Bluetooth Car Audio System"/>
    <x v="1"/>
    <s v="Audio"/>
    <s v="STORE18"/>
    <x v="3"/>
    <x v="0"/>
    <n v="478.08"/>
    <n v="7.0000000000000007E-2"/>
    <x v="2"/>
    <b v="1"/>
    <n v="444.61439999999993"/>
    <n v="444.61439999999988"/>
  </r>
  <r>
    <s v="SALE1498"/>
    <x v="384"/>
    <x v="2"/>
    <s v="CUST1208"/>
    <x v="0"/>
    <x v="0"/>
    <x v="1"/>
    <s v="PROD59"/>
    <s v="Men's Hair Styling Gel"/>
    <x v="2"/>
    <s v="Haircare"/>
    <s v="STORE7"/>
    <x v="2"/>
    <x v="3"/>
    <n v="958.64"/>
    <n v="0.2"/>
    <x v="1"/>
    <b v="1"/>
    <n v="1533.8240000000001"/>
    <n v="1533.8240000000001"/>
  </r>
  <r>
    <s v="SALE1499"/>
    <x v="424"/>
    <x v="0"/>
    <s v="CUST1464"/>
    <x v="1"/>
    <x v="1"/>
    <x v="1"/>
    <s v="PROD41"/>
    <s v="Yoga Exercise Mat"/>
    <x v="0"/>
    <s v="Fitness"/>
    <s v="STORE12"/>
    <x v="0"/>
    <x v="3"/>
    <n v="581.19000000000005"/>
    <n v="7.0000000000000007E-2"/>
    <x v="2"/>
    <b v="1"/>
    <n v="1081.0134"/>
    <n v="1081.0134"/>
  </r>
  <r>
    <s v="SALE1500"/>
    <x v="172"/>
    <x v="0"/>
    <s v="CUST1112"/>
    <x v="2"/>
    <x v="1"/>
    <x v="2"/>
    <s v="PROD99"/>
    <s v="Stainless Steel Cookware Set"/>
    <x v="3"/>
    <s v="Kitchen"/>
    <s v="STORE11"/>
    <x v="2"/>
    <x v="0"/>
    <n v="736.54"/>
    <n v="0.16"/>
    <x v="1"/>
    <b v="1"/>
    <n v="618.69359999999995"/>
    <n v="618.69359999999995"/>
  </r>
  <r>
    <s v="SALE1501"/>
    <x v="426"/>
    <x v="0"/>
    <s v="CUST1401"/>
    <x v="0"/>
    <x v="1"/>
    <x v="1"/>
    <s v="PROD65"/>
    <s v="Adjustable Dumbbells 20kg"/>
    <x v="0"/>
    <s v="Fitness"/>
    <s v="STORE15"/>
    <x v="0"/>
    <x v="0"/>
    <n v="524"/>
    <n v="0.28000000000000003"/>
    <x v="0"/>
    <b v="1"/>
    <n v="377.28"/>
    <n v="377.28"/>
  </r>
  <r>
    <s v="SALE1502"/>
    <x v="488"/>
    <x v="0"/>
    <s v="CUST1046"/>
    <x v="0"/>
    <x v="1"/>
    <x v="1"/>
    <s v="PROD28"/>
    <s v="Sports Stopwatch Timer"/>
    <x v="0"/>
    <s v="Accessories"/>
    <s v="STORE3"/>
    <x v="0"/>
    <x v="2"/>
    <n v="566.09"/>
    <n v="0.28000000000000003"/>
    <x v="2"/>
    <b v="1"/>
    <n v="1630.3392000000001"/>
    <n v="1630.3391999999999"/>
  </r>
  <r>
    <s v="SALE1503"/>
    <x v="359"/>
    <x v="2"/>
    <s v="CUST1259"/>
    <x v="1"/>
    <x v="1"/>
    <x v="2"/>
    <s v="PROD21"/>
    <s v="Multi-Purpose Storage Box"/>
    <x v="3"/>
    <s v="Storage"/>
    <s v="STORE10"/>
    <x v="3"/>
    <x v="0"/>
    <n v="251.99"/>
    <n v="0.09"/>
    <x v="0"/>
    <b v="1"/>
    <n v="229.3109"/>
    <n v="229.3109"/>
  </r>
  <r>
    <s v="SALE1504"/>
    <x v="191"/>
    <x v="0"/>
    <s v="CUST1221"/>
    <x v="1"/>
    <x v="0"/>
    <x v="1"/>
    <s v="PROD17"/>
    <s v="Soccer Training Cone Set"/>
    <x v="0"/>
    <s v="Accessories"/>
    <s v="STORE19"/>
    <x v="3"/>
    <x v="0"/>
    <n v="259.2"/>
    <n v="0.27"/>
    <x v="2"/>
    <b v="1"/>
    <n v="189.21599999999998"/>
    <n v="189.21600000000001"/>
  </r>
  <r>
    <s v="SALE1505"/>
    <x v="163"/>
    <x v="1"/>
    <s v="CUST1446"/>
    <x v="1"/>
    <x v="0"/>
    <x v="2"/>
    <s v="PROD59"/>
    <s v="Men's Hair Styling Gel"/>
    <x v="2"/>
    <s v="Haircare"/>
    <s v="STORE15"/>
    <x v="0"/>
    <x v="0"/>
    <n v="935.66"/>
    <n v="0.26"/>
    <x v="1"/>
    <b v="1"/>
    <n v="692.38839999999993"/>
    <n v="692.38839999999993"/>
  </r>
  <r>
    <s v="SALE1506"/>
    <x v="342"/>
    <x v="2"/>
    <s v="CUST1469"/>
    <x v="2"/>
    <x v="0"/>
    <x v="0"/>
    <s v="PROD35"/>
    <s v="Bedroom Table Lamp"/>
    <x v="3"/>
    <s v="Lighting"/>
    <s v="STORE8"/>
    <x v="1"/>
    <x v="2"/>
    <n v="480.75"/>
    <n v="0.02"/>
    <x v="0"/>
    <b v="1"/>
    <n v="1884.54"/>
    <n v="1884.54"/>
  </r>
  <r>
    <s v="SALE1507"/>
    <x v="551"/>
    <x v="2"/>
    <s v="CUST1369"/>
    <x v="2"/>
    <x v="1"/>
    <x v="1"/>
    <s v="PROD81"/>
    <s v="Badminton Racket Set"/>
    <x v="0"/>
    <s v="Equipment"/>
    <s v="STORE15"/>
    <x v="0"/>
    <x v="3"/>
    <n v="457.83"/>
    <n v="0.01"/>
    <x v="2"/>
    <b v="1"/>
    <n v="906.50339999999994"/>
    <n v="906.50339999999994"/>
  </r>
  <r>
    <s v="SALE1508"/>
    <x v="591"/>
    <x v="2"/>
    <s v="CUST1164"/>
    <x v="1"/>
    <x v="1"/>
    <x v="2"/>
    <s v="PROD48"/>
    <s v="Car Dashboard Phone Holder"/>
    <x v="1"/>
    <s v="Accessories"/>
    <s v="STORE14"/>
    <x v="2"/>
    <x v="0"/>
    <n v="994.63"/>
    <n v="0.28000000000000003"/>
    <x v="0"/>
    <b v="1"/>
    <n v="716.1336"/>
    <n v="716.1336"/>
  </r>
  <r>
    <s v="SALE1509"/>
    <x v="407"/>
    <x v="2"/>
    <s v="CUST1245"/>
    <x v="0"/>
    <x v="1"/>
    <x v="1"/>
    <s v="PROD90"/>
    <s v="Gaming Mouse Pad XL"/>
    <x v="1"/>
    <s v="Accessories"/>
    <s v="STORE0"/>
    <x v="3"/>
    <x v="1"/>
    <n v="65.569999999999993"/>
    <n v="0.3"/>
    <x v="2"/>
    <b v="1"/>
    <n v="137.69699999999997"/>
    <n v="137.697"/>
  </r>
  <r>
    <s v="SALE1510"/>
    <x v="468"/>
    <x v="2"/>
    <s v="CUST1160"/>
    <x v="1"/>
    <x v="1"/>
    <x v="1"/>
    <s v="PROD58"/>
    <s v="Womens Cotton Scarf"/>
    <x v="4"/>
    <s v="Accessories"/>
    <s v="STORE17"/>
    <x v="0"/>
    <x v="1"/>
    <n v="622.98"/>
    <n v="0.28000000000000003"/>
    <x v="1"/>
    <b v="1"/>
    <n v="1345.6368"/>
    <n v="1345.6368"/>
  </r>
  <r>
    <s v="SALE1511"/>
    <x v="501"/>
    <x v="2"/>
    <s v="CUST1250"/>
    <x v="1"/>
    <x v="0"/>
    <x v="1"/>
    <s v="PROD55"/>
    <s v="Ceramic Plant Pot"/>
    <x v="3"/>
    <s v="Decor"/>
    <s v="STORE13"/>
    <x v="3"/>
    <x v="0"/>
    <n v="170.68"/>
    <n v="0.13"/>
    <x v="1"/>
    <b v="1"/>
    <n v="148.49160000000001"/>
    <n v="148.49160000000001"/>
  </r>
  <r>
    <s v="SALE1512"/>
    <x v="321"/>
    <x v="2"/>
    <s v="CUST1096"/>
    <x v="2"/>
    <x v="1"/>
    <x v="1"/>
    <s v="PROD7"/>
    <s v="LED Table Lamp"/>
    <x v="3"/>
    <s v="Lighting"/>
    <s v="STORE8"/>
    <x v="1"/>
    <x v="2"/>
    <n v="797.83"/>
    <n v="0.08"/>
    <x v="0"/>
    <b v="1"/>
    <n v="2936.0144000000005"/>
    <n v="2936.0144"/>
  </r>
  <r>
    <s v="SALE1513"/>
    <x v="637"/>
    <x v="2"/>
    <s v="CUST1098"/>
    <x v="2"/>
    <x v="0"/>
    <x v="0"/>
    <s v="PROD2"/>
    <s v="Women's Casual Hoodie"/>
    <x v="4"/>
    <s v="Outerwear"/>
    <s v="STORE16"/>
    <x v="1"/>
    <x v="0"/>
    <n v="372.75"/>
    <n v="0.12"/>
    <x v="0"/>
    <b v="1"/>
    <n v="328.02"/>
    <n v="328.02"/>
  </r>
  <r>
    <s v="SALE1514"/>
    <x v="471"/>
    <x v="0"/>
    <s v="CUST1396"/>
    <x v="2"/>
    <x v="1"/>
    <x v="2"/>
    <s v="PROD61"/>
    <s v="Tennis Ball 3-Pack"/>
    <x v="0"/>
    <s v="Equipment"/>
    <s v="STORE4"/>
    <x v="2"/>
    <x v="0"/>
    <n v="994.18"/>
    <n v="0.05"/>
    <x v="1"/>
    <b v="1"/>
    <n v="944.47099999999989"/>
    <n v="944.47099999999989"/>
  </r>
  <r>
    <s v="SALE1515"/>
    <x v="255"/>
    <x v="0"/>
    <s v="CUST1422"/>
    <x v="1"/>
    <x v="1"/>
    <x v="1"/>
    <s v="PROD20"/>
    <s v="Outdoor Sports Water Bottle"/>
    <x v="0"/>
    <s v="Accessories"/>
    <s v="STORE13"/>
    <x v="3"/>
    <x v="0"/>
    <n v="136.12"/>
    <n v="7.0000000000000007E-2"/>
    <x v="0"/>
    <b v="1"/>
    <n v="126.5916"/>
    <n v="126.5916"/>
  </r>
  <r>
    <s v="SALE1516"/>
    <x v="589"/>
    <x v="2"/>
    <s v="CUST1030"/>
    <x v="0"/>
    <x v="1"/>
    <x v="3"/>
    <s v="PROD52"/>
    <s v="Rugby Ball"/>
    <x v="0"/>
    <s v="Team Sports"/>
    <s v="STORE18"/>
    <x v="3"/>
    <x v="1"/>
    <n v="634.45000000000005"/>
    <n v="0.17"/>
    <x v="1"/>
    <b v="1"/>
    <n v="1579.7805000000001"/>
    <n v="1579.7805000000001"/>
  </r>
  <r>
    <s v="SALE1517"/>
    <x v="140"/>
    <x v="0"/>
    <s v="CUST1329"/>
    <x v="0"/>
    <x v="1"/>
    <x v="3"/>
    <s v="PROD64"/>
    <s v="Matte Lipstick Set"/>
    <x v="2"/>
    <s v="Makeup"/>
    <s v="STORE0"/>
    <x v="3"/>
    <x v="2"/>
    <n v="179.62"/>
    <n v="0.05"/>
    <x v="0"/>
    <b v="1"/>
    <n v="682.55600000000004"/>
    <n v="682.55600000000004"/>
  </r>
  <r>
    <s v="SALE1518"/>
    <x v="638"/>
    <x v="2"/>
    <s v="CUST1294"/>
    <x v="2"/>
    <x v="0"/>
    <x v="1"/>
    <s v="PROD20"/>
    <s v="Outdoor Sports Water Bottle"/>
    <x v="0"/>
    <s v="Accessories"/>
    <s v="STORE18"/>
    <x v="3"/>
    <x v="2"/>
    <n v="558.83000000000004"/>
    <n v="0.16"/>
    <x v="1"/>
    <b v="1"/>
    <n v="1877.6688000000001"/>
    <n v="1877.6687999999999"/>
  </r>
  <r>
    <s v="SALE1519"/>
    <x v="629"/>
    <x v="2"/>
    <s v="CUST1171"/>
    <x v="1"/>
    <x v="1"/>
    <x v="1"/>
    <s v="PROD94"/>
    <s v="Vitamin E Body Lotion"/>
    <x v="2"/>
    <s v="Skincare"/>
    <s v="STORE6"/>
    <x v="3"/>
    <x v="3"/>
    <n v="859.74"/>
    <n v="0.25"/>
    <x v="2"/>
    <b v="1"/>
    <n v="1289.6100000000001"/>
    <n v="1289.6099999999999"/>
  </r>
  <r>
    <s v="SALE1520"/>
    <x v="494"/>
    <x v="2"/>
    <s v="CUST1106"/>
    <x v="0"/>
    <x v="1"/>
    <x v="3"/>
    <s v="PROD65"/>
    <s v="Adjustable Dumbbells 20kg"/>
    <x v="0"/>
    <s v="Fitness"/>
    <s v="STORE16"/>
    <x v="1"/>
    <x v="1"/>
    <n v="578.47"/>
    <n v="0.06"/>
    <x v="2"/>
    <b v="1"/>
    <n v="1631.2854"/>
    <n v="1631.2854"/>
  </r>
  <r>
    <s v="SALE1521"/>
    <x v="431"/>
    <x v="0"/>
    <s v="CUST1055"/>
    <x v="0"/>
    <x v="1"/>
    <x v="3"/>
    <s v="PROD21"/>
    <s v="Multi-Purpose Storage Box"/>
    <x v="3"/>
    <s v="Storage"/>
    <s v="STORE12"/>
    <x v="0"/>
    <x v="0"/>
    <n v="440.48"/>
    <n v="0.11"/>
    <x v="2"/>
    <b v="1"/>
    <n v="392.02720000000005"/>
    <n v="392.02720000000011"/>
  </r>
  <r>
    <s v="SALE1522"/>
    <x v="37"/>
    <x v="0"/>
    <s v="CUST1016"/>
    <x v="2"/>
    <x v="1"/>
    <x v="3"/>
    <s v="PROD16"/>
    <s v="Beard Grooming Kit"/>
    <x v="2"/>
    <s v="Grooming"/>
    <s v="STORE19"/>
    <x v="3"/>
    <x v="3"/>
    <n v="303.67"/>
    <n v="0.05"/>
    <x v="1"/>
    <b v="1"/>
    <n v="576.97299999999996"/>
    <n v="576.97299999999996"/>
  </r>
  <r>
    <s v="SALE1523"/>
    <x v="371"/>
    <x v="2"/>
    <s v="CUST1336"/>
    <x v="0"/>
    <x v="1"/>
    <x v="2"/>
    <s v="PROD74"/>
    <s v="Bluetooth Car Audio System"/>
    <x v="1"/>
    <s v="Audio"/>
    <s v="STORE14"/>
    <x v="2"/>
    <x v="3"/>
    <n v="611.21"/>
    <n v="0.22"/>
    <x v="2"/>
    <b v="1"/>
    <n v="953.48760000000004"/>
    <n v="953.48760000000004"/>
  </r>
  <r>
    <s v="SALE1524"/>
    <x v="565"/>
    <x v="1"/>
    <s v="CUST1202"/>
    <x v="1"/>
    <x v="1"/>
    <x v="1"/>
    <s v="PROD39"/>
    <s v="Portable Power Bank"/>
    <x v="1"/>
    <s v="Mobile"/>
    <s v="STORE15"/>
    <x v="0"/>
    <x v="3"/>
    <n v="768.08"/>
    <n v="0.26"/>
    <x v="1"/>
    <b v="1"/>
    <n v="1136.7583999999999"/>
    <n v="1136.7583999999999"/>
  </r>
  <r>
    <s v="SALE1525"/>
    <x v="627"/>
    <x v="0"/>
    <s v="CUST1296"/>
    <x v="2"/>
    <x v="1"/>
    <x v="3"/>
    <s v="PROD23"/>
    <s v="Men's Formal Shirt"/>
    <x v="4"/>
    <s v="Tops"/>
    <s v="STORE18"/>
    <x v="3"/>
    <x v="0"/>
    <n v="616.82000000000005"/>
    <n v="0.24"/>
    <x v="0"/>
    <b v="1"/>
    <n v="468.78320000000002"/>
    <n v="468.78320000000002"/>
  </r>
  <r>
    <s v="SALE1526"/>
    <x v="265"/>
    <x v="2"/>
    <s v="CUST1183"/>
    <x v="2"/>
    <x v="0"/>
    <x v="1"/>
    <s v="PROD40"/>
    <s v="Noise-Canceling Headphones"/>
    <x v="1"/>
    <s v="Audio"/>
    <s v="STORE18"/>
    <x v="3"/>
    <x v="0"/>
    <n v="470.34"/>
    <n v="0.18"/>
    <x v="2"/>
    <b v="1"/>
    <n v="385.67880000000002"/>
    <n v="385.67880000000002"/>
  </r>
  <r>
    <s v="SALE1527"/>
    <x v="5"/>
    <x v="0"/>
    <s v="CUST1219"/>
    <x v="1"/>
    <x v="1"/>
    <x v="0"/>
    <s v="PROD53"/>
    <s v="Men's Track Pants"/>
    <x v="4"/>
    <s v="Bottoms"/>
    <s v="STORE8"/>
    <x v="1"/>
    <x v="3"/>
    <n v="616.36"/>
    <n v="0.12"/>
    <x v="1"/>
    <b v="1"/>
    <n v="1084.7936"/>
    <n v="1084.7936"/>
  </r>
  <r>
    <s v="SALE1528"/>
    <x v="244"/>
    <x v="0"/>
    <s v="CUST1082"/>
    <x v="0"/>
    <x v="0"/>
    <x v="3"/>
    <s v="PROD3"/>
    <s v="Men's Running Jacket"/>
    <x v="4"/>
    <s v="Outerwear"/>
    <s v="STORE9"/>
    <x v="2"/>
    <x v="1"/>
    <n v="657.24"/>
    <n v="0.18"/>
    <x v="1"/>
    <b v="1"/>
    <n v="1616.8104000000001"/>
    <n v="1616.8104000000001"/>
  </r>
  <r>
    <s v="SALE1529"/>
    <x v="534"/>
    <x v="2"/>
    <s v="CUST1034"/>
    <x v="2"/>
    <x v="1"/>
    <x v="1"/>
    <s v="PROD41"/>
    <s v="Yoga Exercise Mat"/>
    <x v="0"/>
    <s v="Fitness"/>
    <s v="STORE19"/>
    <x v="3"/>
    <x v="3"/>
    <n v="392.45"/>
    <n v="0.04"/>
    <x v="1"/>
    <b v="1"/>
    <n v="753.50399999999991"/>
    <n v="753.50399999999991"/>
  </r>
  <r>
    <s v="SALE1530"/>
    <x v="360"/>
    <x v="0"/>
    <s v="CUST1245"/>
    <x v="0"/>
    <x v="1"/>
    <x v="1"/>
    <s v="PROD40"/>
    <s v="Noise-Canceling Headphones"/>
    <x v="1"/>
    <s v="Audio"/>
    <s v="STORE14"/>
    <x v="2"/>
    <x v="1"/>
    <n v="62.03"/>
    <n v="0.01"/>
    <x v="2"/>
    <b v="1"/>
    <n v="184.22909999999999"/>
    <n v="184.22909999999999"/>
  </r>
  <r>
    <s v="SALE1531"/>
    <x v="141"/>
    <x v="0"/>
    <s v="CUST1092"/>
    <x v="1"/>
    <x v="1"/>
    <x v="1"/>
    <s v="PROD96"/>
    <s v="Women's Formal Blazer"/>
    <x v="4"/>
    <s v="Outerwear"/>
    <s v="STORE3"/>
    <x v="0"/>
    <x v="2"/>
    <n v="933.73"/>
    <n v="0.25"/>
    <x v="1"/>
    <b v="1"/>
    <n v="2801.19"/>
    <n v="2801.19"/>
  </r>
  <r>
    <s v="SALE1532"/>
    <x v="639"/>
    <x v="2"/>
    <s v="CUST1155"/>
    <x v="0"/>
    <x v="1"/>
    <x v="0"/>
    <s v="PROD85"/>
    <s v="Women's Beanie Hat"/>
    <x v="4"/>
    <s v="Accessories"/>
    <s v="STORE16"/>
    <x v="1"/>
    <x v="1"/>
    <n v="615.30999999999995"/>
    <n v="0.14000000000000001"/>
    <x v="1"/>
    <b v="1"/>
    <n v="1587.4997999999998"/>
    <n v="1587.4998000000001"/>
  </r>
  <r>
    <s v="SALE1533"/>
    <x v="500"/>
    <x v="0"/>
    <s v="CUST1373"/>
    <x v="1"/>
    <x v="1"/>
    <x v="0"/>
    <s v="PROD59"/>
    <s v="Men's Hair Styling Gel"/>
    <x v="2"/>
    <s v="Haircare"/>
    <s v="STORE18"/>
    <x v="3"/>
    <x v="2"/>
    <n v="790.38"/>
    <n v="0.22"/>
    <x v="2"/>
    <b v="1"/>
    <n v="2465.9856"/>
    <n v="2465.9856"/>
  </r>
  <r>
    <s v="SALE1534"/>
    <x v="70"/>
    <x v="0"/>
    <s v="CUST1269"/>
    <x v="1"/>
    <x v="1"/>
    <x v="2"/>
    <s v="PROD59"/>
    <s v="Men's Hair Styling Gel"/>
    <x v="2"/>
    <s v="Haircare"/>
    <s v="STORE17"/>
    <x v="0"/>
    <x v="3"/>
    <n v="102.85"/>
    <n v="0.08"/>
    <x v="1"/>
    <b v="1"/>
    <n v="189.244"/>
    <n v="189.244"/>
  </r>
  <r>
    <s v="SALE1535"/>
    <x v="8"/>
    <x v="2"/>
    <s v="CUST1039"/>
    <x v="0"/>
    <x v="1"/>
    <x v="0"/>
    <s v="PROD11"/>
    <s v="HD Smart TV Stick"/>
    <x v="1"/>
    <s v="Accessories"/>
    <s v="STORE16"/>
    <x v="1"/>
    <x v="1"/>
    <n v="866.78"/>
    <n v="0.27"/>
    <x v="1"/>
    <b v="1"/>
    <n v="1898.2482"/>
    <n v="1898.2482"/>
  </r>
  <r>
    <s v="SALE1536"/>
    <x v="38"/>
    <x v="0"/>
    <s v="CUST1208"/>
    <x v="0"/>
    <x v="0"/>
    <x v="1"/>
    <s v="PROD78"/>
    <s v="Essential Oil Diffuser"/>
    <x v="3"/>
    <s v="Decor"/>
    <s v="STORE16"/>
    <x v="1"/>
    <x v="1"/>
    <n v="392.84"/>
    <n v="0.27"/>
    <x v="1"/>
    <b v="1"/>
    <n v="860.31959999999992"/>
    <n v="860.31959999999992"/>
  </r>
  <r>
    <s v="SALE1537"/>
    <x v="298"/>
    <x v="2"/>
    <s v="CUST1323"/>
    <x v="0"/>
    <x v="1"/>
    <x v="1"/>
    <s v="PROD9"/>
    <s v="Adjustable Dumbbell Set"/>
    <x v="0"/>
    <s v="Fitness"/>
    <s v="STORE5"/>
    <x v="0"/>
    <x v="3"/>
    <n v="753.1"/>
    <n v="0.19"/>
    <x v="1"/>
    <b v="1"/>
    <n v="1220.0220000000002"/>
    <n v="1220.0219999999999"/>
  </r>
  <r>
    <s v="SALE1538"/>
    <x v="61"/>
    <x v="2"/>
    <s v="CUST1007"/>
    <x v="2"/>
    <x v="1"/>
    <x v="3"/>
    <s v="PROD54"/>
    <s v="Sports Stopwatch Pro"/>
    <x v="0"/>
    <s v="Accessories"/>
    <s v="STORE17"/>
    <x v="0"/>
    <x v="3"/>
    <n v="700.91"/>
    <n v="0.1"/>
    <x v="1"/>
    <b v="1"/>
    <n v="1261.6379999999999"/>
    <n v="1261.6379999999999"/>
  </r>
  <r>
    <s v="SALE1539"/>
    <x v="169"/>
    <x v="2"/>
    <s v="CUST1072"/>
    <x v="1"/>
    <x v="1"/>
    <x v="0"/>
    <s v="PROD15"/>
    <s v="4K Home Projector"/>
    <x v="1"/>
    <s v="Appliances"/>
    <s v="STORE12"/>
    <x v="0"/>
    <x v="2"/>
    <n v="935.98"/>
    <n v="0.11"/>
    <x v="1"/>
    <b v="1"/>
    <n v="3332.0888"/>
    <n v="3332.0888"/>
  </r>
  <r>
    <s v="SALE1540"/>
    <x v="68"/>
    <x v="2"/>
    <s v="CUST1485"/>
    <x v="1"/>
    <x v="1"/>
    <x v="3"/>
    <s v="PROD76"/>
    <s v="Wireless Mouse"/>
    <x v="1"/>
    <s v="Computer"/>
    <s v="STORE16"/>
    <x v="1"/>
    <x v="0"/>
    <n v="539.9"/>
    <n v="7.0000000000000007E-2"/>
    <x v="0"/>
    <b v="1"/>
    <n v="502.10699999999997"/>
    <n v="502.10700000000003"/>
  </r>
  <r>
    <s v="SALE1541"/>
    <x v="133"/>
    <x v="0"/>
    <s v="CUST1171"/>
    <x v="1"/>
    <x v="1"/>
    <x v="1"/>
    <s v="PROD40"/>
    <s v="Noise-Canceling Headphones"/>
    <x v="1"/>
    <s v="Audio"/>
    <s v="STORE6"/>
    <x v="3"/>
    <x v="0"/>
    <n v="312.81"/>
    <n v="0.14000000000000001"/>
    <x v="1"/>
    <b v="1"/>
    <n v="269.01659999999998"/>
    <n v="269.01659999999998"/>
  </r>
  <r>
    <s v="SALE1542"/>
    <x v="187"/>
    <x v="0"/>
    <s v="CUST1249"/>
    <x v="1"/>
    <x v="1"/>
    <x v="0"/>
    <s v="PROD48"/>
    <s v="Car Dashboard Phone Holder"/>
    <x v="1"/>
    <s v="Accessories"/>
    <s v="STORE7"/>
    <x v="2"/>
    <x v="1"/>
    <n v="855.96"/>
    <n v="0.28999999999999998"/>
    <x v="2"/>
    <b v="1"/>
    <n v="1823.1948"/>
    <n v="1823.1948"/>
  </r>
  <r>
    <s v="SALE1543"/>
    <x v="387"/>
    <x v="0"/>
    <s v="CUST1355"/>
    <x v="2"/>
    <x v="0"/>
    <x v="0"/>
    <s v="PROD1"/>
    <s v="Men's Graphic T-Shirt"/>
    <x v="4"/>
    <s v="Tops"/>
    <s v="STORE11"/>
    <x v="2"/>
    <x v="1"/>
    <n v="305"/>
    <n v="0.01"/>
    <x v="2"/>
    <b v="1"/>
    <n v="905.85"/>
    <n v="905.85"/>
  </r>
  <r>
    <s v="SALE1544"/>
    <x v="191"/>
    <x v="0"/>
    <s v="CUST1468"/>
    <x v="1"/>
    <x v="0"/>
    <x v="3"/>
    <s v="PROD99"/>
    <s v="Stainless Steel Cookware Set"/>
    <x v="3"/>
    <s v="Kitchen"/>
    <s v="STORE12"/>
    <x v="0"/>
    <x v="1"/>
    <n v="831.15"/>
    <n v="0.19"/>
    <x v="0"/>
    <b v="1"/>
    <n v="2019.6945000000001"/>
    <n v="2019.6945000000001"/>
  </r>
  <r>
    <s v="SALE1545"/>
    <x v="545"/>
    <x v="2"/>
    <s v="CUST1207"/>
    <x v="2"/>
    <x v="1"/>
    <x v="3"/>
    <s v="PROD96"/>
    <s v="Women's Formal Blazer"/>
    <x v="4"/>
    <s v="Outerwear"/>
    <s v="STORE3"/>
    <x v="0"/>
    <x v="3"/>
    <n v="644.97"/>
    <n v="0.24"/>
    <x v="2"/>
    <b v="1"/>
    <n v="980.35440000000006"/>
    <n v="980.35440000000006"/>
  </r>
  <r>
    <s v="SALE1546"/>
    <x v="640"/>
    <x v="2"/>
    <s v="CUST1095"/>
    <x v="0"/>
    <x v="1"/>
    <x v="1"/>
    <s v="PROD88"/>
    <s v="Sports Wrist Sweatbands"/>
    <x v="0"/>
    <s v="Accessories"/>
    <s v="STORE1"/>
    <x v="0"/>
    <x v="0"/>
    <n v="149.56"/>
    <n v="0.09"/>
    <x v="0"/>
    <b v="1"/>
    <n v="136.09960000000001"/>
    <n v="136.09960000000001"/>
  </r>
  <r>
    <s v="SALE1547"/>
    <x v="244"/>
    <x v="0"/>
    <s v="CUST1217"/>
    <x v="1"/>
    <x v="0"/>
    <x v="2"/>
    <s v="PROD43"/>
    <s v="USB External Hard Drive"/>
    <x v="1"/>
    <s v="Computer"/>
    <s v="STORE19"/>
    <x v="3"/>
    <x v="0"/>
    <n v="661.77"/>
    <n v="0.03"/>
    <x v="1"/>
    <b v="1"/>
    <n v="641.91689999999994"/>
    <n v="641.91689999999994"/>
  </r>
  <r>
    <s v="SALE1548"/>
    <x v="641"/>
    <x v="2"/>
    <s v="CUST1108"/>
    <x v="1"/>
    <x v="0"/>
    <x v="3"/>
    <s v="PROD94"/>
    <s v="Vitamin E Body Lotion"/>
    <x v="2"/>
    <s v="Skincare"/>
    <s v="STORE7"/>
    <x v="2"/>
    <x v="1"/>
    <n v="99.67"/>
    <n v="0.17"/>
    <x v="0"/>
    <b v="1"/>
    <n v="248.17829999999998"/>
    <n v="248.17830000000001"/>
  </r>
  <r>
    <s v="SALE1549"/>
    <x v="329"/>
    <x v="0"/>
    <s v="CUST1221"/>
    <x v="1"/>
    <x v="0"/>
    <x v="1"/>
    <s v="PROD62"/>
    <s v="Laptop Cooling Pad"/>
    <x v="1"/>
    <s v="Computer"/>
    <s v="STORE1"/>
    <x v="0"/>
    <x v="1"/>
    <n v="103.66"/>
    <n v="0.26"/>
    <x v="2"/>
    <b v="1"/>
    <n v="230.12520000000001"/>
    <n v="230.12520000000001"/>
  </r>
  <r>
    <s v="SALE1550"/>
    <x v="619"/>
    <x v="1"/>
    <s v="CUST1436"/>
    <x v="0"/>
    <x v="0"/>
    <x v="0"/>
    <s v="PROD40"/>
    <s v="Noise-Canceling Headphones"/>
    <x v="1"/>
    <s v="Audio"/>
    <s v="STORE2"/>
    <x v="2"/>
    <x v="2"/>
    <n v="54.4"/>
    <n v="0.22"/>
    <x v="0"/>
    <b v="1"/>
    <n v="169.72800000000001"/>
    <n v="169.72800000000001"/>
  </r>
  <r>
    <s v="SALE1551"/>
    <x v="259"/>
    <x v="0"/>
    <s v="CUST1490"/>
    <x v="2"/>
    <x v="0"/>
    <x v="1"/>
    <s v="PROD84"/>
    <s v="Wooden Bookshelf"/>
    <x v="3"/>
    <s v="Furniture"/>
    <s v="STORE14"/>
    <x v="2"/>
    <x v="0"/>
    <n v="46.66"/>
    <n v="0.2"/>
    <x v="0"/>
    <b v="1"/>
    <n v="37.327999999999996"/>
    <n v="37.328000000000003"/>
  </r>
  <r>
    <s v="SALE1552"/>
    <x v="21"/>
    <x v="0"/>
    <s v="CUST1007"/>
    <x v="2"/>
    <x v="1"/>
    <x v="3"/>
    <s v="PROD73"/>
    <s v="Shin Guards – Adult"/>
    <x v="0"/>
    <s v="Team Sports"/>
    <s v="STORE11"/>
    <x v="2"/>
    <x v="2"/>
    <n v="871.2"/>
    <n v="0.28999999999999998"/>
    <x v="0"/>
    <b v="1"/>
    <n v="2474.2080000000001"/>
    <n v="2474.2080000000001"/>
  </r>
  <r>
    <s v="SALE1553"/>
    <x v="512"/>
    <x v="2"/>
    <s v="CUST1379"/>
    <x v="1"/>
    <x v="1"/>
    <x v="0"/>
    <s v="PROD18"/>
    <s v="Women's Denim Jeans"/>
    <x v="4"/>
    <s v="Bottoms"/>
    <s v="STORE14"/>
    <x v="2"/>
    <x v="2"/>
    <n v="317.11"/>
    <n v="0.16"/>
    <x v="1"/>
    <b v="1"/>
    <n v="1065.4896000000001"/>
    <n v="1065.4896000000001"/>
  </r>
  <r>
    <s v="SALE1554"/>
    <x v="214"/>
    <x v="0"/>
    <s v="CUST1258"/>
    <x v="2"/>
    <x v="1"/>
    <x v="1"/>
    <s v="PROD25"/>
    <s v="Women's Scarf Set"/>
    <x v="4"/>
    <s v="Accessories"/>
    <s v="STORE13"/>
    <x v="3"/>
    <x v="3"/>
    <n v="388.34"/>
    <n v="0.09"/>
    <x v="1"/>
    <b v="1"/>
    <n v="706.77879999999993"/>
    <n v="706.77879999999993"/>
  </r>
  <r>
    <s v="SALE1555"/>
    <x v="336"/>
    <x v="1"/>
    <s v="CUST1319"/>
    <x v="0"/>
    <x v="0"/>
    <x v="1"/>
    <s v="PROD30"/>
    <s v="Stainless Steel Cutlery Set"/>
    <x v="3"/>
    <s v="Kitchen"/>
    <s v="STORE6"/>
    <x v="3"/>
    <x v="2"/>
    <n v="998.2"/>
    <n v="0.15"/>
    <x v="0"/>
    <b v="1"/>
    <n v="3393.88"/>
    <n v="3393.88"/>
  </r>
  <r>
    <s v="SALE1556"/>
    <x v="45"/>
    <x v="0"/>
    <s v="CUST1493"/>
    <x v="2"/>
    <x v="0"/>
    <x v="2"/>
    <s v="PROD36"/>
    <s v="Women's Summer Dress"/>
    <x v="4"/>
    <s v="Tops"/>
    <s v="STORE0"/>
    <x v="3"/>
    <x v="0"/>
    <n v="887.38"/>
    <n v="0.01"/>
    <x v="2"/>
    <b v="1"/>
    <n v="878.50620000000004"/>
    <n v="878.50620000000004"/>
  </r>
  <r>
    <s v="SALE1557"/>
    <x v="414"/>
    <x v="0"/>
    <s v="CUST1312"/>
    <x v="1"/>
    <x v="1"/>
    <x v="2"/>
    <s v="PROD37"/>
    <s v="Men's Casual Sneakers"/>
    <x v="4"/>
    <s v="Footwear"/>
    <s v="STORE12"/>
    <x v="0"/>
    <x v="2"/>
    <n v="332.97"/>
    <n v="0.28000000000000003"/>
    <x v="0"/>
    <b v="1"/>
    <n v="958.95360000000005"/>
    <n v="958.95360000000005"/>
  </r>
  <r>
    <s v="SALE1558"/>
    <x v="642"/>
    <x v="2"/>
    <s v="CUST1021"/>
    <x v="1"/>
    <x v="1"/>
    <x v="0"/>
    <s v="PROD46"/>
    <s v="Men's Winter Jacket"/>
    <x v="4"/>
    <s v="Outerwear"/>
    <s v="STORE0"/>
    <x v="3"/>
    <x v="3"/>
    <n v="157.91"/>
    <n v="0.09"/>
    <x v="2"/>
    <b v="1"/>
    <n v="287.39620000000002"/>
    <n v="287.39620000000002"/>
  </r>
  <r>
    <s v="SALE1559"/>
    <x v="401"/>
    <x v="0"/>
    <s v="CUST1356"/>
    <x v="0"/>
    <x v="0"/>
    <x v="3"/>
    <s v="PROD12"/>
    <s v="Hair Strengthening Shampoo"/>
    <x v="2"/>
    <s v="Haircare"/>
    <s v="STORE18"/>
    <x v="3"/>
    <x v="0"/>
    <n v="548.15"/>
    <n v="0.11"/>
    <x v="0"/>
    <b v="1"/>
    <n v="487.8535"/>
    <n v="487.8535"/>
  </r>
  <r>
    <s v="SALE1560"/>
    <x v="224"/>
    <x v="0"/>
    <s v="CUST1209"/>
    <x v="1"/>
    <x v="1"/>
    <x v="1"/>
    <s v="PROD48"/>
    <s v="Car Dashboard Phone Holder"/>
    <x v="1"/>
    <s v="Accessories"/>
    <s v="STORE15"/>
    <x v="0"/>
    <x v="0"/>
    <n v="135.13"/>
    <n v="0.04"/>
    <x v="0"/>
    <b v="1"/>
    <n v="129.72479999999999"/>
    <n v="129.72479999999999"/>
  </r>
  <r>
    <s v="SALE1561"/>
    <x v="374"/>
    <x v="1"/>
    <s v="CUST1219"/>
    <x v="1"/>
    <x v="1"/>
    <x v="0"/>
    <s v="PROD56"/>
    <s v="Premium Blanket Throw"/>
    <x v="3"/>
    <s v="Decor"/>
    <s v="STORE3"/>
    <x v="0"/>
    <x v="1"/>
    <n v="579.26"/>
    <n v="0.19"/>
    <x v="0"/>
    <b v="1"/>
    <n v="1407.6018000000001"/>
    <n v="1407.6017999999999"/>
  </r>
  <r>
    <s v="SALE1562"/>
    <x v="643"/>
    <x v="0"/>
    <s v="CUST1389"/>
    <x v="1"/>
    <x v="0"/>
    <x v="1"/>
    <s v="PROD17"/>
    <s v="Soccer Training Cone Set"/>
    <x v="0"/>
    <s v="Accessories"/>
    <s v="STORE0"/>
    <x v="3"/>
    <x v="0"/>
    <n v="465.63"/>
    <n v="0.25"/>
    <x v="0"/>
    <b v="1"/>
    <n v="349.22249999999997"/>
    <n v="349.22250000000003"/>
  </r>
  <r>
    <s v="SALE1563"/>
    <x v="364"/>
    <x v="0"/>
    <s v="CUST1047"/>
    <x v="0"/>
    <x v="1"/>
    <x v="2"/>
    <s v="PROD76"/>
    <s v="Wireless Mouse"/>
    <x v="1"/>
    <s v="Computer"/>
    <s v="STORE16"/>
    <x v="1"/>
    <x v="3"/>
    <n v="675.61"/>
    <n v="0.08"/>
    <x v="2"/>
    <b v="1"/>
    <n v="1243.1224"/>
    <n v="1243.1224"/>
  </r>
  <r>
    <s v="SALE1564"/>
    <x v="624"/>
    <x v="0"/>
    <s v="CUST1416"/>
    <x v="1"/>
    <x v="0"/>
    <x v="1"/>
    <s v="PROD33"/>
    <s v="Modern Wall Clock"/>
    <x v="3"/>
    <s v="Decor"/>
    <s v="STORE6"/>
    <x v="3"/>
    <x v="0"/>
    <n v="718.99"/>
    <n v="0.08"/>
    <x v="1"/>
    <b v="1"/>
    <n v="661.47080000000005"/>
    <n v="661.47080000000005"/>
  </r>
  <r>
    <s v="SALE1565"/>
    <x v="186"/>
    <x v="2"/>
    <s v="CUST1376"/>
    <x v="2"/>
    <x v="0"/>
    <x v="3"/>
    <s v="PROD14"/>
    <s v="Decorative Wall Mirror"/>
    <x v="3"/>
    <s v="Decor"/>
    <s v="STORE10"/>
    <x v="3"/>
    <x v="3"/>
    <n v="675.65"/>
    <n v="0.2"/>
    <x v="2"/>
    <b v="1"/>
    <n v="1081.04"/>
    <n v="1081.04"/>
  </r>
  <r>
    <s v="SALE1566"/>
    <x v="621"/>
    <x v="0"/>
    <s v="CUST1336"/>
    <x v="0"/>
    <x v="1"/>
    <x v="2"/>
    <s v="PROD95"/>
    <s v="Sports Stopwatch Basic"/>
    <x v="0"/>
    <s v="Accessories"/>
    <s v="STORE15"/>
    <x v="0"/>
    <x v="2"/>
    <n v="284.24"/>
    <n v="0.1"/>
    <x v="0"/>
    <b v="1"/>
    <n v="1023.264"/>
    <n v="1023.264"/>
  </r>
  <r>
    <s v="SALE1567"/>
    <x v="621"/>
    <x v="0"/>
    <s v="CUST1213"/>
    <x v="1"/>
    <x v="1"/>
    <x v="1"/>
    <s v="PROD1"/>
    <s v="Men's Graphic T-Shirt"/>
    <x v="4"/>
    <s v="Tops"/>
    <s v="STORE3"/>
    <x v="0"/>
    <x v="0"/>
    <n v="94.26"/>
    <n v="0.18"/>
    <x v="1"/>
    <b v="1"/>
    <n v="77.293200000000013"/>
    <n v="77.293200000000013"/>
  </r>
  <r>
    <s v="SALE1568"/>
    <x v="306"/>
    <x v="2"/>
    <s v="CUST1416"/>
    <x v="1"/>
    <x v="0"/>
    <x v="1"/>
    <s v="PROD6"/>
    <s v="Herbal Face Moisturizer"/>
    <x v="2"/>
    <s v="Skincare"/>
    <s v="STORE10"/>
    <x v="3"/>
    <x v="2"/>
    <n v="458.58"/>
    <n v="0.28999999999999998"/>
    <x v="2"/>
    <b v="1"/>
    <n v="1302.3671999999999"/>
    <n v="1302.3671999999999"/>
  </r>
  <r>
    <s v="SALE1569"/>
    <x v="644"/>
    <x v="0"/>
    <s v="CUST1113"/>
    <x v="0"/>
    <x v="0"/>
    <x v="0"/>
    <s v="PROD65"/>
    <s v="Adjustable Dumbbells 20kg"/>
    <x v="0"/>
    <s v="Fitness"/>
    <s v="STORE10"/>
    <x v="3"/>
    <x v="2"/>
    <n v="704.49"/>
    <n v="0.05"/>
    <x v="2"/>
    <b v="1"/>
    <n v="2677.0619999999999"/>
    <n v="2677.0619999999999"/>
  </r>
  <r>
    <s v="SALE1570"/>
    <x v="195"/>
    <x v="1"/>
    <s v="CUST1032"/>
    <x v="1"/>
    <x v="1"/>
    <x v="0"/>
    <s v="PROD27"/>
    <s v="Decorative Floor Vase"/>
    <x v="3"/>
    <s v="Decor"/>
    <s v="STORE19"/>
    <x v="3"/>
    <x v="2"/>
    <n v="822.32"/>
    <n v="0.26"/>
    <x v="1"/>
    <b v="1"/>
    <n v="2434.0672"/>
    <n v="2434.0672"/>
  </r>
  <r>
    <s v="SALE1571"/>
    <x v="474"/>
    <x v="0"/>
    <s v="CUST1245"/>
    <x v="0"/>
    <x v="1"/>
    <x v="1"/>
    <s v="PROD3"/>
    <s v="Men's Running Jacket"/>
    <x v="4"/>
    <s v="Outerwear"/>
    <s v="STORE13"/>
    <x v="3"/>
    <x v="2"/>
    <n v="785.41"/>
    <n v="0.13"/>
    <x v="2"/>
    <b v="1"/>
    <n v="2733.2267999999999"/>
    <n v="2733.2267999999999"/>
  </r>
  <r>
    <s v="SALE1572"/>
    <x v="180"/>
    <x v="0"/>
    <s v="CUST1031"/>
    <x v="1"/>
    <x v="0"/>
    <x v="2"/>
    <s v="PROD39"/>
    <s v="Portable Power Bank"/>
    <x v="1"/>
    <s v="Mobile"/>
    <s v="STORE14"/>
    <x v="2"/>
    <x v="0"/>
    <n v="405.8"/>
    <n v="0.11"/>
    <x v="1"/>
    <b v="1"/>
    <n v="361.16200000000003"/>
    <n v="361.16199999999998"/>
  </r>
  <r>
    <s v="SALE1573"/>
    <x v="645"/>
    <x v="0"/>
    <s v="CUST1433"/>
    <x v="0"/>
    <x v="1"/>
    <x v="2"/>
    <s v="PROD91"/>
    <s v="Women's High Heels"/>
    <x v="4"/>
    <s v="Footwear"/>
    <s v="STORE9"/>
    <x v="2"/>
    <x v="3"/>
    <n v="976.83"/>
    <n v="0.1"/>
    <x v="1"/>
    <b v="1"/>
    <n v="1758.2940000000001"/>
    <n v="1758.2940000000001"/>
  </r>
  <r>
    <s v="SALE1574"/>
    <x v="469"/>
    <x v="0"/>
    <s v="CUST1273"/>
    <x v="2"/>
    <x v="0"/>
    <x v="3"/>
    <s v="PROD64"/>
    <s v="Matte Lipstick Set"/>
    <x v="2"/>
    <s v="Makeup"/>
    <s v="STORE2"/>
    <x v="2"/>
    <x v="0"/>
    <n v="644.15"/>
    <n v="0.06"/>
    <x v="0"/>
    <b v="1"/>
    <n v="605.50099999999998"/>
    <n v="605.50099999999998"/>
  </r>
  <r>
    <s v="SALE1575"/>
    <x v="67"/>
    <x v="2"/>
    <s v="CUST1337"/>
    <x v="1"/>
    <x v="1"/>
    <x v="3"/>
    <s v="PROD67"/>
    <s v="Smart LED Light Strip"/>
    <x v="1"/>
    <s v="Accessories"/>
    <s v="STORE13"/>
    <x v="3"/>
    <x v="0"/>
    <n v="470.55"/>
    <n v="0.23"/>
    <x v="1"/>
    <b v="1"/>
    <n v="362.32350000000002"/>
    <n v="362.32350000000002"/>
  </r>
  <r>
    <s v="SALE1576"/>
    <x v="41"/>
    <x v="1"/>
    <s v="CUST1478"/>
    <x v="0"/>
    <x v="0"/>
    <x v="0"/>
    <s v="PROD7"/>
    <s v="LED Table Lamp"/>
    <x v="3"/>
    <s v="Lighting"/>
    <s v="STORE6"/>
    <x v="3"/>
    <x v="1"/>
    <n v="598.82000000000005"/>
    <n v="0.19"/>
    <x v="2"/>
    <b v="1"/>
    <n v="1455.1326000000001"/>
    <n v="1455.1325999999999"/>
  </r>
  <r>
    <s v="SALE1577"/>
    <x v="103"/>
    <x v="2"/>
    <s v="CUST1101"/>
    <x v="2"/>
    <x v="0"/>
    <x v="0"/>
    <s v="PROD20"/>
    <s v="Outdoor Sports Water Bottle"/>
    <x v="0"/>
    <s v="Accessories"/>
    <s v="STORE12"/>
    <x v="0"/>
    <x v="2"/>
    <n v="659.17"/>
    <n v="0.12"/>
    <x v="0"/>
    <b v="1"/>
    <n v="2320.2783999999997"/>
    <n v="2320.2784000000001"/>
  </r>
  <r>
    <s v="SALE1578"/>
    <x v="423"/>
    <x v="0"/>
    <s v="CUST1104"/>
    <x v="0"/>
    <x v="0"/>
    <x v="2"/>
    <s v="PROD46"/>
    <s v="Men's Winter Jacket"/>
    <x v="4"/>
    <s v="Outerwear"/>
    <s v="STORE1"/>
    <x v="0"/>
    <x v="3"/>
    <n v="216.02"/>
    <n v="0.25"/>
    <x v="0"/>
    <b v="1"/>
    <n v="324.03000000000003"/>
    <n v="324.02999999999997"/>
  </r>
  <r>
    <s v="SALE1579"/>
    <x v="367"/>
    <x v="2"/>
    <s v="CUST1030"/>
    <x v="0"/>
    <x v="1"/>
    <x v="3"/>
    <s v="PROD31"/>
    <s v="Basketball"/>
    <x v="0"/>
    <s v="Team Sports"/>
    <s v="STORE10"/>
    <x v="3"/>
    <x v="3"/>
    <n v="613.47"/>
    <n v="0.02"/>
    <x v="1"/>
    <b v="1"/>
    <n v="1202.4012"/>
    <n v="1202.4012"/>
  </r>
  <r>
    <s v="SALE1580"/>
    <x v="275"/>
    <x v="2"/>
    <s v="CUST1098"/>
    <x v="2"/>
    <x v="0"/>
    <x v="0"/>
    <s v="PROD58"/>
    <s v="Womens Cotton Scarf"/>
    <x v="4"/>
    <s v="Accessories"/>
    <s v="STORE12"/>
    <x v="0"/>
    <x v="3"/>
    <n v="485.17"/>
    <n v="0.11"/>
    <x v="1"/>
    <b v="1"/>
    <n v="863.60260000000005"/>
    <n v="863.60260000000005"/>
  </r>
  <r>
    <s v="SALE1581"/>
    <x v="76"/>
    <x v="1"/>
    <s v="CUST1307"/>
    <x v="0"/>
    <x v="1"/>
    <x v="3"/>
    <s v="PROD46"/>
    <s v="Men's Winter Jacket"/>
    <x v="4"/>
    <s v="Outerwear"/>
    <s v="STORE10"/>
    <x v="3"/>
    <x v="0"/>
    <n v="209.7"/>
    <n v="0.2"/>
    <x v="1"/>
    <b v="1"/>
    <n v="167.76"/>
    <n v="167.76"/>
  </r>
  <r>
    <s v="SALE1582"/>
    <x v="598"/>
    <x v="0"/>
    <s v="CUST1326"/>
    <x v="0"/>
    <x v="1"/>
    <x v="0"/>
    <s v="PROD92"/>
    <s v="Microwave Oven"/>
    <x v="3"/>
    <s v="Appliances"/>
    <s v="STORE0"/>
    <x v="3"/>
    <x v="0"/>
    <n v="681.47"/>
    <n v="0.15"/>
    <x v="0"/>
    <b v="1"/>
    <n v="579.24950000000001"/>
    <n v="579.24950000000001"/>
  </r>
  <r>
    <s v="SALE1583"/>
    <x v="228"/>
    <x v="2"/>
    <s v="CUST1440"/>
    <x v="0"/>
    <x v="0"/>
    <x v="2"/>
    <s v="PROD76"/>
    <s v="Wireless Mouse"/>
    <x v="1"/>
    <s v="Computer"/>
    <s v="STORE17"/>
    <x v="0"/>
    <x v="3"/>
    <n v="877.21"/>
    <n v="0.1"/>
    <x v="0"/>
    <b v="1"/>
    <n v="1578.9780000000001"/>
    <n v="1578.9780000000001"/>
  </r>
  <r>
    <s v="SALE1584"/>
    <x v="465"/>
    <x v="2"/>
    <s v="CUST1318"/>
    <x v="2"/>
    <x v="0"/>
    <x v="1"/>
    <s v="PROD78"/>
    <s v="Essential Oil Diffuser"/>
    <x v="3"/>
    <s v="Decor"/>
    <s v="STORE5"/>
    <x v="0"/>
    <x v="3"/>
    <n v="479.77"/>
    <n v="0.21"/>
    <x v="1"/>
    <b v="1"/>
    <n v="758.03660000000002"/>
    <n v="758.03660000000002"/>
  </r>
  <r>
    <s v="SALE1585"/>
    <x v="53"/>
    <x v="0"/>
    <s v="CUST1322"/>
    <x v="0"/>
    <x v="0"/>
    <x v="3"/>
    <s v="PROD83"/>
    <s v="Hydrating Face Cleanser"/>
    <x v="2"/>
    <s v="Skincare"/>
    <s v="STORE15"/>
    <x v="0"/>
    <x v="0"/>
    <n v="140.72"/>
    <n v="0"/>
    <x v="2"/>
    <b v="1"/>
    <n v="140.72"/>
    <n v="140.72"/>
  </r>
  <r>
    <s v="SALE1586"/>
    <x v="646"/>
    <x v="2"/>
    <s v="CUST1027"/>
    <x v="1"/>
    <x v="0"/>
    <x v="1"/>
    <s v="PROD19"/>
    <s v="Knee Support Brace"/>
    <x v="0"/>
    <s v="Equipment"/>
    <s v="STORE6"/>
    <x v="3"/>
    <x v="3"/>
    <n v="764.25"/>
    <n v="0.23"/>
    <x v="1"/>
    <b v="1"/>
    <n v="1176.9449999999999"/>
    <n v="1176.9449999999999"/>
  </r>
  <r>
    <s v="SALE1587"/>
    <x v="217"/>
    <x v="0"/>
    <s v="CUST1222"/>
    <x v="1"/>
    <x v="0"/>
    <x v="1"/>
    <s v="PROD83"/>
    <s v="Hydrating Face Cleanser"/>
    <x v="2"/>
    <s v="Skincare"/>
    <s v="STORE5"/>
    <x v="0"/>
    <x v="1"/>
    <n v="107.8"/>
    <n v="0.28999999999999998"/>
    <x v="1"/>
    <b v="1"/>
    <n v="229.61399999999998"/>
    <n v="229.614"/>
  </r>
  <r>
    <s v="SALE1588"/>
    <x v="234"/>
    <x v="2"/>
    <s v="CUST1147"/>
    <x v="1"/>
    <x v="1"/>
    <x v="1"/>
    <s v="PROD22"/>
    <s v="Carbon Fiber Tennis Racket"/>
    <x v="0"/>
    <s v="Equipment"/>
    <s v="STORE8"/>
    <x v="1"/>
    <x v="2"/>
    <n v="565.37"/>
    <n v="7.0000000000000007E-2"/>
    <x v="1"/>
    <b v="1"/>
    <n v="2103.1763999999998"/>
    <n v="2103.1763999999998"/>
  </r>
  <r>
    <s v="SALE1589"/>
    <x v="163"/>
    <x v="1"/>
    <s v="CUST1034"/>
    <x v="2"/>
    <x v="1"/>
    <x v="1"/>
    <s v="PROD36"/>
    <s v="Women's Summer Dress"/>
    <x v="4"/>
    <s v="Tops"/>
    <s v="STORE4"/>
    <x v="2"/>
    <x v="1"/>
    <n v="811.45"/>
    <n v="0.26"/>
    <x v="0"/>
    <b v="1"/>
    <n v="1801.4190000000003"/>
    <n v="1801.4190000000001"/>
  </r>
  <r>
    <s v="SALE1590"/>
    <x v="513"/>
    <x v="2"/>
    <s v="CUST1410"/>
    <x v="1"/>
    <x v="1"/>
    <x v="3"/>
    <s v="PROD33"/>
    <s v="Modern Wall Clock"/>
    <x v="3"/>
    <s v="Decor"/>
    <s v="STORE19"/>
    <x v="3"/>
    <x v="2"/>
    <n v="62.25"/>
    <n v="0.11"/>
    <x v="1"/>
    <b v="1"/>
    <n v="221.61"/>
    <n v="221.61"/>
  </r>
  <r>
    <s v="SALE1591"/>
    <x v="185"/>
    <x v="2"/>
    <s v="CUST1025"/>
    <x v="0"/>
    <x v="1"/>
    <x v="3"/>
    <s v="PROD95"/>
    <s v="Sports Stopwatch Basic"/>
    <x v="0"/>
    <s v="Accessories"/>
    <s v="STORE10"/>
    <x v="3"/>
    <x v="0"/>
    <n v="749.78"/>
    <n v="0.03"/>
    <x v="0"/>
    <b v="1"/>
    <n v="727.28659999999991"/>
    <n v="727.28659999999991"/>
  </r>
  <r>
    <s v="SALE1592"/>
    <x v="647"/>
    <x v="0"/>
    <s v="CUST1350"/>
    <x v="2"/>
    <x v="0"/>
    <x v="2"/>
    <s v="PROD59"/>
    <s v="Men's Hair Styling Gel"/>
    <x v="2"/>
    <s v="Haircare"/>
    <s v="STORE5"/>
    <x v="0"/>
    <x v="1"/>
    <n v="630.28"/>
    <n v="7.0000000000000007E-2"/>
    <x v="2"/>
    <b v="1"/>
    <n v="1758.4811999999997"/>
    <n v="1758.4811999999999"/>
  </r>
  <r>
    <s v="SALE1593"/>
    <x v="648"/>
    <x v="0"/>
    <s v="CUST1143"/>
    <x v="1"/>
    <x v="0"/>
    <x v="3"/>
    <s v="PROD30"/>
    <s v="Stainless Steel Cutlery Set"/>
    <x v="3"/>
    <s v="Kitchen"/>
    <s v="STORE16"/>
    <x v="1"/>
    <x v="0"/>
    <n v="101.84"/>
    <n v="0.17"/>
    <x v="0"/>
    <b v="1"/>
    <n v="84.527199999999993"/>
    <n v="84.527199999999993"/>
  </r>
  <r>
    <s v="SALE1594"/>
    <x v="386"/>
    <x v="1"/>
    <s v="CUST1055"/>
    <x v="0"/>
    <x v="1"/>
    <x v="3"/>
    <s v="PROD24"/>
    <s v="Foldable Camping Chair"/>
    <x v="0"/>
    <s v="Outdoor"/>
    <s v="STORE18"/>
    <x v="3"/>
    <x v="2"/>
    <n v="641.45000000000005"/>
    <n v="0.16"/>
    <x v="2"/>
    <b v="1"/>
    <n v="2155.2719999999999"/>
    <n v="2155.2719999999999"/>
  </r>
  <r>
    <s v="SALE1595"/>
    <x v="68"/>
    <x v="2"/>
    <s v="CUST1471"/>
    <x v="1"/>
    <x v="0"/>
    <x v="1"/>
    <s v="PROD43"/>
    <s v="USB External Hard Drive"/>
    <x v="1"/>
    <s v="Computer"/>
    <s v="STORE1"/>
    <x v="0"/>
    <x v="0"/>
    <n v="135.87"/>
    <n v="0.23"/>
    <x v="1"/>
    <b v="1"/>
    <n v="104.6199"/>
    <n v="104.6199"/>
  </r>
  <r>
    <s v="SALE1596"/>
    <x v="431"/>
    <x v="0"/>
    <s v="CUST1095"/>
    <x v="0"/>
    <x v="1"/>
    <x v="1"/>
    <s v="PROD21"/>
    <s v="Multi-Purpose Storage Box"/>
    <x v="3"/>
    <s v="Storage"/>
    <s v="STORE6"/>
    <x v="3"/>
    <x v="0"/>
    <n v="388.35"/>
    <n v="0.01"/>
    <x v="1"/>
    <b v="1"/>
    <n v="384.4665"/>
    <n v="384.4665"/>
  </r>
  <r>
    <s v="SALE1597"/>
    <x v="581"/>
    <x v="0"/>
    <s v="CUST1486"/>
    <x v="2"/>
    <x v="1"/>
    <x v="3"/>
    <s v="PROD38"/>
    <s v="Sports Water Hydration Pack"/>
    <x v="0"/>
    <s v="Outdoor"/>
    <s v="STORE9"/>
    <x v="2"/>
    <x v="3"/>
    <n v="999.08"/>
    <n v="0.3"/>
    <x v="1"/>
    <b v="1"/>
    <n v="1398.712"/>
    <n v="1398.712"/>
  </r>
  <r>
    <s v="SALE1598"/>
    <x v="649"/>
    <x v="2"/>
    <s v="CUST1170"/>
    <x v="2"/>
    <x v="0"/>
    <x v="0"/>
    <s v="PROD38"/>
    <s v="Sports Water Hydration Pack"/>
    <x v="0"/>
    <s v="Outdoor"/>
    <s v="STORE17"/>
    <x v="0"/>
    <x v="1"/>
    <n v="453.19"/>
    <n v="0.08"/>
    <x v="2"/>
    <b v="1"/>
    <n v="1250.8044"/>
    <n v="1250.8044"/>
  </r>
  <r>
    <s v="SALE1599"/>
    <x v="528"/>
    <x v="0"/>
    <s v="CUST1235"/>
    <x v="2"/>
    <x v="1"/>
    <x v="3"/>
    <s v="PROD80"/>
    <s v="Wall-Mounted Spice Rack"/>
    <x v="3"/>
    <s v="Kitchen"/>
    <s v="STORE10"/>
    <x v="3"/>
    <x v="3"/>
    <n v="61.31"/>
    <n v="0.15"/>
    <x v="2"/>
    <b v="1"/>
    <n v="104.227"/>
    <n v="104.227"/>
  </r>
  <r>
    <s v="SALE1600"/>
    <x v="389"/>
    <x v="1"/>
    <s v="CUST1342"/>
    <x v="2"/>
    <x v="1"/>
    <x v="3"/>
    <s v="PROD81"/>
    <s v="Badminton Racket Set"/>
    <x v="0"/>
    <s v="Equipment"/>
    <s v="STORE10"/>
    <x v="3"/>
    <x v="3"/>
    <n v="870.13"/>
    <n v="0.23"/>
    <x v="0"/>
    <b v="1"/>
    <n v="1340.0001999999999"/>
    <n v="1340.0001999999999"/>
  </r>
  <r>
    <s v="SALE1601"/>
    <x v="629"/>
    <x v="2"/>
    <s v="CUST1067"/>
    <x v="0"/>
    <x v="0"/>
    <x v="2"/>
    <s v="PROD15"/>
    <s v="4K Home Projector"/>
    <x v="1"/>
    <s v="Appliances"/>
    <s v="STORE19"/>
    <x v="3"/>
    <x v="0"/>
    <n v="336.51"/>
    <n v="0.11"/>
    <x v="1"/>
    <b v="1"/>
    <n v="299.4939"/>
    <n v="299.4939"/>
  </r>
  <r>
    <s v="SALE1602"/>
    <x v="154"/>
    <x v="0"/>
    <s v="CUST1181"/>
    <x v="0"/>
    <x v="0"/>
    <x v="3"/>
    <s v="PROD67"/>
    <s v="Smart LED Light Strip"/>
    <x v="1"/>
    <s v="Accessories"/>
    <s v="STORE0"/>
    <x v="3"/>
    <x v="0"/>
    <n v="305.70999999999998"/>
    <n v="0.26"/>
    <x v="2"/>
    <b v="1"/>
    <n v="226.22539999999998"/>
    <n v="226.22540000000001"/>
  </r>
  <r>
    <s v="SALE1603"/>
    <x v="183"/>
    <x v="1"/>
    <s v="CUST1121"/>
    <x v="0"/>
    <x v="0"/>
    <x v="1"/>
    <s v="PROD10"/>
    <s v="Ceramic Kitchen Bowl Set"/>
    <x v="3"/>
    <s v="Kitchen"/>
    <s v="STORE18"/>
    <x v="3"/>
    <x v="3"/>
    <n v="635.39"/>
    <n v="0.28999999999999998"/>
    <x v="2"/>
    <b v="1"/>
    <n v="902.25379999999996"/>
    <n v="902.25379999999996"/>
  </r>
  <r>
    <s v="SALE1604"/>
    <x v="600"/>
    <x v="0"/>
    <s v="CUST1116"/>
    <x v="2"/>
    <x v="1"/>
    <x v="1"/>
    <s v="PROD92"/>
    <s v="Microwave Oven"/>
    <x v="3"/>
    <s v="Appliances"/>
    <s v="STORE19"/>
    <x v="3"/>
    <x v="3"/>
    <n v="253.87"/>
    <n v="0.23"/>
    <x v="2"/>
    <b v="1"/>
    <n v="390.95980000000003"/>
    <n v="390.95979999999997"/>
  </r>
  <r>
    <s v="SALE1605"/>
    <x v="469"/>
    <x v="0"/>
    <s v="CUST1484"/>
    <x v="1"/>
    <x v="0"/>
    <x v="3"/>
    <s v="PROD76"/>
    <s v="Wireless Mouse"/>
    <x v="1"/>
    <s v="Computer"/>
    <s v="STORE17"/>
    <x v="0"/>
    <x v="1"/>
    <n v="915.81"/>
    <n v="0.17"/>
    <x v="2"/>
    <b v="1"/>
    <n v="2280.3668999999995"/>
    <n v="2280.3669"/>
  </r>
  <r>
    <s v="SALE1606"/>
    <x v="156"/>
    <x v="2"/>
    <s v="CUST1209"/>
    <x v="1"/>
    <x v="1"/>
    <x v="1"/>
    <s v="PROD42"/>
    <s v="Smart Home WiFi Camera"/>
    <x v="1"/>
    <s v="Accessories"/>
    <s v="STORE8"/>
    <x v="1"/>
    <x v="1"/>
    <n v="779.5"/>
    <n v="0.02"/>
    <x v="0"/>
    <b v="1"/>
    <n v="2291.73"/>
    <n v="2291.73"/>
  </r>
  <r>
    <s v="SALE1607"/>
    <x v="462"/>
    <x v="0"/>
    <s v="CUST1469"/>
    <x v="2"/>
    <x v="0"/>
    <x v="0"/>
    <s v="PROD61"/>
    <s v="Tennis Ball 3-Pack"/>
    <x v="0"/>
    <s v="Equipment"/>
    <s v="STORE16"/>
    <x v="1"/>
    <x v="3"/>
    <n v="780.57"/>
    <n v="0.26"/>
    <x v="0"/>
    <b v="1"/>
    <n v="1155.2436"/>
    <n v="1155.2436"/>
  </r>
  <r>
    <s v="SALE1608"/>
    <x v="155"/>
    <x v="0"/>
    <s v="CUST1383"/>
    <x v="2"/>
    <x v="1"/>
    <x v="2"/>
    <s v="PROD95"/>
    <s v="Sports Stopwatch Basic"/>
    <x v="0"/>
    <s v="Accessories"/>
    <s v="STORE19"/>
    <x v="3"/>
    <x v="0"/>
    <n v="511.35"/>
    <n v="0"/>
    <x v="0"/>
    <b v="1"/>
    <n v="511.35"/>
    <n v="511.35"/>
  </r>
  <r>
    <s v="SALE1609"/>
    <x v="225"/>
    <x v="2"/>
    <s v="CUST1016"/>
    <x v="2"/>
    <x v="1"/>
    <x v="3"/>
    <s v="PROD97"/>
    <s v="Cricket Bat"/>
    <x v="0"/>
    <s v="Team Sports"/>
    <s v="STORE3"/>
    <x v="0"/>
    <x v="2"/>
    <n v="44.07"/>
    <n v="0.28999999999999998"/>
    <x v="2"/>
    <b v="1"/>
    <n v="125.1588"/>
    <n v="125.1588"/>
  </r>
  <r>
    <s v="SALE1610"/>
    <x v="475"/>
    <x v="0"/>
    <s v="CUST1197"/>
    <x v="1"/>
    <x v="1"/>
    <x v="1"/>
    <s v="PROD69"/>
    <s v="Men's Sports Shorts"/>
    <x v="4"/>
    <s v="Bottoms"/>
    <s v="STORE11"/>
    <x v="2"/>
    <x v="3"/>
    <n v="895.92"/>
    <n v="0.15"/>
    <x v="0"/>
    <b v="1"/>
    <n v="1523.0639999999999"/>
    <n v="1523.0640000000001"/>
  </r>
  <r>
    <s v="SALE1611"/>
    <x v="500"/>
    <x v="0"/>
    <s v="CUST1305"/>
    <x v="0"/>
    <x v="0"/>
    <x v="1"/>
    <s v="PROD53"/>
    <s v="Men's Track Pants"/>
    <x v="4"/>
    <s v="Bottoms"/>
    <s v="STORE2"/>
    <x v="2"/>
    <x v="2"/>
    <n v="456.32"/>
    <n v="0.22"/>
    <x v="2"/>
    <b v="1"/>
    <n v="1423.7184"/>
    <n v="1423.7184"/>
  </r>
  <r>
    <s v="SALE1612"/>
    <x v="117"/>
    <x v="2"/>
    <s v="CUST1420"/>
    <x v="0"/>
    <x v="0"/>
    <x v="3"/>
    <s v="PROD34"/>
    <s v="Gaming Mechanical Keyboard"/>
    <x v="1"/>
    <s v="Computer"/>
    <s v="STORE0"/>
    <x v="3"/>
    <x v="0"/>
    <n v="905.5"/>
    <n v="0.28999999999999998"/>
    <x v="2"/>
    <b v="1"/>
    <n v="642.90499999999997"/>
    <n v="642.90499999999997"/>
  </r>
  <r>
    <s v="SALE1613"/>
    <x v="91"/>
    <x v="0"/>
    <s v="CUST1204"/>
    <x v="0"/>
    <x v="0"/>
    <x v="1"/>
    <s v="PROD16"/>
    <s v="Beard Grooming Kit"/>
    <x v="2"/>
    <s v="Grooming"/>
    <s v="STORE13"/>
    <x v="3"/>
    <x v="1"/>
    <n v="63.19"/>
    <n v="0.08"/>
    <x v="0"/>
    <b v="1"/>
    <n v="174.40440000000001"/>
    <n v="174.40440000000001"/>
  </r>
  <r>
    <s v="SALE1614"/>
    <x v="312"/>
    <x v="0"/>
    <s v="CUST1050"/>
    <x v="0"/>
    <x v="1"/>
    <x v="0"/>
    <s v="PROD70"/>
    <s v="Kitchen Storage Rack"/>
    <x v="3"/>
    <s v="Storage"/>
    <s v="STORE7"/>
    <x v="2"/>
    <x v="1"/>
    <n v="687.66"/>
    <n v="0.06"/>
    <x v="1"/>
    <b v="1"/>
    <n v="1939.2012"/>
    <n v="1939.2012"/>
  </r>
  <r>
    <s v="SALE1615"/>
    <x v="177"/>
    <x v="2"/>
    <s v="CUST1219"/>
    <x v="1"/>
    <x v="1"/>
    <x v="0"/>
    <s v="PROD43"/>
    <s v="USB External Hard Drive"/>
    <x v="1"/>
    <s v="Computer"/>
    <s v="STORE9"/>
    <x v="2"/>
    <x v="2"/>
    <n v="639.05999999999995"/>
    <n v="0.12"/>
    <x v="1"/>
    <b v="1"/>
    <n v="2249.4911999999999"/>
    <n v="2249.4911999999999"/>
  </r>
  <r>
    <s v="SALE1616"/>
    <x v="441"/>
    <x v="0"/>
    <s v="CUST1067"/>
    <x v="0"/>
    <x v="0"/>
    <x v="2"/>
    <s v="PROD71"/>
    <s v="Hair Repair Oil Treatment"/>
    <x v="2"/>
    <s v="Haircare"/>
    <s v="STORE7"/>
    <x v="2"/>
    <x v="0"/>
    <n v="475.15"/>
    <n v="0.04"/>
    <x v="2"/>
    <b v="1"/>
    <n v="456.14399999999995"/>
    <n v="456.14399999999989"/>
  </r>
  <r>
    <s v="SALE1617"/>
    <x v="415"/>
    <x v="0"/>
    <s v="CUST1190"/>
    <x v="2"/>
    <x v="0"/>
    <x v="3"/>
    <s v="PROD44"/>
    <s v="Adjustable Jump Rope"/>
    <x v="0"/>
    <s v="Fitness"/>
    <s v="STORE6"/>
    <x v="3"/>
    <x v="0"/>
    <n v="62.38"/>
    <n v="0.08"/>
    <x v="2"/>
    <b v="1"/>
    <n v="57.389600000000002"/>
    <n v="57.389600000000002"/>
  </r>
  <r>
    <s v="SALE1618"/>
    <x v="634"/>
    <x v="0"/>
    <s v="CUST1354"/>
    <x v="1"/>
    <x v="0"/>
    <x v="2"/>
    <s v="PROD15"/>
    <s v="4K Home Projector"/>
    <x v="1"/>
    <s v="Appliances"/>
    <s v="STORE7"/>
    <x v="2"/>
    <x v="0"/>
    <n v="977.02"/>
    <n v="0.2"/>
    <x v="2"/>
    <b v="1"/>
    <n v="781.61599999999999"/>
    <n v="781.61599999999999"/>
  </r>
  <r>
    <s v="SALE1619"/>
    <x v="460"/>
    <x v="0"/>
    <s v="CUST1074"/>
    <x v="0"/>
    <x v="0"/>
    <x v="3"/>
    <s v="PROD83"/>
    <s v="Hydrating Face Cleanser"/>
    <x v="2"/>
    <s v="Skincare"/>
    <s v="STORE4"/>
    <x v="2"/>
    <x v="3"/>
    <n v="898.81"/>
    <n v="0.25"/>
    <x v="0"/>
    <b v="1"/>
    <n v="1348.2149999999999"/>
    <n v="1348.2149999999999"/>
  </r>
  <r>
    <s v="SALE1620"/>
    <x v="406"/>
    <x v="2"/>
    <s v="CUST1351"/>
    <x v="2"/>
    <x v="1"/>
    <x v="3"/>
    <s v="PROD57"/>
    <s v="Foam Roller"/>
    <x v="0"/>
    <s v="Fitness"/>
    <s v="STORE3"/>
    <x v="0"/>
    <x v="3"/>
    <n v="422.13"/>
    <n v="0.28000000000000003"/>
    <x v="0"/>
    <b v="1"/>
    <n v="607.86720000000003"/>
    <n v="607.86720000000003"/>
  </r>
  <r>
    <s v="SALE1621"/>
    <x v="414"/>
    <x v="0"/>
    <s v="CUST1050"/>
    <x v="0"/>
    <x v="1"/>
    <x v="0"/>
    <s v="PROD34"/>
    <s v="Gaming Mechanical Keyboard"/>
    <x v="1"/>
    <s v="Computer"/>
    <s v="STORE11"/>
    <x v="2"/>
    <x v="0"/>
    <n v="324.56"/>
    <n v="0.03"/>
    <x v="2"/>
    <b v="1"/>
    <n v="314.82319999999999"/>
    <n v="314.82319999999999"/>
  </r>
  <r>
    <s v="SALE1622"/>
    <x v="429"/>
    <x v="0"/>
    <s v="CUST1468"/>
    <x v="1"/>
    <x v="0"/>
    <x v="3"/>
    <s v="PROD55"/>
    <s v="Ceramic Plant Pot"/>
    <x v="3"/>
    <s v="Decor"/>
    <s v="STORE16"/>
    <x v="1"/>
    <x v="2"/>
    <n v="570.38"/>
    <n v="0.26"/>
    <x v="1"/>
    <b v="1"/>
    <n v="1688.3247999999999"/>
    <n v="1688.3248000000001"/>
  </r>
  <r>
    <s v="SALE1623"/>
    <x v="94"/>
    <x v="0"/>
    <s v="CUST1394"/>
    <x v="1"/>
    <x v="1"/>
    <x v="3"/>
    <s v="PROD34"/>
    <s v="Gaming Mechanical Keyboard"/>
    <x v="1"/>
    <s v="Computer"/>
    <s v="STORE15"/>
    <x v="0"/>
    <x v="3"/>
    <n v="223.73"/>
    <n v="0.11"/>
    <x v="1"/>
    <b v="1"/>
    <n v="398.23939999999999"/>
    <n v="398.23939999999999"/>
  </r>
  <r>
    <s v="SALE1624"/>
    <x v="233"/>
    <x v="2"/>
    <s v="CUST1351"/>
    <x v="2"/>
    <x v="1"/>
    <x v="3"/>
    <s v="PROD86"/>
    <s v="Kitchen Cutting Board"/>
    <x v="3"/>
    <s v="Kitchen"/>
    <s v="STORE16"/>
    <x v="1"/>
    <x v="2"/>
    <n v="164.93"/>
    <n v="0.11"/>
    <x v="0"/>
    <b v="1"/>
    <n v="587.1508"/>
    <n v="587.1508"/>
  </r>
  <r>
    <s v="SALE1625"/>
    <x v="368"/>
    <x v="0"/>
    <s v="CUST1249"/>
    <x v="1"/>
    <x v="1"/>
    <x v="0"/>
    <s v="PROD15"/>
    <s v="4K Home Projector"/>
    <x v="1"/>
    <s v="Appliances"/>
    <s v="STORE7"/>
    <x v="2"/>
    <x v="1"/>
    <n v="326.66000000000003"/>
    <n v="0.28000000000000003"/>
    <x v="2"/>
    <b v="1"/>
    <n v="705.5856"/>
    <n v="705.5856"/>
  </r>
  <r>
    <s v="SALE1626"/>
    <x v="408"/>
    <x v="0"/>
    <s v="CUST1182"/>
    <x v="2"/>
    <x v="1"/>
    <x v="2"/>
    <s v="PROD1"/>
    <s v="Men's Graphic T-Shirt"/>
    <x v="4"/>
    <s v="Tops"/>
    <s v="STORE15"/>
    <x v="0"/>
    <x v="3"/>
    <n v="462.93"/>
    <n v="0.17"/>
    <x v="1"/>
    <b v="1"/>
    <n v="768.46379999999999"/>
    <n v="768.46379999999999"/>
  </r>
  <r>
    <s v="SALE1627"/>
    <x v="77"/>
    <x v="2"/>
    <s v="CUST1147"/>
    <x v="1"/>
    <x v="1"/>
    <x v="1"/>
    <s v="PROD0"/>
    <s v="Brother Laser Printer"/>
    <x v="1"/>
    <s v="Computer"/>
    <s v="STORE16"/>
    <x v="1"/>
    <x v="1"/>
    <n v="60.26"/>
    <n v="0.04"/>
    <x v="0"/>
    <b v="1"/>
    <n v="173.5488"/>
    <n v="173.5488"/>
  </r>
  <r>
    <s v="SALE1628"/>
    <x v="14"/>
    <x v="2"/>
    <s v="CUST1071"/>
    <x v="0"/>
    <x v="1"/>
    <x v="0"/>
    <s v="PROD34"/>
    <s v="Gaming Mechanical Keyboard"/>
    <x v="1"/>
    <s v="Computer"/>
    <s v="STORE9"/>
    <x v="2"/>
    <x v="1"/>
    <n v="109.5"/>
    <n v="0.06"/>
    <x v="2"/>
    <b v="1"/>
    <n v="308.78999999999996"/>
    <n v="308.79000000000002"/>
  </r>
  <r>
    <s v="SALE1629"/>
    <x v="237"/>
    <x v="2"/>
    <s v="CUST1382"/>
    <x v="2"/>
    <x v="1"/>
    <x v="0"/>
    <s v="PROD70"/>
    <s v="Kitchen Storage Rack"/>
    <x v="3"/>
    <s v="Storage"/>
    <s v="STORE16"/>
    <x v="1"/>
    <x v="0"/>
    <n v="505.83"/>
    <n v="0.14000000000000001"/>
    <x v="2"/>
    <b v="1"/>
    <n v="435.0138"/>
    <n v="435.0138"/>
  </r>
  <r>
    <s v="SALE1630"/>
    <x v="650"/>
    <x v="0"/>
    <s v="CUST1163"/>
    <x v="2"/>
    <x v="0"/>
    <x v="3"/>
    <s v="PROD98"/>
    <s v="Portable Bluetooth Speaker"/>
    <x v="1"/>
    <s v="Audio"/>
    <s v="STORE10"/>
    <x v="3"/>
    <x v="3"/>
    <n v="443.15"/>
    <n v="0.27"/>
    <x v="1"/>
    <b v="1"/>
    <n v="646.99899999999991"/>
    <n v="646.99899999999991"/>
  </r>
  <r>
    <s v="SALE1631"/>
    <x v="603"/>
    <x v="2"/>
    <s v="CUST1497"/>
    <x v="1"/>
    <x v="1"/>
    <x v="0"/>
    <s v="PROD7"/>
    <s v="LED Table Lamp"/>
    <x v="3"/>
    <s v="Lighting"/>
    <s v="STORE7"/>
    <x v="2"/>
    <x v="3"/>
    <n v="784.26"/>
    <n v="0.23"/>
    <x v="1"/>
    <b v="1"/>
    <n v="1207.7604000000001"/>
    <n v="1207.7603999999999"/>
  </r>
  <r>
    <s v="SALE1632"/>
    <x v="70"/>
    <x v="0"/>
    <s v="CUST1455"/>
    <x v="0"/>
    <x v="0"/>
    <x v="0"/>
    <s v="PROD39"/>
    <s v="Portable Power Bank"/>
    <x v="1"/>
    <s v="Mobile"/>
    <s v="STORE11"/>
    <x v="2"/>
    <x v="1"/>
    <n v="590.30999999999995"/>
    <n v="0.17"/>
    <x v="1"/>
    <b v="1"/>
    <n v="1469.8718999999999"/>
    <n v="1469.8719000000001"/>
  </r>
  <r>
    <s v="SALE1633"/>
    <x v="329"/>
    <x v="0"/>
    <s v="CUST1120"/>
    <x v="1"/>
    <x v="1"/>
    <x v="1"/>
    <s v="PROD69"/>
    <s v="Men's Sports Shorts"/>
    <x v="4"/>
    <s v="Bottoms"/>
    <s v="STORE16"/>
    <x v="1"/>
    <x v="0"/>
    <n v="696.13"/>
    <n v="0.06"/>
    <x v="2"/>
    <b v="1"/>
    <n v="654.36219999999992"/>
    <n v="654.36219999999992"/>
  </r>
  <r>
    <s v="SALE1634"/>
    <x v="464"/>
    <x v="0"/>
    <s v="CUST1104"/>
    <x v="0"/>
    <x v="0"/>
    <x v="2"/>
    <s v="PROD51"/>
    <s v="HDMI Cable – 2m"/>
    <x v="1"/>
    <s v="Accessories"/>
    <s v="STORE6"/>
    <x v="3"/>
    <x v="2"/>
    <n v="194.39"/>
    <n v="0.25"/>
    <x v="0"/>
    <b v="1"/>
    <n v="583.16999999999996"/>
    <n v="583.16999999999996"/>
  </r>
  <r>
    <s v="SALE1635"/>
    <x v="651"/>
    <x v="0"/>
    <s v="CUST1330"/>
    <x v="0"/>
    <x v="0"/>
    <x v="1"/>
    <s v="PROD33"/>
    <s v="Modern Wall Clock"/>
    <x v="3"/>
    <s v="Decor"/>
    <s v="STORE1"/>
    <x v="0"/>
    <x v="0"/>
    <n v="339.7"/>
    <n v="0.1"/>
    <x v="0"/>
    <b v="1"/>
    <n v="305.73"/>
    <n v="305.73"/>
  </r>
  <r>
    <s v="SALE1636"/>
    <x v="340"/>
    <x v="2"/>
    <s v="CUST1048"/>
    <x v="0"/>
    <x v="0"/>
    <x v="1"/>
    <s v="PROD68"/>
    <s v="Wooden Nightstand"/>
    <x v="3"/>
    <s v="Furniture"/>
    <s v="STORE13"/>
    <x v="3"/>
    <x v="2"/>
    <n v="463.16"/>
    <n v="0.27"/>
    <x v="1"/>
    <b v="1"/>
    <n v="1352.4272000000001"/>
    <n v="1352.4272000000001"/>
  </r>
  <r>
    <s v="SALE1637"/>
    <x v="326"/>
    <x v="2"/>
    <s v="CUST1107"/>
    <x v="0"/>
    <x v="1"/>
    <x v="1"/>
    <s v="PROD5"/>
    <s v="Men's Leather Belt"/>
    <x v="4"/>
    <s v="Accessories"/>
    <s v="STORE10"/>
    <x v="3"/>
    <x v="3"/>
    <n v="824.91"/>
    <n v="0.09"/>
    <x v="0"/>
    <b v="1"/>
    <n v="1501.3362"/>
    <n v="1501.3362"/>
  </r>
  <r>
    <s v="SALE1638"/>
    <x v="296"/>
    <x v="0"/>
    <s v="CUST1070"/>
    <x v="2"/>
    <x v="1"/>
    <x v="0"/>
    <s v="PROD5"/>
    <s v="Men's Leather Belt"/>
    <x v="4"/>
    <s v="Accessories"/>
    <s v="STORE2"/>
    <x v="2"/>
    <x v="2"/>
    <n v="796.89"/>
    <n v="0.17"/>
    <x v="0"/>
    <b v="1"/>
    <n v="2645.6747999999998"/>
    <n v="2645.6747999999998"/>
  </r>
  <r>
    <s v="SALE1639"/>
    <x v="270"/>
    <x v="0"/>
    <s v="CUST1240"/>
    <x v="0"/>
    <x v="1"/>
    <x v="1"/>
    <s v="PROD26"/>
    <s v="Wireless Bluetooth Speaker"/>
    <x v="1"/>
    <s v="Audio"/>
    <s v="STORE17"/>
    <x v="0"/>
    <x v="1"/>
    <n v="543.92999999999995"/>
    <n v="0.3"/>
    <x v="2"/>
    <b v="1"/>
    <n v="1142.2529999999999"/>
    <n v="1142.2529999999999"/>
  </r>
  <r>
    <s v="SALE1640"/>
    <x v="647"/>
    <x v="0"/>
    <s v="CUST1173"/>
    <x v="1"/>
    <x v="1"/>
    <x v="1"/>
    <s v="PROD14"/>
    <s v="Decorative Wall Mirror"/>
    <x v="3"/>
    <s v="Decor"/>
    <s v="STORE7"/>
    <x v="2"/>
    <x v="3"/>
    <n v="44.65"/>
    <n v="0.03"/>
    <x v="1"/>
    <b v="1"/>
    <n v="86.620999999999995"/>
    <n v="86.620999999999995"/>
  </r>
  <r>
    <s v="SALE1641"/>
    <x v="177"/>
    <x v="2"/>
    <s v="CUST1250"/>
    <x v="1"/>
    <x v="0"/>
    <x v="1"/>
    <s v="PROD56"/>
    <s v="Premium Blanket Throw"/>
    <x v="3"/>
    <s v="Decor"/>
    <s v="STORE0"/>
    <x v="3"/>
    <x v="2"/>
    <n v="827.39"/>
    <n v="0.06"/>
    <x v="2"/>
    <b v="1"/>
    <n v="3110.9863999999998"/>
    <n v="3110.9863999999998"/>
  </r>
  <r>
    <s v="SALE1642"/>
    <x v="445"/>
    <x v="0"/>
    <s v="CUST1308"/>
    <x v="0"/>
    <x v="1"/>
    <x v="0"/>
    <s v="PROD14"/>
    <s v="Decorative Wall Mirror"/>
    <x v="3"/>
    <s v="Decor"/>
    <s v="STORE12"/>
    <x v="0"/>
    <x v="3"/>
    <n v="403.2"/>
    <n v="0.21"/>
    <x v="1"/>
    <b v="1"/>
    <n v="637.05600000000004"/>
    <n v="637.05600000000004"/>
  </r>
  <r>
    <s v="SALE1643"/>
    <x v="419"/>
    <x v="0"/>
    <s v="CUST1017"/>
    <x v="0"/>
    <x v="1"/>
    <x v="1"/>
    <s v="PROD86"/>
    <s v="Kitchen Cutting Board"/>
    <x v="3"/>
    <s v="Kitchen"/>
    <s v="STORE13"/>
    <x v="3"/>
    <x v="2"/>
    <n v="292.31"/>
    <n v="0.27"/>
    <x v="1"/>
    <b v="1"/>
    <n v="853.54520000000002"/>
    <n v="853.54520000000002"/>
  </r>
  <r>
    <s v="SALE1644"/>
    <x v="330"/>
    <x v="2"/>
    <s v="CUST1492"/>
    <x v="0"/>
    <x v="1"/>
    <x v="1"/>
    <s v="PROD2"/>
    <s v="Women's Casual Hoodie"/>
    <x v="4"/>
    <s v="Outerwear"/>
    <s v="STORE10"/>
    <x v="3"/>
    <x v="0"/>
    <n v="948.33"/>
    <n v="0.11"/>
    <x v="0"/>
    <b v="1"/>
    <n v="844.01370000000009"/>
    <n v="844.01370000000009"/>
  </r>
  <r>
    <s v="SALE1645"/>
    <x v="26"/>
    <x v="0"/>
    <s v="CUST1343"/>
    <x v="1"/>
    <x v="0"/>
    <x v="3"/>
    <s v="PROD39"/>
    <s v="Portable Power Bank"/>
    <x v="1"/>
    <s v="Mobile"/>
    <s v="STORE5"/>
    <x v="0"/>
    <x v="0"/>
    <n v="702.27"/>
    <n v="0.17"/>
    <x v="2"/>
    <b v="1"/>
    <n v="582.88409999999999"/>
    <n v="582.88409999999999"/>
  </r>
  <r>
    <s v="SALE1646"/>
    <x v="13"/>
    <x v="2"/>
    <s v="CUST1041"/>
    <x v="2"/>
    <x v="0"/>
    <x v="1"/>
    <s v="PROD30"/>
    <s v="Stainless Steel Cutlery Set"/>
    <x v="3"/>
    <s v="Kitchen"/>
    <s v="STORE3"/>
    <x v="0"/>
    <x v="3"/>
    <n v="379.28"/>
    <n v="0.26"/>
    <x v="0"/>
    <b v="1"/>
    <n v="561.33439999999996"/>
    <n v="561.33439999999996"/>
  </r>
  <r>
    <s v="SALE1647"/>
    <x v="595"/>
    <x v="2"/>
    <s v="CUST1132"/>
    <x v="0"/>
    <x v="1"/>
    <x v="0"/>
    <s v="PROD47"/>
    <s v="Makeup Brush Set"/>
    <x v="2"/>
    <s v="Makeup"/>
    <s v="STORE0"/>
    <x v="3"/>
    <x v="2"/>
    <n v="92.35"/>
    <n v="0.15"/>
    <x v="0"/>
    <b v="1"/>
    <n v="313.98999999999995"/>
    <n v="313.99"/>
  </r>
  <r>
    <s v="SALE1648"/>
    <x v="45"/>
    <x v="0"/>
    <s v="CUST1219"/>
    <x v="1"/>
    <x v="1"/>
    <x v="0"/>
    <s v="PROD39"/>
    <s v="Portable Power Bank"/>
    <x v="1"/>
    <s v="Mobile"/>
    <s v="STORE12"/>
    <x v="0"/>
    <x v="2"/>
    <n v="721.54"/>
    <n v="0.21"/>
    <x v="0"/>
    <b v="1"/>
    <n v="2280.0664000000002"/>
    <n v="2280.0664000000002"/>
  </r>
  <r>
    <s v="SALE1649"/>
    <x v="605"/>
    <x v="2"/>
    <s v="CUST1053"/>
    <x v="1"/>
    <x v="1"/>
    <x v="0"/>
    <s v="PROD38"/>
    <s v="Sports Water Hydration Pack"/>
    <x v="0"/>
    <s v="Outdoor"/>
    <s v="STORE9"/>
    <x v="2"/>
    <x v="0"/>
    <n v="228.69"/>
    <n v="0.14000000000000001"/>
    <x v="0"/>
    <b v="1"/>
    <n v="196.67339999999999"/>
    <n v="196.67339999999999"/>
  </r>
  <r>
    <s v="SALE1650"/>
    <x v="308"/>
    <x v="2"/>
    <s v="CUST1355"/>
    <x v="2"/>
    <x v="0"/>
    <x v="0"/>
    <s v="PROD53"/>
    <s v="Men's Track Pants"/>
    <x v="4"/>
    <s v="Bottoms"/>
    <s v="STORE10"/>
    <x v="3"/>
    <x v="0"/>
    <n v="899.09"/>
    <n v="0.2"/>
    <x v="1"/>
    <b v="1"/>
    <n v="719.27200000000005"/>
    <n v="719.27200000000005"/>
  </r>
  <r>
    <s v="SALE1651"/>
    <x v="411"/>
    <x v="0"/>
    <s v="CUST1384"/>
    <x v="0"/>
    <x v="1"/>
    <x v="3"/>
    <s v="PROD8"/>
    <s v="Wireless Bluetooth Earbuds"/>
    <x v="1"/>
    <s v="Audio"/>
    <s v="STORE8"/>
    <x v="1"/>
    <x v="2"/>
    <n v="195.75"/>
    <n v="0.17"/>
    <x v="0"/>
    <b v="1"/>
    <n v="649.89"/>
    <n v="649.89"/>
  </r>
  <r>
    <s v="SALE1652"/>
    <x v="486"/>
    <x v="0"/>
    <s v="CUST1426"/>
    <x v="2"/>
    <x v="0"/>
    <x v="1"/>
    <s v="PROD93"/>
    <s v="USB-C Laptop Charger"/>
    <x v="1"/>
    <s v="Computer"/>
    <s v="STORE15"/>
    <x v="0"/>
    <x v="1"/>
    <n v="199.13"/>
    <n v="0.24"/>
    <x v="0"/>
    <b v="1"/>
    <n v="454.01639999999998"/>
    <n v="454.01639999999998"/>
  </r>
  <r>
    <s v="SALE1653"/>
    <x v="23"/>
    <x v="0"/>
    <s v="CUST1160"/>
    <x v="1"/>
    <x v="1"/>
    <x v="1"/>
    <s v="PROD22"/>
    <s v="Carbon Fiber Tennis Racket"/>
    <x v="0"/>
    <s v="Equipment"/>
    <s v="STORE14"/>
    <x v="2"/>
    <x v="3"/>
    <n v="833.62"/>
    <n v="0.18"/>
    <x v="0"/>
    <b v="1"/>
    <n v="1367.1368000000002"/>
    <n v="1367.1368"/>
  </r>
  <r>
    <s v="SALE1654"/>
    <x v="511"/>
    <x v="0"/>
    <s v="CUST1484"/>
    <x v="1"/>
    <x v="0"/>
    <x v="3"/>
    <s v="PROD75"/>
    <s v="Women's Ankle Boots"/>
    <x v="4"/>
    <s v="Footwear"/>
    <s v="STORE0"/>
    <x v="3"/>
    <x v="0"/>
    <n v="676.26"/>
    <n v="0.14000000000000001"/>
    <x v="0"/>
    <b v="1"/>
    <n v="581.58359999999993"/>
    <n v="581.58359999999993"/>
  </r>
  <r>
    <s v="SALE1655"/>
    <x v="652"/>
    <x v="2"/>
    <s v="CUST1032"/>
    <x v="1"/>
    <x v="1"/>
    <x v="0"/>
    <s v="PROD60"/>
    <s v="Luxury Perfume Spray"/>
    <x v="2"/>
    <s v="Fragrance"/>
    <s v="STORE9"/>
    <x v="2"/>
    <x v="3"/>
    <n v="666.49"/>
    <n v="0.06"/>
    <x v="0"/>
    <b v="1"/>
    <n v="1253.0011999999999"/>
    <n v="1253.0011999999999"/>
  </r>
  <r>
    <s v="SALE1656"/>
    <x v="226"/>
    <x v="2"/>
    <s v="CUST1460"/>
    <x v="1"/>
    <x v="0"/>
    <x v="0"/>
    <s v="PROD15"/>
    <s v="4K Home Projector"/>
    <x v="1"/>
    <s v="Appliances"/>
    <s v="STORE4"/>
    <x v="2"/>
    <x v="1"/>
    <n v="471.19"/>
    <n v="0.28000000000000003"/>
    <x v="2"/>
    <b v="1"/>
    <n v="1017.7703999999999"/>
    <n v="1017.7704"/>
  </r>
  <r>
    <s v="SALE1657"/>
    <x v="653"/>
    <x v="1"/>
    <s v="CUST1119"/>
    <x v="1"/>
    <x v="0"/>
    <x v="3"/>
    <s v="PROD8"/>
    <s v="Wireless Bluetooth Earbuds"/>
    <x v="1"/>
    <s v="Audio"/>
    <s v="STORE3"/>
    <x v="0"/>
    <x v="2"/>
    <n v="555.65"/>
    <n v="0.25"/>
    <x v="2"/>
    <b v="1"/>
    <n v="1666.9499999999998"/>
    <n v="1666.95"/>
  </r>
  <r>
    <s v="SALE1658"/>
    <x v="54"/>
    <x v="1"/>
    <s v="CUST1035"/>
    <x v="0"/>
    <x v="0"/>
    <x v="2"/>
    <s v="PROD95"/>
    <s v="Sports Stopwatch Basic"/>
    <x v="0"/>
    <s v="Accessories"/>
    <s v="STORE14"/>
    <x v="2"/>
    <x v="3"/>
    <n v="100.42"/>
    <n v="0.06"/>
    <x v="0"/>
    <b v="1"/>
    <n v="188.78959999999998"/>
    <n v="188.78960000000001"/>
  </r>
  <r>
    <s v="SALE1659"/>
    <x v="556"/>
    <x v="0"/>
    <s v="CUST1050"/>
    <x v="0"/>
    <x v="1"/>
    <x v="0"/>
    <s v="PROD98"/>
    <s v="Portable Bluetooth Speaker"/>
    <x v="1"/>
    <s v="Audio"/>
    <s v="STORE18"/>
    <x v="3"/>
    <x v="1"/>
    <n v="981.69"/>
    <n v="0.05"/>
    <x v="2"/>
    <b v="1"/>
    <n v="2797.8164999999999"/>
    <n v="2797.8164999999999"/>
  </r>
  <r>
    <s v="SALE1660"/>
    <x v="489"/>
    <x v="0"/>
    <s v="CUST1327"/>
    <x v="0"/>
    <x v="1"/>
    <x v="3"/>
    <s v="PROD10"/>
    <s v="Ceramic Kitchen Bowl Set"/>
    <x v="3"/>
    <s v="Kitchen"/>
    <s v="STORE16"/>
    <x v="1"/>
    <x v="3"/>
    <n v="848.87"/>
    <n v="0.09"/>
    <x v="2"/>
    <b v="1"/>
    <n v="1544.9434000000001"/>
    <n v="1544.9434000000001"/>
  </r>
  <r>
    <s v="SALE1661"/>
    <x v="636"/>
    <x v="1"/>
    <s v="CUST1375"/>
    <x v="2"/>
    <x v="0"/>
    <x v="1"/>
    <s v="PROD96"/>
    <s v="Women's Formal Blazer"/>
    <x v="4"/>
    <s v="Outerwear"/>
    <s v="STORE10"/>
    <x v="3"/>
    <x v="1"/>
    <n v="582.32000000000005"/>
    <n v="0"/>
    <x v="1"/>
    <b v="1"/>
    <n v="1746.96"/>
    <n v="1746.96"/>
  </r>
  <r>
    <s v="SALE1662"/>
    <x v="464"/>
    <x v="0"/>
    <s v="CUST1171"/>
    <x v="1"/>
    <x v="1"/>
    <x v="1"/>
    <s v="PROD49"/>
    <s v="Men's Roll-On Perfume"/>
    <x v="2"/>
    <s v="Fragrance"/>
    <s v="STORE17"/>
    <x v="0"/>
    <x v="3"/>
    <n v="869.43"/>
    <n v="0.24"/>
    <x v="2"/>
    <b v="1"/>
    <n v="1321.5336"/>
    <n v="1321.5336"/>
  </r>
  <r>
    <s v="SALE1663"/>
    <x v="654"/>
    <x v="0"/>
    <s v="CUST1021"/>
    <x v="1"/>
    <x v="1"/>
    <x v="0"/>
    <s v="PROD54"/>
    <s v="Sports Stopwatch Pro"/>
    <x v="0"/>
    <s v="Accessories"/>
    <s v="STORE4"/>
    <x v="2"/>
    <x v="0"/>
    <n v="62.26"/>
    <n v="0.03"/>
    <x v="2"/>
    <b v="1"/>
    <n v="60.392199999999995"/>
    <n v="60.392200000000003"/>
  </r>
  <r>
    <s v="SALE1664"/>
    <x v="104"/>
    <x v="2"/>
    <s v="CUST1152"/>
    <x v="1"/>
    <x v="1"/>
    <x v="1"/>
    <s v="PROD39"/>
    <s v="Portable Power Bank"/>
    <x v="1"/>
    <s v="Mobile"/>
    <s v="STORE14"/>
    <x v="2"/>
    <x v="1"/>
    <n v="343.97"/>
    <n v="0.04"/>
    <x v="2"/>
    <b v="1"/>
    <n v="990.6336"/>
    <n v="990.6336"/>
  </r>
  <r>
    <s v="SALE1665"/>
    <x v="655"/>
    <x v="0"/>
    <s v="CUST1303"/>
    <x v="2"/>
    <x v="1"/>
    <x v="1"/>
    <s v="PROD24"/>
    <s v="Foldable Camping Chair"/>
    <x v="0"/>
    <s v="Outdoor"/>
    <s v="STORE12"/>
    <x v="0"/>
    <x v="1"/>
    <n v="304.67"/>
    <n v="0.11"/>
    <x v="0"/>
    <b v="1"/>
    <n v="813.46889999999996"/>
    <n v="813.46889999999996"/>
  </r>
  <r>
    <s v="SALE1666"/>
    <x v="627"/>
    <x v="0"/>
    <s v="CUST1365"/>
    <x v="0"/>
    <x v="1"/>
    <x v="1"/>
    <s v="PROD27"/>
    <s v="Decorative Floor Vase"/>
    <x v="3"/>
    <s v="Decor"/>
    <s v="STORE9"/>
    <x v="2"/>
    <x v="2"/>
    <n v="208.34"/>
    <n v="0.01"/>
    <x v="1"/>
    <b v="1"/>
    <n v="825.02639999999997"/>
    <n v="825.02639999999997"/>
  </r>
  <r>
    <s v="SALE1667"/>
    <x v="321"/>
    <x v="2"/>
    <s v="CUST1312"/>
    <x v="1"/>
    <x v="1"/>
    <x v="2"/>
    <s v="PROD86"/>
    <s v="Kitchen Cutting Board"/>
    <x v="3"/>
    <s v="Kitchen"/>
    <s v="STORE1"/>
    <x v="0"/>
    <x v="0"/>
    <n v="119.04"/>
    <n v="0.13"/>
    <x v="2"/>
    <b v="1"/>
    <n v="103.56480000000001"/>
    <n v="103.56480000000001"/>
  </r>
  <r>
    <s v="SALE1668"/>
    <x v="20"/>
    <x v="2"/>
    <s v="CUST1321"/>
    <x v="2"/>
    <x v="1"/>
    <x v="3"/>
    <s v="PROD44"/>
    <s v="Adjustable Jump Rope"/>
    <x v="0"/>
    <s v="Fitness"/>
    <s v="STORE9"/>
    <x v="2"/>
    <x v="2"/>
    <n v="791.65"/>
    <n v="0.06"/>
    <x v="2"/>
    <b v="1"/>
    <n v="2976.6039999999998"/>
    <n v="2976.6039999999998"/>
  </r>
  <r>
    <s v="SALE1669"/>
    <x v="589"/>
    <x v="2"/>
    <s v="CUST1052"/>
    <x v="0"/>
    <x v="0"/>
    <x v="3"/>
    <s v="PROD14"/>
    <s v="Decorative Wall Mirror"/>
    <x v="3"/>
    <s v="Decor"/>
    <s v="STORE2"/>
    <x v="2"/>
    <x v="3"/>
    <n v="414.86"/>
    <n v="0.23"/>
    <x v="0"/>
    <b v="1"/>
    <n v="638.88440000000003"/>
    <n v="638.88440000000003"/>
  </r>
  <r>
    <s v="SALE1670"/>
    <x v="562"/>
    <x v="0"/>
    <s v="CUST1478"/>
    <x v="0"/>
    <x v="0"/>
    <x v="0"/>
    <s v="PROD38"/>
    <s v="Sports Water Hydration Pack"/>
    <x v="0"/>
    <s v="Outdoor"/>
    <s v="STORE12"/>
    <x v="0"/>
    <x v="3"/>
    <n v="960.81"/>
    <n v="0.28000000000000003"/>
    <x v="1"/>
    <b v="1"/>
    <n v="1383.5663999999999"/>
    <n v="1383.5663999999999"/>
  </r>
  <r>
    <s v="SALE1671"/>
    <x v="646"/>
    <x v="2"/>
    <s v="CUST1212"/>
    <x v="0"/>
    <x v="1"/>
    <x v="1"/>
    <s v="PROD50"/>
    <s v="Boxing Hand Wraps"/>
    <x v="0"/>
    <s v="Fitness"/>
    <s v="STORE4"/>
    <x v="2"/>
    <x v="2"/>
    <n v="943.36"/>
    <n v="0.18"/>
    <x v="1"/>
    <b v="1"/>
    <n v="3094.2208000000001"/>
    <n v="3094.2208000000001"/>
  </r>
  <r>
    <s v="SALE1672"/>
    <x v="307"/>
    <x v="0"/>
    <s v="CUST1213"/>
    <x v="1"/>
    <x v="1"/>
    <x v="1"/>
    <s v="PROD3"/>
    <s v="Men's Running Jacket"/>
    <x v="4"/>
    <s v="Outerwear"/>
    <s v="STORE13"/>
    <x v="3"/>
    <x v="0"/>
    <n v="830.42"/>
    <n v="0.26"/>
    <x v="2"/>
    <b v="1"/>
    <n v="614.51080000000002"/>
    <n v="614.51080000000002"/>
  </r>
  <r>
    <s v="SALE1673"/>
    <x v="17"/>
    <x v="0"/>
    <s v="CUST1353"/>
    <x v="0"/>
    <x v="1"/>
    <x v="1"/>
    <s v="PROD67"/>
    <s v="Smart LED Light Strip"/>
    <x v="1"/>
    <s v="Accessories"/>
    <s v="STORE17"/>
    <x v="0"/>
    <x v="0"/>
    <n v="762.55"/>
    <n v="0.19"/>
    <x v="0"/>
    <b v="1"/>
    <n v="617.66549999999995"/>
    <n v="617.66549999999995"/>
  </r>
  <r>
    <s v="SALE1674"/>
    <x v="640"/>
    <x v="2"/>
    <s v="CUST1343"/>
    <x v="1"/>
    <x v="0"/>
    <x v="3"/>
    <s v="PROD74"/>
    <s v="Bluetooth Car Audio System"/>
    <x v="1"/>
    <s v="Audio"/>
    <s v="STORE18"/>
    <x v="3"/>
    <x v="3"/>
    <n v="464.43"/>
    <n v="0.24"/>
    <x v="2"/>
    <b v="1"/>
    <n v="705.93360000000007"/>
    <n v="705.93360000000007"/>
  </r>
  <r>
    <s v="SALE1675"/>
    <x v="103"/>
    <x v="2"/>
    <s v="CUST1016"/>
    <x v="2"/>
    <x v="1"/>
    <x v="3"/>
    <s v="PROD64"/>
    <s v="Matte Lipstick Set"/>
    <x v="2"/>
    <s v="Makeup"/>
    <s v="STORE18"/>
    <x v="3"/>
    <x v="0"/>
    <n v="711.08"/>
    <n v="0.24"/>
    <x v="1"/>
    <b v="1"/>
    <n v="540.42079999999999"/>
    <n v="540.42079999999999"/>
  </r>
  <r>
    <s v="SALE1676"/>
    <x v="361"/>
    <x v="0"/>
    <s v="CUST1251"/>
    <x v="0"/>
    <x v="0"/>
    <x v="2"/>
    <s v="PROD45"/>
    <s v="High-Grip Football"/>
    <x v="0"/>
    <s v="Team Sports"/>
    <s v="STORE14"/>
    <x v="2"/>
    <x v="3"/>
    <n v="984.96"/>
    <n v="0.16"/>
    <x v="1"/>
    <b v="1"/>
    <n v="1654.7328"/>
    <n v="1654.7328"/>
  </r>
  <r>
    <s v="SALE1677"/>
    <x v="472"/>
    <x v="2"/>
    <s v="CUST1343"/>
    <x v="1"/>
    <x v="0"/>
    <x v="3"/>
    <s v="PROD38"/>
    <s v="Sports Water Hydration Pack"/>
    <x v="0"/>
    <s v="Outdoor"/>
    <s v="STORE12"/>
    <x v="0"/>
    <x v="0"/>
    <n v="21.14"/>
    <n v="0.06"/>
    <x v="2"/>
    <b v="1"/>
    <n v="19.871600000000001"/>
    <n v="19.871600000000001"/>
  </r>
  <r>
    <s v="SALE1678"/>
    <x v="252"/>
    <x v="2"/>
    <s v="CUST1106"/>
    <x v="0"/>
    <x v="1"/>
    <x v="3"/>
    <s v="PROD98"/>
    <s v="Portable Bluetooth Speaker"/>
    <x v="1"/>
    <s v="Audio"/>
    <s v="STORE8"/>
    <x v="1"/>
    <x v="0"/>
    <n v="343.03"/>
    <n v="0.16"/>
    <x v="0"/>
    <b v="1"/>
    <n v="288.14519999999999"/>
    <n v="288.14519999999999"/>
  </r>
  <r>
    <s v="SALE1679"/>
    <x v="653"/>
    <x v="1"/>
    <s v="CUST1247"/>
    <x v="1"/>
    <x v="0"/>
    <x v="1"/>
    <s v="PROD20"/>
    <s v="Outdoor Sports Water Bottle"/>
    <x v="0"/>
    <s v="Accessories"/>
    <s v="STORE18"/>
    <x v="3"/>
    <x v="1"/>
    <n v="94.83"/>
    <n v="0.16"/>
    <x v="2"/>
    <b v="1"/>
    <n v="238.9716"/>
    <n v="238.9716"/>
  </r>
  <r>
    <s v="SALE1680"/>
    <x v="656"/>
    <x v="2"/>
    <s v="CUST1018"/>
    <x v="1"/>
    <x v="0"/>
    <x v="1"/>
    <s v="PROD69"/>
    <s v="Men's Sports Shorts"/>
    <x v="4"/>
    <s v="Bottoms"/>
    <s v="STORE19"/>
    <x v="3"/>
    <x v="1"/>
    <n v="74.66"/>
    <n v="0.03"/>
    <x v="1"/>
    <b v="1"/>
    <n v="217.26059999999998"/>
    <n v="217.26060000000001"/>
  </r>
  <r>
    <s v="SALE1681"/>
    <x v="76"/>
    <x v="1"/>
    <s v="CUST1136"/>
    <x v="2"/>
    <x v="0"/>
    <x v="2"/>
    <s v="PROD37"/>
    <s v="Men's Casual Sneakers"/>
    <x v="4"/>
    <s v="Footwear"/>
    <s v="STORE15"/>
    <x v="0"/>
    <x v="1"/>
    <n v="281.95999999999998"/>
    <n v="0.01"/>
    <x v="2"/>
    <b v="1"/>
    <n v="837.42119999999989"/>
    <n v="837.42119999999989"/>
  </r>
  <r>
    <s v="SALE1682"/>
    <x v="629"/>
    <x v="2"/>
    <s v="CUST1236"/>
    <x v="1"/>
    <x v="1"/>
    <x v="3"/>
    <s v="PROD71"/>
    <s v="Hair Repair Oil Treatment"/>
    <x v="2"/>
    <s v="Haircare"/>
    <s v="STORE18"/>
    <x v="3"/>
    <x v="2"/>
    <n v="622.27"/>
    <n v="0.02"/>
    <x v="1"/>
    <b v="1"/>
    <n v="2439.2983999999997"/>
    <n v="2439.2984000000001"/>
  </r>
  <r>
    <s v="SALE1683"/>
    <x v="235"/>
    <x v="0"/>
    <s v="CUST1102"/>
    <x v="1"/>
    <x v="1"/>
    <x v="3"/>
    <s v="PROD37"/>
    <s v="Men's Casual Sneakers"/>
    <x v="4"/>
    <s v="Footwear"/>
    <s v="STORE7"/>
    <x v="2"/>
    <x v="3"/>
    <n v="78.27"/>
    <n v="0.28999999999999998"/>
    <x v="2"/>
    <b v="1"/>
    <n v="111.14339999999999"/>
    <n v="111.1434"/>
  </r>
  <r>
    <s v="SALE1684"/>
    <x v="553"/>
    <x v="2"/>
    <s v="CUST1012"/>
    <x v="0"/>
    <x v="1"/>
    <x v="1"/>
    <s v="PROD62"/>
    <s v="Laptop Cooling Pad"/>
    <x v="1"/>
    <s v="Computer"/>
    <s v="STORE13"/>
    <x v="3"/>
    <x v="2"/>
    <n v="676.58"/>
    <n v="0.23"/>
    <x v="2"/>
    <b v="1"/>
    <n v="2083.8664000000003"/>
    <n v="2083.8663999999999"/>
  </r>
  <r>
    <s v="SALE1685"/>
    <x v="2"/>
    <x v="0"/>
    <s v="CUST1486"/>
    <x v="2"/>
    <x v="1"/>
    <x v="3"/>
    <s v="PROD31"/>
    <s v="Basketball"/>
    <x v="0"/>
    <s v="Team Sports"/>
    <s v="STORE1"/>
    <x v="0"/>
    <x v="3"/>
    <n v="938.6"/>
    <n v="0.04"/>
    <x v="1"/>
    <b v="1"/>
    <n v="1802.1120000000001"/>
    <n v="1802.1120000000001"/>
  </r>
  <r>
    <s v="SALE1686"/>
    <x v="533"/>
    <x v="2"/>
    <s v="CUST1355"/>
    <x v="2"/>
    <x v="0"/>
    <x v="0"/>
    <s v="PROD13"/>
    <s v="USB-C Fast Charger"/>
    <x v="1"/>
    <s v="Accessories"/>
    <s v="STORE14"/>
    <x v="2"/>
    <x v="3"/>
    <n v="859.47"/>
    <n v="0.01"/>
    <x v="0"/>
    <b v="1"/>
    <n v="1701.7506000000001"/>
    <n v="1701.7506000000001"/>
  </r>
  <r>
    <s v="SALE1687"/>
    <x v="657"/>
    <x v="0"/>
    <s v="CUST1057"/>
    <x v="1"/>
    <x v="1"/>
    <x v="1"/>
    <s v="PROD27"/>
    <s v="Decorative Floor Vase"/>
    <x v="3"/>
    <s v="Decor"/>
    <s v="STORE14"/>
    <x v="2"/>
    <x v="1"/>
    <n v="672.98"/>
    <n v="0.23"/>
    <x v="1"/>
    <b v="1"/>
    <n v="1554.5838000000001"/>
    <n v="1554.5838000000001"/>
  </r>
  <r>
    <s v="SALE1688"/>
    <x v="109"/>
    <x v="0"/>
    <s v="CUST1206"/>
    <x v="2"/>
    <x v="1"/>
    <x v="2"/>
    <s v="PROD56"/>
    <s v="Premium Blanket Throw"/>
    <x v="3"/>
    <s v="Decor"/>
    <s v="STORE18"/>
    <x v="3"/>
    <x v="0"/>
    <n v="75.8"/>
    <n v="0.28999999999999998"/>
    <x v="1"/>
    <b v="1"/>
    <n v="53.817999999999998"/>
    <n v="53.817999999999998"/>
  </r>
  <r>
    <s v="SALE1689"/>
    <x v="658"/>
    <x v="0"/>
    <s v="CUST1034"/>
    <x v="2"/>
    <x v="1"/>
    <x v="1"/>
    <s v="PROD17"/>
    <s v="Soccer Training Cone Set"/>
    <x v="0"/>
    <s v="Accessories"/>
    <s v="STORE15"/>
    <x v="0"/>
    <x v="2"/>
    <n v="742.15"/>
    <n v="0.1"/>
    <x v="2"/>
    <b v="1"/>
    <n v="2671.74"/>
    <n v="2671.74"/>
  </r>
  <r>
    <s v="SALE1690"/>
    <x v="181"/>
    <x v="0"/>
    <s v="CUST1072"/>
    <x v="1"/>
    <x v="1"/>
    <x v="0"/>
    <s v="PROD30"/>
    <s v="Stainless Steel Cutlery Set"/>
    <x v="3"/>
    <s v="Kitchen"/>
    <s v="STORE7"/>
    <x v="2"/>
    <x v="0"/>
    <n v="637.39"/>
    <n v="0.22"/>
    <x v="1"/>
    <b v="1"/>
    <n v="497.16419999999999"/>
    <n v="497.16419999999999"/>
  </r>
  <r>
    <s v="SALE1691"/>
    <x v="636"/>
    <x v="1"/>
    <s v="CUST1391"/>
    <x v="1"/>
    <x v="1"/>
    <x v="3"/>
    <s v="PROD6"/>
    <s v="Herbal Face Moisturizer"/>
    <x v="2"/>
    <s v="Skincare"/>
    <s v="STORE17"/>
    <x v="0"/>
    <x v="0"/>
    <n v="631"/>
    <n v="0.04"/>
    <x v="0"/>
    <b v="1"/>
    <n v="605.76"/>
    <n v="605.76"/>
  </r>
  <r>
    <s v="SALE1692"/>
    <x v="120"/>
    <x v="2"/>
    <s v="CUST1393"/>
    <x v="1"/>
    <x v="0"/>
    <x v="3"/>
    <s v="PROD80"/>
    <s v="Wall-Mounted Spice Rack"/>
    <x v="3"/>
    <s v="Kitchen"/>
    <s v="STORE3"/>
    <x v="0"/>
    <x v="2"/>
    <n v="983.98"/>
    <n v="0.11"/>
    <x v="2"/>
    <b v="1"/>
    <n v="3502.9688000000001"/>
    <n v="3502.9688000000001"/>
  </r>
  <r>
    <s v="SALE1693"/>
    <x v="396"/>
    <x v="0"/>
    <s v="CUST1054"/>
    <x v="2"/>
    <x v="0"/>
    <x v="1"/>
    <s v="PROD55"/>
    <s v="Ceramic Plant Pot"/>
    <x v="3"/>
    <s v="Decor"/>
    <s v="STORE11"/>
    <x v="2"/>
    <x v="2"/>
    <n v="73.69"/>
    <n v="0.08"/>
    <x v="0"/>
    <b v="1"/>
    <n v="271.17919999999998"/>
    <n v="271.17919999999998"/>
  </r>
  <r>
    <s v="SALE1694"/>
    <x v="412"/>
    <x v="0"/>
    <s v="CUST1433"/>
    <x v="0"/>
    <x v="1"/>
    <x v="2"/>
    <s v="PROD11"/>
    <s v="HD Smart TV Stick"/>
    <x v="1"/>
    <s v="Accessories"/>
    <s v="STORE7"/>
    <x v="2"/>
    <x v="1"/>
    <n v="110.99"/>
    <n v="0.21"/>
    <x v="0"/>
    <b v="1"/>
    <n v="263.04629999999997"/>
    <n v="263.04629999999997"/>
  </r>
  <r>
    <s v="SALE1695"/>
    <x v="6"/>
    <x v="2"/>
    <s v="CUST1083"/>
    <x v="1"/>
    <x v="1"/>
    <x v="3"/>
    <s v="PROD10"/>
    <s v="Ceramic Kitchen Bowl Set"/>
    <x v="3"/>
    <s v="Kitchen"/>
    <s v="STORE7"/>
    <x v="2"/>
    <x v="0"/>
    <n v="66.86"/>
    <n v="0.22"/>
    <x v="2"/>
    <b v="1"/>
    <n v="52.150800000000004"/>
    <n v="52.150799999999997"/>
  </r>
  <r>
    <s v="SALE1696"/>
    <x v="60"/>
    <x v="0"/>
    <s v="CUST1417"/>
    <x v="0"/>
    <x v="1"/>
    <x v="3"/>
    <s v="PROD67"/>
    <s v="Smart LED Light Strip"/>
    <x v="1"/>
    <s v="Accessories"/>
    <s v="STORE18"/>
    <x v="3"/>
    <x v="0"/>
    <n v="980.26"/>
    <n v="0.14000000000000001"/>
    <x v="1"/>
    <b v="1"/>
    <n v="843.02359999999999"/>
    <n v="843.02359999999999"/>
  </r>
  <r>
    <s v="SALE1697"/>
    <x v="302"/>
    <x v="0"/>
    <s v="CUST1037"/>
    <x v="2"/>
    <x v="1"/>
    <x v="1"/>
    <s v="PROD18"/>
    <s v="Women's Denim Jeans"/>
    <x v="4"/>
    <s v="Bottoms"/>
    <s v="STORE18"/>
    <x v="3"/>
    <x v="0"/>
    <n v="235.28"/>
    <n v="0.05"/>
    <x v="1"/>
    <b v="1"/>
    <n v="223.51599999999999"/>
    <n v="223.51599999999999"/>
  </r>
  <r>
    <s v="SALE1698"/>
    <x v="549"/>
    <x v="0"/>
    <s v="CUST1416"/>
    <x v="1"/>
    <x v="0"/>
    <x v="1"/>
    <s v="PROD0"/>
    <s v="Brother Laser Printer"/>
    <x v="1"/>
    <s v="Computer"/>
    <s v="STORE15"/>
    <x v="0"/>
    <x v="1"/>
    <n v="407.39"/>
    <n v="0.08"/>
    <x v="1"/>
    <b v="1"/>
    <n v="1124.3964000000001"/>
    <n v="1124.3964000000001"/>
  </r>
  <r>
    <s v="SALE1699"/>
    <x v="659"/>
    <x v="2"/>
    <s v="CUST1068"/>
    <x v="2"/>
    <x v="1"/>
    <x v="2"/>
    <s v="PROD27"/>
    <s v="Decorative Floor Vase"/>
    <x v="3"/>
    <s v="Decor"/>
    <s v="STORE14"/>
    <x v="2"/>
    <x v="2"/>
    <n v="459.83"/>
    <n v="0.12"/>
    <x v="2"/>
    <b v="1"/>
    <n v="1618.6016"/>
    <n v="1618.6016"/>
  </r>
  <r>
    <s v="SALE1700"/>
    <x v="348"/>
    <x v="0"/>
    <s v="CUST1147"/>
    <x v="1"/>
    <x v="1"/>
    <x v="1"/>
    <s v="PROD93"/>
    <s v="USB-C Laptop Charger"/>
    <x v="1"/>
    <s v="Computer"/>
    <s v="STORE4"/>
    <x v="2"/>
    <x v="1"/>
    <n v="706.6"/>
    <n v="0.17"/>
    <x v="1"/>
    <b v="1"/>
    <n v="1759.434"/>
    <n v="1759.434"/>
  </r>
  <r>
    <s v="SALE1701"/>
    <x v="641"/>
    <x v="2"/>
    <s v="CUST1462"/>
    <x v="1"/>
    <x v="1"/>
    <x v="2"/>
    <s v="PROD91"/>
    <s v="Women's High Heels"/>
    <x v="4"/>
    <s v="Footwear"/>
    <s v="STORE19"/>
    <x v="3"/>
    <x v="1"/>
    <n v="811.16"/>
    <n v="0.1"/>
    <x v="2"/>
    <b v="1"/>
    <n v="2190.1320000000001"/>
    <n v="2190.1320000000001"/>
  </r>
  <r>
    <s v="SALE1702"/>
    <x v="76"/>
    <x v="1"/>
    <s v="CUST1217"/>
    <x v="1"/>
    <x v="0"/>
    <x v="2"/>
    <s v="PROD37"/>
    <s v="Men's Casual Sneakers"/>
    <x v="4"/>
    <s v="Footwear"/>
    <s v="STORE7"/>
    <x v="2"/>
    <x v="3"/>
    <n v="985.79"/>
    <n v="0.04"/>
    <x v="1"/>
    <b v="1"/>
    <n v="1892.7167999999999"/>
    <n v="1892.7167999999999"/>
  </r>
  <r>
    <s v="SALE1703"/>
    <x v="660"/>
    <x v="0"/>
    <s v="CUST1187"/>
    <x v="0"/>
    <x v="1"/>
    <x v="1"/>
    <s v="PROD33"/>
    <s v="Modern Wall Clock"/>
    <x v="3"/>
    <s v="Decor"/>
    <s v="STORE14"/>
    <x v="2"/>
    <x v="0"/>
    <n v="255.02"/>
    <n v="0.3"/>
    <x v="0"/>
    <b v="1"/>
    <n v="178.51400000000001"/>
    <n v="178.51400000000001"/>
  </r>
  <r>
    <s v="SALE1704"/>
    <x v="227"/>
    <x v="2"/>
    <s v="CUST1095"/>
    <x v="0"/>
    <x v="1"/>
    <x v="1"/>
    <s v="PROD19"/>
    <s v="Knee Support Brace"/>
    <x v="0"/>
    <s v="Equipment"/>
    <s v="STORE8"/>
    <x v="1"/>
    <x v="0"/>
    <n v="153.57"/>
    <n v="0.01"/>
    <x v="1"/>
    <b v="1"/>
    <n v="152.0343"/>
    <n v="152.0343"/>
  </r>
  <r>
    <s v="SALE1705"/>
    <x v="480"/>
    <x v="2"/>
    <s v="CUST1253"/>
    <x v="1"/>
    <x v="0"/>
    <x v="3"/>
    <s v="PROD43"/>
    <s v="USB External Hard Drive"/>
    <x v="1"/>
    <s v="Computer"/>
    <s v="STORE18"/>
    <x v="3"/>
    <x v="1"/>
    <n v="962.98"/>
    <n v="0.21"/>
    <x v="0"/>
    <b v="1"/>
    <n v="2282.2626"/>
    <n v="2282.2626"/>
  </r>
  <r>
    <s v="SALE1706"/>
    <x v="532"/>
    <x v="0"/>
    <s v="CUST1057"/>
    <x v="1"/>
    <x v="1"/>
    <x v="1"/>
    <s v="PROD44"/>
    <s v="Adjustable Jump Rope"/>
    <x v="0"/>
    <s v="Fitness"/>
    <s v="STORE8"/>
    <x v="1"/>
    <x v="1"/>
    <n v="884.46"/>
    <n v="0.25"/>
    <x v="0"/>
    <b v="1"/>
    <n v="1990.0350000000001"/>
    <n v="1990.0350000000001"/>
  </r>
  <r>
    <s v="SALE1707"/>
    <x v="428"/>
    <x v="2"/>
    <s v="CUST1437"/>
    <x v="1"/>
    <x v="1"/>
    <x v="1"/>
    <s v="PROD67"/>
    <s v="Smart LED Light Strip"/>
    <x v="1"/>
    <s v="Accessories"/>
    <s v="STORE10"/>
    <x v="3"/>
    <x v="2"/>
    <n v="359.71"/>
    <n v="0.05"/>
    <x v="1"/>
    <b v="1"/>
    <n v="1366.8979999999999"/>
    <n v="1366.8979999999999"/>
  </r>
  <r>
    <s v="SALE1708"/>
    <x v="388"/>
    <x v="2"/>
    <s v="CUST1051"/>
    <x v="2"/>
    <x v="1"/>
    <x v="0"/>
    <s v="PROD50"/>
    <s v="Boxing Hand Wraps"/>
    <x v="0"/>
    <s v="Fitness"/>
    <s v="STORE4"/>
    <x v="2"/>
    <x v="1"/>
    <n v="766.47"/>
    <n v="0.18"/>
    <x v="0"/>
    <b v="1"/>
    <n v="1885.5162"/>
    <n v="1885.5162"/>
  </r>
  <r>
    <s v="SALE1709"/>
    <x v="661"/>
    <x v="0"/>
    <s v="CUST1223"/>
    <x v="1"/>
    <x v="0"/>
    <x v="1"/>
    <s v="PROD56"/>
    <s v="Premium Blanket Throw"/>
    <x v="3"/>
    <s v="Decor"/>
    <s v="STORE18"/>
    <x v="3"/>
    <x v="0"/>
    <n v="772.07"/>
    <n v="0.26"/>
    <x v="1"/>
    <b v="1"/>
    <n v="571.33180000000004"/>
    <n v="571.33180000000004"/>
  </r>
  <r>
    <s v="SALE1710"/>
    <x v="442"/>
    <x v="0"/>
    <s v="CUST1277"/>
    <x v="2"/>
    <x v="1"/>
    <x v="1"/>
    <s v="PROD19"/>
    <s v="Knee Support Brace"/>
    <x v="0"/>
    <s v="Equipment"/>
    <s v="STORE5"/>
    <x v="0"/>
    <x v="1"/>
    <n v="108.31"/>
    <n v="0.26"/>
    <x v="2"/>
    <b v="1"/>
    <n v="240.44820000000001"/>
    <n v="240.44820000000001"/>
  </r>
  <r>
    <s v="SALE1711"/>
    <x v="229"/>
    <x v="0"/>
    <s v="CUST1218"/>
    <x v="1"/>
    <x v="0"/>
    <x v="1"/>
    <s v="PROD79"/>
    <s v="Decorative Lamp Shade"/>
    <x v="3"/>
    <s v="Lighting"/>
    <s v="STORE6"/>
    <x v="3"/>
    <x v="0"/>
    <n v="502.53"/>
    <n v="0"/>
    <x v="1"/>
    <b v="1"/>
    <n v="502.53"/>
    <n v="502.53"/>
  </r>
  <r>
    <s v="SALE1712"/>
    <x v="488"/>
    <x v="0"/>
    <s v="CUST1076"/>
    <x v="1"/>
    <x v="0"/>
    <x v="0"/>
    <s v="PROD1"/>
    <s v="Men's Graphic T-Shirt"/>
    <x v="4"/>
    <s v="Tops"/>
    <s v="STORE16"/>
    <x v="1"/>
    <x v="3"/>
    <n v="508.52"/>
    <n v="0.11"/>
    <x v="2"/>
    <b v="1"/>
    <n v="905.16559999999993"/>
    <n v="905.16559999999993"/>
  </r>
  <r>
    <s v="SALE1713"/>
    <x v="423"/>
    <x v="0"/>
    <s v="CUST1468"/>
    <x v="1"/>
    <x v="0"/>
    <x v="3"/>
    <s v="PROD74"/>
    <s v="Bluetooth Car Audio System"/>
    <x v="1"/>
    <s v="Audio"/>
    <s v="STORE3"/>
    <x v="0"/>
    <x v="0"/>
    <n v="492"/>
    <n v="0.26"/>
    <x v="1"/>
    <b v="1"/>
    <n v="364.08"/>
    <n v="364.08"/>
  </r>
  <r>
    <s v="SALE1714"/>
    <x v="121"/>
    <x v="0"/>
    <s v="CUST1485"/>
    <x v="1"/>
    <x v="1"/>
    <x v="3"/>
    <s v="PROD37"/>
    <s v="Men's Casual Sneakers"/>
    <x v="4"/>
    <s v="Footwear"/>
    <s v="STORE14"/>
    <x v="2"/>
    <x v="2"/>
    <n v="746.36"/>
    <n v="0.02"/>
    <x v="0"/>
    <b v="1"/>
    <n v="2925.7312000000002"/>
    <n v="2925.7312000000002"/>
  </r>
  <r>
    <s v="SALE1715"/>
    <x v="260"/>
    <x v="2"/>
    <s v="CUST1433"/>
    <x v="0"/>
    <x v="1"/>
    <x v="2"/>
    <s v="PROD12"/>
    <s v="Hair Strengthening Shampoo"/>
    <x v="2"/>
    <s v="Haircare"/>
    <s v="STORE1"/>
    <x v="0"/>
    <x v="0"/>
    <n v="120.83"/>
    <n v="0.08"/>
    <x v="0"/>
    <b v="1"/>
    <n v="111.1636"/>
    <n v="111.1636"/>
  </r>
  <r>
    <s v="SALE1716"/>
    <x v="22"/>
    <x v="0"/>
    <s v="CUST1399"/>
    <x v="2"/>
    <x v="0"/>
    <x v="3"/>
    <s v="PROD77"/>
    <s v="WiFi Mesh Router"/>
    <x v="1"/>
    <s v="Appliances"/>
    <s v="STORE18"/>
    <x v="3"/>
    <x v="3"/>
    <n v="68.31"/>
    <n v="0.28999999999999998"/>
    <x v="2"/>
    <b v="1"/>
    <n v="97.000199999999992"/>
    <n v="97.000199999999992"/>
  </r>
  <r>
    <s v="SALE1717"/>
    <x v="493"/>
    <x v="1"/>
    <s v="CUST1062"/>
    <x v="1"/>
    <x v="0"/>
    <x v="3"/>
    <s v="PROD22"/>
    <s v="Carbon Fiber Tennis Racket"/>
    <x v="0"/>
    <s v="Equipment"/>
    <s v="STORE18"/>
    <x v="3"/>
    <x v="3"/>
    <n v="761.71"/>
    <n v="0.02"/>
    <x v="1"/>
    <b v="1"/>
    <n v="1492.9516000000001"/>
    <n v="1492.9516000000001"/>
  </r>
  <r>
    <s v="SALE1718"/>
    <x v="615"/>
    <x v="1"/>
    <s v="CUST1066"/>
    <x v="2"/>
    <x v="1"/>
    <x v="2"/>
    <s v="PROD78"/>
    <s v="Essential Oil Diffuser"/>
    <x v="3"/>
    <s v="Decor"/>
    <s v="STORE3"/>
    <x v="0"/>
    <x v="2"/>
    <n v="346.37"/>
    <n v="0.18"/>
    <x v="2"/>
    <b v="1"/>
    <n v="1136.0936000000002"/>
    <n v="1136.0935999999999"/>
  </r>
  <r>
    <s v="SALE1719"/>
    <x v="404"/>
    <x v="2"/>
    <s v="CUST1007"/>
    <x v="2"/>
    <x v="1"/>
    <x v="3"/>
    <s v="PROD55"/>
    <s v="Ceramic Plant Pot"/>
    <x v="3"/>
    <s v="Decor"/>
    <s v="STORE12"/>
    <x v="0"/>
    <x v="0"/>
    <n v="846.3"/>
    <n v="0.14000000000000001"/>
    <x v="1"/>
    <b v="1"/>
    <n v="727.81799999999998"/>
    <n v="727.81799999999998"/>
  </r>
  <r>
    <s v="SALE1720"/>
    <x v="248"/>
    <x v="0"/>
    <s v="CUST1432"/>
    <x v="1"/>
    <x v="0"/>
    <x v="3"/>
    <s v="PROD0"/>
    <s v="Brother Laser Printer"/>
    <x v="1"/>
    <s v="Computer"/>
    <s v="STORE19"/>
    <x v="3"/>
    <x v="0"/>
    <n v="458.97"/>
    <n v="0.1"/>
    <x v="1"/>
    <b v="1"/>
    <n v="413.07300000000004"/>
    <n v="413.07299999999998"/>
  </r>
  <r>
    <s v="SALE1721"/>
    <x v="324"/>
    <x v="2"/>
    <s v="CUST1289"/>
    <x v="1"/>
    <x v="0"/>
    <x v="3"/>
    <s v="PROD43"/>
    <s v="USB External Hard Drive"/>
    <x v="1"/>
    <s v="Computer"/>
    <s v="STORE7"/>
    <x v="2"/>
    <x v="3"/>
    <n v="536.61"/>
    <n v="0.14000000000000001"/>
    <x v="0"/>
    <b v="1"/>
    <n v="922.9692"/>
    <n v="922.9692"/>
  </r>
  <r>
    <s v="SALE1722"/>
    <x v="326"/>
    <x v="2"/>
    <s v="CUST1420"/>
    <x v="0"/>
    <x v="0"/>
    <x v="3"/>
    <s v="PROD58"/>
    <s v="Womens Cotton Scarf"/>
    <x v="4"/>
    <s v="Accessories"/>
    <s v="STORE0"/>
    <x v="3"/>
    <x v="1"/>
    <n v="130.41"/>
    <n v="0.14000000000000001"/>
    <x v="1"/>
    <b v="1"/>
    <n v="336.45780000000002"/>
    <n v="336.45780000000002"/>
  </r>
  <r>
    <s v="SALE1723"/>
    <x v="102"/>
    <x v="2"/>
    <s v="CUST1496"/>
    <x v="0"/>
    <x v="0"/>
    <x v="3"/>
    <s v="PROD89"/>
    <s v="Face Foundation Kit"/>
    <x v="2"/>
    <s v="Makeup"/>
    <s v="STORE12"/>
    <x v="0"/>
    <x v="2"/>
    <n v="706.67"/>
    <n v="0.01"/>
    <x v="0"/>
    <b v="1"/>
    <n v="2798.4132"/>
    <n v="2798.4132"/>
  </r>
  <r>
    <s v="SALE1724"/>
    <x v="662"/>
    <x v="2"/>
    <s v="CUST1392"/>
    <x v="1"/>
    <x v="0"/>
    <x v="0"/>
    <s v="PROD27"/>
    <s v="Decorative Floor Vase"/>
    <x v="3"/>
    <s v="Decor"/>
    <s v="STORE3"/>
    <x v="0"/>
    <x v="1"/>
    <n v="523.45000000000005"/>
    <n v="0.17"/>
    <x v="0"/>
    <b v="1"/>
    <n v="1303.3905"/>
    <n v="1303.3905"/>
  </r>
  <r>
    <s v="SALE1725"/>
    <x v="437"/>
    <x v="2"/>
    <s v="CUST1009"/>
    <x v="0"/>
    <x v="0"/>
    <x v="1"/>
    <s v="PROD91"/>
    <s v="Women's High Heels"/>
    <x v="4"/>
    <s v="Footwear"/>
    <s v="STORE18"/>
    <x v="3"/>
    <x v="1"/>
    <n v="482.2"/>
    <n v="0.23"/>
    <x v="2"/>
    <b v="1"/>
    <n v="1113.8820000000001"/>
    <n v="1113.8820000000001"/>
  </r>
  <r>
    <s v="SALE1726"/>
    <x v="142"/>
    <x v="2"/>
    <s v="CUST1124"/>
    <x v="2"/>
    <x v="0"/>
    <x v="3"/>
    <s v="PROD63"/>
    <s v="Organic Sunscreen Lotion"/>
    <x v="2"/>
    <s v="Skincare"/>
    <s v="STORE5"/>
    <x v="0"/>
    <x v="2"/>
    <n v="688.86"/>
    <n v="0.02"/>
    <x v="2"/>
    <b v="1"/>
    <n v="2700.3312000000001"/>
    <n v="2700.3312000000001"/>
  </r>
  <r>
    <s v="SALE1727"/>
    <x v="98"/>
    <x v="1"/>
    <s v="CUST1023"/>
    <x v="0"/>
    <x v="1"/>
    <x v="2"/>
    <s v="PROD12"/>
    <s v="Hair Strengthening Shampoo"/>
    <x v="2"/>
    <s v="Haircare"/>
    <s v="STORE0"/>
    <x v="3"/>
    <x v="0"/>
    <n v="145.47999999999999"/>
    <n v="0.1"/>
    <x v="2"/>
    <b v="1"/>
    <n v="130.93199999999999"/>
    <n v="130.93199999999999"/>
  </r>
  <r>
    <s v="SALE1728"/>
    <x v="419"/>
    <x v="0"/>
    <s v="CUST1052"/>
    <x v="0"/>
    <x v="0"/>
    <x v="3"/>
    <s v="PROD31"/>
    <s v="Basketball"/>
    <x v="0"/>
    <s v="Team Sports"/>
    <s v="STORE11"/>
    <x v="2"/>
    <x v="2"/>
    <n v="862.25"/>
    <n v="0.28000000000000003"/>
    <x v="1"/>
    <b v="1"/>
    <n v="2483.2799999999997"/>
    <n v="2483.2800000000002"/>
  </r>
  <r>
    <s v="SALE1729"/>
    <x v="627"/>
    <x v="0"/>
    <s v="CUST1292"/>
    <x v="2"/>
    <x v="0"/>
    <x v="2"/>
    <s v="PROD1"/>
    <s v="Men's Graphic T-Shirt"/>
    <x v="4"/>
    <s v="Tops"/>
    <s v="STORE14"/>
    <x v="2"/>
    <x v="2"/>
    <n v="146.12"/>
    <n v="0.12"/>
    <x v="2"/>
    <b v="1"/>
    <n v="514.3424"/>
    <n v="514.3424"/>
  </r>
  <r>
    <s v="SALE1730"/>
    <x v="583"/>
    <x v="0"/>
    <s v="CUST1478"/>
    <x v="0"/>
    <x v="0"/>
    <x v="0"/>
    <s v="PROD31"/>
    <s v="Basketball"/>
    <x v="0"/>
    <s v="Team Sports"/>
    <s v="STORE18"/>
    <x v="3"/>
    <x v="3"/>
    <n v="695.02"/>
    <n v="0.3"/>
    <x v="2"/>
    <b v="1"/>
    <n v="973.02799999999991"/>
    <n v="973.02799999999991"/>
  </r>
  <r>
    <s v="SALE1731"/>
    <x v="602"/>
    <x v="1"/>
    <s v="CUST1219"/>
    <x v="1"/>
    <x v="1"/>
    <x v="0"/>
    <s v="PROD94"/>
    <s v="Vitamin E Body Lotion"/>
    <x v="2"/>
    <s v="Skincare"/>
    <s v="STORE10"/>
    <x v="3"/>
    <x v="3"/>
    <n v="886.67"/>
    <n v="0.24"/>
    <x v="1"/>
    <b v="1"/>
    <n v="1347.7384"/>
    <n v="1347.7384"/>
  </r>
  <r>
    <s v="SALE1732"/>
    <x v="312"/>
    <x v="0"/>
    <s v="CUST1054"/>
    <x v="2"/>
    <x v="0"/>
    <x v="1"/>
    <s v="PROD66"/>
    <s v="Women's Hair Dryer Brush"/>
    <x v="2"/>
    <s v="Haircare"/>
    <s v="STORE18"/>
    <x v="3"/>
    <x v="3"/>
    <n v="864.09"/>
    <n v="0.06"/>
    <x v="2"/>
    <b v="1"/>
    <n v="1624.4892"/>
    <n v="1624.4892"/>
  </r>
  <r>
    <s v="SALE1733"/>
    <x v="589"/>
    <x v="2"/>
    <s v="CUST1003"/>
    <x v="0"/>
    <x v="1"/>
    <x v="3"/>
    <s v="PROD12"/>
    <s v="Hair Strengthening Shampoo"/>
    <x v="2"/>
    <s v="Haircare"/>
    <s v="STORE9"/>
    <x v="2"/>
    <x v="0"/>
    <n v="437.65"/>
    <n v="0.02"/>
    <x v="1"/>
    <b v="1"/>
    <n v="428.89699999999999"/>
    <n v="428.89699999999999"/>
  </r>
  <r>
    <s v="SALE1734"/>
    <x v="20"/>
    <x v="2"/>
    <s v="CUST1202"/>
    <x v="1"/>
    <x v="1"/>
    <x v="1"/>
    <s v="PROD36"/>
    <s v="Women's Summer Dress"/>
    <x v="4"/>
    <s v="Tops"/>
    <s v="STORE13"/>
    <x v="3"/>
    <x v="3"/>
    <n v="208.09"/>
    <n v="0.27"/>
    <x v="0"/>
    <b v="1"/>
    <n v="303.81139999999999"/>
    <n v="303.81139999999999"/>
  </r>
  <r>
    <s v="SALE1735"/>
    <x v="107"/>
    <x v="0"/>
    <s v="CUST1054"/>
    <x v="2"/>
    <x v="0"/>
    <x v="1"/>
    <s v="PROD93"/>
    <s v="USB-C Laptop Charger"/>
    <x v="1"/>
    <s v="Computer"/>
    <s v="STORE17"/>
    <x v="0"/>
    <x v="2"/>
    <n v="825.78"/>
    <n v="0.02"/>
    <x v="0"/>
    <b v="1"/>
    <n v="3237.0575999999996"/>
    <n v="3237.0576000000001"/>
  </r>
  <r>
    <s v="SALE1736"/>
    <x v="154"/>
    <x v="0"/>
    <s v="CUST1116"/>
    <x v="2"/>
    <x v="1"/>
    <x v="1"/>
    <s v="PROD25"/>
    <s v="Women's Scarf Set"/>
    <x v="4"/>
    <s v="Accessories"/>
    <s v="STORE17"/>
    <x v="0"/>
    <x v="1"/>
    <n v="849.77"/>
    <n v="0.12"/>
    <x v="1"/>
    <b v="1"/>
    <n v="2243.3928000000001"/>
    <n v="2243.3928000000001"/>
  </r>
  <r>
    <s v="SALE1737"/>
    <x v="158"/>
    <x v="0"/>
    <s v="CUST1344"/>
    <x v="1"/>
    <x v="0"/>
    <x v="0"/>
    <s v="PROD60"/>
    <s v="Luxury Perfume Spray"/>
    <x v="2"/>
    <s v="Fragrance"/>
    <s v="STORE4"/>
    <x v="2"/>
    <x v="0"/>
    <n v="88.78"/>
    <n v="0.18"/>
    <x v="0"/>
    <b v="1"/>
    <n v="72.799600000000012"/>
    <n v="72.799600000000012"/>
  </r>
  <r>
    <s v="SALE1738"/>
    <x v="455"/>
    <x v="0"/>
    <s v="CUST1191"/>
    <x v="2"/>
    <x v="1"/>
    <x v="3"/>
    <s v="PROD78"/>
    <s v="Essential Oil Diffuser"/>
    <x v="3"/>
    <s v="Decor"/>
    <s v="STORE4"/>
    <x v="2"/>
    <x v="2"/>
    <n v="507.22"/>
    <n v="0.14000000000000001"/>
    <x v="1"/>
    <b v="1"/>
    <n v="1744.8368"/>
    <n v="1744.8368"/>
  </r>
  <r>
    <s v="SALE1739"/>
    <x v="649"/>
    <x v="2"/>
    <s v="CUST1316"/>
    <x v="1"/>
    <x v="0"/>
    <x v="0"/>
    <s v="PROD96"/>
    <s v="Women's Formal Blazer"/>
    <x v="4"/>
    <s v="Outerwear"/>
    <s v="STORE0"/>
    <x v="3"/>
    <x v="1"/>
    <n v="330.98"/>
    <n v="0.11"/>
    <x v="0"/>
    <b v="1"/>
    <n v="883.71660000000008"/>
    <n v="883.71660000000008"/>
  </r>
  <r>
    <s v="SALE1740"/>
    <x v="663"/>
    <x v="0"/>
    <s v="CUST1051"/>
    <x v="2"/>
    <x v="1"/>
    <x v="0"/>
    <s v="PROD37"/>
    <s v="Men's Casual Sneakers"/>
    <x v="4"/>
    <s v="Footwear"/>
    <s v="STORE19"/>
    <x v="3"/>
    <x v="2"/>
    <n v="442.87"/>
    <n v="0.08"/>
    <x v="0"/>
    <b v="1"/>
    <n v="1629.7616"/>
    <n v="1629.7616"/>
  </r>
  <r>
    <s v="SALE1741"/>
    <x v="200"/>
    <x v="2"/>
    <s v="CUST1009"/>
    <x v="0"/>
    <x v="0"/>
    <x v="1"/>
    <s v="PROD96"/>
    <s v="Women's Formal Blazer"/>
    <x v="4"/>
    <s v="Outerwear"/>
    <s v="STORE2"/>
    <x v="2"/>
    <x v="3"/>
    <n v="939.66"/>
    <n v="0.14000000000000001"/>
    <x v="1"/>
    <b v="1"/>
    <n v="1616.2151999999999"/>
    <n v="1616.2152000000001"/>
  </r>
  <r>
    <s v="SALE1742"/>
    <x v="90"/>
    <x v="0"/>
    <s v="CUST1293"/>
    <x v="0"/>
    <x v="1"/>
    <x v="1"/>
    <s v="PROD73"/>
    <s v="Shin Guards – Adult"/>
    <x v="0"/>
    <s v="Team Sports"/>
    <s v="STORE3"/>
    <x v="0"/>
    <x v="0"/>
    <n v="24.13"/>
    <n v="0"/>
    <x v="0"/>
    <b v="1"/>
    <n v="24.13"/>
    <n v="24.13"/>
  </r>
  <r>
    <s v="SALE1743"/>
    <x v="648"/>
    <x v="0"/>
    <s v="CUST1364"/>
    <x v="0"/>
    <x v="0"/>
    <x v="3"/>
    <s v="PROD41"/>
    <s v="Yoga Exercise Mat"/>
    <x v="0"/>
    <s v="Fitness"/>
    <s v="STORE3"/>
    <x v="0"/>
    <x v="1"/>
    <n v="239.54"/>
    <n v="0.28999999999999998"/>
    <x v="2"/>
    <b v="1"/>
    <n v="510.22019999999998"/>
    <n v="510.22019999999998"/>
  </r>
  <r>
    <s v="SALE1744"/>
    <x v="313"/>
    <x v="1"/>
    <s v="CUST1482"/>
    <x v="2"/>
    <x v="0"/>
    <x v="1"/>
    <s v="PROD46"/>
    <s v="Men's Winter Jacket"/>
    <x v="4"/>
    <s v="Outerwear"/>
    <s v="STORE14"/>
    <x v="2"/>
    <x v="0"/>
    <n v="588.53"/>
    <n v="0.1"/>
    <x v="0"/>
    <b v="1"/>
    <n v="529.67700000000002"/>
    <n v="529.67700000000002"/>
  </r>
  <r>
    <s v="SALE1745"/>
    <x v="198"/>
    <x v="2"/>
    <s v="CUST1288"/>
    <x v="0"/>
    <x v="0"/>
    <x v="0"/>
    <s v="PROD60"/>
    <s v="Luxury Perfume Spray"/>
    <x v="2"/>
    <s v="Fragrance"/>
    <s v="STORE15"/>
    <x v="0"/>
    <x v="0"/>
    <n v="145.96"/>
    <n v="0.3"/>
    <x v="0"/>
    <b v="1"/>
    <n v="102.172"/>
    <n v="102.172"/>
  </r>
  <r>
    <s v="SALE1746"/>
    <x v="133"/>
    <x v="0"/>
    <s v="CUST1101"/>
    <x v="2"/>
    <x v="0"/>
    <x v="0"/>
    <s v="PROD70"/>
    <s v="Kitchen Storage Rack"/>
    <x v="3"/>
    <s v="Storage"/>
    <s v="STORE4"/>
    <x v="2"/>
    <x v="2"/>
    <n v="640.91"/>
    <n v="0.06"/>
    <x v="0"/>
    <b v="1"/>
    <n v="2409.8215999999998"/>
    <n v="2409.8216000000002"/>
  </r>
  <r>
    <s v="SALE1747"/>
    <x v="420"/>
    <x v="2"/>
    <s v="CUST1042"/>
    <x v="2"/>
    <x v="0"/>
    <x v="1"/>
    <s v="PROD64"/>
    <s v="Matte Lipstick Set"/>
    <x v="2"/>
    <s v="Makeup"/>
    <s v="STORE11"/>
    <x v="2"/>
    <x v="1"/>
    <n v="773.86"/>
    <n v="0.22"/>
    <x v="0"/>
    <b v="1"/>
    <n v="1810.8324"/>
    <n v="1810.8324"/>
  </r>
  <r>
    <s v="SALE1748"/>
    <x v="299"/>
    <x v="2"/>
    <s v="CUST1463"/>
    <x v="1"/>
    <x v="1"/>
    <x v="3"/>
    <s v="PROD31"/>
    <s v="Basketball"/>
    <x v="0"/>
    <s v="Team Sports"/>
    <s v="STORE15"/>
    <x v="0"/>
    <x v="3"/>
    <n v="31.28"/>
    <n v="0.2"/>
    <x v="2"/>
    <b v="1"/>
    <n v="50.048000000000002"/>
    <n v="50.048000000000002"/>
  </r>
  <r>
    <s v="SALE1749"/>
    <x v="253"/>
    <x v="2"/>
    <s v="CUST1373"/>
    <x v="1"/>
    <x v="1"/>
    <x v="0"/>
    <s v="PROD82"/>
    <s v="Fitness Resistance Bands"/>
    <x v="0"/>
    <s v="Fitness"/>
    <s v="STORE6"/>
    <x v="3"/>
    <x v="2"/>
    <n v="389.22"/>
    <n v="0.18"/>
    <x v="0"/>
    <b v="1"/>
    <n v="1276.6416000000002"/>
    <n v="1276.6415999999999"/>
  </r>
  <r>
    <s v="SALE1750"/>
    <x v="137"/>
    <x v="0"/>
    <s v="CUST1015"/>
    <x v="1"/>
    <x v="1"/>
    <x v="1"/>
    <s v="PROD64"/>
    <s v="Matte Lipstick Set"/>
    <x v="2"/>
    <s v="Makeup"/>
    <s v="STORE15"/>
    <x v="0"/>
    <x v="1"/>
    <n v="543.44000000000005"/>
    <n v="0.13"/>
    <x v="1"/>
    <b v="1"/>
    <n v="1418.3784000000001"/>
    <n v="1418.3784000000001"/>
  </r>
  <r>
    <s v="SALE1751"/>
    <x v="627"/>
    <x v="0"/>
    <s v="CUST1257"/>
    <x v="1"/>
    <x v="0"/>
    <x v="2"/>
    <s v="PROD97"/>
    <s v="Cricket Bat"/>
    <x v="0"/>
    <s v="Team Sports"/>
    <s v="STORE19"/>
    <x v="3"/>
    <x v="2"/>
    <n v="715.42"/>
    <n v="0.28999999999999998"/>
    <x v="1"/>
    <b v="1"/>
    <n v="2031.7927999999997"/>
    <n v="2031.7927999999999"/>
  </r>
  <r>
    <s v="SALE1752"/>
    <x v="115"/>
    <x v="2"/>
    <s v="CUST1051"/>
    <x v="2"/>
    <x v="1"/>
    <x v="0"/>
    <s v="PROD12"/>
    <s v="Hair Strengthening Shampoo"/>
    <x v="2"/>
    <s v="Haircare"/>
    <s v="STORE4"/>
    <x v="2"/>
    <x v="2"/>
    <n v="676.14"/>
    <n v="0.11"/>
    <x v="2"/>
    <b v="1"/>
    <n v="2407.0583999999999"/>
    <n v="2407.0583999999999"/>
  </r>
  <r>
    <s v="SALE1753"/>
    <x v="664"/>
    <x v="0"/>
    <s v="CUST1089"/>
    <x v="1"/>
    <x v="0"/>
    <x v="1"/>
    <s v="PROD39"/>
    <s v="Portable Power Bank"/>
    <x v="1"/>
    <s v="Mobile"/>
    <s v="STORE1"/>
    <x v="0"/>
    <x v="2"/>
    <n v="352.72"/>
    <n v="0.25"/>
    <x v="0"/>
    <b v="1"/>
    <n v="1058.1600000000001"/>
    <n v="1058.1600000000001"/>
  </r>
  <r>
    <s v="SALE1754"/>
    <x v="343"/>
    <x v="2"/>
    <s v="CUST1173"/>
    <x v="1"/>
    <x v="1"/>
    <x v="1"/>
    <s v="PROD11"/>
    <s v="HD Smart TV Stick"/>
    <x v="1"/>
    <s v="Accessories"/>
    <s v="STORE12"/>
    <x v="0"/>
    <x v="0"/>
    <n v="470.18"/>
    <n v="0.19"/>
    <x v="1"/>
    <b v="1"/>
    <n v="380.84580000000005"/>
    <n v="380.84580000000011"/>
  </r>
  <r>
    <s v="SALE1755"/>
    <x v="665"/>
    <x v="2"/>
    <s v="CUST1230"/>
    <x v="2"/>
    <x v="0"/>
    <x v="3"/>
    <s v="PROD66"/>
    <s v="Women's Hair Dryer Brush"/>
    <x v="2"/>
    <s v="Haircare"/>
    <s v="STORE11"/>
    <x v="2"/>
    <x v="0"/>
    <n v="891.79"/>
    <n v="0.03"/>
    <x v="0"/>
    <b v="1"/>
    <n v="865.03629999999998"/>
    <n v="865.03629999999998"/>
  </r>
  <r>
    <s v="SALE1756"/>
    <x v="155"/>
    <x v="0"/>
    <s v="CUST1348"/>
    <x v="0"/>
    <x v="0"/>
    <x v="2"/>
    <s v="PROD89"/>
    <s v="Face Foundation Kit"/>
    <x v="2"/>
    <s v="Makeup"/>
    <s v="STORE17"/>
    <x v="0"/>
    <x v="3"/>
    <n v="433.07"/>
    <n v="0.25"/>
    <x v="2"/>
    <b v="1"/>
    <n v="649.60500000000002"/>
    <n v="649.60500000000002"/>
  </r>
  <r>
    <s v="SALE1757"/>
    <x v="648"/>
    <x v="0"/>
    <s v="CUST1012"/>
    <x v="0"/>
    <x v="1"/>
    <x v="1"/>
    <s v="PROD66"/>
    <s v="Women's Hair Dryer Brush"/>
    <x v="2"/>
    <s v="Haircare"/>
    <s v="STORE19"/>
    <x v="3"/>
    <x v="1"/>
    <n v="626.71"/>
    <n v="7.0000000000000007E-2"/>
    <x v="2"/>
    <b v="1"/>
    <n v="1748.5209"/>
    <n v="1748.5209"/>
  </r>
  <r>
    <s v="SALE1758"/>
    <x v="120"/>
    <x v="2"/>
    <s v="CUST1076"/>
    <x v="1"/>
    <x v="0"/>
    <x v="0"/>
    <s v="PROD36"/>
    <s v="Women's Summer Dress"/>
    <x v="4"/>
    <s v="Tops"/>
    <s v="STORE0"/>
    <x v="3"/>
    <x v="3"/>
    <n v="324.18"/>
    <n v="0.06"/>
    <x v="2"/>
    <b v="1"/>
    <n v="609.45839999999998"/>
    <n v="609.45839999999998"/>
  </r>
  <r>
    <s v="SALE1759"/>
    <x v="134"/>
    <x v="0"/>
    <s v="CUST1013"/>
    <x v="1"/>
    <x v="1"/>
    <x v="2"/>
    <s v="PROD14"/>
    <s v="Decorative Wall Mirror"/>
    <x v="3"/>
    <s v="Decor"/>
    <s v="STORE17"/>
    <x v="0"/>
    <x v="2"/>
    <n v="839.74"/>
    <n v="0.13"/>
    <x v="1"/>
    <b v="1"/>
    <n v="2922.2952"/>
    <n v="2922.2952"/>
  </r>
  <r>
    <s v="SALE1760"/>
    <x v="598"/>
    <x v="0"/>
    <s v="CUST1156"/>
    <x v="1"/>
    <x v="0"/>
    <x v="3"/>
    <s v="PROD62"/>
    <s v="Laptop Cooling Pad"/>
    <x v="1"/>
    <s v="Computer"/>
    <s v="STORE15"/>
    <x v="0"/>
    <x v="1"/>
    <n v="252.63"/>
    <n v="0.28000000000000003"/>
    <x v="0"/>
    <b v="1"/>
    <n v="545.68079999999998"/>
    <n v="545.68079999999998"/>
  </r>
  <r>
    <s v="SALE1761"/>
    <x v="436"/>
    <x v="0"/>
    <s v="CUST1255"/>
    <x v="2"/>
    <x v="0"/>
    <x v="0"/>
    <s v="PROD79"/>
    <s v="Decorative Lamp Shade"/>
    <x v="3"/>
    <s v="Lighting"/>
    <s v="STORE19"/>
    <x v="3"/>
    <x v="3"/>
    <n v="60.53"/>
    <n v="0.18"/>
    <x v="0"/>
    <b v="1"/>
    <n v="99.269200000000012"/>
    <n v="99.269200000000012"/>
  </r>
  <r>
    <s v="SALE1762"/>
    <x v="291"/>
    <x v="0"/>
    <s v="CUST1054"/>
    <x v="2"/>
    <x v="0"/>
    <x v="1"/>
    <s v="PROD84"/>
    <s v="Wooden Bookshelf"/>
    <x v="3"/>
    <s v="Furniture"/>
    <s v="STORE13"/>
    <x v="3"/>
    <x v="2"/>
    <n v="341.95"/>
    <n v="0.25"/>
    <x v="0"/>
    <b v="1"/>
    <n v="1025.8499999999999"/>
    <n v="1025.8499999999999"/>
  </r>
  <r>
    <s v="SALE1763"/>
    <x v="240"/>
    <x v="0"/>
    <s v="CUST1283"/>
    <x v="0"/>
    <x v="1"/>
    <x v="2"/>
    <s v="PROD22"/>
    <s v="Carbon Fiber Tennis Racket"/>
    <x v="0"/>
    <s v="Equipment"/>
    <s v="STORE16"/>
    <x v="1"/>
    <x v="2"/>
    <n v="300.12"/>
    <n v="0.05"/>
    <x v="1"/>
    <b v="1"/>
    <n v="1140.4559999999999"/>
    <n v="1140.4559999999999"/>
  </r>
  <r>
    <s v="SALE1764"/>
    <x v="105"/>
    <x v="2"/>
    <s v="CUST1115"/>
    <x v="0"/>
    <x v="1"/>
    <x v="1"/>
    <s v="PROD28"/>
    <s v="Sports Stopwatch Timer"/>
    <x v="0"/>
    <s v="Accessories"/>
    <s v="STORE17"/>
    <x v="0"/>
    <x v="3"/>
    <n v="289.14"/>
    <n v="0.12"/>
    <x v="2"/>
    <b v="1"/>
    <n v="508.88639999999998"/>
    <n v="508.88639999999998"/>
  </r>
  <r>
    <s v="SALE1765"/>
    <x v="379"/>
    <x v="2"/>
    <s v="CUST1045"/>
    <x v="0"/>
    <x v="0"/>
    <x v="0"/>
    <s v="PROD25"/>
    <s v="Women's Scarf Set"/>
    <x v="4"/>
    <s v="Accessories"/>
    <s v="STORE0"/>
    <x v="3"/>
    <x v="3"/>
    <n v="596.84"/>
    <n v="0.01"/>
    <x v="1"/>
    <b v="1"/>
    <n v="1181.7432000000001"/>
    <n v="1181.7431999999999"/>
  </r>
  <r>
    <s v="SALE1766"/>
    <x v="506"/>
    <x v="0"/>
    <s v="CUST1436"/>
    <x v="0"/>
    <x v="0"/>
    <x v="0"/>
    <s v="PROD19"/>
    <s v="Knee Support Brace"/>
    <x v="0"/>
    <s v="Equipment"/>
    <s v="STORE8"/>
    <x v="1"/>
    <x v="2"/>
    <n v="466.24"/>
    <n v="0.16"/>
    <x v="0"/>
    <b v="1"/>
    <n v="1566.5663999999999"/>
    <n v="1566.5663999999999"/>
  </r>
  <r>
    <s v="SALE1767"/>
    <x v="128"/>
    <x v="0"/>
    <s v="CUST1252"/>
    <x v="2"/>
    <x v="0"/>
    <x v="2"/>
    <s v="PROD13"/>
    <s v="USB-C Fast Charger"/>
    <x v="1"/>
    <s v="Accessories"/>
    <s v="STORE16"/>
    <x v="1"/>
    <x v="3"/>
    <n v="330.59"/>
    <n v="0.14000000000000001"/>
    <x v="0"/>
    <b v="1"/>
    <n v="568.61479999999995"/>
    <n v="568.61479999999995"/>
  </r>
  <r>
    <s v="SALE1768"/>
    <x v="243"/>
    <x v="0"/>
    <s v="CUST1493"/>
    <x v="2"/>
    <x v="0"/>
    <x v="2"/>
    <s v="PROD22"/>
    <s v="Carbon Fiber Tennis Racket"/>
    <x v="0"/>
    <s v="Equipment"/>
    <s v="STORE6"/>
    <x v="3"/>
    <x v="3"/>
    <n v="616.42999999999995"/>
    <n v="0.02"/>
    <x v="2"/>
    <b v="1"/>
    <n v="1208.2027999999998"/>
    <n v="1208.2028"/>
  </r>
  <r>
    <s v="SALE1769"/>
    <x v="53"/>
    <x v="0"/>
    <s v="CUST1403"/>
    <x v="1"/>
    <x v="0"/>
    <x v="3"/>
    <s v="PROD63"/>
    <s v="Organic Sunscreen Lotion"/>
    <x v="2"/>
    <s v="Skincare"/>
    <s v="STORE6"/>
    <x v="3"/>
    <x v="1"/>
    <n v="195.89"/>
    <n v="0.16"/>
    <x v="1"/>
    <b v="1"/>
    <n v="493.64279999999997"/>
    <n v="493.64280000000002"/>
  </r>
  <r>
    <s v="SALE1770"/>
    <x v="666"/>
    <x v="0"/>
    <s v="CUST1343"/>
    <x v="1"/>
    <x v="0"/>
    <x v="3"/>
    <s v="PROD7"/>
    <s v="LED Table Lamp"/>
    <x v="3"/>
    <s v="Lighting"/>
    <s v="STORE10"/>
    <x v="3"/>
    <x v="2"/>
    <n v="614.76"/>
    <n v="0.16"/>
    <x v="0"/>
    <b v="1"/>
    <n v="2065.5935999999997"/>
    <n v="2065.5936000000002"/>
  </r>
  <r>
    <s v="SALE1771"/>
    <x v="150"/>
    <x v="0"/>
    <s v="CUST1404"/>
    <x v="2"/>
    <x v="1"/>
    <x v="2"/>
    <s v="PROD79"/>
    <s v="Decorative Lamp Shade"/>
    <x v="3"/>
    <s v="Lighting"/>
    <s v="STORE7"/>
    <x v="2"/>
    <x v="0"/>
    <n v="224.49"/>
    <n v="0.11"/>
    <x v="1"/>
    <b v="1"/>
    <n v="199.79610000000002"/>
    <n v="199.7961"/>
  </r>
  <r>
    <s v="SALE1772"/>
    <x v="214"/>
    <x v="0"/>
    <s v="CUST1356"/>
    <x v="0"/>
    <x v="0"/>
    <x v="3"/>
    <s v="PROD55"/>
    <s v="Ceramic Plant Pot"/>
    <x v="3"/>
    <s v="Decor"/>
    <s v="STORE12"/>
    <x v="0"/>
    <x v="0"/>
    <n v="967.76"/>
    <n v="0.09"/>
    <x v="0"/>
    <b v="1"/>
    <n v="880.66160000000002"/>
    <n v="880.66160000000002"/>
  </r>
  <r>
    <s v="SALE1773"/>
    <x v="390"/>
    <x v="0"/>
    <s v="CUST1067"/>
    <x v="0"/>
    <x v="0"/>
    <x v="2"/>
    <s v="PROD41"/>
    <s v="Yoga Exercise Mat"/>
    <x v="0"/>
    <s v="Fitness"/>
    <s v="STORE19"/>
    <x v="3"/>
    <x v="3"/>
    <n v="56.52"/>
    <n v="0.17"/>
    <x v="1"/>
    <b v="1"/>
    <n v="93.8232"/>
    <n v="93.8232"/>
  </r>
  <r>
    <s v="SALE1774"/>
    <x v="301"/>
    <x v="1"/>
    <s v="CUST1490"/>
    <x v="2"/>
    <x v="0"/>
    <x v="1"/>
    <s v="PROD67"/>
    <s v="Smart LED Light Strip"/>
    <x v="1"/>
    <s v="Accessories"/>
    <s v="STORE1"/>
    <x v="0"/>
    <x v="2"/>
    <n v="921.84"/>
    <n v="0.04"/>
    <x v="0"/>
    <b v="1"/>
    <n v="3539.8656000000001"/>
    <n v="3539.8656000000001"/>
  </r>
  <r>
    <s v="SALE1775"/>
    <x v="667"/>
    <x v="0"/>
    <s v="CUST1328"/>
    <x v="1"/>
    <x v="0"/>
    <x v="1"/>
    <s v="PROD86"/>
    <s v="Kitchen Cutting Board"/>
    <x v="3"/>
    <s v="Kitchen"/>
    <s v="STORE16"/>
    <x v="1"/>
    <x v="1"/>
    <n v="738.47"/>
    <n v="0.28000000000000003"/>
    <x v="0"/>
    <b v="1"/>
    <n v="1595.0951999999997"/>
    <n v="1595.0952"/>
  </r>
  <r>
    <s v="SALE1776"/>
    <x v="33"/>
    <x v="0"/>
    <s v="CUST1328"/>
    <x v="1"/>
    <x v="0"/>
    <x v="1"/>
    <s v="PROD5"/>
    <s v="Men's Leather Belt"/>
    <x v="4"/>
    <s v="Accessories"/>
    <s v="STORE0"/>
    <x v="3"/>
    <x v="2"/>
    <n v="477.83"/>
    <n v="0.05"/>
    <x v="2"/>
    <b v="1"/>
    <n v="1815.7539999999999"/>
    <n v="1815.7539999999999"/>
  </r>
  <r>
    <s v="SALE1777"/>
    <x v="668"/>
    <x v="2"/>
    <s v="CUST1168"/>
    <x v="1"/>
    <x v="1"/>
    <x v="1"/>
    <s v="PROD42"/>
    <s v="Smart Home WiFi Camera"/>
    <x v="1"/>
    <s v="Accessories"/>
    <s v="STORE12"/>
    <x v="0"/>
    <x v="1"/>
    <n v="605.83000000000004"/>
    <n v="0.28000000000000003"/>
    <x v="2"/>
    <b v="1"/>
    <n v="1308.5928000000001"/>
    <n v="1308.5927999999999"/>
  </r>
  <r>
    <s v="SALE1778"/>
    <x v="297"/>
    <x v="0"/>
    <s v="CUST1067"/>
    <x v="0"/>
    <x v="0"/>
    <x v="2"/>
    <s v="PROD43"/>
    <s v="USB External Hard Drive"/>
    <x v="1"/>
    <s v="Computer"/>
    <s v="STORE3"/>
    <x v="0"/>
    <x v="3"/>
    <n v="521.44000000000005"/>
    <n v="0.25"/>
    <x v="2"/>
    <b v="1"/>
    <n v="782.16000000000008"/>
    <n v="782.16000000000008"/>
  </r>
  <r>
    <s v="SALE1779"/>
    <x v="198"/>
    <x v="2"/>
    <s v="CUST1373"/>
    <x v="1"/>
    <x v="1"/>
    <x v="0"/>
    <s v="PROD10"/>
    <s v="Ceramic Kitchen Bowl Set"/>
    <x v="3"/>
    <s v="Kitchen"/>
    <s v="STORE7"/>
    <x v="2"/>
    <x v="2"/>
    <n v="499.02"/>
    <n v="0.06"/>
    <x v="0"/>
    <b v="1"/>
    <n v="1876.3151999999998"/>
    <n v="1876.3152"/>
  </r>
  <r>
    <s v="SALE1780"/>
    <x v="543"/>
    <x v="2"/>
    <s v="CUST1153"/>
    <x v="1"/>
    <x v="0"/>
    <x v="3"/>
    <s v="PROD4"/>
    <s v="Women's Yoga Pants"/>
    <x v="4"/>
    <s v="Bottoms"/>
    <s v="STORE18"/>
    <x v="3"/>
    <x v="2"/>
    <n v="299.45999999999998"/>
    <n v="0.18"/>
    <x v="2"/>
    <b v="1"/>
    <n v="982.22879999999998"/>
    <n v="982.22879999999998"/>
  </r>
  <r>
    <s v="SALE1781"/>
    <x v="1"/>
    <x v="1"/>
    <s v="CUST1457"/>
    <x v="0"/>
    <x v="0"/>
    <x v="1"/>
    <s v="PROD39"/>
    <s v="Portable Power Bank"/>
    <x v="1"/>
    <s v="Mobile"/>
    <s v="STORE0"/>
    <x v="3"/>
    <x v="0"/>
    <n v="609.29"/>
    <n v="0.15"/>
    <x v="0"/>
    <b v="1"/>
    <n v="517.89649999999995"/>
    <n v="517.89649999999995"/>
  </r>
  <r>
    <s v="SALE1782"/>
    <x v="361"/>
    <x v="0"/>
    <s v="CUST1101"/>
    <x v="2"/>
    <x v="0"/>
    <x v="0"/>
    <s v="PROD2"/>
    <s v="Women's Casual Hoodie"/>
    <x v="4"/>
    <s v="Outerwear"/>
    <s v="STORE8"/>
    <x v="1"/>
    <x v="0"/>
    <n v="213.74"/>
    <n v="7.0000000000000007E-2"/>
    <x v="2"/>
    <b v="1"/>
    <n v="198.7782"/>
    <n v="198.7782"/>
  </r>
  <r>
    <s v="SALE1783"/>
    <x v="132"/>
    <x v="2"/>
    <s v="CUST1153"/>
    <x v="1"/>
    <x v="0"/>
    <x v="3"/>
    <s v="PROD55"/>
    <s v="Ceramic Plant Pot"/>
    <x v="3"/>
    <s v="Decor"/>
    <s v="STORE16"/>
    <x v="1"/>
    <x v="2"/>
    <n v="613.16999999999996"/>
    <n v="0.26"/>
    <x v="0"/>
    <b v="1"/>
    <n v="1814.9831999999999"/>
    <n v="1814.9831999999999"/>
  </r>
  <r>
    <s v="SALE1784"/>
    <x v="655"/>
    <x v="0"/>
    <s v="CUST1357"/>
    <x v="1"/>
    <x v="0"/>
    <x v="0"/>
    <s v="PROD59"/>
    <s v="Men's Hair Styling Gel"/>
    <x v="2"/>
    <s v="Haircare"/>
    <s v="STORE11"/>
    <x v="2"/>
    <x v="3"/>
    <n v="687.36"/>
    <n v="7.0000000000000007E-2"/>
    <x v="2"/>
    <b v="1"/>
    <n v="1278.4895999999999"/>
    <n v="1278.4896000000001"/>
  </r>
  <r>
    <s v="SALE1785"/>
    <x v="192"/>
    <x v="2"/>
    <s v="CUST1326"/>
    <x v="0"/>
    <x v="1"/>
    <x v="0"/>
    <s v="PROD67"/>
    <s v="Smart LED Light Strip"/>
    <x v="1"/>
    <s v="Accessories"/>
    <s v="STORE13"/>
    <x v="3"/>
    <x v="1"/>
    <n v="115.39"/>
    <n v="0.02"/>
    <x v="1"/>
    <b v="1"/>
    <n v="339.2466"/>
    <n v="339.2466"/>
  </r>
  <r>
    <s v="SALE1786"/>
    <x v="669"/>
    <x v="0"/>
    <s v="CUST1179"/>
    <x v="1"/>
    <x v="1"/>
    <x v="2"/>
    <s v="PROD24"/>
    <s v="Foldable Camping Chair"/>
    <x v="0"/>
    <s v="Outdoor"/>
    <s v="STORE12"/>
    <x v="0"/>
    <x v="3"/>
    <n v="722.06"/>
    <n v="7.0000000000000007E-2"/>
    <x v="0"/>
    <b v="1"/>
    <n v="1343.0315999999998"/>
    <n v="1343.0316"/>
  </r>
  <r>
    <s v="SALE1787"/>
    <x v="413"/>
    <x v="0"/>
    <s v="CUST1425"/>
    <x v="1"/>
    <x v="0"/>
    <x v="3"/>
    <s v="PROD7"/>
    <s v="LED Table Lamp"/>
    <x v="3"/>
    <s v="Lighting"/>
    <s v="STORE15"/>
    <x v="0"/>
    <x v="0"/>
    <n v="384.57"/>
    <n v="0.06"/>
    <x v="1"/>
    <b v="1"/>
    <n v="361.49579999999997"/>
    <n v="361.49579999999997"/>
  </r>
  <r>
    <s v="SALE1788"/>
    <x v="226"/>
    <x v="2"/>
    <s v="CUST1210"/>
    <x v="1"/>
    <x v="0"/>
    <x v="2"/>
    <s v="PROD8"/>
    <s v="Wireless Bluetooth Earbuds"/>
    <x v="1"/>
    <s v="Audio"/>
    <s v="STORE13"/>
    <x v="3"/>
    <x v="3"/>
    <n v="194.09"/>
    <n v="0.18"/>
    <x v="1"/>
    <b v="1"/>
    <n v="318.30760000000004"/>
    <n v="318.30759999999998"/>
  </r>
  <r>
    <s v="SALE1789"/>
    <x v="140"/>
    <x v="0"/>
    <s v="CUST1172"/>
    <x v="1"/>
    <x v="1"/>
    <x v="3"/>
    <s v="PROD88"/>
    <s v="Sports Wrist Sweatbands"/>
    <x v="0"/>
    <s v="Accessories"/>
    <s v="STORE3"/>
    <x v="0"/>
    <x v="3"/>
    <n v="403.91"/>
    <n v="7.0000000000000007E-2"/>
    <x v="0"/>
    <b v="1"/>
    <n v="751.27260000000001"/>
    <n v="751.27260000000001"/>
  </r>
  <r>
    <s v="SALE1790"/>
    <x v="237"/>
    <x v="2"/>
    <s v="CUST1076"/>
    <x v="1"/>
    <x v="0"/>
    <x v="0"/>
    <s v="PROD17"/>
    <s v="Soccer Training Cone Set"/>
    <x v="0"/>
    <s v="Accessories"/>
    <s v="STORE14"/>
    <x v="2"/>
    <x v="0"/>
    <n v="878.69"/>
    <n v="0.3"/>
    <x v="1"/>
    <b v="1"/>
    <n v="615.08299999999997"/>
    <n v="615.08299999999997"/>
  </r>
  <r>
    <s v="SALE1791"/>
    <x v="2"/>
    <x v="0"/>
    <s v="CUST1381"/>
    <x v="1"/>
    <x v="0"/>
    <x v="2"/>
    <s v="PROD33"/>
    <s v="Modern Wall Clock"/>
    <x v="3"/>
    <s v="Decor"/>
    <s v="STORE15"/>
    <x v="0"/>
    <x v="0"/>
    <n v="161.16999999999999"/>
    <n v="0.05"/>
    <x v="0"/>
    <b v="1"/>
    <n v="153.11149999999998"/>
    <n v="153.11150000000001"/>
  </r>
  <r>
    <s v="SALE1792"/>
    <x v="570"/>
    <x v="0"/>
    <s v="CUST1214"/>
    <x v="0"/>
    <x v="0"/>
    <x v="0"/>
    <s v="PROD73"/>
    <s v="Shin Guards – Adult"/>
    <x v="0"/>
    <s v="Team Sports"/>
    <s v="STORE14"/>
    <x v="2"/>
    <x v="3"/>
    <n v="720.15"/>
    <n v="0.22"/>
    <x v="2"/>
    <b v="1"/>
    <n v="1123.434"/>
    <n v="1123.434"/>
  </r>
  <r>
    <s v="SALE1793"/>
    <x v="383"/>
    <x v="1"/>
    <s v="CUST1347"/>
    <x v="1"/>
    <x v="1"/>
    <x v="0"/>
    <s v="PROD26"/>
    <s v="Wireless Bluetooth Speaker"/>
    <x v="1"/>
    <s v="Audio"/>
    <s v="STORE8"/>
    <x v="1"/>
    <x v="0"/>
    <n v="361.8"/>
    <n v="0.02"/>
    <x v="2"/>
    <b v="1"/>
    <n v="354.56400000000002"/>
    <n v="354.56400000000002"/>
  </r>
  <r>
    <s v="SALE1794"/>
    <x v="598"/>
    <x v="0"/>
    <s v="CUST1230"/>
    <x v="2"/>
    <x v="0"/>
    <x v="3"/>
    <s v="PROD95"/>
    <s v="Sports Stopwatch Basic"/>
    <x v="0"/>
    <s v="Accessories"/>
    <s v="STORE6"/>
    <x v="3"/>
    <x v="0"/>
    <n v="779.84"/>
    <n v="0.28999999999999998"/>
    <x v="1"/>
    <b v="1"/>
    <n v="553.68640000000005"/>
    <n v="553.68640000000005"/>
  </r>
  <r>
    <s v="SALE1795"/>
    <x v="670"/>
    <x v="0"/>
    <s v="CUST1004"/>
    <x v="0"/>
    <x v="1"/>
    <x v="2"/>
    <s v="PROD96"/>
    <s v="Women's Formal Blazer"/>
    <x v="4"/>
    <s v="Outerwear"/>
    <s v="STORE4"/>
    <x v="2"/>
    <x v="3"/>
    <n v="649.89"/>
    <n v="0.17"/>
    <x v="2"/>
    <b v="1"/>
    <n v="1078.8173999999999"/>
    <n v="1078.8173999999999"/>
  </r>
  <r>
    <s v="SALE1796"/>
    <x v="485"/>
    <x v="2"/>
    <s v="CUST1204"/>
    <x v="0"/>
    <x v="0"/>
    <x v="1"/>
    <s v="PROD53"/>
    <s v="Men's Track Pants"/>
    <x v="4"/>
    <s v="Bottoms"/>
    <s v="STORE6"/>
    <x v="3"/>
    <x v="0"/>
    <n v="952.73"/>
    <n v="0.17"/>
    <x v="0"/>
    <b v="1"/>
    <n v="790.76589999999999"/>
    <n v="790.76589999999999"/>
  </r>
  <r>
    <s v="SALE1797"/>
    <x v="13"/>
    <x v="2"/>
    <s v="CUST1084"/>
    <x v="2"/>
    <x v="1"/>
    <x v="1"/>
    <s v="PROD99"/>
    <s v="Stainless Steel Cookware Set"/>
    <x v="3"/>
    <s v="Kitchen"/>
    <s v="STORE16"/>
    <x v="1"/>
    <x v="2"/>
    <n v="820.78"/>
    <n v="0.25"/>
    <x v="0"/>
    <b v="1"/>
    <n v="2462.34"/>
    <n v="2462.34"/>
  </r>
  <r>
    <s v="SALE1798"/>
    <x v="397"/>
    <x v="0"/>
    <s v="CUST1342"/>
    <x v="2"/>
    <x v="1"/>
    <x v="3"/>
    <s v="PROD38"/>
    <s v="Sports Water Hydration Pack"/>
    <x v="0"/>
    <s v="Outdoor"/>
    <s v="STORE3"/>
    <x v="0"/>
    <x v="2"/>
    <n v="247.55"/>
    <n v="0.05"/>
    <x v="0"/>
    <b v="1"/>
    <n v="940.69"/>
    <n v="940.69"/>
  </r>
  <r>
    <s v="SALE1799"/>
    <x v="19"/>
    <x v="0"/>
    <s v="CUST1227"/>
    <x v="0"/>
    <x v="1"/>
    <x v="0"/>
    <s v="PROD99"/>
    <s v="Stainless Steel Cookware Set"/>
    <x v="3"/>
    <s v="Kitchen"/>
    <s v="STORE8"/>
    <x v="1"/>
    <x v="1"/>
    <n v="561.44000000000005"/>
    <n v="0.2"/>
    <x v="2"/>
    <b v="1"/>
    <n v="1347.4560000000001"/>
    <n v="1347.4559999999999"/>
  </r>
  <r>
    <s v="SALE1800"/>
    <x v="394"/>
    <x v="1"/>
    <s v="CUST1281"/>
    <x v="0"/>
    <x v="0"/>
    <x v="1"/>
    <s v="PROD72"/>
    <s v="Professional Jump Rope"/>
    <x v="0"/>
    <s v="Fitness"/>
    <s v="STORE8"/>
    <x v="1"/>
    <x v="2"/>
    <n v="214.37"/>
    <n v="0.11"/>
    <x v="2"/>
    <b v="1"/>
    <n v="763.15719999999999"/>
    <n v="763.15719999999999"/>
  </r>
  <r>
    <s v="SALE1801"/>
    <x v="478"/>
    <x v="2"/>
    <s v="CUST1417"/>
    <x v="0"/>
    <x v="1"/>
    <x v="3"/>
    <s v="PROD17"/>
    <s v="Soccer Training Cone Set"/>
    <x v="0"/>
    <s v="Accessories"/>
    <s v="STORE16"/>
    <x v="1"/>
    <x v="1"/>
    <n v="123.74"/>
    <n v="0.23"/>
    <x v="1"/>
    <b v="1"/>
    <n v="285.83940000000001"/>
    <n v="285.83940000000001"/>
  </r>
  <r>
    <s v="SALE1802"/>
    <x v="80"/>
    <x v="0"/>
    <s v="CUST1013"/>
    <x v="1"/>
    <x v="1"/>
    <x v="2"/>
    <s v="PROD67"/>
    <s v="Smart LED Light Strip"/>
    <x v="1"/>
    <s v="Accessories"/>
    <s v="STORE11"/>
    <x v="2"/>
    <x v="2"/>
    <n v="645.71"/>
    <n v="0.1"/>
    <x v="1"/>
    <b v="1"/>
    <n v="2324.556"/>
    <n v="2324.556"/>
  </r>
  <r>
    <s v="SALE1803"/>
    <x v="324"/>
    <x v="2"/>
    <s v="CUST1033"/>
    <x v="2"/>
    <x v="0"/>
    <x v="1"/>
    <s v="PROD21"/>
    <s v="Multi-Purpose Storage Box"/>
    <x v="3"/>
    <s v="Storage"/>
    <s v="STORE12"/>
    <x v="0"/>
    <x v="1"/>
    <n v="587.12"/>
    <n v="0.3"/>
    <x v="0"/>
    <b v="1"/>
    <n v="1232.952"/>
    <n v="1232.952"/>
  </r>
  <r>
    <s v="SALE1804"/>
    <x v="458"/>
    <x v="2"/>
    <s v="CUST1241"/>
    <x v="1"/>
    <x v="0"/>
    <x v="1"/>
    <s v="PROD25"/>
    <s v="Women's Scarf Set"/>
    <x v="4"/>
    <s v="Accessories"/>
    <s v="STORE18"/>
    <x v="3"/>
    <x v="0"/>
    <n v="401.18"/>
    <n v="0.15"/>
    <x v="2"/>
    <b v="1"/>
    <n v="341.00299999999999"/>
    <n v="341.00299999999999"/>
  </r>
  <r>
    <s v="SALE1805"/>
    <x v="40"/>
    <x v="0"/>
    <s v="CUST1366"/>
    <x v="1"/>
    <x v="1"/>
    <x v="1"/>
    <s v="PROD58"/>
    <s v="Womens Cotton Scarf"/>
    <x v="4"/>
    <s v="Accessories"/>
    <s v="STORE18"/>
    <x v="3"/>
    <x v="1"/>
    <n v="658.33"/>
    <n v="0.12"/>
    <x v="2"/>
    <b v="1"/>
    <n v="1737.9912000000002"/>
    <n v="1737.9911999999999"/>
  </r>
  <r>
    <s v="SALE1806"/>
    <x v="452"/>
    <x v="0"/>
    <s v="CUST1201"/>
    <x v="2"/>
    <x v="1"/>
    <x v="3"/>
    <s v="PROD49"/>
    <s v="Men's Roll-On Perfume"/>
    <x v="2"/>
    <s v="Fragrance"/>
    <s v="STORE11"/>
    <x v="2"/>
    <x v="2"/>
    <n v="450.3"/>
    <n v="0.02"/>
    <x v="0"/>
    <b v="1"/>
    <n v="1765.1759999999999"/>
    <n v="1765.1759999999999"/>
  </r>
  <r>
    <s v="SALE1807"/>
    <x v="234"/>
    <x v="2"/>
    <s v="CUST1145"/>
    <x v="1"/>
    <x v="0"/>
    <x v="1"/>
    <s v="PROD94"/>
    <s v="Vitamin E Body Lotion"/>
    <x v="2"/>
    <s v="Skincare"/>
    <s v="STORE10"/>
    <x v="3"/>
    <x v="2"/>
    <n v="33.630000000000003"/>
    <n v="0.05"/>
    <x v="0"/>
    <b v="1"/>
    <n v="127.794"/>
    <n v="127.794"/>
  </r>
  <r>
    <s v="SALE1808"/>
    <x v="235"/>
    <x v="0"/>
    <s v="CUST1035"/>
    <x v="0"/>
    <x v="0"/>
    <x v="2"/>
    <s v="PROD16"/>
    <s v="Beard Grooming Kit"/>
    <x v="2"/>
    <s v="Grooming"/>
    <s v="STORE0"/>
    <x v="3"/>
    <x v="1"/>
    <n v="168.89"/>
    <n v="0.03"/>
    <x v="2"/>
    <b v="1"/>
    <n v="491.46989999999994"/>
    <n v="491.46989999999988"/>
  </r>
  <r>
    <s v="SALE1809"/>
    <x v="460"/>
    <x v="0"/>
    <s v="CUST1095"/>
    <x v="0"/>
    <x v="1"/>
    <x v="1"/>
    <s v="PROD60"/>
    <s v="Luxury Perfume Spray"/>
    <x v="2"/>
    <s v="Fragrance"/>
    <s v="STORE11"/>
    <x v="2"/>
    <x v="0"/>
    <n v="141.85"/>
    <n v="0.06"/>
    <x v="1"/>
    <b v="1"/>
    <n v="133.339"/>
    <n v="133.339"/>
  </r>
  <r>
    <s v="SALE1810"/>
    <x v="296"/>
    <x v="0"/>
    <s v="CUST1306"/>
    <x v="1"/>
    <x v="0"/>
    <x v="1"/>
    <s v="PROD35"/>
    <s v="Bedroom Table Lamp"/>
    <x v="3"/>
    <s v="Lighting"/>
    <s v="STORE7"/>
    <x v="2"/>
    <x v="0"/>
    <n v="617.4"/>
    <n v="0.21"/>
    <x v="0"/>
    <b v="1"/>
    <n v="487.74599999999998"/>
    <n v="487.74599999999998"/>
  </r>
  <r>
    <s v="SALE1811"/>
    <x v="415"/>
    <x v="0"/>
    <s v="CUST1147"/>
    <x v="1"/>
    <x v="1"/>
    <x v="1"/>
    <s v="PROD53"/>
    <s v="Men's Track Pants"/>
    <x v="4"/>
    <s v="Bottoms"/>
    <s v="STORE1"/>
    <x v="0"/>
    <x v="1"/>
    <n v="841.47"/>
    <n v="0.15"/>
    <x v="2"/>
    <b v="1"/>
    <n v="2145.7484999999997"/>
    <n v="2145.7485000000001"/>
  </r>
  <r>
    <s v="SALE1812"/>
    <x v="427"/>
    <x v="0"/>
    <s v="CUST1059"/>
    <x v="0"/>
    <x v="0"/>
    <x v="1"/>
    <s v="PROD21"/>
    <s v="Multi-Purpose Storage Box"/>
    <x v="3"/>
    <s v="Storage"/>
    <s v="STORE13"/>
    <x v="3"/>
    <x v="3"/>
    <n v="960.41"/>
    <n v="0.18"/>
    <x v="0"/>
    <b v="1"/>
    <n v="1575.0724"/>
    <n v="1575.0724"/>
  </r>
  <r>
    <s v="SALE1813"/>
    <x v="671"/>
    <x v="1"/>
    <s v="CUST1451"/>
    <x v="1"/>
    <x v="0"/>
    <x v="0"/>
    <s v="PROD75"/>
    <s v="Women's Ankle Boots"/>
    <x v="4"/>
    <s v="Footwear"/>
    <s v="STORE18"/>
    <x v="3"/>
    <x v="1"/>
    <n v="717.22"/>
    <n v="0.24"/>
    <x v="1"/>
    <b v="1"/>
    <n v="1635.2615999999998"/>
    <n v="1635.2616"/>
  </r>
  <r>
    <s v="SALE1814"/>
    <x v="448"/>
    <x v="2"/>
    <s v="CUST1115"/>
    <x v="0"/>
    <x v="1"/>
    <x v="1"/>
    <s v="PROD12"/>
    <s v="Hair Strengthening Shampoo"/>
    <x v="2"/>
    <s v="Haircare"/>
    <s v="STORE0"/>
    <x v="3"/>
    <x v="0"/>
    <n v="281.83"/>
    <n v="0.16"/>
    <x v="2"/>
    <b v="1"/>
    <n v="236.73719999999997"/>
    <n v="236.7372"/>
  </r>
  <r>
    <s v="SALE1815"/>
    <x v="560"/>
    <x v="0"/>
    <s v="CUST1204"/>
    <x v="0"/>
    <x v="0"/>
    <x v="1"/>
    <s v="PROD59"/>
    <s v="Men's Hair Styling Gel"/>
    <x v="2"/>
    <s v="Haircare"/>
    <s v="STORE14"/>
    <x v="2"/>
    <x v="0"/>
    <n v="509.08"/>
    <n v="0.04"/>
    <x v="1"/>
    <b v="1"/>
    <n v="488.71679999999998"/>
    <n v="488.71679999999998"/>
  </r>
  <r>
    <s v="SALE1816"/>
    <x v="516"/>
    <x v="2"/>
    <s v="CUST1400"/>
    <x v="0"/>
    <x v="1"/>
    <x v="1"/>
    <s v="PROD96"/>
    <s v="Women's Formal Blazer"/>
    <x v="4"/>
    <s v="Outerwear"/>
    <s v="STORE2"/>
    <x v="2"/>
    <x v="2"/>
    <n v="827.09"/>
    <n v="0.3"/>
    <x v="0"/>
    <b v="1"/>
    <n v="2315.8519999999999"/>
    <n v="2315.8519999999999"/>
  </r>
  <r>
    <s v="SALE1817"/>
    <x v="672"/>
    <x v="2"/>
    <s v="CUST1210"/>
    <x v="1"/>
    <x v="0"/>
    <x v="2"/>
    <s v="PROD29"/>
    <s v="Fabric Sofa Throw Blanket"/>
    <x v="3"/>
    <s v="Decor"/>
    <s v="STORE4"/>
    <x v="2"/>
    <x v="3"/>
    <n v="823.36"/>
    <n v="0.23"/>
    <x v="0"/>
    <b v="1"/>
    <n v="1267.9744000000001"/>
    <n v="1267.9744000000001"/>
  </r>
  <r>
    <s v="SALE1818"/>
    <x v="631"/>
    <x v="2"/>
    <s v="CUST1137"/>
    <x v="0"/>
    <x v="1"/>
    <x v="1"/>
    <s v="PROD26"/>
    <s v="Wireless Bluetooth Speaker"/>
    <x v="1"/>
    <s v="Audio"/>
    <s v="STORE5"/>
    <x v="0"/>
    <x v="2"/>
    <n v="282.18"/>
    <n v="0.13"/>
    <x v="2"/>
    <b v="1"/>
    <n v="981.9864"/>
    <n v="981.9864"/>
  </r>
  <r>
    <s v="SALE1819"/>
    <x v="100"/>
    <x v="0"/>
    <s v="CUST1172"/>
    <x v="1"/>
    <x v="1"/>
    <x v="3"/>
    <s v="PROD21"/>
    <s v="Multi-Purpose Storage Box"/>
    <x v="3"/>
    <s v="Storage"/>
    <s v="STORE1"/>
    <x v="0"/>
    <x v="0"/>
    <n v="486.39"/>
    <n v="0.09"/>
    <x v="2"/>
    <b v="1"/>
    <n v="442.61489999999998"/>
    <n v="442.61489999999998"/>
  </r>
  <r>
    <s v="SALE1820"/>
    <x v="86"/>
    <x v="0"/>
    <s v="CUST1044"/>
    <x v="1"/>
    <x v="0"/>
    <x v="3"/>
    <s v="PROD18"/>
    <s v="Women's Denim Jeans"/>
    <x v="4"/>
    <s v="Bottoms"/>
    <s v="STORE3"/>
    <x v="0"/>
    <x v="3"/>
    <n v="603.62"/>
    <n v="0.18"/>
    <x v="2"/>
    <b v="1"/>
    <n v="989.93680000000006"/>
    <n v="989.93680000000006"/>
  </r>
  <r>
    <s v="SALE1821"/>
    <x v="110"/>
    <x v="0"/>
    <s v="CUST1147"/>
    <x v="1"/>
    <x v="1"/>
    <x v="1"/>
    <s v="PROD37"/>
    <s v="Men's Casual Sneakers"/>
    <x v="4"/>
    <s v="Footwear"/>
    <s v="STORE8"/>
    <x v="1"/>
    <x v="1"/>
    <n v="204.17"/>
    <n v="0.1"/>
    <x v="1"/>
    <b v="1"/>
    <n v="551.25900000000001"/>
    <n v="551.25900000000001"/>
  </r>
  <r>
    <s v="SALE1822"/>
    <x v="489"/>
    <x v="0"/>
    <s v="CUST1137"/>
    <x v="0"/>
    <x v="1"/>
    <x v="1"/>
    <s v="PROD8"/>
    <s v="Wireless Bluetooth Earbuds"/>
    <x v="1"/>
    <s v="Audio"/>
    <s v="STORE15"/>
    <x v="0"/>
    <x v="0"/>
    <n v="43.58"/>
    <n v="0.01"/>
    <x v="2"/>
    <b v="1"/>
    <n v="43.144199999999998"/>
    <n v="43.144199999999998"/>
  </r>
  <r>
    <s v="SALE1823"/>
    <x v="139"/>
    <x v="0"/>
    <s v="CUST1332"/>
    <x v="1"/>
    <x v="1"/>
    <x v="3"/>
    <s v="PROD47"/>
    <s v="Makeup Brush Set"/>
    <x v="2"/>
    <s v="Makeup"/>
    <s v="STORE2"/>
    <x v="2"/>
    <x v="1"/>
    <n v="469.33"/>
    <n v="0.14000000000000001"/>
    <x v="1"/>
    <b v="1"/>
    <n v="1210.8714"/>
    <n v="1210.8714"/>
  </r>
  <r>
    <s v="SALE1824"/>
    <x v="263"/>
    <x v="2"/>
    <s v="CUST1209"/>
    <x v="1"/>
    <x v="1"/>
    <x v="1"/>
    <s v="PROD8"/>
    <s v="Wireless Bluetooth Earbuds"/>
    <x v="1"/>
    <s v="Audio"/>
    <s v="STORE8"/>
    <x v="1"/>
    <x v="2"/>
    <n v="836.23"/>
    <n v="0.12"/>
    <x v="0"/>
    <b v="1"/>
    <n v="2943.5296000000003"/>
    <n v="2943.5295999999998"/>
  </r>
  <r>
    <s v="SALE1825"/>
    <x v="583"/>
    <x v="0"/>
    <s v="CUST1178"/>
    <x v="1"/>
    <x v="1"/>
    <x v="3"/>
    <s v="PROD67"/>
    <s v="Smart LED Light Strip"/>
    <x v="1"/>
    <s v="Accessories"/>
    <s v="STORE19"/>
    <x v="3"/>
    <x v="3"/>
    <n v="661.53"/>
    <n v="0.2"/>
    <x v="1"/>
    <b v="1"/>
    <n v="1058.4480000000001"/>
    <n v="1058.4480000000001"/>
  </r>
  <r>
    <s v="SALE1826"/>
    <x v="673"/>
    <x v="2"/>
    <s v="CUST1118"/>
    <x v="1"/>
    <x v="0"/>
    <x v="1"/>
    <s v="PROD56"/>
    <s v="Premium Blanket Throw"/>
    <x v="3"/>
    <s v="Decor"/>
    <s v="STORE16"/>
    <x v="1"/>
    <x v="1"/>
    <n v="753.47"/>
    <n v="0.25"/>
    <x v="1"/>
    <b v="1"/>
    <n v="1695.3074999999999"/>
    <n v="1695.3074999999999"/>
  </r>
  <r>
    <s v="SALE1827"/>
    <x v="435"/>
    <x v="2"/>
    <s v="CUST1156"/>
    <x v="1"/>
    <x v="0"/>
    <x v="3"/>
    <s v="PROD64"/>
    <s v="Matte Lipstick Set"/>
    <x v="2"/>
    <s v="Makeup"/>
    <s v="STORE0"/>
    <x v="3"/>
    <x v="1"/>
    <n v="713.95"/>
    <n v="0"/>
    <x v="0"/>
    <b v="1"/>
    <n v="2141.8500000000004"/>
    <n v="2141.85"/>
  </r>
  <r>
    <s v="SALE1828"/>
    <x v="511"/>
    <x v="0"/>
    <s v="CUST1099"/>
    <x v="1"/>
    <x v="0"/>
    <x v="2"/>
    <s v="PROD11"/>
    <s v="HD Smart TV Stick"/>
    <x v="1"/>
    <s v="Accessories"/>
    <s v="STORE5"/>
    <x v="0"/>
    <x v="1"/>
    <n v="596"/>
    <n v="0.28000000000000003"/>
    <x v="2"/>
    <b v="1"/>
    <n v="1287.3599999999999"/>
    <n v="1287.3599999999999"/>
  </r>
  <r>
    <s v="SALE1829"/>
    <x v="411"/>
    <x v="0"/>
    <s v="CUST1334"/>
    <x v="1"/>
    <x v="1"/>
    <x v="2"/>
    <s v="PROD9"/>
    <s v="Adjustable Dumbbell Set"/>
    <x v="0"/>
    <s v="Fitness"/>
    <s v="STORE9"/>
    <x v="2"/>
    <x v="3"/>
    <n v="169.46"/>
    <n v="0.03"/>
    <x v="1"/>
    <b v="1"/>
    <n v="328.75240000000002"/>
    <n v="328.75240000000002"/>
  </r>
  <r>
    <s v="SALE1830"/>
    <x v="321"/>
    <x v="2"/>
    <s v="CUST1300"/>
    <x v="2"/>
    <x v="0"/>
    <x v="2"/>
    <s v="PROD65"/>
    <s v="Adjustable Dumbbells 20kg"/>
    <x v="0"/>
    <s v="Fitness"/>
    <s v="STORE14"/>
    <x v="2"/>
    <x v="2"/>
    <n v="611.91999999999996"/>
    <n v="0.2"/>
    <x v="1"/>
    <b v="1"/>
    <n v="1958.144"/>
    <n v="1958.144"/>
  </r>
  <r>
    <s v="SALE1831"/>
    <x v="563"/>
    <x v="2"/>
    <s v="CUST1003"/>
    <x v="0"/>
    <x v="1"/>
    <x v="3"/>
    <s v="PROD74"/>
    <s v="Bluetooth Car Audio System"/>
    <x v="1"/>
    <s v="Audio"/>
    <s v="STORE15"/>
    <x v="0"/>
    <x v="3"/>
    <n v="25.3"/>
    <n v="0.21"/>
    <x v="0"/>
    <b v="1"/>
    <n v="39.974000000000004"/>
    <n v="39.973999999999997"/>
  </r>
  <r>
    <s v="SALE1832"/>
    <x v="179"/>
    <x v="0"/>
    <s v="CUST1433"/>
    <x v="0"/>
    <x v="1"/>
    <x v="2"/>
    <s v="PROD73"/>
    <s v="Shin Guards – Adult"/>
    <x v="0"/>
    <s v="Team Sports"/>
    <s v="STORE10"/>
    <x v="3"/>
    <x v="2"/>
    <n v="166.93"/>
    <n v="0.02"/>
    <x v="1"/>
    <b v="1"/>
    <n v="654.36559999999997"/>
    <n v="654.36559999999997"/>
  </r>
  <r>
    <s v="SALE1833"/>
    <x v="237"/>
    <x v="2"/>
    <s v="CUST1280"/>
    <x v="1"/>
    <x v="0"/>
    <x v="3"/>
    <s v="PROD60"/>
    <s v="Luxury Perfume Spray"/>
    <x v="2"/>
    <s v="Fragrance"/>
    <s v="STORE11"/>
    <x v="2"/>
    <x v="2"/>
    <n v="861.55"/>
    <n v="0.12"/>
    <x v="0"/>
    <b v="1"/>
    <n v="3032.6559999999999"/>
    <n v="3032.6559999999999"/>
  </r>
  <r>
    <s v="SALE1834"/>
    <x v="253"/>
    <x v="2"/>
    <s v="CUST1360"/>
    <x v="1"/>
    <x v="0"/>
    <x v="1"/>
    <s v="PROD43"/>
    <s v="USB External Hard Drive"/>
    <x v="1"/>
    <s v="Computer"/>
    <s v="STORE5"/>
    <x v="0"/>
    <x v="1"/>
    <n v="56.17"/>
    <n v="0.01"/>
    <x v="2"/>
    <b v="1"/>
    <n v="166.82489999999999"/>
    <n v="166.82490000000001"/>
  </r>
  <r>
    <s v="SALE1835"/>
    <x v="589"/>
    <x v="2"/>
    <s v="CUST1266"/>
    <x v="1"/>
    <x v="1"/>
    <x v="3"/>
    <s v="PROD15"/>
    <s v="4K Home Projector"/>
    <x v="1"/>
    <s v="Appliances"/>
    <s v="STORE19"/>
    <x v="3"/>
    <x v="0"/>
    <n v="582.29"/>
    <n v="0.2"/>
    <x v="0"/>
    <b v="1"/>
    <n v="465.83199999999999"/>
    <n v="465.83199999999999"/>
  </r>
  <r>
    <s v="SALE1836"/>
    <x v="551"/>
    <x v="2"/>
    <s v="CUST1261"/>
    <x v="2"/>
    <x v="1"/>
    <x v="2"/>
    <s v="PROD83"/>
    <s v="Hydrating Face Cleanser"/>
    <x v="2"/>
    <s v="Skincare"/>
    <s v="STORE0"/>
    <x v="3"/>
    <x v="1"/>
    <n v="63.96"/>
    <n v="0.02"/>
    <x v="0"/>
    <b v="1"/>
    <n v="188.04239999999999"/>
    <n v="188.04239999999999"/>
  </r>
  <r>
    <s v="SALE1837"/>
    <x v="130"/>
    <x v="0"/>
    <s v="CUST1065"/>
    <x v="2"/>
    <x v="1"/>
    <x v="2"/>
    <s v="PROD9"/>
    <s v="Adjustable Dumbbell Set"/>
    <x v="0"/>
    <s v="Fitness"/>
    <s v="STORE12"/>
    <x v="0"/>
    <x v="0"/>
    <n v="829.83"/>
    <n v="0.26"/>
    <x v="2"/>
    <b v="1"/>
    <n v="614.07420000000002"/>
    <n v="614.07420000000002"/>
  </r>
  <r>
    <s v="SALE1838"/>
    <x v="426"/>
    <x v="0"/>
    <s v="CUST1370"/>
    <x v="1"/>
    <x v="0"/>
    <x v="2"/>
    <s v="PROD34"/>
    <s v="Gaming Mechanical Keyboard"/>
    <x v="1"/>
    <s v="Computer"/>
    <s v="STORE16"/>
    <x v="1"/>
    <x v="3"/>
    <n v="858.15"/>
    <n v="0.03"/>
    <x v="0"/>
    <b v="1"/>
    <n v="1664.8109999999999"/>
    <n v="1664.8109999999999"/>
  </r>
  <r>
    <s v="SALE1839"/>
    <x v="481"/>
    <x v="0"/>
    <s v="CUST1359"/>
    <x v="1"/>
    <x v="0"/>
    <x v="2"/>
    <s v="PROD73"/>
    <s v="Shin Guards – Adult"/>
    <x v="0"/>
    <s v="Team Sports"/>
    <s v="STORE13"/>
    <x v="3"/>
    <x v="1"/>
    <n v="717.32"/>
    <n v="0.23"/>
    <x v="2"/>
    <b v="1"/>
    <n v="1657.0092"/>
    <n v="1657.0092"/>
  </r>
  <r>
    <s v="SALE1840"/>
    <x v="319"/>
    <x v="2"/>
    <s v="CUST1428"/>
    <x v="2"/>
    <x v="1"/>
    <x v="3"/>
    <s v="PROD83"/>
    <s v="Hydrating Face Cleanser"/>
    <x v="2"/>
    <s v="Skincare"/>
    <s v="STORE12"/>
    <x v="0"/>
    <x v="0"/>
    <n v="163.19999999999999"/>
    <n v="0.22"/>
    <x v="1"/>
    <b v="1"/>
    <n v="127.29599999999999"/>
    <n v="127.29600000000001"/>
  </r>
  <r>
    <s v="SALE1841"/>
    <x v="282"/>
    <x v="0"/>
    <s v="CUST1126"/>
    <x v="0"/>
    <x v="1"/>
    <x v="0"/>
    <s v="PROD81"/>
    <s v="Badminton Racket Set"/>
    <x v="0"/>
    <s v="Equipment"/>
    <s v="STORE12"/>
    <x v="0"/>
    <x v="3"/>
    <n v="966.71"/>
    <n v="0.11"/>
    <x v="0"/>
    <b v="1"/>
    <n v="1720.7438000000002"/>
    <n v="1720.7438"/>
  </r>
  <r>
    <s v="SALE1842"/>
    <x v="533"/>
    <x v="2"/>
    <s v="CUST1348"/>
    <x v="0"/>
    <x v="0"/>
    <x v="2"/>
    <s v="PROD35"/>
    <s v="Bedroom Table Lamp"/>
    <x v="3"/>
    <s v="Lighting"/>
    <s v="STORE13"/>
    <x v="3"/>
    <x v="3"/>
    <n v="873.94"/>
    <n v="0.14000000000000001"/>
    <x v="2"/>
    <b v="1"/>
    <n v="1503.1768"/>
    <n v="1503.1768"/>
  </r>
  <r>
    <s v="SALE1843"/>
    <x v="411"/>
    <x v="0"/>
    <s v="CUST1149"/>
    <x v="1"/>
    <x v="0"/>
    <x v="1"/>
    <s v="PROD0"/>
    <s v="Brother Laser Printer"/>
    <x v="1"/>
    <s v="Computer"/>
    <s v="STORE3"/>
    <x v="0"/>
    <x v="0"/>
    <n v="140.24"/>
    <n v="0.27"/>
    <x v="0"/>
    <b v="1"/>
    <n v="102.37520000000001"/>
    <n v="102.37520000000001"/>
  </r>
  <r>
    <s v="SALE1844"/>
    <x v="59"/>
    <x v="2"/>
    <s v="CUST1201"/>
    <x v="2"/>
    <x v="1"/>
    <x v="3"/>
    <s v="PROD43"/>
    <s v="USB External Hard Drive"/>
    <x v="1"/>
    <s v="Computer"/>
    <s v="STORE5"/>
    <x v="0"/>
    <x v="3"/>
    <n v="549.91999999999996"/>
    <n v="0.28000000000000003"/>
    <x v="0"/>
    <b v="1"/>
    <n v="791.88479999999993"/>
    <n v="791.88479999999993"/>
  </r>
  <r>
    <s v="SALE1845"/>
    <x v="344"/>
    <x v="0"/>
    <s v="CUST1111"/>
    <x v="2"/>
    <x v="1"/>
    <x v="1"/>
    <s v="PROD17"/>
    <s v="Soccer Training Cone Set"/>
    <x v="0"/>
    <s v="Accessories"/>
    <s v="STORE5"/>
    <x v="0"/>
    <x v="2"/>
    <n v="715.88"/>
    <n v="0.19"/>
    <x v="1"/>
    <b v="1"/>
    <n v="2319.4512"/>
    <n v="2319.4512"/>
  </r>
  <r>
    <s v="SALE1846"/>
    <x v="385"/>
    <x v="2"/>
    <s v="CUST1371"/>
    <x v="2"/>
    <x v="1"/>
    <x v="1"/>
    <s v="PROD2"/>
    <s v="Women's Casual Hoodie"/>
    <x v="4"/>
    <s v="Outerwear"/>
    <s v="STORE8"/>
    <x v="1"/>
    <x v="1"/>
    <n v="591.9"/>
    <n v="0.27"/>
    <x v="0"/>
    <b v="1"/>
    <n v="1296.2609999999997"/>
    <n v="1296.261"/>
  </r>
  <r>
    <s v="SALE1847"/>
    <x v="144"/>
    <x v="2"/>
    <s v="CUST1375"/>
    <x v="2"/>
    <x v="0"/>
    <x v="1"/>
    <s v="PROD22"/>
    <s v="Carbon Fiber Tennis Racket"/>
    <x v="0"/>
    <s v="Equipment"/>
    <s v="STORE10"/>
    <x v="3"/>
    <x v="3"/>
    <n v="523.14"/>
    <n v="0.13"/>
    <x v="1"/>
    <b v="1"/>
    <n v="910.2636"/>
    <n v="910.2636"/>
  </r>
  <r>
    <s v="SALE1848"/>
    <x v="471"/>
    <x v="0"/>
    <s v="CUST1226"/>
    <x v="0"/>
    <x v="0"/>
    <x v="0"/>
    <s v="PROD69"/>
    <s v="Men's Sports Shorts"/>
    <x v="4"/>
    <s v="Bottoms"/>
    <s v="STORE14"/>
    <x v="2"/>
    <x v="3"/>
    <n v="478.62"/>
    <n v="0.17"/>
    <x v="2"/>
    <b v="1"/>
    <n v="794.50919999999996"/>
    <n v="794.50919999999996"/>
  </r>
  <r>
    <s v="SALE1849"/>
    <x v="90"/>
    <x v="0"/>
    <s v="CUST1299"/>
    <x v="1"/>
    <x v="1"/>
    <x v="1"/>
    <s v="PROD82"/>
    <s v="Fitness Resistance Bands"/>
    <x v="0"/>
    <s v="Fitness"/>
    <s v="STORE1"/>
    <x v="0"/>
    <x v="2"/>
    <n v="740.5"/>
    <n v="0.17"/>
    <x v="1"/>
    <b v="1"/>
    <n v="2458.46"/>
    <n v="2458.46"/>
  </r>
  <r>
    <s v="SALE1850"/>
    <x v="180"/>
    <x v="0"/>
    <s v="CUST1112"/>
    <x v="2"/>
    <x v="1"/>
    <x v="2"/>
    <s v="PROD46"/>
    <s v="Men's Winter Jacket"/>
    <x v="4"/>
    <s v="Outerwear"/>
    <s v="STORE2"/>
    <x v="2"/>
    <x v="0"/>
    <n v="780.24"/>
    <n v="0.04"/>
    <x v="2"/>
    <b v="1"/>
    <n v="749.03039999999999"/>
    <n v="749.03039999999999"/>
  </r>
  <r>
    <s v="SALE1851"/>
    <x v="25"/>
    <x v="0"/>
    <s v="CUST1107"/>
    <x v="0"/>
    <x v="1"/>
    <x v="1"/>
    <s v="PROD70"/>
    <s v="Kitchen Storage Rack"/>
    <x v="3"/>
    <s v="Storage"/>
    <s v="STORE16"/>
    <x v="1"/>
    <x v="2"/>
    <n v="579.24"/>
    <n v="0.04"/>
    <x v="2"/>
    <b v="1"/>
    <n v="2224.2815999999998"/>
    <n v="2224.2815999999998"/>
  </r>
  <r>
    <s v="SALE1852"/>
    <x v="36"/>
    <x v="0"/>
    <s v="CUST1371"/>
    <x v="2"/>
    <x v="1"/>
    <x v="1"/>
    <s v="PROD1"/>
    <s v="Men's Graphic T-Shirt"/>
    <x v="4"/>
    <s v="Tops"/>
    <s v="STORE2"/>
    <x v="2"/>
    <x v="1"/>
    <n v="268.95"/>
    <n v="0.04"/>
    <x v="1"/>
    <b v="1"/>
    <n v="774.57599999999991"/>
    <n v="774.57599999999991"/>
  </r>
  <r>
    <s v="SALE1853"/>
    <x v="459"/>
    <x v="2"/>
    <s v="CUST1305"/>
    <x v="0"/>
    <x v="0"/>
    <x v="1"/>
    <s v="PROD5"/>
    <s v="Men's Leather Belt"/>
    <x v="4"/>
    <s v="Accessories"/>
    <s v="STORE4"/>
    <x v="2"/>
    <x v="0"/>
    <n v="47.47"/>
    <n v="0.28000000000000003"/>
    <x v="0"/>
    <b v="1"/>
    <n v="34.178399999999996"/>
    <n v="34.178400000000003"/>
  </r>
  <r>
    <s v="SALE1854"/>
    <x v="254"/>
    <x v="2"/>
    <s v="CUST1257"/>
    <x v="1"/>
    <x v="0"/>
    <x v="2"/>
    <s v="PROD33"/>
    <s v="Modern Wall Clock"/>
    <x v="3"/>
    <s v="Decor"/>
    <s v="STORE17"/>
    <x v="0"/>
    <x v="1"/>
    <n v="858.81"/>
    <n v="7.0000000000000007E-2"/>
    <x v="0"/>
    <b v="1"/>
    <n v="2396.0798999999997"/>
    <n v="2396.0799000000002"/>
  </r>
  <r>
    <s v="SALE1855"/>
    <x v="27"/>
    <x v="2"/>
    <s v="CUST1310"/>
    <x v="2"/>
    <x v="0"/>
    <x v="2"/>
    <s v="PROD19"/>
    <s v="Knee Support Brace"/>
    <x v="0"/>
    <s v="Equipment"/>
    <s v="STORE10"/>
    <x v="3"/>
    <x v="1"/>
    <n v="569.98"/>
    <n v="0.05"/>
    <x v="0"/>
    <b v="1"/>
    <n v="1624.443"/>
    <n v="1624.443"/>
  </r>
  <r>
    <s v="SALE1856"/>
    <x v="247"/>
    <x v="0"/>
    <s v="CUST1327"/>
    <x v="0"/>
    <x v="1"/>
    <x v="3"/>
    <s v="PROD74"/>
    <s v="Bluetooth Car Audio System"/>
    <x v="1"/>
    <s v="Audio"/>
    <s v="STORE12"/>
    <x v="0"/>
    <x v="1"/>
    <n v="306.52"/>
    <n v="0.01"/>
    <x v="2"/>
    <b v="1"/>
    <n v="910.36439999999993"/>
    <n v="910.36439999999993"/>
  </r>
  <r>
    <s v="SALE1857"/>
    <x v="166"/>
    <x v="0"/>
    <s v="CUST1064"/>
    <x v="1"/>
    <x v="0"/>
    <x v="0"/>
    <s v="PROD56"/>
    <s v="Premium Blanket Throw"/>
    <x v="3"/>
    <s v="Decor"/>
    <s v="STORE13"/>
    <x v="3"/>
    <x v="1"/>
    <n v="184.67"/>
    <n v="0.03"/>
    <x v="2"/>
    <b v="1"/>
    <n v="537.38969999999995"/>
    <n v="537.38969999999995"/>
  </r>
  <r>
    <s v="SALE1858"/>
    <x v="504"/>
    <x v="0"/>
    <s v="CUST1482"/>
    <x v="2"/>
    <x v="0"/>
    <x v="1"/>
    <s v="PROD26"/>
    <s v="Wireless Bluetooth Speaker"/>
    <x v="1"/>
    <s v="Audio"/>
    <s v="STORE5"/>
    <x v="0"/>
    <x v="2"/>
    <n v="189.56"/>
    <n v="0"/>
    <x v="2"/>
    <b v="1"/>
    <n v="758.24"/>
    <n v="758.24"/>
  </r>
  <r>
    <s v="SALE1859"/>
    <x v="650"/>
    <x v="0"/>
    <s v="CUST1208"/>
    <x v="0"/>
    <x v="0"/>
    <x v="1"/>
    <s v="PROD75"/>
    <s v="Women's Ankle Boots"/>
    <x v="4"/>
    <s v="Footwear"/>
    <s v="STORE5"/>
    <x v="0"/>
    <x v="0"/>
    <n v="805.24"/>
    <n v="0.04"/>
    <x v="1"/>
    <b v="1"/>
    <n v="773.03039999999999"/>
    <n v="773.03039999999999"/>
  </r>
  <r>
    <s v="SALE1860"/>
    <x v="583"/>
    <x v="0"/>
    <s v="CUST1188"/>
    <x v="1"/>
    <x v="0"/>
    <x v="2"/>
    <s v="PROD54"/>
    <s v="Sports Stopwatch Pro"/>
    <x v="0"/>
    <s v="Accessories"/>
    <s v="STORE17"/>
    <x v="0"/>
    <x v="1"/>
    <n v="683.74"/>
    <n v="0.24"/>
    <x v="0"/>
    <b v="1"/>
    <n v="1558.9272000000003"/>
    <n v="1558.9272000000001"/>
  </r>
  <r>
    <s v="SALE1861"/>
    <x v="133"/>
    <x v="0"/>
    <s v="CUST1210"/>
    <x v="1"/>
    <x v="0"/>
    <x v="2"/>
    <s v="PROD56"/>
    <s v="Premium Blanket Throw"/>
    <x v="3"/>
    <s v="Decor"/>
    <s v="STORE18"/>
    <x v="3"/>
    <x v="1"/>
    <n v="439.21"/>
    <n v="0.28000000000000003"/>
    <x v="2"/>
    <b v="1"/>
    <n v="948.69359999999983"/>
    <n v="948.69359999999983"/>
  </r>
  <r>
    <s v="SALE1862"/>
    <x v="173"/>
    <x v="2"/>
    <s v="CUST1119"/>
    <x v="1"/>
    <x v="0"/>
    <x v="3"/>
    <s v="PROD66"/>
    <s v="Women's Hair Dryer Brush"/>
    <x v="2"/>
    <s v="Haircare"/>
    <s v="STORE6"/>
    <x v="3"/>
    <x v="0"/>
    <n v="126.92"/>
    <n v="0.24"/>
    <x v="2"/>
    <b v="1"/>
    <n v="96.459199999999996"/>
    <n v="96.459199999999996"/>
  </r>
  <r>
    <s v="SALE1863"/>
    <x v="282"/>
    <x v="0"/>
    <s v="CUST1004"/>
    <x v="0"/>
    <x v="1"/>
    <x v="2"/>
    <s v="PROD73"/>
    <s v="Shin Guards – Adult"/>
    <x v="0"/>
    <s v="Team Sports"/>
    <s v="STORE4"/>
    <x v="2"/>
    <x v="2"/>
    <n v="834.7"/>
    <n v="0.14000000000000001"/>
    <x v="0"/>
    <b v="1"/>
    <n v="2871.3679999999999"/>
    <n v="2871.3679999999999"/>
  </r>
  <r>
    <s v="SALE1864"/>
    <x v="318"/>
    <x v="2"/>
    <s v="CUST1341"/>
    <x v="0"/>
    <x v="1"/>
    <x v="3"/>
    <s v="PROD42"/>
    <s v="Smart Home WiFi Camera"/>
    <x v="1"/>
    <s v="Accessories"/>
    <s v="STORE11"/>
    <x v="2"/>
    <x v="3"/>
    <n v="271.88"/>
    <n v="0.11"/>
    <x v="2"/>
    <b v="1"/>
    <n v="483.94639999999998"/>
    <n v="483.94639999999998"/>
  </r>
  <r>
    <s v="SALE1865"/>
    <x v="554"/>
    <x v="2"/>
    <s v="CUST1480"/>
    <x v="1"/>
    <x v="0"/>
    <x v="3"/>
    <s v="PROD11"/>
    <s v="HD Smart TV Stick"/>
    <x v="1"/>
    <s v="Accessories"/>
    <s v="STORE1"/>
    <x v="0"/>
    <x v="2"/>
    <n v="972.14"/>
    <n v="0.25"/>
    <x v="0"/>
    <b v="1"/>
    <n v="2916.42"/>
    <n v="2916.42"/>
  </r>
  <r>
    <s v="SALE1866"/>
    <x v="668"/>
    <x v="2"/>
    <s v="CUST1093"/>
    <x v="2"/>
    <x v="1"/>
    <x v="0"/>
    <s v="PROD43"/>
    <s v="USB External Hard Drive"/>
    <x v="1"/>
    <s v="Computer"/>
    <s v="STORE4"/>
    <x v="2"/>
    <x v="1"/>
    <n v="523.66"/>
    <n v="0.27"/>
    <x v="1"/>
    <b v="1"/>
    <n v="1146.8154"/>
    <n v="1146.8154"/>
  </r>
  <r>
    <s v="SALE1867"/>
    <x v="392"/>
    <x v="0"/>
    <s v="CUST1148"/>
    <x v="1"/>
    <x v="1"/>
    <x v="3"/>
    <s v="PROD64"/>
    <s v="Matte Lipstick Set"/>
    <x v="2"/>
    <s v="Makeup"/>
    <s v="STORE2"/>
    <x v="2"/>
    <x v="2"/>
    <n v="838.99"/>
    <n v="0.16"/>
    <x v="0"/>
    <b v="1"/>
    <n v="2819.0063999999998"/>
    <n v="2819.0064000000002"/>
  </r>
  <r>
    <s v="SALE1868"/>
    <x v="578"/>
    <x v="2"/>
    <s v="CUST1135"/>
    <x v="1"/>
    <x v="1"/>
    <x v="1"/>
    <s v="PROD11"/>
    <s v="HD Smart TV Stick"/>
    <x v="1"/>
    <s v="Accessories"/>
    <s v="STORE17"/>
    <x v="0"/>
    <x v="2"/>
    <n v="838.7"/>
    <n v="0.21"/>
    <x v="2"/>
    <b v="1"/>
    <n v="2650.2920000000004"/>
    <n v="2650.2919999999999"/>
  </r>
  <r>
    <s v="SALE1869"/>
    <x v="473"/>
    <x v="2"/>
    <s v="CUST1420"/>
    <x v="0"/>
    <x v="0"/>
    <x v="3"/>
    <s v="PROD74"/>
    <s v="Bluetooth Car Audio System"/>
    <x v="1"/>
    <s v="Audio"/>
    <s v="STORE8"/>
    <x v="1"/>
    <x v="1"/>
    <n v="943.24"/>
    <n v="0.21"/>
    <x v="0"/>
    <b v="1"/>
    <n v="2235.4788000000003"/>
    <n v="2235.4787999999999"/>
  </r>
  <r>
    <s v="SALE1870"/>
    <x v="616"/>
    <x v="2"/>
    <s v="CUST1299"/>
    <x v="1"/>
    <x v="1"/>
    <x v="1"/>
    <s v="PROD0"/>
    <s v="Brother Laser Printer"/>
    <x v="1"/>
    <s v="Computer"/>
    <s v="STORE17"/>
    <x v="0"/>
    <x v="3"/>
    <n v="310.33"/>
    <n v="0.26"/>
    <x v="0"/>
    <b v="1"/>
    <n v="459.28839999999997"/>
    <n v="459.28840000000002"/>
  </r>
  <r>
    <s v="SALE1871"/>
    <x v="286"/>
    <x v="0"/>
    <s v="CUST1346"/>
    <x v="0"/>
    <x v="1"/>
    <x v="1"/>
    <s v="PROD45"/>
    <s v="High-Grip Football"/>
    <x v="0"/>
    <s v="Team Sports"/>
    <s v="STORE0"/>
    <x v="3"/>
    <x v="1"/>
    <n v="201.05"/>
    <n v="0.23"/>
    <x v="1"/>
    <b v="1"/>
    <n v="464.42550000000006"/>
    <n v="464.42550000000011"/>
  </r>
  <r>
    <s v="SALE1872"/>
    <x v="674"/>
    <x v="0"/>
    <s v="CUST1252"/>
    <x v="2"/>
    <x v="0"/>
    <x v="2"/>
    <s v="PROD58"/>
    <s v="Womens Cotton Scarf"/>
    <x v="4"/>
    <s v="Accessories"/>
    <s v="STORE17"/>
    <x v="0"/>
    <x v="0"/>
    <n v="803.37"/>
    <n v="0.3"/>
    <x v="1"/>
    <b v="1"/>
    <n v="562.35899999999992"/>
    <n v="562.35899999999992"/>
  </r>
  <r>
    <s v="SALE1873"/>
    <x v="115"/>
    <x v="2"/>
    <s v="CUST1036"/>
    <x v="2"/>
    <x v="1"/>
    <x v="0"/>
    <s v="PROD61"/>
    <s v="Tennis Ball 3-Pack"/>
    <x v="0"/>
    <s v="Equipment"/>
    <s v="STORE15"/>
    <x v="0"/>
    <x v="1"/>
    <n v="259.98"/>
    <n v="7.0000000000000007E-2"/>
    <x v="2"/>
    <b v="1"/>
    <n v="725.3442"/>
    <n v="725.3442"/>
  </r>
  <r>
    <s v="SALE1874"/>
    <x v="601"/>
    <x v="0"/>
    <s v="CUST1124"/>
    <x v="2"/>
    <x v="0"/>
    <x v="3"/>
    <s v="PROD2"/>
    <s v="Women's Casual Hoodie"/>
    <x v="4"/>
    <s v="Outerwear"/>
    <s v="STORE3"/>
    <x v="0"/>
    <x v="2"/>
    <n v="591.9"/>
    <n v="0.2"/>
    <x v="1"/>
    <b v="1"/>
    <n v="1894.08"/>
    <n v="1894.08"/>
  </r>
  <r>
    <s v="SALE1875"/>
    <x v="536"/>
    <x v="2"/>
    <s v="CUST1031"/>
    <x v="1"/>
    <x v="0"/>
    <x v="2"/>
    <s v="PROD60"/>
    <s v="Luxury Perfume Spray"/>
    <x v="2"/>
    <s v="Fragrance"/>
    <s v="STORE12"/>
    <x v="0"/>
    <x v="3"/>
    <n v="396.9"/>
    <n v="0.18"/>
    <x v="1"/>
    <b v="1"/>
    <n v="650.91600000000005"/>
    <n v="650.91600000000005"/>
  </r>
  <r>
    <s v="SALE1876"/>
    <x v="201"/>
    <x v="2"/>
    <s v="CUST1453"/>
    <x v="0"/>
    <x v="1"/>
    <x v="1"/>
    <s v="PROD98"/>
    <s v="Portable Bluetooth Speaker"/>
    <x v="1"/>
    <s v="Audio"/>
    <s v="STORE2"/>
    <x v="2"/>
    <x v="0"/>
    <n v="176.84"/>
    <n v="0.19"/>
    <x v="0"/>
    <b v="1"/>
    <n v="143.24040000000002"/>
    <n v="143.24039999999999"/>
  </r>
  <r>
    <s v="SALE1877"/>
    <x v="539"/>
    <x v="1"/>
    <s v="CUST1254"/>
    <x v="1"/>
    <x v="0"/>
    <x v="2"/>
    <s v="PROD26"/>
    <s v="Wireless Bluetooth Speaker"/>
    <x v="1"/>
    <s v="Audio"/>
    <s v="STORE0"/>
    <x v="3"/>
    <x v="3"/>
    <n v="614.21"/>
    <n v="0.11"/>
    <x v="1"/>
    <b v="1"/>
    <n v="1093.2938000000001"/>
    <n v="1093.2937999999999"/>
  </r>
  <r>
    <s v="SALE1878"/>
    <x v="675"/>
    <x v="0"/>
    <s v="CUST1108"/>
    <x v="1"/>
    <x v="0"/>
    <x v="3"/>
    <s v="PROD3"/>
    <s v="Men's Running Jacket"/>
    <x v="4"/>
    <s v="Outerwear"/>
    <s v="STORE7"/>
    <x v="2"/>
    <x v="1"/>
    <n v="604.66"/>
    <n v="0.18"/>
    <x v="2"/>
    <b v="1"/>
    <n v="1487.4636"/>
    <n v="1487.4636"/>
  </r>
  <r>
    <s v="SALE1879"/>
    <x v="415"/>
    <x v="0"/>
    <s v="CUST1498"/>
    <x v="1"/>
    <x v="0"/>
    <x v="2"/>
    <s v="PROD2"/>
    <s v="Women's Casual Hoodie"/>
    <x v="4"/>
    <s v="Outerwear"/>
    <s v="STORE12"/>
    <x v="0"/>
    <x v="1"/>
    <n v="24.29"/>
    <n v="0.12"/>
    <x v="1"/>
    <b v="1"/>
    <n v="64.125600000000006"/>
    <n v="64.125600000000006"/>
  </r>
  <r>
    <s v="SALE1880"/>
    <x v="107"/>
    <x v="0"/>
    <s v="CUST1121"/>
    <x v="0"/>
    <x v="0"/>
    <x v="1"/>
    <s v="PROD63"/>
    <s v="Organic Sunscreen Lotion"/>
    <x v="2"/>
    <s v="Skincare"/>
    <s v="STORE11"/>
    <x v="2"/>
    <x v="0"/>
    <n v="503.95"/>
    <n v="0.24"/>
    <x v="1"/>
    <b v="1"/>
    <n v="383.00200000000001"/>
    <n v="383.00200000000001"/>
  </r>
  <r>
    <s v="SALE1881"/>
    <x v="235"/>
    <x v="0"/>
    <s v="CUST1319"/>
    <x v="0"/>
    <x v="0"/>
    <x v="1"/>
    <s v="PROD51"/>
    <s v="HDMI Cable – 2m"/>
    <x v="1"/>
    <s v="Accessories"/>
    <s v="STORE14"/>
    <x v="2"/>
    <x v="2"/>
    <n v="860.78"/>
    <n v="0.03"/>
    <x v="0"/>
    <b v="1"/>
    <n v="3339.8263999999999"/>
    <n v="3339.8263999999999"/>
  </r>
  <r>
    <s v="SALE1882"/>
    <x v="610"/>
    <x v="1"/>
    <s v="CUST1197"/>
    <x v="1"/>
    <x v="1"/>
    <x v="1"/>
    <s v="PROD42"/>
    <s v="Smart Home WiFi Camera"/>
    <x v="1"/>
    <s v="Accessories"/>
    <s v="STORE3"/>
    <x v="0"/>
    <x v="1"/>
    <n v="41.97"/>
    <n v="0.03"/>
    <x v="2"/>
    <b v="1"/>
    <n v="122.1327"/>
    <n v="122.1327"/>
  </r>
  <r>
    <s v="SALE1883"/>
    <x v="433"/>
    <x v="0"/>
    <s v="CUST1033"/>
    <x v="2"/>
    <x v="0"/>
    <x v="1"/>
    <s v="PROD15"/>
    <s v="4K Home Projector"/>
    <x v="1"/>
    <s v="Appliances"/>
    <s v="STORE5"/>
    <x v="0"/>
    <x v="0"/>
    <n v="649.59"/>
    <n v="0.12"/>
    <x v="2"/>
    <b v="1"/>
    <n v="571.63920000000007"/>
    <n v="571.63920000000007"/>
  </r>
  <r>
    <s v="SALE1884"/>
    <x v="137"/>
    <x v="0"/>
    <s v="CUST1053"/>
    <x v="1"/>
    <x v="1"/>
    <x v="0"/>
    <s v="PROD63"/>
    <s v="Organic Sunscreen Lotion"/>
    <x v="2"/>
    <s v="Skincare"/>
    <s v="STORE9"/>
    <x v="2"/>
    <x v="3"/>
    <n v="386.09"/>
    <n v="0.19"/>
    <x v="1"/>
    <b v="1"/>
    <n v="625.46579999999994"/>
    <n v="625.46579999999994"/>
  </r>
  <r>
    <s v="SALE1885"/>
    <x v="350"/>
    <x v="0"/>
    <s v="CUST1099"/>
    <x v="1"/>
    <x v="0"/>
    <x v="2"/>
    <s v="PROD51"/>
    <s v="HDMI Cable – 2m"/>
    <x v="1"/>
    <s v="Accessories"/>
    <s v="STORE12"/>
    <x v="0"/>
    <x v="0"/>
    <n v="891.62"/>
    <n v="0.06"/>
    <x v="1"/>
    <b v="1"/>
    <n v="838.12279999999998"/>
    <n v="838.12279999999998"/>
  </r>
  <r>
    <s v="SALE1886"/>
    <x v="136"/>
    <x v="0"/>
    <s v="CUST1381"/>
    <x v="1"/>
    <x v="0"/>
    <x v="2"/>
    <s v="PROD64"/>
    <s v="Matte Lipstick Set"/>
    <x v="2"/>
    <s v="Makeup"/>
    <s v="STORE15"/>
    <x v="0"/>
    <x v="3"/>
    <n v="558.9"/>
    <n v="0.05"/>
    <x v="2"/>
    <b v="1"/>
    <n v="1061.9099999999999"/>
    <n v="1061.9100000000001"/>
  </r>
  <r>
    <s v="SALE1887"/>
    <x v="343"/>
    <x v="2"/>
    <s v="CUST1352"/>
    <x v="0"/>
    <x v="1"/>
    <x v="2"/>
    <s v="PROD1"/>
    <s v="Men's Graphic T-Shirt"/>
    <x v="4"/>
    <s v="Tops"/>
    <s v="STORE3"/>
    <x v="0"/>
    <x v="3"/>
    <n v="99.04"/>
    <n v="0.26"/>
    <x v="2"/>
    <b v="1"/>
    <n v="146.57920000000001"/>
    <n v="146.57919999999999"/>
  </r>
  <r>
    <s v="SALE1888"/>
    <x v="459"/>
    <x v="2"/>
    <s v="CUST1291"/>
    <x v="1"/>
    <x v="1"/>
    <x v="3"/>
    <s v="PROD3"/>
    <s v="Men's Running Jacket"/>
    <x v="4"/>
    <s v="Outerwear"/>
    <s v="STORE8"/>
    <x v="1"/>
    <x v="2"/>
    <n v="625.13"/>
    <n v="0.06"/>
    <x v="0"/>
    <b v="1"/>
    <n v="2350.4887999999996"/>
    <n v="2350.4888000000001"/>
  </r>
  <r>
    <s v="SALE1889"/>
    <x v="317"/>
    <x v="2"/>
    <s v="CUST1036"/>
    <x v="2"/>
    <x v="1"/>
    <x v="0"/>
    <s v="PROD40"/>
    <s v="Noise-Canceling Headphones"/>
    <x v="1"/>
    <s v="Audio"/>
    <s v="STORE18"/>
    <x v="3"/>
    <x v="2"/>
    <n v="38.380000000000003"/>
    <n v="0.16"/>
    <x v="2"/>
    <b v="1"/>
    <n v="128.95680000000002"/>
    <n v="128.95679999999999"/>
  </r>
  <r>
    <s v="SALE1890"/>
    <x v="676"/>
    <x v="0"/>
    <s v="CUST1492"/>
    <x v="0"/>
    <x v="1"/>
    <x v="1"/>
    <s v="PROD94"/>
    <s v="Vitamin E Body Lotion"/>
    <x v="2"/>
    <s v="Skincare"/>
    <s v="STORE10"/>
    <x v="3"/>
    <x v="2"/>
    <n v="731.72"/>
    <n v="0.22"/>
    <x v="2"/>
    <b v="1"/>
    <n v="2282.9664000000002"/>
    <n v="2282.9663999999998"/>
  </r>
  <r>
    <s v="SALE1891"/>
    <x v="120"/>
    <x v="2"/>
    <s v="CUST1457"/>
    <x v="0"/>
    <x v="0"/>
    <x v="1"/>
    <s v="PROD81"/>
    <s v="Badminton Racket Set"/>
    <x v="0"/>
    <s v="Equipment"/>
    <s v="STORE19"/>
    <x v="3"/>
    <x v="1"/>
    <n v="825.33"/>
    <n v="0.21"/>
    <x v="0"/>
    <b v="1"/>
    <n v="1956.0321000000004"/>
    <n v="1956.0320999999999"/>
  </r>
  <r>
    <s v="SALE1892"/>
    <x v="152"/>
    <x v="1"/>
    <s v="CUST1059"/>
    <x v="0"/>
    <x v="0"/>
    <x v="1"/>
    <s v="PROD70"/>
    <s v="Kitchen Storage Rack"/>
    <x v="3"/>
    <s v="Storage"/>
    <s v="STORE14"/>
    <x v="2"/>
    <x v="3"/>
    <n v="47.3"/>
    <n v="0.01"/>
    <x v="1"/>
    <b v="1"/>
    <n v="93.653999999999996"/>
    <n v="93.653999999999996"/>
  </r>
  <r>
    <s v="SALE1893"/>
    <x v="508"/>
    <x v="0"/>
    <s v="CUST1171"/>
    <x v="1"/>
    <x v="1"/>
    <x v="1"/>
    <s v="PROD72"/>
    <s v="Professional Jump Rope"/>
    <x v="0"/>
    <s v="Fitness"/>
    <s v="STORE17"/>
    <x v="0"/>
    <x v="0"/>
    <n v="389.12"/>
    <n v="0.18"/>
    <x v="1"/>
    <b v="1"/>
    <n v="319.07840000000004"/>
    <n v="319.07839999999999"/>
  </r>
  <r>
    <s v="SALE1894"/>
    <x v="114"/>
    <x v="0"/>
    <s v="CUST1458"/>
    <x v="0"/>
    <x v="1"/>
    <x v="2"/>
    <s v="PROD82"/>
    <s v="Fitness Resistance Bands"/>
    <x v="0"/>
    <s v="Fitness"/>
    <s v="STORE18"/>
    <x v="3"/>
    <x v="1"/>
    <n v="543.83000000000004"/>
    <n v="0.05"/>
    <x v="0"/>
    <b v="1"/>
    <n v="1549.9155000000001"/>
    <n v="1549.9155000000001"/>
  </r>
  <r>
    <s v="SALE1895"/>
    <x v="677"/>
    <x v="0"/>
    <s v="CUST1024"/>
    <x v="1"/>
    <x v="0"/>
    <x v="1"/>
    <s v="PROD14"/>
    <s v="Decorative Wall Mirror"/>
    <x v="3"/>
    <s v="Decor"/>
    <s v="STORE1"/>
    <x v="0"/>
    <x v="3"/>
    <n v="660.27"/>
    <n v="0.01"/>
    <x v="1"/>
    <b v="1"/>
    <n v="1307.3345999999999"/>
    <n v="1307.3345999999999"/>
  </r>
  <r>
    <s v="SALE1896"/>
    <x v="208"/>
    <x v="2"/>
    <s v="CUST1434"/>
    <x v="1"/>
    <x v="1"/>
    <x v="0"/>
    <s v="PROD13"/>
    <s v="USB-C Fast Charger"/>
    <x v="1"/>
    <s v="Accessories"/>
    <s v="STORE8"/>
    <x v="1"/>
    <x v="2"/>
    <n v="729.31"/>
    <n v="0.03"/>
    <x v="0"/>
    <b v="1"/>
    <n v="2829.7227999999996"/>
    <n v="2829.7228"/>
  </r>
  <r>
    <s v="SALE1897"/>
    <x v="593"/>
    <x v="0"/>
    <s v="CUST1421"/>
    <x v="1"/>
    <x v="1"/>
    <x v="1"/>
    <s v="PROD87"/>
    <s v="LED Bedside Lamp"/>
    <x v="3"/>
    <s v="Lighting"/>
    <s v="STORE6"/>
    <x v="3"/>
    <x v="3"/>
    <n v="152.91"/>
    <n v="0.24"/>
    <x v="1"/>
    <b v="1"/>
    <n v="232.42320000000001"/>
    <n v="232.42320000000001"/>
  </r>
  <r>
    <s v="SALE1898"/>
    <x v="431"/>
    <x v="0"/>
    <s v="CUST1461"/>
    <x v="0"/>
    <x v="1"/>
    <x v="2"/>
    <s v="PROD74"/>
    <s v="Bluetooth Car Audio System"/>
    <x v="1"/>
    <s v="Audio"/>
    <s v="STORE15"/>
    <x v="0"/>
    <x v="2"/>
    <n v="592.14"/>
    <n v="0.12"/>
    <x v="2"/>
    <b v="1"/>
    <n v="2084.3328000000001"/>
    <n v="2084.3328000000001"/>
  </r>
  <r>
    <s v="SALE1899"/>
    <x v="492"/>
    <x v="0"/>
    <s v="CUST1062"/>
    <x v="1"/>
    <x v="0"/>
    <x v="3"/>
    <s v="PROD78"/>
    <s v="Essential Oil Diffuser"/>
    <x v="3"/>
    <s v="Decor"/>
    <s v="STORE12"/>
    <x v="0"/>
    <x v="0"/>
    <n v="984.37"/>
    <n v="0"/>
    <x v="1"/>
    <b v="1"/>
    <n v="984.37"/>
    <n v="984.37"/>
  </r>
  <r>
    <s v="SALE1900"/>
    <x v="37"/>
    <x v="0"/>
    <s v="CUST1292"/>
    <x v="2"/>
    <x v="0"/>
    <x v="2"/>
    <s v="PROD1"/>
    <s v="Men's Graphic T-Shirt"/>
    <x v="4"/>
    <s v="Tops"/>
    <s v="STORE12"/>
    <x v="0"/>
    <x v="3"/>
    <n v="237.59"/>
    <n v="0.12"/>
    <x v="0"/>
    <b v="1"/>
    <n v="418.15840000000003"/>
    <n v="418.15839999999997"/>
  </r>
  <r>
    <s v="SALE1901"/>
    <x v="400"/>
    <x v="1"/>
    <s v="CUST1431"/>
    <x v="2"/>
    <x v="0"/>
    <x v="1"/>
    <s v="PROD25"/>
    <s v="Women's Scarf Set"/>
    <x v="4"/>
    <s v="Accessories"/>
    <s v="STORE8"/>
    <x v="1"/>
    <x v="0"/>
    <n v="52.06"/>
    <n v="0.27"/>
    <x v="2"/>
    <b v="1"/>
    <n v="38.003799999999998"/>
    <n v="38.003799999999998"/>
  </r>
  <r>
    <s v="SALE1902"/>
    <x v="501"/>
    <x v="2"/>
    <s v="CUST1455"/>
    <x v="0"/>
    <x v="0"/>
    <x v="0"/>
    <s v="PROD3"/>
    <s v="Men's Running Jacket"/>
    <x v="4"/>
    <s v="Outerwear"/>
    <s v="STORE1"/>
    <x v="0"/>
    <x v="3"/>
    <n v="594.63"/>
    <n v="0.12"/>
    <x v="0"/>
    <b v="1"/>
    <n v="1046.5488"/>
    <n v="1046.5488"/>
  </r>
  <r>
    <s v="SALE1903"/>
    <x v="350"/>
    <x v="0"/>
    <s v="CUST1167"/>
    <x v="1"/>
    <x v="1"/>
    <x v="0"/>
    <s v="PROD3"/>
    <s v="Men's Running Jacket"/>
    <x v="4"/>
    <s v="Outerwear"/>
    <s v="STORE0"/>
    <x v="3"/>
    <x v="1"/>
    <n v="476.1"/>
    <n v="0.05"/>
    <x v="2"/>
    <b v="1"/>
    <n v="1356.8850000000002"/>
    <n v="1356.885"/>
  </r>
  <r>
    <s v="SALE1904"/>
    <x v="678"/>
    <x v="0"/>
    <s v="CUST1061"/>
    <x v="2"/>
    <x v="0"/>
    <x v="2"/>
    <s v="PROD61"/>
    <s v="Tennis Ball 3-Pack"/>
    <x v="0"/>
    <s v="Equipment"/>
    <s v="STORE6"/>
    <x v="3"/>
    <x v="0"/>
    <n v="546.47"/>
    <n v="0.08"/>
    <x v="2"/>
    <b v="1"/>
    <n v="502.75240000000002"/>
    <n v="502.75240000000002"/>
  </r>
  <r>
    <s v="SALE1905"/>
    <x v="451"/>
    <x v="2"/>
    <s v="CUST1176"/>
    <x v="1"/>
    <x v="0"/>
    <x v="2"/>
    <s v="PROD75"/>
    <s v="Women's Ankle Boots"/>
    <x v="4"/>
    <s v="Footwear"/>
    <s v="STORE12"/>
    <x v="0"/>
    <x v="0"/>
    <n v="979.49"/>
    <n v="0.19"/>
    <x v="2"/>
    <b v="1"/>
    <n v="793.38690000000008"/>
    <n v="793.38690000000008"/>
  </r>
  <r>
    <s v="SALE1906"/>
    <x v="671"/>
    <x v="1"/>
    <s v="CUST1193"/>
    <x v="1"/>
    <x v="0"/>
    <x v="0"/>
    <s v="PROD17"/>
    <s v="Soccer Training Cone Set"/>
    <x v="0"/>
    <s v="Accessories"/>
    <s v="STORE2"/>
    <x v="2"/>
    <x v="1"/>
    <n v="988.53"/>
    <n v="0.3"/>
    <x v="2"/>
    <b v="1"/>
    <n v="2075.913"/>
    <n v="2075.913"/>
  </r>
  <r>
    <s v="SALE1907"/>
    <x v="563"/>
    <x v="2"/>
    <s v="CUST1255"/>
    <x v="2"/>
    <x v="0"/>
    <x v="0"/>
    <s v="PROD76"/>
    <s v="Wireless Mouse"/>
    <x v="1"/>
    <s v="Computer"/>
    <s v="STORE3"/>
    <x v="0"/>
    <x v="2"/>
    <n v="849.29"/>
    <n v="0.26"/>
    <x v="0"/>
    <b v="1"/>
    <n v="2513.8984"/>
    <n v="2513.8984"/>
  </r>
  <r>
    <s v="SALE1908"/>
    <x v="405"/>
    <x v="0"/>
    <s v="CUST1343"/>
    <x v="1"/>
    <x v="0"/>
    <x v="3"/>
    <s v="PROD95"/>
    <s v="Sports Stopwatch Basic"/>
    <x v="0"/>
    <s v="Accessories"/>
    <s v="STORE14"/>
    <x v="2"/>
    <x v="3"/>
    <n v="452.29"/>
    <n v="0.01"/>
    <x v="2"/>
    <b v="1"/>
    <n v="895.53420000000006"/>
    <n v="895.53420000000006"/>
  </r>
  <r>
    <s v="SALE1909"/>
    <x v="123"/>
    <x v="0"/>
    <s v="CUST1445"/>
    <x v="1"/>
    <x v="1"/>
    <x v="1"/>
    <s v="PROD54"/>
    <s v="Sports Stopwatch Pro"/>
    <x v="0"/>
    <s v="Accessories"/>
    <s v="STORE18"/>
    <x v="3"/>
    <x v="3"/>
    <n v="810.81"/>
    <n v="0.11"/>
    <x v="2"/>
    <b v="1"/>
    <n v="1443.2418"/>
    <n v="1443.2418"/>
  </r>
  <r>
    <s v="SALE1910"/>
    <x v="590"/>
    <x v="0"/>
    <s v="CUST1031"/>
    <x v="1"/>
    <x v="0"/>
    <x v="2"/>
    <s v="PROD61"/>
    <s v="Tennis Ball 3-Pack"/>
    <x v="0"/>
    <s v="Equipment"/>
    <s v="STORE8"/>
    <x v="1"/>
    <x v="0"/>
    <n v="846.67"/>
    <n v="0.1"/>
    <x v="2"/>
    <b v="1"/>
    <n v="762.00299999999993"/>
    <n v="762.00299999999993"/>
  </r>
  <r>
    <s v="SALE1911"/>
    <x v="581"/>
    <x v="0"/>
    <s v="CUST1017"/>
    <x v="0"/>
    <x v="1"/>
    <x v="1"/>
    <s v="PROD24"/>
    <s v="Foldable Camping Chair"/>
    <x v="0"/>
    <s v="Outdoor"/>
    <s v="STORE6"/>
    <x v="3"/>
    <x v="2"/>
    <n v="73.55"/>
    <n v="0.24"/>
    <x v="2"/>
    <b v="1"/>
    <n v="223.59199999999998"/>
    <n v="223.59200000000001"/>
  </r>
  <r>
    <s v="SALE1912"/>
    <x v="206"/>
    <x v="2"/>
    <s v="CUST1278"/>
    <x v="1"/>
    <x v="1"/>
    <x v="1"/>
    <s v="PROD92"/>
    <s v="Microwave Oven"/>
    <x v="3"/>
    <s v="Appliances"/>
    <s v="STORE6"/>
    <x v="3"/>
    <x v="0"/>
    <n v="882.03"/>
    <n v="0.04"/>
    <x v="2"/>
    <b v="1"/>
    <n v="846.74879999999996"/>
    <n v="846.74879999999996"/>
  </r>
  <r>
    <s v="SALE1913"/>
    <x v="53"/>
    <x v="0"/>
    <s v="CUST1008"/>
    <x v="0"/>
    <x v="1"/>
    <x v="0"/>
    <s v="PROD22"/>
    <s v="Carbon Fiber Tennis Racket"/>
    <x v="0"/>
    <s v="Equipment"/>
    <s v="STORE14"/>
    <x v="2"/>
    <x v="0"/>
    <n v="958.44"/>
    <n v="0.21"/>
    <x v="0"/>
    <b v="1"/>
    <n v="757.16760000000011"/>
    <n v="757.16760000000011"/>
  </r>
  <r>
    <s v="SALE1914"/>
    <x v="590"/>
    <x v="0"/>
    <s v="CUST1008"/>
    <x v="0"/>
    <x v="1"/>
    <x v="0"/>
    <s v="PROD99"/>
    <s v="Stainless Steel Cookware Set"/>
    <x v="3"/>
    <s v="Kitchen"/>
    <s v="STORE2"/>
    <x v="2"/>
    <x v="0"/>
    <n v="716.29"/>
    <n v="0.01"/>
    <x v="1"/>
    <b v="1"/>
    <n v="709.12709999999993"/>
    <n v="709.12709999999993"/>
  </r>
  <r>
    <s v="SALE1915"/>
    <x v="674"/>
    <x v="0"/>
    <s v="CUST1323"/>
    <x v="0"/>
    <x v="1"/>
    <x v="1"/>
    <s v="PROD9"/>
    <s v="Adjustable Dumbbell Set"/>
    <x v="0"/>
    <s v="Fitness"/>
    <s v="STORE16"/>
    <x v="1"/>
    <x v="3"/>
    <n v="409.14"/>
    <n v="0.01"/>
    <x v="1"/>
    <b v="1"/>
    <n v="810.09719999999993"/>
    <n v="810.09719999999993"/>
  </r>
  <r>
    <s v="SALE1916"/>
    <x v="679"/>
    <x v="2"/>
    <s v="CUST1084"/>
    <x v="2"/>
    <x v="1"/>
    <x v="1"/>
    <s v="PROD99"/>
    <s v="Stainless Steel Cookware Set"/>
    <x v="3"/>
    <s v="Kitchen"/>
    <s v="STORE9"/>
    <x v="2"/>
    <x v="2"/>
    <n v="261.73"/>
    <n v="0.1"/>
    <x v="1"/>
    <b v="1"/>
    <n v="942.22800000000007"/>
    <n v="942.22800000000007"/>
  </r>
  <r>
    <s v="SALE1917"/>
    <x v="232"/>
    <x v="2"/>
    <s v="CUST1466"/>
    <x v="2"/>
    <x v="0"/>
    <x v="2"/>
    <s v="PROD12"/>
    <s v="Hair Strengthening Shampoo"/>
    <x v="2"/>
    <s v="Haircare"/>
    <s v="STORE0"/>
    <x v="3"/>
    <x v="3"/>
    <n v="687.35"/>
    <n v="0.2"/>
    <x v="2"/>
    <b v="1"/>
    <n v="1099.76"/>
    <n v="1099.76"/>
  </r>
  <r>
    <s v="SALE1918"/>
    <x v="275"/>
    <x v="2"/>
    <s v="CUST1207"/>
    <x v="2"/>
    <x v="1"/>
    <x v="3"/>
    <s v="PROD84"/>
    <s v="Wooden Bookshelf"/>
    <x v="3"/>
    <s v="Furniture"/>
    <s v="STORE8"/>
    <x v="1"/>
    <x v="3"/>
    <n v="30.14"/>
    <n v="0.21"/>
    <x v="0"/>
    <b v="1"/>
    <n v="47.621200000000002"/>
    <n v="47.621200000000002"/>
  </r>
  <r>
    <s v="SALE1919"/>
    <x v="609"/>
    <x v="0"/>
    <s v="CUST1099"/>
    <x v="1"/>
    <x v="0"/>
    <x v="2"/>
    <s v="PROD34"/>
    <s v="Gaming Mechanical Keyboard"/>
    <x v="1"/>
    <s v="Computer"/>
    <s v="STORE8"/>
    <x v="1"/>
    <x v="1"/>
    <n v="570.12"/>
    <n v="0.12"/>
    <x v="1"/>
    <b v="1"/>
    <n v="1505.1168"/>
    <n v="1505.1168"/>
  </r>
  <r>
    <s v="SALE1920"/>
    <x v="144"/>
    <x v="2"/>
    <s v="CUST1281"/>
    <x v="0"/>
    <x v="0"/>
    <x v="1"/>
    <s v="PROD77"/>
    <s v="WiFi Mesh Router"/>
    <x v="1"/>
    <s v="Appliances"/>
    <s v="STORE19"/>
    <x v="3"/>
    <x v="1"/>
    <n v="401.87"/>
    <n v="0.28999999999999998"/>
    <x v="2"/>
    <b v="1"/>
    <n v="855.98310000000004"/>
    <n v="855.98310000000004"/>
  </r>
  <r>
    <s v="SALE1921"/>
    <x v="248"/>
    <x v="0"/>
    <s v="CUST1496"/>
    <x v="0"/>
    <x v="0"/>
    <x v="3"/>
    <s v="PROD79"/>
    <s v="Decorative Lamp Shade"/>
    <x v="3"/>
    <s v="Lighting"/>
    <s v="STORE12"/>
    <x v="0"/>
    <x v="2"/>
    <n v="619.35"/>
    <n v="0.3"/>
    <x v="0"/>
    <b v="1"/>
    <n v="1734.18"/>
    <n v="1734.18"/>
  </r>
  <r>
    <s v="SALE1922"/>
    <x v="149"/>
    <x v="1"/>
    <s v="CUST1247"/>
    <x v="1"/>
    <x v="0"/>
    <x v="1"/>
    <s v="PROD46"/>
    <s v="Men's Winter Jacket"/>
    <x v="4"/>
    <s v="Outerwear"/>
    <s v="STORE17"/>
    <x v="0"/>
    <x v="2"/>
    <n v="569.36"/>
    <n v="0.27"/>
    <x v="1"/>
    <b v="1"/>
    <n v="1662.5311999999999"/>
    <n v="1662.5311999999999"/>
  </r>
  <r>
    <s v="SALE1923"/>
    <x v="431"/>
    <x v="0"/>
    <s v="CUST1476"/>
    <x v="1"/>
    <x v="1"/>
    <x v="0"/>
    <s v="PROD27"/>
    <s v="Decorative Floor Vase"/>
    <x v="3"/>
    <s v="Decor"/>
    <s v="STORE4"/>
    <x v="2"/>
    <x v="3"/>
    <n v="846.35"/>
    <n v="0.3"/>
    <x v="2"/>
    <b v="1"/>
    <n v="1184.8899999999999"/>
    <n v="1184.8900000000001"/>
  </r>
  <r>
    <s v="SALE1924"/>
    <x v="68"/>
    <x v="2"/>
    <s v="CUST1434"/>
    <x v="1"/>
    <x v="1"/>
    <x v="0"/>
    <s v="PROD30"/>
    <s v="Stainless Steel Cutlery Set"/>
    <x v="3"/>
    <s v="Kitchen"/>
    <s v="STORE2"/>
    <x v="2"/>
    <x v="0"/>
    <n v="788.45"/>
    <n v="0.28999999999999998"/>
    <x v="1"/>
    <b v="1"/>
    <n v="559.79949999999997"/>
    <n v="559.79949999999997"/>
  </r>
  <r>
    <s v="SALE1925"/>
    <x v="200"/>
    <x v="2"/>
    <s v="CUST1360"/>
    <x v="1"/>
    <x v="0"/>
    <x v="1"/>
    <s v="PROD35"/>
    <s v="Bedroom Table Lamp"/>
    <x v="3"/>
    <s v="Lighting"/>
    <s v="STORE12"/>
    <x v="0"/>
    <x v="3"/>
    <n v="338.81"/>
    <n v="7.0000000000000007E-2"/>
    <x v="2"/>
    <b v="1"/>
    <n v="630.1866"/>
    <n v="630.1866"/>
  </r>
  <r>
    <s v="SALE1926"/>
    <x v="96"/>
    <x v="2"/>
    <s v="CUST1026"/>
    <x v="2"/>
    <x v="1"/>
    <x v="0"/>
    <s v="PROD14"/>
    <s v="Decorative Wall Mirror"/>
    <x v="3"/>
    <s v="Decor"/>
    <s v="STORE5"/>
    <x v="0"/>
    <x v="2"/>
    <n v="94.48"/>
    <n v="0.06"/>
    <x v="2"/>
    <b v="1"/>
    <n v="355.2448"/>
    <n v="355.2448"/>
  </r>
  <r>
    <s v="SALE1927"/>
    <x v="81"/>
    <x v="0"/>
    <s v="CUST1477"/>
    <x v="1"/>
    <x v="1"/>
    <x v="1"/>
    <s v="PROD19"/>
    <s v="Knee Support Brace"/>
    <x v="0"/>
    <s v="Equipment"/>
    <s v="STORE13"/>
    <x v="3"/>
    <x v="1"/>
    <n v="941.85"/>
    <n v="0.16"/>
    <x v="1"/>
    <b v="1"/>
    <n v="2373.462"/>
    <n v="2373.462"/>
  </r>
  <r>
    <s v="SALE1928"/>
    <x v="57"/>
    <x v="1"/>
    <s v="CUST1161"/>
    <x v="2"/>
    <x v="1"/>
    <x v="2"/>
    <s v="PROD45"/>
    <s v="High-Grip Football"/>
    <x v="0"/>
    <s v="Team Sports"/>
    <s v="STORE5"/>
    <x v="0"/>
    <x v="3"/>
    <n v="336.97"/>
    <n v="0.14000000000000001"/>
    <x v="1"/>
    <b v="1"/>
    <n v="579.58840000000009"/>
    <n v="579.58840000000009"/>
  </r>
  <r>
    <s v="SALE1929"/>
    <x v="23"/>
    <x v="0"/>
    <s v="CUST1310"/>
    <x v="2"/>
    <x v="0"/>
    <x v="2"/>
    <s v="PROD5"/>
    <s v="Men's Leather Belt"/>
    <x v="4"/>
    <s v="Accessories"/>
    <s v="STORE5"/>
    <x v="0"/>
    <x v="3"/>
    <n v="344.16"/>
    <n v="0.09"/>
    <x v="1"/>
    <b v="1"/>
    <n v="626.37120000000004"/>
    <n v="626.37120000000004"/>
  </r>
  <r>
    <s v="SALE1930"/>
    <x v="597"/>
    <x v="2"/>
    <s v="CUST1300"/>
    <x v="2"/>
    <x v="0"/>
    <x v="2"/>
    <s v="PROD48"/>
    <s v="Car Dashboard Phone Holder"/>
    <x v="1"/>
    <s v="Accessories"/>
    <s v="STORE9"/>
    <x v="2"/>
    <x v="0"/>
    <n v="841.53"/>
    <n v="0.15"/>
    <x v="0"/>
    <b v="1"/>
    <n v="715.30049999999994"/>
    <n v="715.30049999999994"/>
  </r>
  <r>
    <s v="SALE1931"/>
    <x v="680"/>
    <x v="2"/>
    <s v="CUST1424"/>
    <x v="0"/>
    <x v="0"/>
    <x v="3"/>
    <s v="PROD83"/>
    <s v="Hydrating Face Cleanser"/>
    <x v="2"/>
    <s v="Skincare"/>
    <s v="STORE17"/>
    <x v="0"/>
    <x v="1"/>
    <n v="63.36"/>
    <n v="0.28999999999999998"/>
    <x v="2"/>
    <b v="1"/>
    <n v="134.95679999999999"/>
    <n v="134.95679999999999"/>
  </r>
  <r>
    <s v="SALE1932"/>
    <x v="640"/>
    <x v="2"/>
    <s v="CUST1496"/>
    <x v="0"/>
    <x v="0"/>
    <x v="3"/>
    <s v="PROD78"/>
    <s v="Essential Oil Diffuser"/>
    <x v="3"/>
    <s v="Decor"/>
    <s v="STORE8"/>
    <x v="1"/>
    <x v="3"/>
    <n v="552.49"/>
    <n v="0.1"/>
    <x v="0"/>
    <b v="1"/>
    <n v="994.48200000000008"/>
    <n v="994.48200000000008"/>
  </r>
  <r>
    <s v="SALE1933"/>
    <x v="554"/>
    <x v="2"/>
    <s v="CUST1236"/>
    <x v="1"/>
    <x v="1"/>
    <x v="3"/>
    <s v="PROD24"/>
    <s v="Foldable Camping Chair"/>
    <x v="0"/>
    <s v="Outdoor"/>
    <s v="STORE6"/>
    <x v="3"/>
    <x v="1"/>
    <n v="447.38"/>
    <n v="0.03"/>
    <x v="0"/>
    <b v="1"/>
    <n v="1301.8757999999998"/>
    <n v="1301.8758"/>
  </r>
  <r>
    <s v="SALE1934"/>
    <x v="400"/>
    <x v="1"/>
    <s v="CUST1450"/>
    <x v="0"/>
    <x v="0"/>
    <x v="3"/>
    <s v="PROD73"/>
    <s v="Shin Guards – Adult"/>
    <x v="0"/>
    <s v="Team Sports"/>
    <s v="STORE19"/>
    <x v="3"/>
    <x v="0"/>
    <n v="727.7"/>
    <n v="0.21"/>
    <x v="2"/>
    <b v="1"/>
    <n v="574.88300000000004"/>
    <n v="574.88300000000004"/>
  </r>
  <r>
    <s v="SALE1935"/>
    <x v="619"/>
    <x v="1"/>
    <s v="CUST1436"/>
    <x v="0"/>
    <x v="0"/>
    <x v="0"/>
    <s v="PROD51"/>
    <s v="HDMI Cable – 2m"/>
    <x v="1"/>
    <s v="Accessories"/>
    <s v="STORE7"/>
    <x v="2"/>
    <x v="2"/>
    <n v="581.34"/>
    <n v="0.08"/>
    <x v="0"/>
    <b v="1"/>
    <n v="2139.3312000000001"/>
    <n v="2139.3312000000001"/>
  </r>
  <r>
    <s v="SALE1936"/>
    <x v="376"/>
    <x v="2"/>
    <s v="CUST1096"/>
    <x v="2"/>
    <x v="1"/>
    <x v="1"/>
    <s v="PROD66"/>
    <s v="Women's Hair Dryer Brush"/>
    <x v="2"/>
    <s v="Haircare"/>
    <s v="STORE1"/>
    <x v="0"/>
    <x v="0"/>
    <n v="338.83"/>
    <n v="0.19"/>
    <x v="1"/>
    <b v="1"/>
    <n v="274.45229999999998"/>
    <n v="274.45229999999998"/>
  </r>
  <r>
    <s v="SALE1937"/>
    <x v="493"/>
    <x v="1"/>
    <s v="CUST1285"/>
    <x v="1"/>
    <x v="1"/>
    <x v="2"/>
    <s v="PROD49"/>
    <s v="Men's Roll-On Perfume"/>
    <x v="2"/>
    <s v="Fragrance"/>
    <s v="STORE13"/>
    <x v="3"/>
    <x v="2"/>
    <n v="568.80999999999995"/>
    <n v="0.25"/>
    <x v="0"/>
    <b v="1"/>
    <n v="1706.4299999999998"/>
    <n v="1706.43"/>
  </r>
  <r>
    <s v="SALE1938"/>
    <x v="48"/>
    <x v="0"/>
    <s v="CUST1375"/>
    <x v="2"/>
    <x v="0"/>
    <x v="1"/>
    <s v="PROD61"/>
    <s v="Tennis Ball 3-Pack"/>
    <x v="0"/>
    <s v="Equipment"/>
    <s v="STORE17"/>
    <x v="0"/>
    <x v="3"/>
    <n v="352.63"/>
    <n v="0.15"/>
    <x v="1"/>
    <b v="1"/>
    <n v="599.471"/>
    <n v="599.471"/>
  </r>
  <r>
    <s v="SALE1939"/>
    <x v="408"/>
    <x v="0"/>
    <s v="CUST1156"/>
    <x v="1"/>
    <x v="0"/>
    <x v="3"/>
    <s v="PROD96"/>
    <s v="Women's Formal Blazer"/>
    <x v="4"/>
    <s v="Outerwear"/>
    <s v="STORE13"/>
    <x v="3"/>
    <x v="3"/>
    <n v="629.86"/>
    <n v="0.15"/>
    <x v="1"/>
    <b v="1"/>
    <n v="1070.7619999999999"/>
    <n v="1070.7619999999999"/>
  </r>
  <r>
    <s v="SALE1940"/>
    <x v="376"/>
    <x v="2"/>
    <s v="CUST1493"/>
    <x v="2"/>
    <x v="0"/>
    <x v="2"/>
    <s v="PROD98"/>
    <s v="Portable Bluetooth Speaker"/>
    <x v="1"/>
    <s v="Audio"/>
    <s v="STORE3"/>
    <x v="0"/>
    <x v="1"/>
    <n v="212.08"/>
    <n v="7.0000000000000007E-2"/>
    <x v="0"/>
    <b v="1"/>
    <n v="591.70319999999992"/>
    <n v="591.70319999999992"/>
  </r>
  <r>
    <s v="SALE1941"/>
    <x v="424"/>
    <x v="0"/>
    <s v="CUST1161"/>
    <x v="2"/>
    <x v="1"/>
    <x v="2"/>
    <s v="PROD57"/>
    <s v="Foam Roller"/>
    <x v="0"/>
    <s v="Fitness"/>
    <s v="STORE2"/>
    <x v="2"/>
    <x v="1"/>
    <n v="878.62"/>
    <n v="0.05"/>
    <x v="1"/>
    <b v="1"/>
    <n v="2504.067"/>
    <n v="2504.067"/>
  </r>
  <r>
    <s v="SALE1942"/>
    <x v="252"/>
    <x v="2"/>
    <s v="CUST1261"/>
    <x v="2"/>
    <x v="1"/>
    <x v="2"/>
    <s v="PROD80"/>
    <s v="Wall-Mounted Spice Rack"/>
    <x v="3"/>
    <s v="Kitchen"/>
    <s v="STORE10"/>
    <x v="3"/>
    <x v="2"/>
    <n v="87.83"/>
    <n v="0.23"/>
    <x v="1"/>
    <b v="1"/>
    <n v="270.51639999999998"/>
    <n v="270.51639999999998"/>
  </r>
  <r>
    <s v="SALE1943"/>
    <x v="631"/>
    <x v="2"/>
    <s v="CUST1275"/>
    <x v="2"/>
    <x v="0"/>
    <x v="0"/>
    <s v="PROD56"/>
    <s v="Premium Blanket Throw"/>
    <x v="3"/>
    <s v="Decor"/>
    <s v="STORE9"/>
    <x v="2"/>
    <x v="1"/>
    <n v="442.64"/>
    <n v="0.15"/>
    <x v="2"/>
    <b v="1"/>
    <n v="1128.732"/>
    <n v="1128.732"/>
  </r>
  <r>
    <s v="SALE1944"/>
    <x v="156"/>
    <x v="2"/>
    <s v="CUST1093"/>
    <x v="2"/>
    <x v="1"/>
    <x v="0"/>
    <s v="PROD38"/>
    <s v="Sports Water Hydration Pack"/>
    <x v="0"/>
    <s v="Outdoor"/>
    <s v="STORE2"/>
    <x v="2"/>
    <x v="1"/>
    <n v="410.04"/>
    <n v="0.09"/>
    <x v="2"/>
    <b v="1"/>
    <n v="1119.4092000000001"/>
    <n v="1119.4092000000001"/>
  </r>
  <r>
    <s v="SALE1945"/>
    <x v="343"/>
    <x v="2"/>
    <s v="CUST1133"/>
    <x v="0"/>
    <x v="1"/>
    <x v="3"/>
    <s v="PROD94"/>
    <s v="Vitamin E Body Lotion"/>
    <x v="2"/>
    <s v="Skincare"/>
    <s v="STORE17"/>
    <x v="0"/>
    <x v="0"/>
    <n v="355.31"/>
    <n v="0.27"/>
    <x v="0"/>
    <b v="1"/>
    <n v="259.37630000000001"/>
    <n v="259.37630000000001"/>
  </r>
  <r>
    <s v="SALE1946"/>
    <x v="48"/>
    <x v="0"/>
    <s v="CUST1376"/>
    <x v="2"/>
    <x v="0"/>
    <x v="3"/>
    <s v="PROD9"/>
    <s v="Adjustable Dumbbell Set"/>
    <x v="0"/>
    <s v="Fitness"/>
    <s v="STORE13"/>
    <x v="3"/>
    <x v="2"/>
    <n v="243.13"/>
    <n v="0.25"/>
    <x v="2"/>
    <b v="1"/>
    <n v="729.39"/>
    <n v="729.39"/>
  </r>
  <r>
    <s v="SALE1947"/>
    <x v="339"/>
    <x v="0"/>
    <s v="CUST1229"/>
    <x v="1"/>
    <x v="1"/>
    <x v="3"/>
    <s v="PROD59"/>
    <s v="Men's Hair Styling Gel"/>
    <x v="2"/>
    <s v="Haircare"/>
    <s v="STORE11"/>
    <x v="2"/>
    <x v="3"/>
    <n v="410.63"/>
    <n v="0.28000000000000003"/>
    <x v="2"/>
    <b v="1"/>
    <n v="591.30719999999997"/>
    <n v="591.30719999999997"/>
  </r>
  <r>
    <s v="SALE1948"/>
    <x v="655"/>
    <x v="0"/>
    <s v="CUST1425"/>
    <x v="1"/>
    <x v="0"/>
    <x v="3"/>
    <s v="PROD94"/>
    <s v="Vitamin E Body Lotion"/>
    <x v="2"/>
    <s v="Skincare"/>
    <s v="STORE10"/>
    <x v="3"/>
    <x v="2"/>
    <n v="101.25"/>
    <n v="0.16"/>
    <x v="1"/>
    <b v="1"/>
    <n v="340.2"/>
    <n v="340.2"/>
  </r>
  <r>
    <s v="SALE1949"/>
    <x v="445"/>
    <x v="0"/>
    <s v="CUST1226"/>
    <x v="0"/>
    <x v="0"/>
    <x v="0"/>
    <s v="PROD7"/>
    <s v="LED Table Lamp"/>
    <x v="3"/>
    <s v="Lighting"/>
    <s v="STORE17"/>
    <x v="0"/>
    <x v="2"/>
    <n v="716.39"/>
    <n v="0.03"/>
    <x v="1"/>
    <b v="1"/>
    <n v="2779.5931999999998"/>
    <n v="2779.5931999999998"/>
  </r>
  <r>
    <s v="SALE1950"/>
    <x v="331"/>
    <x v="0"/>
    <s v="CUST1094"/>
    <x v="1"/>
    <x v="1"/>
    <x v="0"/>
    <s v="PROD73"/>
    <s v="Shin Guards – Adult"/>
    <x v="0"/>
    <s v="Team Sports"/>
    <s v="STORE1"/>
    <x v="0"/>
    <x v="0"/>
    <n v="721.74"/>
    <n v="0.24"/>
    <x v="1"/>
    <b v="1"/>
    <n v="548.52240000000006"/>
    <n v="548.52240000000006"/>
  </r>
  <r>
    <s v="SALE1951"/>
    <x v="404"/>
    <x v="2"/>
    <s v="CUST1054"/>
    <x v="2"/>
    <x v="0"/>
    <x v="1"/>
    <s v="PROD62"/>
    <s v="Laptop Cooling Pad"/>
    <x v="1"/>
    <s v="Computer"/>
    <s v="STORE11"/>
    <x v="2"/>
    <x v="3"/>
    <n v="527.91"/>
    <n v="0.02"/>
    <x v="0"/>
    <b v="1"/>
    <n v="1034.7035999999998"/>
    <n v="1034.7036000000001"/>
  </r>
  <r>
    <s v="SALE1952"/>
    <x v="492"/>
    <x v="0"/>
    <s v="CUST1319"/>
    <x v="0"/>
    <x v="0"/>
    <x v="1"/>
    <s v="PROD52"/>
    <s v="Rugby Ball"/>
    <x v="0"/>
    <s v="Team Sports"/>
    <s v="STORE13"/>
    <x v="3"/>
    <x v="3"/>
    <n v="945.92"/>
    <n v="0.19"/>
    <x v="2"/>
    <b v="1"/>
    <n v="1532.3904"/>
    <n v="1532.3904"/>
  </r>
  <r>
    <s v="SALE1953"/>
    <x v="208"/>
    <x v="2"/>
    <s v="CUST1081"/>
    <x v="1"/>
    <x v="1"/>
    <x v="1"/>
    <s v="PROD56"/>
    <s v="Premium Blanket Throw"/>
    <x v="3"/>
    <s v="Decor"/>
    <s v="STORE17"/>
    <x v="0"/>
    <x v="3"/>
    <n v="981.35"/>
    <n v="0.16"/>
    <x v="1"/>
    <b v="1"/>
    <n v="1648.6679999999999"/>
    <n v="1648.6679999999999"/>
  </r>
  <r>
    <s v="SALE1954"/>
    <x v="641"/>
    <x v="2"/>
    <s v="CUST1223"/>
    <x v="1"/>
    <x v="0"/>
    <x v="1"/>
    <s v="PROD59"/>
    <s v="Men's Hair Styling Gel"/>
    <x v="2"/>
    <s v="Haircare"/>
    <s v="STORE3"/>
    <x v="0"/>
    <x v="0"/>
    <n v="913.99"/>
    <n v="0.14000000000000001"/>
    <x v="0"/>
    <b v="1"/>
    <n v="786.03139999999996"/>
    <n v="786.03139999999996"/>
  </r>
  <r>
    <s v="SALE1955"/>
    <x v="198"/>
    <x v="2"/>
    <s v="CUST1011"/>
    <x v="2"/>
    <x v="1"/>
    <x v="0"/>
    <s v="PROD66"/>
    <s v="Women's Hair Dryer Brush"/>
    <x v="2"/>
    <s v="Haircare"/>
    <s v="STORE8"/>
    <x v="1"/>
    <x v="2"/>
    <n v="270.69"/>
    <n v="0.18"/>
    <x v="1"/>
    <b v="1"/>
    <n v="887.86320000000001"/>
    <n v="887.86320000000001"/>
  </r>
  <r>
    <s v="SALE1956"/>
    <x v="456"/>
    <x v="2"/>
    <s v="CUST1161"/>
    <x v="2"/>
    <x v="1"/>
    <x v="2"/>
    <s v="PROD77"/>
    <s v="WiFi Mesh Router"/>
    <x v="1"/>
    <s v="Appliances"/>
    <s v="STORE6"/>
    <x v="3"/>
    <x v="1"/>
    <n v="998.58"/>
    <n v="0.02"/>
    <x v="0"/>
    <b v="1"/>
    <n v="2935.8252000000002"/>
    <n v="2935.8252000000002"/>
  </r>
  <r>
    <s v="SALE1957"/>
    <x v="330"/>
    <x v="2"/>
    <s v="CUST1456"/>
    <x v="0"/>
    <x v="1"/>
    <x v="0"/>
    <s v="PROD37"/>
    <s v="Men's Casual Sneakers"/>
    <x v="4"/>
    <s v="Footwear"/>
    <s v="STORE9"/>
    <x v="2"/>
    <x v="1"/>
    <n v="765.12"/>
    <n v="0.18"/>
    <x v="0"/>
    <b v="1"/>
    <n v="1882.1952000000003"/>
    <n v="1882.1952000000001"/>
  </r>
  <r>
    <s v="SALE1958"/>
    <x v="592"/>
    <x v="1"/>
    <s v="CUST1072"/>
    <x v="1"/>
    <x v="1"/>
    <x v="0"/>
    <s v="PROD64"/>
    <s v="Matte Lipstick Set"/>
    <x v="2"/>
    <s v="Makeup"/>
    <s v="STORE19"/>
    <x v="3"/>
    <x v="1"/>
    <n v="449.99"/>
    <n v="0.17"/>
    <x v="2"/>
    <b v="1"/>
    <n v="1120.4750999999999"/>
    <n v="1120.4751000000001"/>
  </r>
  <r>
    <s v="SALE1959"/>
    <x v="236"/>
    <x v="0"/>
    <s v="CUST1252"/>
    <x v="2"/>
    <x v="0"/>
    <x v="2"/>
    <s v="PROD43"/>
    <s v="USB External Hard Drive"/>
    <x v="1"/>
    <s v="Computer"/>
    <s v="STORE11"/>
    <x v="2"/>
    <x v="3"/>
    <n v="249.02"/>
    <n v="0.01"/>
    <x v="2"/>
    <b v="1"/>
    <n v="493.05959999999999"/>
    <n v="493.05959999999999"/>
  </r>
  <r>
    <s v="SALE1960"/>
    <x v="146"/>
    <x v="0"/>
    <s v="CUST1137"/>
    <x v="0"/>
    <x v="1"/>
    <x v="1"/>
    <s v="PROD57"/>
    <s v="Foam Roller"/>
    <x v="0"/>
    <s v="Fitness"/>
    <s v="STORE19"/>
    <x v="3"/>
    <x v="1"/>
    <n v="223.64"/>
    <n v="0.05"/>
    <x v="0"/>
    <b v="1"/>
    <n v="637.37399999999991"/>
    <n v="637.37399999999991"/>
  </r>
  <r>
    <s v="SALE1961"/>
    <x v="642"/>
    <x v="2"/>
    <s v="CUST1106"/>
    <x v="0"/>
    <x v="1"/>
    <x v="3"/>
    <s v="PROD24"/>
    <s v="Foldable Camping Chair"/>
    <x v="0"/>
    <s v="Outdoor"/>
    <s v="STORE4"/>
    <x v="2"/>
    <x v="3"/>
    <n v="92.94"/>
    <n v="0.12"/>
    <x v="0"/>
    <b v="1"/>
    <n v="163.5744"/>
    <n v="163.5744"/>
  </r>
  <r>
    <s v="SALE1962"/>
    <x v="410"/>
    <x v="0"/>
    <s v="CUST1361"/>
    <x v="0"/>
    <x v="0"/>
    <x v="1"/>
    <s v="PROD16"/>
    <s v="Beard Grooming Kit"/>
    <x v="2"/>
    <s v="Grooming"/>
    <s v="STORE2"/>
    <x v="2"/>
    <x v="2"/>
    <n v="268.3"/>
    <n v="0.02"/>
    <x v="2"/>
    <b v="1"/>
    <n v="1051.7360000000001"/>
    <n v="1051.7360000000001"/>
  </r>
  <r>
    <s v="SALE1963"/>
    <x v="505"/>
    <x v="2"/>
    <s v="CUST1442"/>
    <x v="1"/>
    <x v="1"/>
    <x v="3"/>
    <s v="PROD59"/>
    <s v="Men's Hair Styling Gel"/>
    <x v="2"/>
    <s v="Haircare"/>
    <s v="STORE19"/>
    <x v="3"/>
    <x v="2"/>
    <n v="835.61"/>
    <n v="0.03"/>
    <x v="0"/>
    <b v="1"/>
    <n v="3242.1668"/>
    <n v="3242.1668"/>
  </r>
  <r>
    <s v="SALE1964"/>
    <x v="111"/>
    <x v="0"/>
    <s v="CUST1382"/>
    <x v="2"/>
    <x v="1"/>
    <x v="0"/>
    <s v="PROD68"/>
    <s v="Wooden Nightstand"/>
    <x v="3"/>
    <s v="Furniture"/>
    <s v="STORE5"/>
    <x v="0"/>
    <x v="1"/>
    <n v="120.97"/>
    <n v="0.11"/>
    <x v="0"/>
    <b v="1"/>
    <n v="322.98989999999998"/>
    <n v="322.98989999999998"/>
  </r>
  <r>
    <s v="SALE1965"/>
    <x v="557"/>
    <x v="0"/>
    <s v="CUST1030"/>
    <x v="0"/>
    <x v="1"/>
    <x v="3"/>
    <s v="PROD40"/>
    <s v="Noise-Canceling Headphones"/>
    <x v="1"/>
    <s v="Audio"/>
    <s v="STORE9"/>
    <x v="2"/>
    <x v="3"/>
    <n v="26.36"/>
    <n v="0.03"/>
    <x v="2"/>
    <b v="1"/>
    <n v="51.138399999999997"/>
    <n v="51.138399999999997"/>
  </r>
  <r>
    <s v="SALE1966"/>
    <x v="377"/>
    <x v="2"/>
    <s v="CUST1033"/>
    <x v="2"/>
    <x v="0"/>
    <x v="1"/>
    <s v="PROD77"/>
    <s v="WiFi Mesh Router"/>
    <x v="1"/>
    <s v="Appliances"/>
    <s v="STORE6"/>
    <x v="3"/>
    <x v="0"/>
    <n v="918.87"/>
    <n v="0.11"/>
    <x v="1"/>
    <b v="1"/>
    <n v="817.79430000000002"/>
    <n v="817.79430000000002"/>
  </r>
  <r>
    <s v="SALE1967"/>
    <x v="473"/>
    <x v="2"/>
    <s v="CUST1031"/>
    <x v="1"/>
    <x v="0"/>
    <x v="2"/>
    <s v="PROD67"/>
    <s v="Smart LED Light Strip"/>
    <x v="1"/>
    <s v="Accessories"/>
    <s v="STORE11"/>
    <x v="2"/>
    <x v="3"/>
    <n v="924.73"/>
    <n v="0.28999999999999998"/>
    <x v="1"/>
    <b v="1"/>
    <n v="1313.1166000000001"/>
    <n v="1313.1166000000001"/>
  </r>
  <r>
    <s v="SALE1968"/>
    <x v="439"/>
    <x v="2"/>
    <s v="CUST1021"/>
    <x v="1"/>
    <x v="1"/>
    <x v="0"/>
    <s v="PROD12"/>
    <s v="Hair Strengthening Shampoo"/>
    <x v="2"/>
    <s v="Haircare"/>
    <s v="STORE10"/>
    <x v="3"/>
    <x v="1"/>
    <n v="195.31"/>
    <n v="0.13"/>
    <x v="2"/>
    <b v="1"/>
    <n v="509.75910000000005"/>
    <n v="509.75909999999999"/>
  </r>
  <r>
    <s v="SALE1969"/>
    <x v="376"/>
    <x v="2"/>
    <s v="CUST1142"/>
    <x v="1"/>
    <x v="0"/>
    <x v="3"/>
    <s v="PROD38"/>
    <s v="Sports Water Hydration Pack"/>
    <x v="0"/>
    <s v="Outdoor"/>
    <s v="STORE8"/>
    <x v="1"/>
    <x v="0"/>
    <n v="91.38"/>
    <n v="0.14000000000000001"/>
    <x v="0"/>
    <b v="1"/>
    <n v="78.586799999999997"/>
    <n v="78.586799999999997"/>
  </r>
  <r>
    <s v="SALE1970"/>
    <x v="681"/>
    <x v="0"/>
    <s v="CUST1483"/>
    <x v="1"/>
    <x v="0"/>
    <x v="0"/>
    <s v="PROD86"/>
    <s v="Kitchen Cutting Board"/>
    <x v="3"/>
    <s v="Kitchen"/>
    <s v="STORE11"/>
    <x v="2"/>
    <x v="3"/>
    <n v="494.35"/>
    <n v="0.1"/>
    <x v="0"/>
    <b v="1"/>
    <n v="889.83"/>
    <n v="889.83"/>
  </r>
  <r>
    <s v="SALE1971"/>
    <x v="85"/>
    <x v="0"/>
    <s v="CUST1255"/>
    <x v="2"/>
    <x v="0"/>
    <x v="0"/>
    <s v="PROD24"/>
    <s v="Foldable Camping Chair"/>
    <x v="0"/>
    <s v="Outdoor"/>
    <s v="STORE10"/>
    <x v="3"/>
    <x v="0"/>
    <n v="412.2"/>
    <n v="0.11"/>
    <x v="0"/>
    <b v="1"/>
    <n v="366.858"/>
    <n v="366.858"/>
  </r>
  <r>
    <s v="SALE1972"/>
    <x v="23"/>
    <x v="0"/>
    <s v="CUST1394"/>
    <x v="1"/>
    <x v="1"/>
    <x v="3"/>
    <s v="PROD79"/>
    <s v="Decorative Lamp Shade"/>
    <x v="3"/>
    <s v="Lighting"/>
    <s v="STORE16"/>
    <x v="1"/>
    <x v="0"/>
    <n v="650.47"/>
    <n v="0.13"/>
    <x v="1"/>
    <b v="1"/>
    <n v="565.90890000000002"/>
    <n v="565.90890000000002"/>
  </r>
  <r>
    <s v="SALE1973"/>
    <x v="386"/>
    <x v="1"/>
    <s v="CUST1155"/>
    <x v="0"/>
    <x v="1"/>
    <x v="0"/>
    <s v="PROD14"/>
    <s v="Decorative Wall Mirror"/>
    <x v="3"/>
    <s v="Decor"/>
    <s v="STORE12"/>
    <x v="0"/>
    <x v="0"/>
    <n v="68.209999999999994"/>
    <n v="0.05"/>
    <x v="1"/>
    <b v="1"/>
    <n v="64.799499999999995"/>
    <n v="64.799499999999995"/>
  </r>
  <r>
    <s v="SALE1974"/>
    <x v="115"/>
    <x v="2"/>
    <s v="CUST1135"/>
    <x v="1"/>
    <x v="1"/>
    <x v="1"/>
    <s v="PROD53"/>
    <s v="Men's Track Pants"/>
    <x v="4"/>
    <s v="Bottoms"/>
    <s v="STORE7"/>
    <x v="2"/>
    <x v="3"/>
    <n v="842.89"/>
    <n v="0.25"/>
    <x v="2"/>
    <b v="1"/>
    <n v="1264.335"/>
    <n v="1264.335"/>
  </r>
  <r>
    <s v="SALE1975"/>
    <x v="155"/>
    <x v="0"/>
    <s v="CUST1300"/>
    <x v="2"/>
    <x v="0"/>
    <x v="2"/>
    <s v="PROD5"/>
    <s v="Men's Leather Belt"/>
    <x v="4"/>
    <s v="Accessories"/>
    <s v="STORE4"/>
    <x v="2"/>
    <x v="3"/>
    <n v="227.95"/>
    <n v="0.24"/>
    <x v="2"/>
    <b v="1"/>
    <n v="346.48399999999998"/>
    <n v="346.48399999999998"/>
  </r>
  <r>
    <s v="SALE1976"/>
    <x v="432"/>
    <x v="0"/>
    <s v="CUST1192"/>
    <x v="2"/>
    <x v="0"/>
    <x v="0"/>
    <s v="PROD66"/>
    <s v="Women's Hair Dryer Brush"/>
    <x v="2"/>
    <s v="Haircare"/>
    <s v="STORE12"/>
    <x v="0"/>
    <x v="1"/>
    <n v="685.97"/>
    <n v="0.24"/>
    <x v="1"/>
    <b v="1"/>
    <n v="1564.0115999999998"/>
    <n v="1564.0116"/>
  </r>
  <r>
    <s v="SALE1977"/>
    <x v="376"/>
    <x v="2"/>
    <s v="CUST1365"/>
    <x v="0"/>
    <x v="1"/>
    <x v="1"/>
    <s v="PROD29"/>
    <s v="Fabric Sofa Throw Blanket"/>
    <x v="3"/>
    <s v="Decor"/>
    <s v="STORE2"/>
    <x v="2"/>
    <x v="0"/>
    <n v="722.57"/>
    <n v="0.18"/>
    <x v="0"/>
    <b v="1"/>
    <n v="592.50740000000008"/>
    <n v="592.50740000000008"/>
  </r>
  <r>
    <s v="SALE1978"/>
    <x v="250"/>
    <x v="0"/>
    <s v="CUST1140"/>
    <x v="0"/>
    <x v="1"/>
    <x v="0"/>
    <s v="PROD35"/>
    <s v="Bedroom Table Lamp"/>
    <x v="3"/>
    <s v="Lighting"/>
    <s v="STORE5"/>
    <x v="0"/>
    <x v="1"/>
    <n v="585.54999999999995"/>
    <n v="0.14000000000000001"/>
    <x v="2"/>
    <b v="1"/>
    <n v="1510.7189999999998"/>
    <n v="1510.7190000000001"/>
  </r>
  <r>
    <s v="SALE1979"/>
    <x v="193"/>
    <x v="2"/>
    <s v="CUST1309"/>
    <x v="1"/>
    <x v="1"/>
    <x v="3"/>
    <s v="PROD46"/>
    <s v="Men's Winter Jacket"/>
    <x v="4"/>
    <s v="Outerwear"/>
    <s v="STORE13"/>
    <x v="3"/>
    <x v="3"/>
    <n v="635.80999999999995"/>
    <n v="0.13"/>
    <x v="1"/>
    <b v="1"/>
    <n v="1106.3093999999999"/>
    <n v="1106.3094000000001"/>
  </r>
  <r>
    <s v="SALE1980"/>
    <x v="350"/>
    <x v="0"/>
    <s v="CUST1277"/>
    <x v="2"/>
    <x v="1"/>
    <x v="1"/>
    <s v="PROD14"/>
    <s v="Decorative Wall Mirror"/>
    <x v="3"/>
    <s v="Decor"/>
    <s v="STORE4"/>
    <x v="2"/>
    <x v="3"/>
    <n v="353.74"/>
    <n v="0.01"/>
    <x v="0"/>
    <b v="1"/>
    <n v="700.40520000000004"/>
    <n v="700.40520000000004"/>
  </r>
  <r>
    <s v="SALE1981"/>
    <x v="221"/>
    <x v="0"/>
    <s v="CUST1264"/>
    <x v="2"/>
    <x v="0"/>
    <x v="0"/>
    <s v="PROD36"/>
    <s v="Women's Summer Dress"/>
    <x v="4"/>
    <s v="Tops"/>
    <s v="STORE7"/>
    <x v="2"/>
    <x v="0"/>
    <n v="377.52"/>
    <n v="0.15"/>
    <x v="0"/>
    <b v="1"/>
    <n v="320.892"/>
    <n v="320.892"/>
  </r>
  <r>
    <s v="SALE1982"/>
    <x v="73"/>
    <x v="0"/>
    <s v="CUST1205"/>
    <x v="1"/>
    <x v="1"/>
    <x v="0"/>
    <s v="PROD68"/>
    <s v="Wooden Nightstand"/>
    <x v="3"/>
    <s v="Furniture"/>
    <s v="STORE2"/>
    <x v="2"/>
    <x v="1"/>
    <n v="901.49"/>
    <n v="0"/>
    <x v="0"/>
    <b v="1"/>
    <n v="2704.4700000000003"/>
    <n v="2704.47"/>
  </r>
  <r>
    <s v="SALE1983"/>
    <x v="330"/>
    <x v="2"/>
    <s v="CUST1200"/>
    <x v="2"/>
    <x v="0"/>
    <x v="1"/>
    <s v="PROD30"/>
    <s v="Stainless Steel Cutlery Set"/>
    <x v="3"/>
    <s v="Kitchen"/>
    <s v="STORE5"/>
    <x v="0"/>
    <x v="0"/>
    <n v="563.01"/>
    <n v="0.1"/>
    <x v="0"/>
    <b v="1"/>
    <n v="506.709"/>
    <n v="506.709"/>
  </r>
  <r>
    <s v="SALE1984"/>
    <x v="425"/>
    <x v="0"/>
    <s v="CUST1052"/>
    <x v="0"/>
    <x v="0"/>
    <x v="3"/>
    <s v="PROD70"/>
    <s v="Kitchen Storage Rack"/>
    <x v="3"/>
    <s v="Storage"/>
    <s v="STORE6"/>
    <x v="3"/>
    <x v="2"/>
    <n v="167.25"/>
    <n v="0.11"/>
    <x v="0"/>
    <b v="1"/>
    <n v="595.41"/>
    <n v="595.41"/>
  </r>
  <r>
    <s v="SALE1985"/>
    <x v="365"/>
    <x v="1"/>
    <s v="CUST1454"/>
    <x v="0"/>
    <x v="0"/>
    <x v="0"/>
    <s v="PROD60"/>
    <s v="Luxury Perfume Spray"/>
    <x v="2"/>
    <s v="Fragrance"/>
    <s v="STORE18"/>
    <x v="3"/>
    <x v="1"/>
    <n v="345.43"/>
    <n v="0.08"/>
    <x v="2"/>
    <b v="1"/>
    <n v="953.38679999999999"/>
    <n v="953.38679999999999"/>
  </r>
  <r>
    <s v="SALE1986"/>
    <x v="209"/>
    <x v="0"/>
    <s v="CUST1308"/>
    <x v="0"/>
    <x v="1"/>
    <x v="0"/>
    <s v="PROD82"/>
    <s v="Fitness Resistance Bands"/>
    <x v="0"/>
    <s v="Fitness"/>
    <s v="STORE9"/>
    <x v="2"/>
    <x v="2"/>
    <n v="752.48"/>
    <n v="0.23"/>
    <x v="0"/>
    <b v="1"/>
    <n v="2317.6384000000003"/>
    <n v="2317.6383999999998"/>
  </r>
  <r>
    <s v="SALE1987"/>
    <x v="115"/>
    <x v="2"/>
    <s v="CUST1449"/>
    <x v="2"/>
    <x v="0"/>
    <x v="3"/>
    <s v="PROD57"/>
    <s v="Foam Roller"/>
    <x v="0"/>
    <s v="Fitness"/>
    <s v="STORE19"/>
    <x v="3"/>
    <x v="0"/>
    <n v="120.02"/>
    <n v="0.26"/>
    <x v="0"/>
    <b v="1"/>
    <n v="88.814799999999991"/>
    <n v="88.814799999999991"/>
  </r>
  <r>
    <s v="SALE1988"/>
    <x v="669"/>
    <x v="0"/>
    <s v="CUST1323"/>
    <x v="0"/>
    <x v="1"/>
    <x v="1"/>
    <s v="PROD41"/>
    <s v="Yoga Exercise Mat"/>
    <x v="0"/>
    <s v="Fitness"/>
    <s v="STORE8"/>
    <x v="1"/>
    <x v="1"/>
    <n v="146.71"/>
    <n v="0.28000000000000003"/>
    <x v="0"/>
    <b v="1"/>
    <n v="316.89359999999999"/>
    <n v="316.89359999999999"/>
  </r>
  <r>
    <s v="SALE1989"/>
    <x v="536"/>
    <x v="2"/>
    <s v="CUST1082"/>
    <x v="0"/>
    <x v="0"/>
    <x v="3"/>
    <s v="PROD64"/>
    <s v="Matte Lipstick Set"/>
    <x v="2"/>
    <s v="Makeup"/>
    <s v="STORE0"/>
    <x v="3"/>
    <x v="3"/>
    <n v="358.87"/>
    <n v="0.24"/>
    <x v="0"/>
    <b v="1"/>
    <n v="545.48239999999998"/>
    <n v="545.48239999999998"/>
  </r>
  <r>
    <s v="SALE1990"/>
    <x v="441"/>
    <x v="0"/>
    <s v="CUST1241"/>
    <x v="1"/>
    <x v="0"/>
    <x v="1"/>
    <s v="PROD52"/>
    <s v="Rugby Ball"/>
    <x v="0"/>
    <s v="Team Sports"/>
    <s v="STORE3"/>
    <x v="0"/>
    <x v="2"/>
    <n v="212.75"/>
    <n v="0.11"/>
    <x v="2"/>
    <b v="1"/>
    <n v="757.39"/>
    <n v="757.39"/>
  </r>
  <r>
    <s v="SALE1991"/>
    <x v="682"/>
    <x v="0"/>
    <s v="CUST1327"/>
    <x v="0"/>
    <x v="1"/>
    <x v="3"/>
    <s v="PROD45"/>
    <s v="High-Grip Football"/>
    <x v="0"/>
    <s v="Team Sports"/>
    <s v="STORE11"/>
    <x v="2"/>
    <x v="0"/>
    <n v="183.47"/>
    <n v="0.17"/>
    <x v="1"/>
    <b v="1"/>
    <n v="152.2801"/>
    <n v="152.2801"/>
  </r>
  <r>
    <s v="SALE1992"/>
    <x v="508"/>
    <x v="0"/>
    <s v="CUST1068"/>
    <x v="2"/>
    <x v="1"/>
    <x v="2"/>
    <s v="PROD89"/>
    <s v="Face Foundation Kit"/>
    <x v="2"/>
    <s v="Makeup"/>
    <s v="STORE15"/>
    <x v="0"/>
    <x v="2"/>
    <n v="569.98"/>
    <n v="0.23"/>
    <x v="0"/>
    <b v="1"/>
    <n v="1755.5384000000001"/>
    <n v="1755.5383999999999"/>
  </r>
  <r>
    <s v="SALE1993"/>
    <x v="113"/>
    <x v="1"/>
    <s v="CUST1472"/>
    <x v="1"/>
    <x v="0"/>
    <x v="2"/>
    <s v="PROD21"/>
    <s v="Multi-Purpose Storage Box"/>
    <x v="3"/>
    <s v="Storage"/>
    <s v="STORE12"/>
    <x v="0"/>
    <x v="1"/>
    <n v="984.12"/>
    <n v="0.27"/>
    <x v="0"/>
    <b v="1"/>
    <n v="2155.2228"/>
    <n v="2155.2228"/>
  </r>
  <r>
    <s v="SALE1994"/>
    <x v="309"/>
    <x v="2"/>
    <s v="CUST1473"/>
    <x v="0"/>
    <x v="0"/>
    <x v="3"/>
    <s v="PROD84"/>
    <s v="Wooden Bookshelf"/>
    <x v="3"/>
    <s v="Furniture"/>
    <s v="STORE8"/>
    <x v="1"/>
    <x v="0"/>
    <n v="905.23"/>
    <n v="0"/>
    <x v="0"/>
    <b v="1"/>
    <n v="905.23"/>
    <n v="905.23"/>
  </r>
  <r>
    <s v="SALE1995"/>
    <x v="39"/>
    <x v="1"/>
    <s v="CUST1186"/>
    <x v="0"/>
    <x v="0"/>
    <x v="2"/>
    <s v="PROD99"/>
    <s v="Stainless Steel Cookware Set"/>
    <x v="3"/>
    <s v="Kitchen"/>
    <s v="STORE19"/>
    <x v="3"/>
    <x v="1"/>
    <n v="112.77"/>
    <n v="0.19"/>
    <x v="0"/>
    <b v="1"/>
    <n v="274.03110000000004"/>
    <n v="274.03109999999998"/>
  </r>
  <r>
    <s v="SALE1996"/>
    <x v="218"/>
    <x v="2"/>
    <s v="CUST1161"/>
    <x v="2"/>
    <x v="1"/>
    <x v="2"/>
    <s v="PROD35"/>
    <s v="Bedroom Table Lamp"/>
    <x v="3"/>
    <s v="Lighting"/>
    <s v="STORE8"/>
    <x v="1"/>
    <x v="1"/>
    <n v="875.99"/>
    <n v="0.09"/>
    <x v="1"/>
    <b v="1"/>
    <n v="2391.4527000000003"/>
    <n v="2391.4526999999998"/>
  </r>
  <r>
    <s v="SALE1997"/>
    <x v="325"/>
    <x v="0"/>
    <s v="CUST1128"/>
    <x v="1"/>
    <x v="0"/>
    <x v="2"/>
    <s v="PROD89"/>
    <s v="Face Foundation Kit"/>
    <x v="2"/>
    <s v="Makeup"/>
    <s v="STORE10"/>
    <x v="3"/>
    <x v="3"/>
    <n v="685.31"/>
    <n v="0.26"/>
    <x v="1"/>
    <b v="1"/>
    <n v="1014.2588"/>
    <n v="1014.2588"/>
  </r>
  <r>
    <s v="SALE1998"/>
    <x v="48"/>
    <x v="0"/>
    <s v="CUST1052"/>
    <x v="0"/>
    <x v="0"/>
    <x v="3"/>
    <s v="PROD61"/>
    <s v="Tennis Ball 3-Pack"/>
    <x v="0"/>
    <s v="Equipment"/>
    <s v="STORE11"/>
    <x v="2"/>
    <x v="1"/>
    <n v="945.37"/>
    <n v="0.05"/>
    <x v="0"/>
    <b v="1"/>
    <n v="2694.3045000000002"/>
    <n v="2694.3045000000002"/>
  </r>
  <r>
    <s v="SALE1999"/>
    <x v="157"/>
    <x v="1"/>
    <s v="CUST1023"/>
    <x v="0"/>
    <x v="1"/>
    <x v="2"/>
    <s v="PROD76"/>
    <s v="Wireless Mouse"/>
    <x v="1"/>
    <s v="Computer"/>
    <s v="STORE19"/>
    <x v="3"/>
    <x v="1"/>
    <n v="68.45"/>
    <n v="0.17"/>
    <x v="1"/>
    <b v="1"/>
    <n v="170.44050000000001"/>
    <n v="170.4404999999999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A34641-8A8B-4799-8AAB-2941FB3EC623}" name="PivotTable1"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3:C96" firstHeaderRow="0" firstDataRow="1" firstDataCol="1"/>
  <pivotFields count="23">
    <pivotField dataField="1" showAll="0"/>
    <pivotField axis="axisRow" numFmtId="1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showAll="0">
      <items count="4">
        <item x="1"/>
        <item x="0"/>
        <item x="2"/>
        <item t="default"/>
      </items>
    </pivotField>
    <pivotField showAll="0"/>
    <pivotField showAll="0"/>
    <pivotField showAll="0"/>
    <pivotField showAll="0"/>
    <pivotField showAll="0"/>
    <pivotField showAll="0"/>
    <pivotField showAll="0"/>
    <pivotField showAll="0"/>
    <pivotField showAll="0"/>
    <pivotField showAll="0"/>
    <pivotField numFmtId="1" showAll="0"/>
    <pivotField showAll="0"/>
    <pivotField showAll="0"/>
    <pivotField showAll="0"/>
    <pivotField showAll="0"/>
    <pivotField numFmtId="2" showAll="0"/>
    <pivotField dataField="1" numFmtId="2"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s>
  <rowFields count="2">
    <field x="20"/>
    <field x="1"/>
  </rowFields>
  <rowItems count="13">
    <i>
      <x v="1"/>
    </i>
    <i>
      <x v="2"/>
    </i>
    <i>
      <x v="3"/>
    </i>
    <i>
      <x v="4"/>
    </i>
    <i>
      <x v="5"/>
    </i>
    <i>
      <x v="6"/>
    </i>
    <i>
      <x v="7"/>
    </i>
    <i>
      <x v="8"/>
    </i>
    <i>
      <x v="9"/>
    </i>
    <i>
      <x v="10"/>
    </i>
    <i>
      <x v="11"/>
    </i>
    <i>
      <x v="12"/>
    </i>
    <i t="grand">
      <x/>
    </i>
  </rowItems>
  <colFields count="1">
    <field x="-2"/>
  </colFields>
  <colItems count="2">
    <i>
      <x/>
    </i>
    <i i="1">
      <x v="1"/>
    </i>
  </colItems>
  <dataFields count="2">
    <dataField name="Count of Sales_ID" fld="0" subtotal="count" baseField="0" baseItem="0"/>
    <dataField name="Sum of Total_Amount" fld="19" baseField="0" baseItem="0" numFmtId="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DC30598-B7BA-43A8-9B0C-FE5D7A2886B5}" name="PivotTable7"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58:B64" firstHeaderRow="1" firstDataRow="1" firstDataCol="1"/>
  <pivotFields count="23">
    <pivotField showAll="0"/>
    <pivotField numFmtId="1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showAll="0"/>
    <pivotField showAll="0"/>
    <pivotField showAll="0">
      <items count="4">
        <item x="2"/>
        <item x="1"/>
        <item x="0"/>
        <item t="default"/>
      </items>
    </pivotField>
    <pivotField showAll="0"/>
    <pivotField showAll="0">
      <items count="5">
        <item x="3"/>
        <item x="0"/>
        <item x="1"/>
        <item x="2"/>
        <item t="default"/>
      </items>
    </pivotField>
    <pivotField showAll="0"/>
    <pivotField showAll="0"/>
    <pivotField axis="axisRow" showAll="0">
      <items count="6">
        <item x="2"/>
        <item x="4"/>
        <item x="1"/>
        <item x="3"/>
        <item x="0"/>
        <item t="default"/>
      </items>
    </pivotField>
    <pivotField showAll="0"/>
    <pivotField showAll="0"/>
    <pivotField showAll="0"/>
    <pivotField showAll="0"/>
    <pivotField showAll="0"/>
    <pivotField showAll="0"/>
    <pivotField showAll="0"/>
    <pivotField showAll="0"/>
    <pivotField numFmtId="2"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9"/>
  </rowFields>
  <rowItems count="6">
    <i>
      <x/>
    </i>
    <i>
      <x v="1"/>
    </i>
    <i>
      <x v="2"/>
    </i>
    <i>
      <x v="3"/>
    </i>
    <i>
      <x v="4"/>
    </i>
    <i t="grand">
      <x/>
    </i>
  </rowItems>
  <colItems count="1">
    <i/>
  </colItems>
  <dataFields count="1">
    <dataField name="Average of Total_Amount" fld="19" subtotal="average" baseField="0" baseItem="0"/>
  </dataFields>
  <chartFormats count="12">
    <chartFormat chart="7" format="7" series="1">
      <pivotArea type="data" outline="0" fieldPosition="0">
        <references count="1">
          <reference field="4294967294" count="1" selected="0">
            <x v="0"/>
          </reference>
        </references>
      </pivotArea>
    </chartFormat>
    <chartFormat chart="7" format="8">
      <pivotArea type="data" outline="0" fieldPosition="0">
        <references count="2">
          <reference field="4294967294" count="1" selected="0">
            <x v="0"/>
          </reference>
          <reference field="9" count="1" selected="0">
            <x v="0"/>
          </reference>
        </references>
      </pivotArea>
    </chartFormat>
    <chartFormat chart="7" format="9">
      <pivotArea type="data" outline="0" fieldPosition="0">
        <references count="2">
          <reference field="4294967294" count="1" selected="0">
            <x v="0"/>
          </reference>
          <reference field="9" count="1" selected="0">
            <x v="1"/>
          </reference>
        </references>
      </pivotArea>
    </chartFormat>
    <chartFormat chart="7" format="10">
      <pivotArea type="data" outline="0" fieldPosition="0">
        <references count="2">
          <reference field="4294967294" count="1" selected="0">
            <x v="0"/>
          </reference>
          <reference field="9" count="1" selected="0">
            <x v="2"/>
          </reference>
        </references>
      </pivotArea>
    </chartFormat>
    <chartFormat chart="7" format="11">
      <pivotArea type="data" outline="0" fieldPosition="0">
        <references count="2">
          <reference field="4294967294" count="1" selected="0">
            <x v="0"/>
          </reference>
          <reference field="9" count="1" selected="0">
            <x v="3"/>
          </reference>
        </references>
      </pivotArea>
    </chartFormat>
    <chartFormat chart="7" format="12">
      <pivotArea type="data" outline="0" fieldPosition="0">
        <references count="2">
          <reference field="4294967294" count="1" selected="0">
            <x v="0"/>
          </reference>
          <reference field="9" count="1" selected="0">
            <x v="4"/>
          </reference>
        </references>
      </pivotArea>
    </chartFormat>
    <chartFormat chart="10" format="19" series="1">
      <pivotArea type="data" outline="0" fieldPosition="0">
        <references count="1">
          <reference field="4294967294" count="1" selected="0">
            <x v="0"/>
          </reference>
        </references>
      </pivotArea>
    </chartFormat>
    <chartFormat chart="10" format="20">
      <pivotArea type="data" outline="0" fieldPosition="0">
        <references count="2">
          <reference field="4294967294" count="1" selected="0">
            <x v="0"/>
          </reference>
          <reference field="9" count="1" selected="0">
            <x v="0"/>
          </reference>
        </references>
      </pivotArea>
    </chartFormat>
    <chartFormat chart="10" format="21">
      <pivotArea type="data" outline="0" fieldPosition="0">
        <references count="2">
          <reference field="4294967294" count="1" selected="0">
            <x v="0"/>
          </reference>
          <reference field="9" count="1" selected="0">
            <x v="1"/>
          </reference>
        </references>
      </pivotArea>
    </chartFormat>
    <chartFormat chart="10" format="22">
      <pivotArea type="data" outline="0" fieldPosition="0">
        <references count="2">
          <reference field="4294967294" count="1" selected="0">
            <x v="0"/>
          </reference>
          <reference field="9" count="1" selected="0">
            <x v="2"/>
          </reference>
        </references>
      </pivotArea>
    </chartFormat>
    <chartFormat chart="10" format="23">
      <pivotArea type="data" outline="0" fieldPosition="0">
        <references count="2">
          <reference field="4294967294" count="1" selected="0">
            <x v="0"/>
          </reference>
          <reference field="9" count="1" selected="0">
            <x v="3"/>
          </reference>
        </references>
      </pivotArea>
    </chartFormat>
    <chartFormat chart="10" format="24">
      <pivotArea type="data" outline="0" fieldPosition="0">
        <references count="2">
          <reference field="4294967294" count="1" selected="0">
            <x v="0"/>
          </reference>
          <reference field="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AE047FE-7716-4982-9808-C5FEFA4A7C87}" name="PivotTable6"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location ref="A69:B79" firstHeaderRow="1" firstDataRow="1" firstDataCol="1"/>
  <pivotFields count="23">
    <pivotField showAll="0"/>
    <pivotField numFmtId="1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axis="axisRow" showAll="0">
      <items count="4">
        <item x="1"/>
        <item x="0"/>
        <item x="2"/>
        <item t="default"/>
      </items>
    </pivotField>
    <pivotField showAll="0"/>
    <pivotField showAll="0">
      <items count="4">
        <item x="2"/>
        <item x="1"/>
        <item x="0"/>
        <item t="default"/>
      </items>
    </pivotField>
    <pivotField axis="axisRow" showAll="0">
      <items count="3">
        <item x="1"/>
        <item x="0"/>
        <item t="default"/>
      </items>
    </pivotField>
    <pivotField showAll="0">
      <items count="5">
        <item x="3"/>
        <item x="0"/>
        <item x="1"/>
        <item x="2"/>
        <item t="default"/>
      </items>
    </pivotField>
    <pivotField showAll="0"/>
    <pivotField showAll="0"/>
    <pivotField showAll="0">
      <items count="6">
        <item x="2"/>
        <item x="4"/>
        <item x="1"/>
        <item x="3"/>
        <item x="0"/>
        <item t="default"/>
      </items>
    </pivotField>
    <pivotField showAll="0"/>
    <pivotField showAll="0"/>
    <pivotField showAll="0"/>
    <pivotField showAll="0"/>
    <pivotField showAll="0"/>
    <pivotField showAll="0"/>
    <pivotField showAll="0"/>
    <pivotField showAll="0"/>
    <pivotField numFmtId="2"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2">
    <field x="2"/>
    <field x="5"/>
  </rowFields>
  <rowItems count="10">
    <i>
      <x/>
    </i>
    <i r="1">
      <x/>
    </i>
    <i r="1">
      <x v="1"/>
    </i>
    <i>
      <x v="1"/>
    </i>
    <i r="1">
      <x/>
    </i>
    <i r="1">
      <x v="1"/>
    </i>
    <i>
      <x v="2"/>
    </i>
    <i r="1">
      <x/>
    </i>
    <i r="1">
      <x v="1"/>
    </i>
    <i t="grand">
      <x/>
    </i>
  </rowItems>
  <colItems count="1">
    <i/>
  </colItems>
  <dataFields count="1">
    <dataField name="Average of Total_Amount" fld="19" subtotal="average" baseField="0" baseItem="0"/>
  </dataFields>
  <chartFormats count="2">
    <chartFormat chart="11" format="8" series="1">
      <pivotArea type="data" outline="0" fieldPosition="0">
        <references count="1">
          <reference field="4294967294" count="1" selected="0">
            <x v="0"/>
          </reference>
        </references>
      </pivotArea>
    </chartFormat>
    <chartFormat chart="14" format="1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5E2B040-DAE4-4DE9-882E-8F42613D3079}" name="PivotTable5"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A32:C37" firstHeaderRow="0" firstDataRow="1" firstDataCol="1"/>
  <pivotFields count="23">
    <pivotField dataField="1" showAll="0"/>
    <pivotField numFmtId="1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showAll="0"/>
    <pivotField showAll="0"/>
    <pivotField showAll="0">
      <items count="4">
        <item x="2"/>
        <item x="1"/>
        <item x="0"/>
        <item t="default"/>
      </items>
    </pivotField>
    <pivotField showAll="0"/>
    <pivotField showAll="0">
      <items count="5">
        <item x="3"/>
        <item x="0"/>
        <item x="1"/>
        <item x="2"/>
        <item t="default"/>
      </items>
    </pivotField>
    <pivotField showAll="0"/>
    <pivotField showAll="0"/>
    <pivotField showAll="0">
      <items count="6">
        <item x="2"/>
        <item x="4"/>
        <item x="1"/>
        <item x="3"/>
        <item x="0"/>
        <item t="default"/>
      </items>
    </pivotField>
    <pivotField showAll="0"/>
    <pivotField showAll="0"/>
    <pivotField axis="axisRow" showAll="0">
      <items count="5">
        <item x="3"/>
        <item x="0"/>
        <item x="2"/>
        <item x="1"/>
        <item t="default"/>
      </items>
    </pivotField>
    <pivotField showAll="0"/>
    <pivotField showAll="0"/>
    <pivotField showAll="0"/>
    <pivotField showAll="0"/>
    <pivotField showAll="0"/>
    <pivotField numFmtId="2"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2"/>
  </rowFields>
  <rowItems count="5">
    <i>
      <x/>
    </i>
    <i>
      <x v="1"/>
    </i>
    <i>
      <x v="2"/>
    </i>
    <i>
      <x v="3"/>
    </i>
    <i t="grand">
      <x/>
    </i>
  </rowItems>
  <colFields count="1">
    <field x="-2"/>
  </colFields>
  <colItems count="2">
    <i>
      <x/>
    </i>
    <i i="1">
      <x v="1"/>
    </i>
  </colItems>
  <dataFields count="2">
    <dataField name="Count of Sales_ID" fld="0" subtotal="count" baseField="0" baseItem="0"/>
    <dataField name="Average of Total_Amount" fld="19" subtotal="average" baseField="0" baseItem="0"/>
  </dataFields>
  <chartFormats count="4">
    <chartFormat chart="14" format="9" series="1">
      <pivotArea type="data" outline="0" fieldPosition="0">
        <references count="1">
          <reference field="4294967294" count="1" selected="0">
            <x v="0"/>
          </reference>
        </references>
      </pivotArea>
    </chartFormat>
    <chartFormat chart="14" format="10" series="1">
      <pivotArea type="data" outline="0" fieldPosition="0">
        <references count="1">
          <reference field="4294967294" count="1" selected="0">
            <x v="1"/>
          </reference>
        </references>
      </pivotArea>
    </chartFormat>
    <chartFormat chart="17" format="13" series="1">
      <pivotArea type="data" outline="0" fieldPosition="0">
        <references count="1">
          <reference field="4294967294" count="1" selected="0">
            <x v="0"/>
          </reference>
        </references>
      </pivotArea>
    </chartFormat>
    <chartFormat chart="17" format="14"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528A0C-D2B0-4D37-85F2-D276432CB698}" name="PivotTable4"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3">
  <location ref="A19:B23" firstHeaderRow="1" firstDataRow="1" firstDataCol="1"/>
  <pivotFields count="23">
    <pivotField dataField="1" showAll="0"/>
    <pivotField numFmtId="1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showAll="0"/>
    <pivotField showAll="0"/>
    <pivotField showAll="0">
      <items count="4">
        <item x="2"/>
        <item x="1"/>
        <item x="0"/>
        <item t="default"/>
      </items>
    </pivotField>
    <pivotField showAll="0"/>
    <pivotField showAll="0">
      <items count="5">
        <item x="3"/>
        <item x="0"/>
        <item x="1"/>
        <item x="2"/>
        <item t="default"/>
      </items>
    </pivotField>
    <pivotField showAll="0"/>
    <pivotField showAll="0"/>
    <pivotField showAll="0">
      <items count="6">
        <item x="2"/>
        <item x="4"/>
        <item x="1"/>
        <item x="3"/>
        <item x="0"/>
        <item t="default"/>
      </items>
    </pivotField>
    <pivotField showAll="0"/>
    <pivotField showAll="0"/>
    <pivotField showAll="0"/>
    <pivotField showAll="0"/>
    <pivotField showAll="0"/>
    <pivotField showAll="0"/>
    <pivotField axis="axisRow" showAll="0">
      <items count="4">
        <item x="2"/>
        <item x="0"/>
        <item x="1"/>
        <item t="default"/>
      </items>
    </pivotField>
    <pivotField showAll="0"/>
    <pivotField numFmtId="2"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16"/>
  </rowFields>
  <rowItems count="4">
    <i>
      <x/>
    </i>
    <i>
      <x v="1"/>
    </i>
    <i>
      <x v="2"/>
    </i>
    <i t="grand">
      <x/>
    </i>
  </rowItems>
  <colItems count="1">
    <i/>
  </colItems>
  <dataFields count="1">
    <dataField name="Count of Sales_ID" fld="0" subtotal="count" baseField="0" baseItem="0"/>
  </dataFields>
  <chartFormats count="8">
    <chartFormat chart="16" format="6" series="1">
      <pivotArea type="data" outline="0" fieldPosition="0">
        <references count="1">
          <reference field="4294967294" count="1" selected="0">
            <x v="0"/>
          </reference>
        </references>
      </pivotArea>
    </chartFormat>
    <chartFormat chart="16" format="7">
      <pivotArea type="data" outline="0" fieldPosition="0">
        <references count="2">
          <reference field="4294967294" count="1" selected="0">
            <x v="0"/>
          </reference>
          <reference field="16" count="1" selected="0">
            <x v="0"/>
          </reference>
        </references>
      </pivotArea>
    </chartFormat>
    <chartFormat chart="16" format="8">
      <pivotArea type="data" outline="0" fieldPosition="0">
        <references count="2">
          <reference field="4294967294" count="1" selected="0">
            <x v="0"/>
          </reference>
          <reference field="16" count="1" selected="0">
            <x v="1"/>
          </reference>
        </references>
      </pivotArea>
    </chartFormat>
    <chartFormat chart="16" format="9">
      <pivotArea type="data" outline="0" fieldPosition="0">
        <references count="2">
          <reference field="4294967294" count="1" selected="0">
            <x v="0"/>
          </reference>
          <reference field="16" count="1" selected="0">
            <x v="2"/>
          </reference>
        </references>
      </pivotArea>
    </chartFormat>
    <chartFormat chart="20" format="14" series="1">
      <pivotArea type="data" outline="0" fieldPosition="0">
        <references count="1">
          <reference field="4294967294" count="1" selected="0">
            <x v="0"/>
          </reference>
        </references>
      </pivotArea>
    </chartFormat>
    <chartFormat chart="20" format="15">
      <pivotArea type="data" outline="0" fieldPosition="0">
        <references count="2">
          <reference field="4294967294" count="1" selected="0">
            <x v="0"/>
          </reference>
          <reference field="16" count="1" selected="0">
            <x v="0"/>
          </reference>
        </references>
      </pivotArea>
    </chartFormat>
    <chartFormat chart="20" format="16">
      <pivotArea type="data" outline="0" fieldPosition="0">
        <references count="2">
          <reference field="4294967294" count="1" selected="0">
            <x v="0"/>
          </reference>
          <reference field="16" count="1" selected="0">
            <x v="1"/>
          </reference>
        </references>
      </pivotArea>
    </chartFormat>
    <chartFormat chart="20" format="17">
      <pivotArea type="data" outline="0" fieldPosition="0">
        <references count="2">
          <reference field="4294967294" count="1" selected="0">
            <x v="0"/>
          </reference>
          <reference field="1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E99C68-4C28-4E0D-AAA3-CF63D9CDE6E7}" name="PivotTable3"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A2:C6" firstHeaderRow="0" firstDataRow="1" firstDataCol="1"/>
  <pivotFields count="23">
    <pivotField dataField="1" showAll="0"/>
    <pivotField numFmtId="1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axis="axisRow" showAll="0">
      <items count="4">
        <item x="1"/>
        <item x="0"/>
        <item x="2"/>
        <item t="default"/>
      </items>
    </pivotField>
    <pivotField showAll="0"/>
    <pivotField showAll="0">
      <items count="4">
        <item x="2"/>
        <item x="1"/>
        <item x="0"/>
        <item t="default"/>
      </items>
    </pivotField>
    <pivotField showAll="0"/>
    <pivotField showAll="0">
      <items count="5">
        <item x="3"/>
        <item x="0"/>
        <item x="1"/>
        <item x="2"/>
        <item t="default"/>
      </items>
    </pivotField>
    <pivotField showAll="0"/>
    <pivotField showAll="0"/>
    <pivotField showAll="0">
      <items count="6">
        <item x="2"/>
        <item x="4"/>
        <item x="1"/>
        <item x="3"/>
        <item x="0"/>
        <item t="default"/>
      </items>
    </pivotField>
    <pivotField showAll="0"/>
    <pivotField showAll="0"/>
    <pivotField showAll="0"/>
    <pivotField showAll="0"/>
    <pivotField showAll="0"/>
    <pivotField showAll="0"/>
    <pivotField showAll="0"/>
    <pivotField showAll="0"/>
    <pivotField numFmtId="2" showAll="0"/>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2"/>
  </rowFields>
  <rowItems count="4">
    <i>
      <x/>
    </i>
    <i>
      <x v="1"/>
    </i>
    <i>
      <x v="2"/>
    </i>
    <i t="grand">
      <x/>
    </i>
  </rowItems>
  <colFields count="1">
    <field x="-2"/>
  </colFields>
  <colItems count="2">
    <i>
      <x/>
    </i>
    <i i="1">
      <x v="1"/>
    </i>
  </colItems>
  <dataFields count="2">
    <dataField name="Sum of Total_Amount" fld="19" baseField="0" baseItem="0"/>
    <dataField name="Count of Sales_ID" fld="0" subtotal="count" baseField="0" baseItem="0"/>
  </dataFields>
  <chartFormats count="4">
    <chartFormat chart="13" format="4"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1"/>
          </reference>
        </references>
      </pivotArea>
    </chartFormat>
    <chartFormat chart="16" format="8" series="1">
      <pivotArea type="data" outline="0" fieldPosition="0">
        <references count="1">
          <reference field="4294967294" count="1" selected="0">
            <x v="0"/>
          </reference>
        </references>
      </pivotArea>
    </chartFormat>
    <chartFormat chart="16"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F3BFEC-E93C-4ED2-A426-AD6A517156BF}" name="PivotTable8" cacheId="15"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44">
  <location ref="A48:D53" firstHeaderRow="1" firstDataRow="2" firstDataCol="1"/>
  <pivotFields count="23">
    <pivotField dataField="1" showAll="0"/>
    <pivotField numFmtId="14" showAll="0">
      <items count="684">
        <item x="64"/>
        <item x="98"/>
        <item x="34"/>
        <item x="592"/>
        <item x="30"/>
        <item x="47"/>
        <item x="188"/>
        <item x="320"/>
        <item x="608"/>
        <item x="383"/>
        <item x="389"/>
        <item x="183"/>
        <item x="189"/>
        <item x="174"/>
        <item x="541"/>
        <item x="365"/>
        <item x="636"/>
        <item x="602"/>
        <item x="444"/>
        <item x="305"/>
        <item x="610"/>
        <item x="163"/>
        <item x="409"/>
        <item x="653"/>
        <item x="353"/>
        <item x="565"/>
        <item x="269"/>
        <item x="41"/>
        <item x="495"/>
        <item x="463"/>
        <item x="313"/>
        <item x="514"/>
        <item x="7"/>
        <item x="394"/>
        <item x="400"/>
        <item x="378"/>
        <item x="336"/>
        <item x="205"/>
        <item x="466"/>
        <item x="65"/>
        <item x="386"/>
        <item x="57"/>
        <item x="619"/>
        <item x="3"/>
        <item x="382"/>
        <item x="615"/>
        <item x="453"/>
        <item x="39"/>
        <item x="493"/>
        <item x="303"/>
        <item x="157"/>
        <item x="76"/>
        <item x="152"/>
        <item x="66"/>
        <item x="573"/>
        <item x="539"/>
        <item x="399"/>
        <item x="113"/>
        <item x="301"/>
        <item x="149"/>
        <item x="477"/>
        <item x="443"/>
        <item x="335"/>
        <item x="354"/>
        <item x="374"/>
        <item x="54"/>
        <item x="395"/>
        <item x="195"/>
        <item x="1"/>
        <item x="363"/>
        <item x="380"/>
        <item x="519"/>
        <item x="671"/>
        <item x="63"/>
        <item x="49"/>
        <item x="442"/>
        <item x="655"/>
        <item x="26"/>
        <item x="381"/>
        <item x="627"/>
        <item x="4"/>
        <item x="289"/>
        <item x="217"/>
        <item x="445"/>
        <item x="29"/>
        <item x="276"/>
        <item x="288"/>
        <item x="632"/>
        <item x="358"/>
        <item x="482"/>
        <item x="238"/>
        <item x="273"/>
        <item x="489"/>
        <item x="331"/>
        <item x="86"/>
        <item x="154"/>
        <item x="158"/>
        <item x="334"/>
        <item x="229"/>
        <item x="524"/>
        <item x="405"/>
        <item x="667"/>
        <item x="475"/>
        <item x="585"/>
        <item x="302"/>
        <item x="100"/>
        <item x="474"/>
        <item x="387"/>
        <item x="179"/>
        <item x="604"/>
        <item x="37"/>
        <item x="97"/>
        <item x="316"/>
        <item x="430"/>
        <item x="348"/>
        <item x="427"/>
        <item x="10"/>
        <item x="314"/>
        <item x="556"/>
        <item x="214"/>
        <item x="258"/>
        <item x="481"/>
        <item x="464"/>
        <item x="530"/>
        <item x="431"/>
        <item x="593"/>
        <item x="360"/>
        <item x="121"/>
        <item x="196"/>
        <item x="209"/>
        <item x="87"/>
        <item x="626"/>
        <item x="580"/>
        <item x="396"/>
        <item x="166"/>
        <item x="648"/>
        <item x="187"/>
        <item x="403"/>
        <item x="669"/>
        <item x="398"/>
        <item x="191"/>
        <item x="369"/>
        <item x="657"/>
        <item x="344"/>
        <item x="425"/>
        <item x="581"/>
        <item x="623"/>
        <item x="19"/>
        <item x="564"/>
        <item x="160"/>
        <item x="364"/>
        <item x="297"/>
        <item x="621"/>
        <item x="634"/>
        <item x="490"/>
        <item x="532"/>
        <item x="38"/>
        <item x="411"/>
        <item x="264"/>
        <item x="408"/>
        <item x="613"/>
        <item x="393"/>
        <item x="562"/>
        <item x="239"/>
        <item x="570"/>
        <item x="432"/>
        <item x="257"/>
        <item x="155"/>
        <item x="130"/>
        <item x="22"/>
        <item x="511"/>
        <item x="523"/>
        <item x="433"/>
        <item x="287"/>
        <item x="531"/>
        <item x="560"/>
        <item x="410"/>
        <item x="598"/>
        <item x="676"/>
        <item x="111"/>
        <item x="194"/>
        <item x="266"/>
        <item x="674"/>
        <item x="199"/>
        <item x="168"/>
        <item x="502"/>
        <item x="106"/>
        <item x="479"/>
        <item x="529"/>
        <item x="579"/>
        <item x="150"/>
        <item x="109"/>
        <item x="417"/>
        <item x="555"/>
        <item x="677"/>
        <item x="557"/>
        <item x="664"/>
        <item x="601"/>
        <item x="80"/>
        <item x="504"/>
        <item x="449"/>
        <item x="651"/>
        <item x="251"/>
        <item x="542"/>
        <item x="138"/>
        <item x="244"/>
        <item x="259"/>
        <item x="223"/>
        <item x="240"/>
        <item x="654"/>
        <item x="522"/>
        <item x="577"/>
        <item x="124"/>
        <item x="181"/>
        <item x="2"/>
        <item x="21"/>
        <item x="134"/>
        <item x="635"/>
        <item x="682"/>
        <item x="470"/>
        <item x="644"/>
        <item x="95"/>
        <item x="146"/>
        <item x="670"/>
        <item x="441"/>
        <item x="370"/>
        <item x="624"/>
        <item x="170"/>
        <item x="325"/>
        <item x="552"/>
        <item x="55"/>
        <item x="180"/>
        <item x="23"/>
        <item x="596"/>
        <item x="569"/>
        <item x="293"/>
        <item x="462"/>
        <item x="521"/>
        <item x="469"/>
        <item x="628"/>
        <item x="452"/>
        <item x="235"/>
        <item x="471"/>
        <item x="270"/>
        <item x="94"/>
        <item x="0"/>
        <item x="540"/>
        <item x="107"/>
        <item x="231"/>
        <item x="497"/>
        <item x="242"/>
        <item x="40"/>
        <item x="666"/>
        <item x="599"/>
        <item x="282"/>
        <item x="412"/>
        <item x="600"/>
        <item x="661"/>
        <item x="508"/>
        <item x="143"/>
        <item x="123"/>
        <item x="647"/>
        <item x="184"/>
        <item x="614"/>
        <item x="5"/>
        <item x="73"/>
        <item x="286"/>
        <item x="137"/>
        <item x="112"/>
        <item x="255"/>
        <item x="586"/>
        <item x="582"/>
        <item x="390"/>
        <item x="151"/>
        <item x="574"/>
        <item x="438"/>
        <item x="650"/>
        <item x="575"/>
        <item x="212"/>
        <item x="678"/>
        <item x="60"/>
        <item x="633"/>
        <item x="18"/>
        <item x="79"/>
        <item x="274"/>
        <item x="296"/>
        <item x="660"/>
        <item x="135"/>
        <item x="91"/>
        <item x="414"/>
        <item x="492"/>
        <item x="455"/>
        <item x="333"/>
        <item x="12"/>
        <item x="617"/>
        <item x="89"/>
        <item x="429"/>
        <item x="486"/>
        <item x="70"/>
        <item x="415"/>
        <item x="300"/>
        <item x="658"/>
        <item x="607"/>
        <item x="44"/>
        <item x="401"/>
        <item x="281"/>
        <item x="549"/>
        <item x="525"/>
        <item x="128"/>
        <item x="81"/>
        <item x="460"/>
        <item x="419"/>
        <item x="488"/>
        <item x="583"/>
        <item x="327"/>
        <item x="25"/>
        <item x="329"/>
        <item x="110"/>
        <item x="224"/>
        <item x="90"/>
        <item x="278"/>
        <item x="114"/>
        <item x="204"/>
        <item x="590"/>
        <item x="307"/>
        <item x="663"/>
        <item x="681"/>
        <item x="290"/>
        <item x="338"/>
        <item x="548"/>
        <item x="528"/>
        <item x="352"/>
        <item x="368"/>
        <item x="46"/>
        <item x="506"/>
        <item x="423"/>
        <item x="133"/>
        <item x="346"/>
        <item x="509"/>
        <item x="311"/>
        <item x="85"/>
        <item x="372"/>
        <item x="140"/>
        <item x="93"/>
        <item x="436"/>
        <item x="643"/>
        <item x="246"/>
        <item x="675"/>
        <item x="426"/>
        <item x="92"/>
        <item x="83"/>
        <item x="53"/>
        <item x="424"/>
        <item x="341"/>
        <item x="397"/>
        <item x="31"/>
        <item x="139"/>
        <item x="526"/>
        <item x="247"/>
        <item x="32"/>
        <item x="118"/>
        <item x="167"/>
        <item x="145"/>
        <item x="392"/>
        <item x="285"/>
        <item x="421"/>
        <item x="45"/>
        <item x="48"/>
        <item x="418"/>
        <item x="75"/>
        <item x="291"/>
        <item x="256"/>
        <item x="645"/>
        <item x="141"/>
        <item x="339"/>
        <item x="250"/>
        <item x="78"/>
        <item x="136"/>
        <item x="172"/>
        <item x="500"/>
        <item x="33"/>
        <item x="284"/>
        <item x="587"/>
        <item x="279"/>
        <item x="248"/>
        <item x="450"/>
        <item x="71"/>
        <item x="356"/>
        <item x="312"/>
        <item x="434"/>
        <item x="520"/>
        <item x="568"/>
        <item x="351"/>
        <item x="56"/>
        <item x="36"/>
        <item x="15"/>
        <item x="17"/>
        <item x="625"/>
        <item x="236"/>
        <item x="182"/>
        <item x="159"/>
        <item x="422"/>
        <item x="350"/>
        <item x="606"/>
        <item x="175"/>
        <item x="576"/>
        <item x="221"/>
        <item x="42"/>
        <item x="447"/>
        <item x="609"/>
        <item x="413"/>
        <item x="507"/>
        <item x="243"/>
        <item x="622"/>
        <item x="361"/>
        <item x="88"/>
        <item x="638"/>
        <item x="616"/>
        <item x="510"/>
        <item x="232"/>
        <item x="125"/>
        <item x="261"/>
        <item x="629"/>
        <item x="439"/>
        <item x="193"/>
        <item x="228"/>
        <item x="646"/>
        <item x="595"/>
        <item x="161"/>
        <item x="202"/>
        <item x="265"/>
        <item x="435"/>
        <item x="116"/>
        <item x="659"/>
        <item x="197"/>
        <item x="43"/>
        <item x="496"/>
        <item x="252"/>
        <item x="551"/>
        <item x="535"/>
        <item x="467"/>
        <item x="588"/>
        <item x="662"/>
        <item x="165"/>
        <item x="456"/>
        <item x="298"/>
        <item x="50"/>
        <item x="527"/>
        <item x="501"/>
        <item x="594"/>
        <item x="227"/>
        <item x="544"/>
        <item x="379"/>
        <item x="515"/>
        <item x="373"/>
        <item x="487"/>
        <item x="322"/>
        <item x="345"/>
        <item x="437"/>
        <item x="404"/>
        <item x="563"/>
        <item x="105"/>
        <item x="52"/>
        <item x="652"/>
        <item x="326"/>
        <item x="27"/>
        <item x="294"/>
        <item x="292"/>
        <item x="219"/>
        <item x="679"/>
        <item x="388"/>
        <item x="59"/>
        <item x="216"/>
        <item x="132"/>
        <item x="558"/>
        <item x="554"/>
        <item x="237"/>
        <item x="578"/>
        <item x="122"/>
        <item x="512"/>
        <item x="176"/>
        <item x="349"/>
        <item x="277"/>
        <item x="491"/>
        <item x="148"/>
        <item x="536"/>
        <item x="201"/>
        <item x="295"/>
        <item x="480"/>
        <item x="226"/>
        <item x="324"/>
        <item x="537"/>
        <item x="102"/>
        <item x="603"/>
        <item x="459"/>
        <item x="478"/>
        <item x="177"/>
        <item x="299"/>
        <item x="142"/>
        <item x="215"/>
        <item x="457"/>
        <item x="283"/>
        <item x="513"/>
        <item x="178"/>
        <item x="129"/>
        <item x="385"/>
        <item x="164"/>
        <item x="190"/>
        <item x="82"/>
        <item x="131"/>
        <item x="234"/>
        <item x="543"/>
        <item x="472"/>
        <item x="451"/>
        <item x="533"/>
        <item x="362"/>
        <item x="171"/>
        <item x="267"/>
        <item x="407"/>
        <item x="366"/>
        <item x="503"/>
        <item x="211"/>
        <item x="406"/>
        <item x="505"/>
        <item x="538"/>
        <item x="359"/>
        <item x="218"/>
        <item x="367"/>
        <item x="169"/>
        <item x="547"/>
        <item x="117"/>
        <item x="428"/>
        <item x="559"/>
        <item x="208"/>
        <item x="8"/>
        <item x="454"/>
        <item x="517"/>
        <item x="101"/>
        <item x="461"/>
        <item x="605"/>
        <item x="612"/>
        <item x="306"/>
        <item x="656"/>
        <item x="572"/>
        <item x="420"/>
        <item x="376"/>
        <item x="473"/>
        <item x="156"/>
        <item x="254"/>
        <item x="343"/>
        <item x="104"/>
        <item x="518"/>
        <item x="74"/>
        <item x="11"/>
        <item x="225"/>
        <item x="391"/>
        <item x="546"/>
        <item x="330"/>
        <item x="185"/>
        <item x="203"/>
        <item x="402"/>
        <item x="323"/>
        <item x="162"/>
        <item x="249"/>
        <item x="631"/>
        <item x="272"/>
        <item x="567"/>
        <item x="310"/>
        <item x="561"/>
        <item x="641"/>
        <item x="468"/>
        <item x="384"/>
        <item x="260"/>
        <item x="317"/>
        <item x="680"/>
        <item x="220"/>
        <item x="127"/>
        <item x="14"/>
        <item x="630"/>
        <item x="668"/>
        <item x="448"/>
        <item x="550"/>
        <item x="222"/>
        <item x="315"/>
        <item x="611"/>
        <item x="640"/>
        <item x="263"/>
        <item x="484"/>
        <item x="253"/>
        <item x="20"/>
        <item x="309"/>
        <item x="553"/>
        <item x="210"/>
        <item x="597"/>
        <item x="84"/>
        <item x="68"/>
        <item x="6"/>
        <item x="103"/>
        <item x="319"/>
        <item x="58"/>
        <item x="375"/>
        <item x="241"/>
        <item x="446"/>
        <item x="620"/>
        <item x="440"/>
        <item x="321"/>
        <item x="206"/>
        <item x="589"/>
        <item x="198"/>
        <item x="342"/>
        <item x="153"/>
        <item x="566"/>
        <item x="233"/>
        <item x="9"/>
        <item x="476"/>
        <item x="245"/>
        <item x="618"/>
        <item x="498"/>
        <item x="499"/>
        <item x="13"/>
        <item x="213"/>
        <item x="485"/>
        <item x="35"/>
        <item x="262"/>
        <item x="200"/>
        <item x="377"/>
        <item x="416"/>
        <item x="144"/>
        <item x="119"/>
        <item x="77"/>
        <item x="115"/>
        <item x="649"/>
        <item x="571"/>
        <item x="69"/>
        <item x="271"/>
        <item x="99"/>
        <item x="304"/>
        <item x="534"/>
        <item x="51"/>
        <item x="371"/>
        <item x="67"/>
        <item x="665"/>
        <item x="357"/>
        <item x="584"/>
        <item x="465"/>
        <item x="673"/>
        <item x="173"/>
        <item x="591"/>
        <item x="332"/>
        <item x="96"/>
        <item x="24"/>
        <item x="318"/>
        <item x="126"/>
        <item x="355"/>
        <item x="340"/>
        <item x="16"/>
        <item x="62"/>
        <item x="192"/>
        <item x="120"/>
        <item x="207"/>
        <item x="147"/>
        <item x="347"/>
        <item x="275"/>
        <item x="637"/>
        <item x="28"/>
        <item x="268"/>
        <item x="108"/>
        <item x="545"/>
        <item x="61"/>
        <item x="639"/>
        <item x="308"/>
        <item x="516"/>
        <item x="230"/>
        <item x="483"/>
        <item x="642"/>
        <item x="672"/>
        <item x="494"/>
        <item x="337"/>
        <item x="328"/>
        <item x="280"/>
        <item x="458"/>
        <item x="72"/>
        <item x="186"/>
        <item t="default"/>
      </items>
    </pivotField>
    <pivotField showAll="0"/>
    <pivotField showAll="0"/>
    <pivotField axis="axisRow" showAll="0">
      <items count="4">
        <item x="2"/>
        <item x="1"/>
        <item x="0"/>
        <item t="default"/>
      </items>
    </pivotField>
    <pivotField axis="axisCol" showAll="0">
      <items count="3">
        <item x="1"/>
        <item x="0"/>
        <item t="default"/>
      </items>
    </pivotField>
    <pivotField showAll="0">
      <items count="5">
        <item x="3"/>
        <item x="0"/>
        <item x="1"/>
        <item x="2"/>
        <item t="default"/>
      </items>
    </pivotField>
    <pivotField showAll="0"/>
    <pivotField showAll="0"/>
    <pivotField showAll="0">
      <items count="6">
        <item x="2"/>
        <item x="4"/>
        <item x="1"/>
        <item x="3"/>
        <item x="0"/>
        <item t="default"/>
      </items>
    </pivotField>
    <pivotField showAll="0"/>
    <pivotField showAll="0"/>
    <pivotField showAll="0"/>
    <pivotField showAll="0">
      <items count="7">
        <item x="0"/>
        <item x="3"/>
        <item x="5"/>
        <item x="1"/>
        <item x="4"/>
        <item x="2"/>
        <item t="default"/>
      </items>
    </pivotField>
    <pivotField showAll="0"/>
    <pivotField showAll="0"/>
    <pivotField showAll="0"/>
    <pivotField showAll="0"/>
    <pivotField numFmtId="2"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4"/>
  </rowFields>
  <rowItems count="4">
    <i>
      <x/>
    </i>
    <i>
      <x v="1"/>
    </i>
    <i>
      <x v="2"/>
    </i>
    <i t="grand">
      <x/>
    </i>
  </rowItems>
  <colFields count="1">
    <field x="5"/>
  </colFields>
  <colItems count="3">
    <i>
      <x/>
    </i>
    <i>
      <x v="1"/>
    </i>
    <i t="grand">
      <x/>
    </i>
  </colItems>
  <dataFields count="1">
    <dataField name="Count of Sales_ID" fld="0" subtotal="count" baseField="0" baseItem="0"/>
  </dataFields>
  <formats count="1">
    <format dxfId="22">
      <pivotArea field="5" type="button" dataOnly="0" labelOnly="1" outline="0" axis="axisCol" fieldPosition="0"/>
    </format>
  </formats>
  <chartFormats count="8">
    <chartFormat chart="28" format="6" series="1">
      <pivotArea type="data" outline="0" fieldPosition="0">
        <references count="1">
          <reference field="4294967294" count="1" selected="0">
            <x v="0"/>
          </reference>
        </references>
      </pivotArea>
    </chartFormat>
    <chartFormat chart="34" format="10" series="1">
      <pivotArea type="data" outline="0" fieldPosition="0">
        <references count="1">
          <reference field="4294967294" count="1" selected="0">
            <x v="0"/>
          </reference>
        </references>
      </pivotArea>
    </chartFormat>
    <chartFormat chart="28" format="7" series="1">
      <pivotArea type="data" outline="0" fieldPosition="0">
        <references count="2">
          <reference field="4294967294" count="1" selected="0">
            <x v="0"/>
          </reference>
          <reference field="4" count="1" selected="0">
            <x v="1"/>
          </reference>
        </references>
      </pivotArea>
    </chartFormat>
    <chartFormat chart="28" format="8" series="1">
      <pivotArea type="data" outline="0" fieldPosition="0">
        <references count="2">
          <reference field="4294967294" count="1" selected="0">
            <x v="0"/>
          </reference>
          <reference field="4" count="1" selected="0">
            <x v="2"/>
          </reference>
        </references>
      </pivotArea>
    </chartFormat>
    <chartFormat chart="34" format="11" series="1">
      <pivotArea type="data" outline="0" fieldPosition="0">
        <references count="2">
          <reference field="4294967294" count="1" selected="0">
            <x v="0"/>
          </reference>
          <reference field="4" count="1" selected="0">
            <x v="1"/>
          </reference>
        </references>
      </pivotArea>
    </chartFormat>
    <chartFormat chart="34" format="12" series="1">
      <pivotArea type="data" outline="0" fieldPosition="0">
        <references count="2">
          <reference field="4294967294" count="1" selected="0">
            <x v="0"/>
          </reference>
          <reference field="4" count="1" selected="0">
            <x v="2"/>
          </reference>
        </references>
      </pivotArea>
    </chartFormat>
    <chartFormat chart="28" format="9" series="1">
      <pivotArea type="data" outline="0" fieldPosition="0">
        <references count="2">
          <reference field="4294967294" count="1" selected="0">
            <x v="0"/>
          </reference>
          <reference field="5" count="1" selected="0">
            <x v="1"/>
          </reference>
        </references>
      </pivotArea>
    </chartFormat>
    <chartFormat chart="34" format="13" series="1">
      <pivotArea type="data" outline="0" fieldPosition="0">
        <references count="2">
          <reference field="4294967294" count="1" selected="0">
            <x v="0"/>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C5EF2C36-E75D-4A67-B8BD-6F4FBF0D02F6}" sourceName="Category">
  <pivotTables>
    <pivotTable tabId="7" name="PivotTable6"/>
    <pivotTable tabId="7" name="PivotTable3"/>
    <pivotTable tabId="7" name="PivotTable4"/>
    <pivotTable tabId="7" name="PivotTable5"/>
    <pivotTable tabId="7" name="PivotTable7"/>
    <pivotTable tabId="7" name="PivotTable8"/>
  </pivotTables>
  <data>
    <tabular pivotCacheId="853098863">
      <items count="5">
        <i x="2" s="1"/>
        <i x="4" s="1"/>
        <i x="1" s="1"/>
        <i x="3"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_group" xr10:uid="{15378144-8803-455B-8FFB-E53C9273BF17}" sourceName="Age group">
  <pivotTables>
    <pivotTable tabId="7" name="PivotTable5"/>
    <pivotTable tabId="7" name="PivotTable3"/>
    <pivotTable tabId="7" name="PivotTable4"/>
    <pivotTable tabId="7" name="PivotTable6"/>
    <pivotTable tabId="7" name="PivotTable7"/>
    <pivotTable tabId="7" name="PivotTable8"/>
  </pivotTables>
  <data>
    <tabular pivotCacheId="853098863">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Level" xr10:uid="{304F6C0B-F5FE-42DA-940D-68A965183405}" sourceName="loyalty Level">
  <pivotTables>
    <pivotTable tabId="7" name="PivotTable6"/>
    <pivotTable tabId="7" name="PivotTable3"/>
    <pivotTable tabId="7" name="PivotTable4"/>
    <pivotTable tabId="7" name="PivotTable5"/>
    <pivotTable tabId="7" name="PivotTable7"/>
    <pivotTable tabId="7" name="PivotTable8"/>
  </pivotTables>
  <data>
    <tabular pivotCacheId="853098863">
      <items count="4">
        <i x="3" s="1"/>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D3C34B42-55D0-42E1-B25A-9695D988BAC2}" cache="Slicer_Category" caption="Category" rowHeight="234950"/>
  <slicer name="Age group" xr10:uid="{5F8F27FA-153D-45A8-AEF1-FB100C50E3BC}" cache="Slicer_Age_group" caption="Age group" rowHeight="234950"/>
  <slicer name="loyalty Level" xr10:uid="{A5534F72-202C-4DEB-AD57-6280A549E24A}" cache="Slicer_loyalty_Level" caption="loyalty Level"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550983B-99F6-4B1C-A7EC-4FAF68F341D2}" name="Sales_Details2" displayName="Sales_Details2" ref="A1:Q2001" totalsRowShown="0" headerRowDxfId="21" dataDxfId="19" headerRowBorderDxfId="20" tableBorderDxfId="18">
  <autoFilter ref="A1:Q2001" xr:uid="{5550983B-99F6-4B1C-A7EC-4FAF68F341D2}"/>
  <tableColumns count="17">
    <tableColumn id="1" xr3:uid="{E90BB632-8181-4665-8F71-C05B161FEB80}" name="Sales_ID" dataDxfId="17"/>
    <tableColumn id="2" xr3:uid="{5F1C1405-F2B7-4662-8DD6-8EE182483CDA}" name="Order_Date" dataDxfId="16"/>
    <tableColumn id="22" xr3:uid="{619816EA-01F4-4E98-ADC2-47A7AF461BD0}" name="Sales year" dataDxfId="15">
      <calculatedColumnFormula>YEAR(Sales_Details2[[#This Row],[Order_Date]])</calculatedColumnFormula>
    </tableColumn>
    <tableColumn id="3" xr3:uid="{F589E63D-57F6-456F-BAC4-47A4D9045920}" name="Customer_ID" dataDxfId="14"/>
    <tableColumn id="16" xr3:uid="{39F2D845-8402-446A-A657-6509DC1602B0}" name="Age group" dataDxfId="13">
      <calculatedColumnFormula>VLOOKUP(Sales_Details2[[#This Row],[Customer_ID]],Customer_Details[#All],4,0)</calculatedColumnFormula>
    </tableColumn>
    <tableColumn id="15" xr3:uid="{8841712C-B186-42F9-85ED-B3393ECB158A}" name="Gender" dataDxfId="12">
      <calculatedColumnFormula>VLOOKUP(Sales_Details2[[#This Row],[Customer_ID]],Customer_Details[#All],5,0)</calculatedColumnFormula>
    </tableColumn>
    <tableColumn id="17" xr3:uid="{EE84AF29-D174-419B-8AE3-2AC48A1F4CA2}" name="loyalty Level" dataDxfId="11">
      <calculatedColumnFormula>VLOOKUP(Sales_Details2[[#This Row],[Customer_ID]],Customer_Details[#All],9,0)</calculatedColumnFormula>
    </tableColumn>
    <tableColumn id="4" xr3:uid="{D4FC30B4-E9EB-410F-B56C-38DC2367EAAC}" name="Product_ID" dataDxfId="10"/>
    <tableColumn id="11" xr3:uid="{5C293F43-3714-4FCC-A934-191B2B23088F}" name="Category" dataDxfId="9">
      <calculatedColumnFormula>VLOOKUP(Sales_Details2[[#This Row],[Product_ID]],Product_details[[#All],[Product_ID]:[Cost]],3,0)</calculatedColumnFormula>
    </tableColumn>
    <tableColumn id="13" xr3:uid="{8E9D84F6-31AD-4C61-AA43-2E6DD4B7A038}" name="Sub_category" dataDxfId="8">
      <calculatedColumnFormula>VLOOKUP(Sales_Details2[[#This Row],[Product_ID]],Product_details[[#All],[Product_ID]:[Cost]],4,0)</calculatedColumnFormula>
    </tableColumn>
    <tableColumn id="5" xr3:uid="{57F1D221-BF37-4E91-BA44-D2F454881370}" name="Store_ID" dataDxfId="7"/>
    <tableColumn id="14" xr3:uid="{455CEFCE-6451-4D0D-8638-5BEFE3626FDB}" name="Region" dataDxfId="6">
      <calculatedColumnFormula>_xlfn.XLOOKUP(Sales_Details2[[#This Row],[Store_ID]],Table2[Store_ID],Table2[Region],"Region not found")</calculatedColumnFormula>
    </tableColumn>
    <tableColumn id="6" xr3:uid="{0078A04A-CBC3-404C-B8FA-48446E16DCC4}" name="Quantity" dataDxfId="4"/>
    <tableColumn id="21" xr3:uid="{DE3EC45D-58AC-4DFE-B923-55F382FC1DCB}" name="Unit_Price" dataDxfId="0"/>
    <tableColumn id="8" xr3:uid="{9DFEEB2A-98C5-4B52-AB85-C22A33E37ADE}" name="Discount" dataDxfId="3"/>
    <tableColumn id="9" xr3:uid="{DB8A7747-7330-4EBF-946A-4AE970231F6B}" name="Payment_Type" dataDxfId="5"/>
    <tableColumn id="10" xr3:uid="{6B929F7B-402A-4FB4-A739-645D23223AD8}" name="Total_Amount" dataDxfId="1"/>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0B495D5-4A02-465F-8390-28EAFCB39159}" name="Customer_Details" displayName="Customer_Details" ref="A1:I501" totalsRowShown="0" headerRowDxfId="56" dataDxfId="54" headerRowBorderDxfId="55" tableBorderDxfId="53">
  <autoFilter ref="A1:I501" xr:uid="{C0B495D5-4A02-465F-8390-28EAFCB39159}"/>
  <tableColumns count="9">
    <tableColumn id="1" xr3:uid="{D3D3807F-D810-440D-81C9-5EDE2D988D02}" name="Customer_ID" dataDxfId="52"/>
    <tableColumn id="9" xr3:uid="{494448A9-F73E-48A7-B724-8BB4442352A1}" name="Name" dataDxfId="51"/>
    <tableColumn id="3" xr3:uid="{328E0BD4-C1B3-43CE-B1A9-CB60E78EB3EF}" name="Age" dataDxfId="50"/>
    <tableColumn id="10" xr3:uid="{CC55150C-2895-4BA0-BDAD-FC28544376CA}" name="Age Group" dataDxfId="49">
      <calculatedColumnFormula>IF(Customer_Details[[#This Row],[Age]]&lt;=30,"Adult",IF(Customer_Details[[#This Row],[Age]]&lt;=50,"Mid-Adult","Senior"))</calculatedColumnFormula>
    </tableColumn>
    <tableColumn id="4" xr3:uid="{069BDAB7-FFFA-4E9C-8882-740D94BE8667}" name="Gender" dataDxfId="48"/>
    <tableColumn id="5" xr3:uid="{1002062F-7AAE-4C6E-B24F-88FE0734F5D6}" name="City" dataDxfId="47"/>
    <tableColumn id="6" xr3:uid="{4F554B7B-70FD-44E5-BE4C-9A94FA856BB9}" name="State" dataDxfId="46"/>
    <tableColumn id="7" xr3:uid="{7819090C-AB31-4FE3-904E-95B90F194049}" name="Country" dataDxfId="45"/>
    <tableColumn id="8" xr3:uid="{6ED3963B-6125-47C7-B759-8D5F8F047073}" name="Loyalty_Level" dataDxfId="44"/>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0CE3F18-979F-4334-9CF6-195BC7A9B8B5}" name="Product_details" displayName="Product_details" ref="A1:G101" totalsRowShown="0" headerRowDxfId="43" dataDxfId="41" headerRowBorderDxfId="42" tableBorderDxfId="40" totalsRowBorderDxfId="39">
  <autoFilter ref="A1:G101" xr:uid="{00000000-0001-0000-0100-000000000000}"/>
  <tableColumns count="7">
    <tableColumn id="1" xr3:uid="{9B9498E4-AF87-43C6-BD16-EE26633D25ED}" name="Product_ID" dataDxfId="38"/>
    <tableColumn id="2" xr3:uid="{F1319126-5D0C-4132-873B-00C148DD11D4}" name="Product_Name" dataDxfId="37"/>
    <tableColumn id="3" xr3:uid="{AEA4C9AE-41C1-4431-8EE9-F9D1FA459E47}" name="Category" dataDxfId="36"/>
    <tableColumn id="4" xr3:uid="{80670DCF-0DEA-4FBB-968F-0CCD4E329B0C}" name="Sub_Category" dataDxfId="35"/>
    <tableColumn id="5" xr3:uid="{B100C03F-49CB-496E-9830-282A61E04691}" name="Brand" dataDxfId="34"/>
    <tableColumn id="8" xr3:uid="{16B7BC53-C4FA-4AB7-9A2C-FFDF256478A5}" name="Cost" dataDxfId="33"/>
    <tableColumn id="9" xr3:uid="{CD9338DD-329F-45F4-8AE7-9267E1DDED96}" name="Stock" dataDxfId="32"/>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F6A50AE-4357-4D2A-9461-2D62A4DF71FA}" name="Table2" displayName="Table2" ref="A1:E21" totalsRowShown="0" headerRowDxfId="31" dataDxfId="29" headerRowBorderDxfId="30" tableBorderDxfId="28">
  <autoFilter ref="A1:E21" xr:uid="{AF6A50AE-4357-4D2A-9461-2D62A4DF71FA}"/>
  <tableColumns count="5">
    <tableColumn id="1" xr3:uid="{C372E160-FA85-469E-B0A6-FAD7A6E87FE8}" name="Store_ID" dataDxfId="27"/>
    <tableColumn id="2" xr3:uid="{2696242C-C31F-452F-8F8B-AC7747660A4D}" name="Store_Name" dataDxfId="26"/>
    <tableColumn id="3" xr3:uid="{E65AA634-BE5C-4F79-9AA9-F6B679B2B3EE}" name="Region" dataDxfId="25"/>
    <tableColumn id="4" xr3:uid="{1B3367B7-EFF2-44AF-8F92-1C7221563495}" name="City" dataDxfId="24"/>
    <tableColumn id="5" xr3:uid="{ECDDDAF1-5AA1-49C1-9349-D4A0E7BD3B34}" name="Store_Type" dataDxfId="23"/>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37159-C2A3-4094-8468-4A0F6EF9266B}">
  <dimension ref="A1:AE3"/>
  <sheetViews>
    <sheetView showGridLines="0" zoomScale="75" zoomScaleNormal="75" workbookViewId="0">
      <selection activeCell="O37" sqref="O37"/>
    </sheetView>
  </sheetViews>
  <sheetFormatPr defaultRowHeight="14.4" x14ac:dyDescent="0.3"/>
  <sheetData>
    <row r="1" spans="1:31" ht="14.4" customHeight="1" x14ac:dyDescent="0.3">
      <c r="A1" s="21" t="s">
        <v>3974</v>
      </c>
      <c r="B1" s="21"/>
      <c r="C1" s="21"/>
      <c r="D1" s="21"/>
      <c r="E1" s="21"/>
      <c r="F1" s="21"/>
      <c r="G1" s="21"/>
      <c r="H1" s="21"/>
      <c r="I1" s="21"/>
      <c r="J1" s="21"/>
      <c r="K1" s="21"/>
      <c r="L1" s="21"/>
      <c r="M1" s="21"/>
      <c r="N1" s="21"/>
      <c r="O1" s="21"/>
      <c r="P1" s="21"/>
      <c r="Q1" s="21"/>
      <c r="R1" s="21"/>
      <c r="S1" s="21"/>
      <c r="T1" s="21"/>
      <c r="U1" s="21"/>
      <c r="V1" s="21"/>
      <c r="W1" s="21"/>
      <c r="X1" s="21"/>
      <c r="Y1" s="21"/>
      <c r="Z1" s="21"/>
      <c r="AA1" s="21"/>
      <c r="AB1" s="21"/>
      <c r="AC1" s="21"/>
      <c r="AD1" s="21"/>
      <c r="AE1" s="21"/>
    </row>
    <row r="2" spans="1:31" ht="14.4" customHeight="1" x14ac:dyDescent="0.3">
      <c r="A2" s="21"/>
      <c r="B2" s="21"/>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c r="AE2" s="21"/>
    </row>
    <row r="3" spans="1:31" ht="14.4" customHeight="1" x14ac:dyDescent="0.3">
      <c r="A3" s="21"/>
      <c r="B3" s="21"/>
      <c r="C3" s="21"/>
      <c r="D3" s="21"/>
      <c r="E3" s="21"/>
      <c r="F3" s="21"/>
      <c r="G3" s="21"/>
      <c r="H3" s="21"/>
      <c r="I3" s="21"/>
      <c r="J3" s="21"/>
      <c r="K3" s="21"/>
      <c r="L3" s="21"/>
      <c r="M3" s="21"/>
      <c r="N3" s="21"/>
      <c r="O3" s="21"/>
      <c r="P3" s="21"/>
      <c r="Q3" s="21"/>
      <c r="R3" s="21"/>
      <c r="S3" s="21"/>
      <c r="T3" s="21"/>
      <c r="U3" s="21"/>
      <c r="V3" s="21"/>
      <c r="W3" s="21"/>
      <c r="X3" s="21"/>
      <c r="Y3" s="21"/>
      <c r="Z3" s="21"/>
      <c r="AA3" s="21"/>
      <c r="AB3" s="21"/>
      <c r="AC3" s="21"/>
      <c r="AD3" s="21"/>
      <c r="AE3" s="21"/>
    </row>
  </sheetData>
  <mergeCells count="1">
    <mergeCell ref="A1:AE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B080A-A111-4FE7-A46A-6246DF8143F0}">
  <dimension ref="A1:D15"/>
  <sheetViews>
    <sheetView tabSelected="1" workbookViewId="0">
      <selection activeCell="F12" sqref="F12"/>
    </sheetView>
  </sheetViews>
  <sheetFormatPr defaultRowHeight="14.4" x14ac:dyDescent="0.3"/>
  <cols>
    <col min="1" max="1" width="18.6640625" customWidth="1"/>
    <col min="2" max="2" width="13.21875" customWidth="1"/>
    <col min="3" max="3" width="13.88671875" customWidth="1"/>
    <col min="4" max="4" width="13.5546875" customWidth="1"/>
  </cols>
  <sheetData>
    <row r="1" spans="1:4" x14ac:dyDescent="0.3">
      <c r="A1" s="33" t="s">
        <v>3963</v>
      </c>
      <c r="B1" s="34"/>
      <c r="C1" s="33" t="s">
        <v>3962</v>
      </c>
      <c r="D1" s="34"/>
    </row>
    <row r="2" spans="1:4" x14ac:dyDescent="0.3">
      <c r="A2" s="32"/>
      <c r="B2" s="32"/>
      <c r="C2" s="32"/>
      <c r="D2" s="32"/>
    </row>
    <row r="3" spans="1:4" x14ac:dyDescent="0.3">
      <c r="A3" s="32" t="s">
        <v>3987</v>
      </c>
      <c r="B3" s="32">
        <v>307.69230769230768</v>
      </c>
      <c r="C3" s="32" t="s">
        <v>3987</v>
      </c>
      <c r="D3" s="32">
        <v>334522.261276923</v>
      </c>
    </row>
    <row r="4" spans="1:4" x14ac:dyDescent="0.3">
      <c r="A4" s="32" t="s">
        <v>3988</v>
      </c>
      <c r="B4" s="32">
        <v>141.04606378929421</v>
      </c>
      <c r="C4" s="32" t="s">
        <v>3988</v>
      </c>
      <c r="D4" s="32">
        <v>153400.16010209554</v>
      </c>
    </row>
    <row r="5" spans="1:4" x14ac:dyDescent="0.3">
      <c r="A5" s="32" t="s">
        <v>3989</v>
      </c>
      <c r="B5" s="32">
        <v>166</v>
      </c>
      <c r="C5" s="32" t="s">
        <v>3989</v>
      </c>
      <c r="D5" s="32">
        <v>187386.16820000004</v>
      </c>
    </row>
    <row r="6" spans="1:4" x14ac:dyDescent="0.3">
      <c r="A6" s="32" t="s">
        <v>3966</v>
      </c>
      <c r="B6" s="32">
        <v>167</v>
      </c>
      <c r="C6" s="32" t="s">
        <v>3966</v>
      </c>
      <c r="D6" s="32" t="e">
        <v>#N/A</v>
      </c>
    </row>
    <row r="7" spans="1:4" x14ac:dyDescent="0.3">
      <c r="A7" s="32" t="s">
        <v>3990</v>
      </c>
      <c r="B7" s="32">
        <v>508.54881519466488</v>
      </c>
      <c r="C7" s="32" t="s">
        <v>3990</v>
      </c>
      <c r="D7" s="32">
        <v>553092.14291249076</v>
      </c>
    </row>
    <row r="8" spans="1:4" x14ac:dyDescent="0.3">
      <c r="A8" s="32" t="s">
        <v>3991</v>
      </c>
      <c r="B8" s="32">
        <v>258621.89743589741</v>
      </c>
      <c r="C8" s="32" t="s">
        <v>3991</v>
      </c>
      <c r="D8" s="32">
        <v>305910918551.53107</v>
      </c>
    </row>
    <row r="9" spans="1:4" x14ac:dyDescent="0.3">
      <c r="A9" s="32" t="s">
        <v>3992</v>
      </c>
      <c r="B9" s="32">
        <v>12.990411795425652</v>
      </c>
      <c r="C9" s="32" t="s">
        <v>3992</v>
      </c>
      <c r="D9" s="32">
        <v>12.96664278095284</v>
      </c>
    </row>
    <row r="10" spans="1:4" x14ac:dyDescent="0.3">
      <c r="A10" s="32" t="s">
        <v>3993</v>
      </c>
      <c r="B10" s="32">
        <v>3.6037056589254695</v>
      </c>
      <c r="C10" s="32" t="s">
        <v>3993</v>
      </c>
      <c r="D10" s="32">
        <v>3.5990799975873413</v>
      </c>
    </row>
    <row r="11" spans="1:4" x14ac:dyDescent="0.3">
      <c r="A11" s="32" t="s">
        <v>3994</v>
      </c>
      <c r="B11" s="32">
        <v>1845</v>
      </c>
      <c r="C11" s="32" t="s">
        <v>3994</v>
      </c>
      <c r="D11" s="32">
        <v>2027882.735399999</v>
      </c>
    </row>
    <row r="12" spans="1:4" x14ac:dyDescent="0.3">
      <c r="A12" s="32" t="s">
        <v>3995</v>
      </c>
      <c r="B12" s="32">
        <v>155</v>
      </c>
      <c r="C12" s="32" t="s">
        <v>3995</v>
      </c>
      <c r="D12" s="32">
        <v>146511.96289999998</v>
      </c>
    </row>
    <row r="13" spans="1:4" x14ac:dyDescent="0.3">
      <c r="A13" s="32" t="s">
        <v>3996</v>
      </c>
      <c r="B13" s="32">
        <v>2000</v>
      </c>
      <c r="C13" s="32" t="s">
        <v>3996</v>
      </c>
      <c r="D13" s="32">
        <v>2174394.6982999989</v>
      </c>
    </row>
    <row r="14" spans="1:4" x14ac:dyDescent="0.3">
      <c r="A14" s="32" t="s">
        <v>3997</v>
      </c>
      <c r="B14" s="32">
        <v>4000</v>
      </c>
      <c r="C14" s="32" t="s">
        <v>3997</v>
      </c>
      <c r="D14" s="32">
        <v>4348789.3965999987</v>
      </c>
    </row>
    <row r="15" spans="1:4" x14ac:dyDescent="0.3">
      <c r="A15" s="32" t="s">
        <v>3998</v>
      </c>
      <c r="B15" s="32">
        <v>13</v>
      </c>
      <c r="C15" s="32" t="s">
        <v>3998</v>
      </c>
      <c r="D15" s="32">
        <v>13</v>
      </c>
    </row>
  </sheetData>
  <mergeCells count="2">
    <mergeCell ref="A1:B1"/>
    <mergeCell ref="C1:D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320A3D-9B89-4BF8-B685-C089A627C7AC}">
  <dimension ref="A2:D96"/>
  <sheetViews>
    <sheetView topLeftCell="A28" workbookViewId="0">
      <selection activeCell="B83" sqref="B83:C96"/>
    </sheetView>
  </sheetViews>
  <sheetFormatPr defaultRowHeight="14.4" x14ac:dyDescent="0.3"/>
  <cols>
    <col min="1" max="1" width="12.5546875" bestFit="1" customWidth="1"/>
    <col min="2" max="2" width="15.88671875" bestFit="1" customWidth="1"/>
    <col min="3" max="3" width="19.77734375" bestFit="1" customWidth="1"/>
    <col min="4" max="4" width="10.77734375" bestFit="1" customWidth="1"/>
    <col min="5" max="5" width="12.5546875" bestFit="1" customWidth="1"/>
    <col min="6" max="6" width="23" bestFit="1" customWidth="1"/>
    <col min="7" max="7" width="15" bestFit="1" customWidth="1"/>
    <col min="8" max="9" width="9.109375" bestFit="1" customWidth="1"/>
    <col min="10" max="10" width="18.21875" customWidth="1"/>
    <col min="11" max="11" width="30.21875" customWidth="1"/>
    <col min="12" max="15" width="9.109375" bestFit="1" customWidth="1"/>
    <col min="16" max="16" width="8.109375" bestFit="1" customWidth="1"/>
    <col min="17" max="26" width="9.109375" bestFit="1" customWidth="1"/>
    <col min="27" max="27" width="8.109375" bestFit="1" customWidth="1"/>
    <col min="28" max="37" width="9.109375" bestFit="1" customWidth="1"/>
    <col min="38" max="38" width="8.109375" bestFit="1" customWidth="1"/>
    <col min="39" max="48" width="9.109375" bestFit="1" customWidth="1"/>
    <col min="49" max="49" width="8.109375" bestFit="1" customWidth="1"/>
    <col min="50" max="59" width="9.109375" bestFit="1" customWidth="1"/>
    <col min="60" max="60" width="8.109375" bestFit="1" customWidth="1"/>
    <col min="61" max="70" width="9.109375" bestFit="1" customWidth="1"/>
    <col min="71" max="71" width="8.109375" bestFit="1" customWidth="1"/>
    <col min="72" max="81" width="9.109375" bestFit="1" customWidth="1"/>
    <col min="82" max="82" width="8.109375" bestFit="1" customWidth="1"/>
    <col min="83" max="92" width="9.109375" bestFit="1" customWidth="1"/>
    <col min="93" max="93" width="8.109375" bestFit="1" customWidth="1"/>
    <col min="94" max="103" width="9.109375" bestFit="1" customWidth="1"/>
    <col min="104" max="104" width="8.109375" bestFit="1" customWidth="1"/>
    <col min="105" max="114" width="9.109375" bestFit="1" customWidth="1"/>
    <col min="115" max="115" width="7.109375" bestFit="1" customWidth="1"/>
    <col min="116" max="116" width="8.109375" bestFit="1" customWidth="1"/>
    <col min="117" max="126" width="9.109375" bestFit="1" customWidth="1"/>
    <col min="127" max="127" width="8.109375" bestFit="1" customWidth="1"/>
    <col min="128" max="137" width="9.109375" bestFit="1" customWidth="1"/>
    <col min="138" max="138" width="8.109375" bestFit="1" customWidth="1"/>
    <col min="139" max="148" width="9.109375" bestFit="1" customWidth="1"/>
    <col min="149" max="149" width="8.109375" bestFit="1" customWidth="1"/>
    <col min="150" max="159" width="9.109375" bestFit="1" customWidth="1"/>
    <col min="160" max="160" width="8.109375" bestFit="1" customWidth="1"/>
    <col min="161" max="170" width="9.109375" bestFit="1" customWidth="1"/>
    <col min="171" max="171" width="8.109375" bestFit="1" customWidth="1"/>
    <col min="172" max="181" width="9.109375" bestFit="1" customWidth="1"/>
    <col min="182" max="182" width="8.109375" bestFit="1" customWidth="1"/>
    <col min="183" max="192" width="9.109375" bestFit="1" customWidth="1"/>
    <col min="193" max="193" width="8.109375" bestFit="1" customWidth="1"/>
    <col min="194" max="203" width="9.109375" bestFit="1" customWidth="1"/>
    <col min="204" max="204" width="8.109375" bestFit="1" customWidth="1"/>
    <col min="205" max="214" width="9.109375" bestFit="1" customWidth="1"/>
    <col min="215" max="215" width="8.109375" bestFit="1" customWidth="1"/>
    <col min="216" max="225" width="9.109375" bestFit="1" customWidth="1"/>
    <col min="226" max="226" width="7.109375" bestFit="1" customWidth="1"/>
    <col min="227" max="227" width="8.109375" bestFit="1" customWidth="1"/>
    <col min="228" max="237" width="9.109375" bestFit="1" customWidth="1"/>
    <col min="238" max="238" width="8.109375" bestFit="1" customWidth="1"/>
    <col min="239" max="248" width="9.109375" bestFit="1" customWidth="1"/>
    <col min="249" max="249" width="8.109375" bestFit="1" customWidth="1"/>
    <col min="250" max="259" width="9.109375" bestFit="1" customWidth="1"/>
    <col min="260" max="260" width="8.109375" bestFit="1" customWidth="1"/>
    <col min="261" max="270" width="9.109375" bestFit="1" customWidth="1"/>
    <col min="271" max="271" width="8.109375" bestFit="1" customWidth="1"/>
    <col min="272" max="281" width="9.109375" bestFit="1" customWidth="1"/>
    <col min="282" max="282" width="8.109375" bestFit="1" customWidth="1"/>
    <col min="283" max="292" width="9.109375" bestFit="1" customWidth="1"/>
    <col min="293" max="293" width="8.109375" bestFit="1" customWidth="1"/>
    <col min="294" max="303" width="9.109375" bestFit="1" customWidth="1"/>
    <col min="304" max="304" width="8.109375" bestFit="1" customWidth="1"/>
    <col min="305" max="314" width="9.109375" bestFit="1" customWidth="1"/>
    <col min="315" max="315" width="8.109375" bestFit="1" customWidth="1"/>
    <col min="316" max="325" width="9.109375" bestFit="1" customWidth="1"/>
    <col min="326" max="326" width="8.109375" bestFit="1" customWidth="1"/>
    <col min="327" max="336" width="9.109375" bestFit="1" customWidth="1"/>
    <col min="337" max="337" width="7.109375" bestFit="1" customWidth="1"/>
    <col min="338" max="338" width="8.109375" bestFit="1" customWidth="1"/>
    <col min="339" max="348" width="9.109375" bestFit="1" customWidth="1"/>
    <col min="349" max="349" width="8.109375" bestFit="1" customWidth="1"/>
    <col min="350" max="359" width="9.109375" bestFit="1" customWidth="1"/>
    <col min="360" max="360" width="8.109375" bestFit="1" customWidth="1"/>
    <col min="361" max="370" width="9.109375" bestFit="1" customWidth="1"/>
    <col min="371" max="371" width="8.109375" bestFit="1" customWidth="1"/>
    <col min="372" max="381" width="9.109375" bestFit="1" customWidth="1"/>
    <col min="382" max="382" width="8.109375" bestFit="1" customWidth="1"/>
    <col min="383" max="392" width="9.109375" bestFit="1" customWidth="1"/>
    <col min="393" max="393" width="8.109375" bestFit="1" customWidth="1"/>
    <col min="394" max="403" width="9.109375" bestFit="1" customWidth="1"/>
    <col min="404" max="404" width="8.109375" bestFit="1" customWidth="1"/>
    <col min="405" max="414" width="9.109375" bestFit="1" customWidth="1"/>
    <col min="415" max="415" width="8.109375" bestFit="1" customWidth="1"/>
    <col min="416" max="425" width="9.109375" bestFit="1" customWidth="1"/>
    <col min="426" max="426" width="8.109375" bestFit="1" customWidth="1"/>
    <col min="427" max="436" width="9.109375" bestFit="1" customWidth="1"/>
    <col min="437" max="437" width="8.109375" bestFit="1" customWidth="1"/>
    <col min="438" max="447" width="9.109375" bestFit="1" customWidth="1"/>
    <col min="448" max="448" width="7.109375" bestFit="1" customWidth="1"/>
    <col min="449" max="449" width="8.109375" bestFit="1" customWidth="1"/>
    <col min="450" max="459" width="9.109375" bestFit="1" customWidth="1"/>
    <col min="460" max="460" width="8.109375" bestFit="1" customWidth="1"/>
    <col min="461" max="470" width="9.109375" bestFit="1" customWidth="1"/>
    <col min="471" max="471" width="8.109375" bestFit="1" customWidth="1"/>
    <col min="472" max="481" width="9.109375" bestFit="1" customWidth="1"/>
    <col min="482" max="482" width="8.109375" bestFit="1" customWidth="1"/>
    <col min="483" max="492" width="9.109375" bestFit="1" customWidth="1"/>
    <col min="493" max="493" width="8.109375" bestFit="1" customWidth="1"/>
    <col min="494" max="503" width="9.109375" bestFit="1" customWidth="1"/>
    <col min="504" max="504" width="8.109375" bestFit="1" customWidth="1"/>
    <col min="505" max="514" width="9.109375" bestFit="1" customWidth="1"/>
    <col min="515" max="515" width="8.109375" bestFit="1" customWidth="1"/>
    <col min="516" max="525" width="9.109375" bestFit="1" customWidth="1"/>
    <col min="526" max="526" width="8.109375" bestFit="1" customWidth="1"/>
    <col min="527" max="536" width="9.109375" bestFit="1" customWidth="1"/>
    <col min="537" max="537" width="8.109375" bestFit="1" customWidth="1"/>
    <col min="538" max="547" width="9.109375" bestFit="1" customWidth="1"/>
    <col min="548" max="548" width="8.109375" bestFit="1" customWidth="1"/>
    <col min="549" max="558" width="9.109375" bestFit="1" customWidth="1"/>
    <col min="559" max="559" width="7.109375" bestFit="1" customWidth="1"/>
    <col min="560" max="560" width="8.109375" bestFit="1" customWidth="1"/>
    <col min="561" max="570" width="9.109375" bestFit="1" customWidth="1"/>
    <col min="571" max="571" width="8.109375" bestFit="1" customWidth="1"/>
    <col min="572" max="581" width="9.109375" bestFit="1" customWidth="1"/>
    <col min="582" max="582" width="8.109375" bestFit="1" customWidth="1"/>
    <col min="583" max="592" width="9.109375" bestFit="1" customWidth="1"/>
    <col min="593" max="593" width="8.109375" bestFit="1" customWidth="1"/>
    <col min="594" max="603" width="9.109375" bestFit="1" customWidth="1"/>
    <col min="604" max="604" width="8.109375" bestFit="1" customWidth="1"/>
    <col min="605" max="614" width="9.109375" bestFit="1" customWidth="1"/>
    <col min="615" max="615" width="8.109375" bestFit="1" customWidth="1"/>
    <col min="616" max="625" width="9.109375" bestFit="1" customWidth="1"/>
    <col min="626" max="626" width="8.109375" bestFit="1" customWidth="1"/>
    <col min="627" max="636" width="9.109375" bestFit="1" customWidth="1"/>
    <col min="637" max="637" width="8.109375" bestFit="1" customWidth="1"/>
    <col min="638" max="647" width="9.109375" bestFit="1" customWidth="1"/>
    <col min="648" max="648" width="8.109375" bestFit="1" customWidth="1"/>
    <col min="649" max="658" width="9.109375" bestFit="1" customWidth="1"/>
    <col min="659" max="659" width="8.109375" bestFit="1" customWidth="1"/>
    <col min="660" max="669" width="9.109375" bestFit="1" customWidth="1"/>
    <col min="670" max="670" width="7.109375" bestFit="1" customWidth="1"/>
    <col min="671" max="671" width="8.109375" bestFit="1" customWidth="1"/>
    <col min="672" max="681" width="9.109375" bestFit="1" customWidth="1"/>
    <col min="682" max="682" width="8.109375" bestFit="1" customWidth="1"/>
    <col min="683" max="692" width="9.109375" bestFit="1" customWidth="1"/>
    <col min="693" max="693" width="8.109375" bestFit="1" customWidth="1"/>
    <col min="694" max="703" width="9.109375" bestFit="1" customWidth="1"/>
    <col min="704" max="704" width="8.109375" bestFit="1" customWidth="1"/>
    <col min="705" max="714" width="9.109375" bestFit="1" customWidth="1"/>
    <col min="715" max="715" width="8.109375" bestFit="1" customWidth="1"/>
    <col min="716" max="725" width="9.109375" bestFit="1" customWidth="1"/>
    <col min="726" max="726" width="8.109375" bestFit="1" customWidth="1"/>
    <col min="727" max="736" width="9.109375" bestFit="1" customWidth="1"/>
    <col min="737" max="737" width="8.109375" bestFit="1" customWidth="1"/>
    <col min="738" max="747" width="9.109375" bestFit="1" customWidth="1"/>
    <col min="748" max="748" width="8.109375" bestFit="1" customWidth="1"/>
    <col min="749" max="758" width="9.109375" bestFit="1" customWidth="1"/>
    <col min="759" max="759" width="8.109375" bestFit="1" customWidth="1"/>
    <col min="760" max="769" width="9.109375" bestFit="1" customWidth="1"/>
    <col min="770" max="770" width="8.109375" bestFit="1" customWidth="1"/>
    <col min="771" max="780" width="9.109375" bestFit="1" customWidth="1"/>
    <col min="781" max="781" width="7.109375" bestFit="1" customWidth="1"/>
    <col min="782" max="782" width="8.109375" bestFit="1" customWidth="1"/>
    <col min="783" max="792" width="9.109375" bestFit="1" customWidth="1"/>
    <col min="793" max="793" width="8.109375" bestFit="1" customWidth="1"/>
    <col min="794" max="803" width="9.109375" bestFit="1" customWidth="1"/>
    <col min="804" max="804" width="8.109375" bestFit="1" customWidth="1"/>
    <col min="805" max="814" width="9.109375" bestFit="1" customWidth="1"/>
    <col min="815" max="815" width="8.109375" bestFit="1" customWidth="1"/>
    <col min="816" max="825" width="9.109375" bestFit="1" customWidth="1"/>
    <col min="826" max="826" width="8.109375" bestFit="1" customWidth="1"/>
    <col min="827" max="836" width="9.109375" bestFit="1" customWidth="1"/>
    <col min="837" max="837" width="8.109375" bestFit="1" customWidth="1"/>
    <col min="838" max="847" width="9.109375" bestFit="1" customWidth="1"/>
    <col min="848" max="848" width="8.109375" bestFit="1" customWidth="1"/>
    <col min="849" max="858" width="9.109375" bestFit="1" customWidth="1"/>
    <col min="859" max="859" width="8.109375" bestFit="1" customWidth="1"/>
    <col min="860" max="869" width="9.109375" bestFit="1" customWidth="1"/>
    <col min="870" max="870" width="8.109375" bestFit="1" customWidth="1"/>
    <col min="871" max="880" width="9.109375" bestFit="1" customWidth="1"/>
    <col min="881" max="881" width="8.109375" bestFit="1" customWidth="1"/>
    <col min="882" max="891" width="9.109375" bestFit="1" customWidth="1"/>
    <col min="892" max="892" width="7.109375" bestFit="1" customWidth="1"/>
    <col min="893" max="893" width="8.109375" bestFit="1" customWidth="1"/>
    <col min="894" max="903" width="9.109375" bestFit="1" customWidth="1"/>
    <col min="904" max="904" width="8.109375" bestFit="1" customWidth="1"/>
    <col min="905" max="914" width="9.109375" bestFit="1" customWidth="1"/>
    <col min="915" max="915" width="8.109375" bestFit="1" customWidth="1"/>
    <col min="916" max="925" width="9.109375" bestFit="1" customWidth="1"/>
    <col min="926" max="926" width="8.109375" bestFit="1" customWidth="1"/>
    <col min="927" max="936" width="9.109375" bestFit="1" customWidth="1"/>
    <col min="937" max="937" width="8.109375" bestFit="1" customWidth="1"/>
    <col min="938" max="947" width="9.109375" bestFit="1" customWidth="1"/>
    <col min="948" max="948" width="8.109375" bestFit="1" customWidth="1"/>
    <col min="949" max="958" width="9.109375" bestFit="1" customWidth="1"/>
    <col min="959" max="959" width="8.109375" bestFit="1" customWidth="1"/>
    <col min="960" max="969" width="9.109375" bestFit="1" customWidth="1"/>
    <col min="970" max="970" width="8.109375" bestFit="1" customWidth="1"/>
    <col min="971" max="980" width="9.109375" bestFit="1" customWidth="1"/>
    <col min="981" max="981" width="8.109375" bestFit="1" customWidth="1"/>
    <col min="982" max="991" width="9.109375" bestFit="1" customWidth="1"/>
    <col min="992" max="992" width="8.109375" bestFit="1" customWidth="1"/>
    <col min="993" max="1002" width="9.109375" bestFit="1" customWidth="1"/>
    <col min="1003" max="1003" width="7.109375" bestFit="1" customWidth="1"/>
    <col min="1004" max="1004" width="8.109375" bestFit="1" customWidth="1"/>
    <col min="1005" max="1014" width="9.109375" bestFit="1" customWidth="1"/>
    <col min="1015" max="1015" width="8.109375" bestFit="1" customWidth="1"/>
    <col min="1016" max="1025" width="9.109375" bestFit="1" customWidth="1"/>
    <col min="1026" max="1026" width="8.109375" bestFit="1" customWidth="1"/>
    <col min="1027" max="1036" width="9.109375" bestFit="1" customWidth="1"/>
    <col min="1037" max="1037" width="8.109375" bestFit="1" customWidth="1"/>
    <col min="1038" max="1047" width="9.109375" bestFit="1" customWidth="1"/>
    <col min="1048" max="1048" width="8.109375" bestFit="1" customWidth="1"/>
    <col min="1049" max="1058" width="9.109375" bestFit="1" customWidth="1"/>
    <col min="1059" max="1059" width="8.109375" bestFit="1" customWidth="1"/>
    <col min="1060" max="1069" width="9.109375" bestFit="1" customWidth="1"/>
    <col min="1070" max="1070" width="8.109375" bestFit="1" customWidth="1"/>
    <col min="1071" max="1080" width="9.109375" bestFit="1" customWidth="1"/>
    <col min="1081" max="1081" width="8.109375" bestFit="1" customWidth="1"/>
    <col min="1082" max="1091" width="9.109375" bestFit="1" customWidth="1"/>
    <col min="1092" max="1092" width="8.109375" bestFit="1" customWidth="1"/>
    <col min="1093" max="1102" width="9.109375" bestFit="1" customWidth="1"/>
    <col min="1103" max="1103" width="8.109375" bestFit="1" customWidth="1"/>
    <col min="1104" max="1113" width="9.109375" bestFit="1" customWidth="1"/>
    <col min="1114" max="1114" width="6.109375" bestFit="1" customWidth="1"/>
    <col min="1115" max="1115" width="7.109375" bestFit="1" customWidth="1"/>
    <col min="1116" max="1125" width="8.109375" bestFit="1" customWidth="1"/>
    <col min="1126" max="1126" width="7.109375" bestFit="1" customWidth="1"/>
    <col min="1127" max="1136" width="8.109375" bestFit="1" customWidth="1"/>
    <col min="1137" max="1137" width="7.109375" bestFit="1" customWidth="1"/>
    <col min="1138" max="1147" width="8.109375" bestFit="1" customWidth="1"/>
    <col min="1148" max="1148" width="7.109375" bestFit="1" customWidth="1"/>
    <col min="1149" max="1158" width="8.109375" bestFit="1" customWidth="1"/>
    <col min="1159" max="1159" width="7.109375" bestFit="1" customWidth="1"/>
    <col min="1160" max="1169" width="8.109375" bestFit="1" customWidth="1"/>
    <col min="1170" max="1170" width="7.109375" bestFit="1" customWidth="1"/>
    <col min="1171" max="1180" width="8.109375" bestFit="1" customWidth="1"/>
    <col min="1181" max="1181" width="7.109375" bestFit="1" customWidth="1"/>
    <col min="1182" max="1191" width="8.109375" bestFit="1" customWidth="1"/>
    <col min="1192" max="1192" width="7.109375" bestFit="1" customWidth="1"/>
    <col min="1193" max="1202" width="8.109375" bestFit="1" customWidth="1"/>
    <col min="1203" max="1203" width="7.109375" bestFit="1" customWidth="1"/>
    <col min="1204" max="1213" width="8.109375" bestFit="1" customWidth="1"/>
    <col min="1214" max="1214" width="7.109375" bestFit="1" customWidth="1"/>
    <col min="1215" max="1224" width="8.109375" bestFit="1" customWidth="1"/>
    <col min="1225" max="1225" width="6.109375" bestFit="1" customWidth="1"/>
    <col min="1226" max="1226" width="7.109375" bestFit="1" customWidth="1"/>
    <col min="1227" max="1236" width="8.109375" bestFit="1" customWidth="1"/>
    <col min="1237" max="1237" width="7.109375" bestFit="1" customWidth="1"/>
    <col min="1238" max="1247" width="8.109375" bestFit="1" customWidth="1"/>
    <col min="1248" max="1248" width="7.109375" bestFit="1" customWidth="1"/>
    <col min="1249" max="1258" width="8.109375" bestFit="1" customWidth="1"/>
    <col min="1259" max="1259" width="7.109375" bestFit="1" customWidth="1"/>
    <col min="1260" max="1269" width="8.109375" bestFit="1" customWidth="1"/>
    <col min="1270" max="1270" width="7.109375" bestFit="1" customWidth="1"/>
    <col min="1271" max="1280" width="8.109375" bestFit="1" customWidth="1"/>
    <col min="1281" max="1281" width="7.109375" bestFit="1" customWidth="1"/>
    <col min="1282" max="1291" width="8.109375" bestFit="1" customWidth="1"/>
    <col min="1292" max="1292" width="7.109375" bestFit="1" customWidth="1"/>
    <col min="1293" max="1302" width="8.109375" bestFit="1" customWidth="1"/>
    <col min="1303" max="1303" width="7.109375" bestFit="1" customWidth="1"/>
    <col min="1304" max="1313" width="8.109375" bestFit="1" customWidth="1"/>
    <col min="1314" max="1314" width="7.109375" bestFit="1" customWidth="1"/>
    <col min="1315" max="1324" width="8.109375" bestFit="1" customWidth="1"/>
    <col min="1325" max="1325" width="7.109375" bestFit="1" customWidth="1"/>
    <col min="1326" max="1335" width="8.109375" bestFit="1" customWidth="1"/>
    <col min="1336" max="1336" width="6.109375" bestFit="1" customWidth="1"/>
    <col min="1337" max="1337" width="7.109375" bestFit="1" customWidth="1"/>
    <col min="1338" max="1347" width="8.109375" bestFit="1" customWidth="1"/>
    <col min="1348" max="1348" width="7.109375" bestFit="1" customWidth="1"/>
    <col min="1349" max="1358" width="8.109375" bestFit="1" customWidth="1"/>
    <col min="1359" max="1359" width="7.109375" bestFit="1" customWidth="1"/>
    <col min="1360" max="1369" width="8.109375" bestFit="1" customWidth="1"/>
    <col min="1370" max="1370" width="7.109375" bestFit="1" customWidth="1"/>
    <col min="1371" max="1380" width="8.109375" bestFit="1" customWidth="1"/>
    <col min="1381" max="1381" width="7.109375" bestFit="1" customWidth="1"/>
    <col min="1382" max="1391" width="8.109375" bestFit="1" customWidth="1"/>
    <col min="1392" max="1392" width="7.109375" bestFit="1" customWidth="1"/>
    <col min="1393" max="1402" width="8.109375" bestFit="1" customWidth="1"/>
    <col min="1403" max="1403" width="7.109375" bestFit="1" customWidth="1"/>
    <col min="1404" max="1413" width="8.109375" bestFit="1" customWidth="1"/>
    <col min="1414" max="1414" width="7.109375" bestFit="1" customWidth="1"/>
    <col min="1415" max="1424" width="8.109375" bestFit="1" customWidth="1"/>
    <col min="1425" max="1425" width="7.109375" bestFit="1" customWidth="1"/>
    <col min="1426" max="1435" width="8.109375" bestFit="1" customWidth="1"/>
    <col min="1436" max="1436" width="7.109375" bestFit="1" customWidth="1"/>
    <col min="1437" max="1446" width="8.109375" bestFit="1" customWidth="1"/>
    <col min="1447" max="1447" width="6.109375" bestFit="1" customWidth="1"/>
    <col min="1448" max="1448" width="7.109375" bestFit="1" customWidth="1"/>
    <col min="1449" max="1458" width="8.109375" bestFit="1" customWidth="1"/>
    <col min="1459" max="1459" width="7.109375" bestFit="1" customWidth="1"/>
    <col min="1460" max="1469" width="8.109375" bestFit="1" customWidth="1"/>
    <col min="1470" max="1470" width="7.109375" bestFit="1" customWidth="1"/>
    <col min="1471" max="1480" width="8.109375" bestFit="1" customWidth="1"/>
    <col min="1481" max="1481" width="7.109375" bestFit="1" customWidth="1"/>
    <col min="1482" max="1491" width="8.109375" bestFit="1" customWidth="1"/>
    <col min="1492" max="1492" width="7.109375" bestFit="1" customWidth="1"/>
    <col min="1493" max="1502" width="8.109375" bestFit="1" customWidth="1"/>
    <col min="1503" max="1503" width="7.109375" bestFit="1" customWidth="1"/>
    <col min="1504" max="1513" width="8.109375" bestFit="1" customWidth="1"/>
    <col min="1514" max="1514" width="7.109375" bestFit="1" customWidth="1"/>
    <col min="1515" max="1524" width="8.109375" bestFit="1" customWidth="1"/>
    <col min="1525" max="1525" width="7.109375" bestFit="1" customWidth="1"/>
    <col min="1526" max="1535" width="8.109375" bestFit="1" customWidth="1"/>
    <col min="1536" max="1536" width="7.109375" bestFit="1" customWidth="1"/>
    <col min="1537" max="1546" width="8.109375" bestFit="1" customWidth="1"/>
    <col min="1547" max="1547" width="7.109375" bestFit="1" customWidth="1"/>
    <col min="1548" max="1557" width="8.109375" bestFit="1" customWidth="1"/>
    <col min="1558" max="1558" width="6.109375" bestFit="1" customWidth="1"/>
    <col min="1559" max="1559" width="7.109375" bestFit="1" customWidth="1"/>
    <col min="1560" max="1569" width="8.109375" bestFit="1" customWidth="1"/>
    <col min="1570" max="1570" width="7.109375" bestFit="1" customWidth="1"/>
    <col min="1571" max="1580" width="8.109375" bestFit="1" customWidth="1"/>
    <col min="1581" max="1581" width="7.109375" bestFit="1" customWidth="1"/>
    <col min="1582" max="1591" width="8.109375" bestFit="1" customWidth="1"/>
    <col min="1592" max="1592" width="7.109375" bestFit="1" customWidth="1"/>
    <col min="1593" max="1602" width="8.109375" bestFit="1" customWidth="1"/>
    <col min="1603" max="1603" width="7.109375" bestFit="1" customWidth="1"/>
    <col min="1604" max="1613" width="8.109375" bestFit="1" customWidth="1"/>
    <col min="1614" max="1614" width="7.109375" bestFit="1" customWidth="1"/>
    <col min="1615" max="1624" width="8.109375" bestFit="1" customWidth="1"/>
    <col min="1625" max="1625" width="7.109375" bestFit="1" customWidth="1"/>
    <col min="1626" max="1635" width="8.109375" bestFit="1" customWidth="1"/>
    <col min="1636" max="1636" width="7.109375" bestFit="1" customWidth="1"/>
    <col min="1637" max="1646" width="8.109375" bestFit="1" customWidth="1"/>
    <col min="1647" max="1647" width="7.109375" bestFit="1" customWidth="1"/>
    <col min="1648" max="1657" width="8.109375" bestFit="1" customWidth="1"/>
    <col min="1658" max="1658" width="7.109375" bestFit="1" customWidth="1"/>
    <col min="1659" max="1668" width="8.109375" bestFit="1" customWidth="1"/>
    <col min="1669" max="1669" width="6.109375" bestFit="1" customWidth="1"/>
    <col min="1670" max="1670" width="7.109375" bestFit="1" customWidth="1"/>
    <col min="1671" max="1680" width="8.109375" bestFit="1" customWidth="1"/>
    <col min="1681" max="1681" width="7.109375" bestFit="1" customWidth="1"/>
    <col min="1682" max="1691" width="8.109375" bestFit="1" customWidth="1"/>
    <col min="1692" max="1692" width="7.109375" bestFit="1" customWidth="1"/>
    <col min="1693" max="1702" width="8.109375" bestFit="1" customWidth="1"/>
    <col min="1703" max="1703" width="7.109375" bestFit="1" customWidth="1"/>
    <col min="1704" max="1713" width="8.109375" bestFit="1" customWidth="1"/>
    <col min="1714" max="1714" width="7.109375" bestFit="1" customWidth="1"/>
    <col min="1715" max="1724" width="8.109375" bestFit="1" customWidth="1"/>
    <col min="1725" max="1725" width="7.109375" bestFit="1" customWidth="1"/>
    <col min="1726" max="1735" width="8.109375" bestFit="1" customWidth="1"/>
    <col min="1736" max="1736" width="7.109375" bestFit="1" customWidth="1"/>
    <col min="1737" max="1746" width="8.109375" bestFit="1" customWidth="1"/>
    <col min="1747" max="1747" width="7.109375" bestFit="1" customWidth="1"/>
    <col min="1748" max="1757" width="8.109375" bestFit="1" customWidth="1"/>
    <col min="1758" max="1758" width="7.109375" bestFit="1" customWidth="1"/>
    <col min="1759" max="1768" width="8.109375" bestFit="1" customWidth="1"/>
    <col min="1769" max="1769" width="7.109375" bestFit="1" customWidth="1"/>
    <col min="1770" max="1779" width="8.109375" bestFit="1" customWidth="1"/>
    <col min="1780" max="1780" width="6.109375" bestFit="1" customWidth="1"/>
    <col min="1781" max="1781" width="7.109375" bestFit="1" customWidth="1"/>
    <col min="1782" max="1791" width="8.109375" bestFit="1" customWidth="1"/>
    <col min="1792" max="1792" width="7.109375" bestFit="1" customWidth="1"/>
    <col min="1793" max="1802" width="8.109375" bestFit="1" customWidth="1"/>
    <col min="1803" max="1803" width="7.109375" bestFit="1" customWidth="1"/>
    <col min="1804" max="1813" width="8.109375" bestFit="1" customWidth="1"/>
    <col min="1814" max="1814" width="7.109375" bestFit="1" customWidth="1"/>
    <col min="1815" max="1824" width="8.109375" bestFit="1" customWidth="1"/>
    <col min="1825" max="1825" width="7.109375" bestFit="1" customWidth="1"/>
    <col min="1826" max="1835" width="8.109375" bestFit="1" customWidth="1"/>
    <col min="1836" max="1836" width="7.109375" bestFit="1" customWidth="1"/>
    <col min="1837" max="1846" width="8.109375" bestFit="1" customWidth="1"/>
    <col min="1847" max="1847" width="7.109375" bestFit="1" customWidth="1"/>
    <col min="1848" max="1857" width="8.109375" bestFit="1" customWidth="1"/>
    <col min="1858" max="1858" width="7.109375" bestFit="1" customWidth="1"/>
    <col min="1859" max="1868" width="8.109375" bestFit="1" customWidth="1"/>
    <col min="1869" max="1869" width="7.109375" bestFit="1" customWidth="1"/>
    <col min="1870" max="1879" width="8.109375" bestFit="1" customWidth="1"/>
    <col min="1880" max="1880" width="7.109375" bestFit="1" customWidth="1"/>
    <col min="1881" max="1890" width="8.109375" bestFit="1" customWidth="1"/>
    <col min="1891" max="1891" width="6.109375" bestFit="1" customWidth="1"/>
    <col min="1892" max="1892" width="7.109375" bestFit="1" customWidth="1"/>
    <col min="1893" max="1902" width="8.109375" bestFit="1" customWidth="1"/>
    <col min="1903" max="1903" width="7.109375" bestFit="1" customWidth="1"/>
    <col min="1904" max="1913" width="8.109375" bestFit="1" customWidth="1"/>
    <col min="1914" max="1914" width="7.109375" bestFit="1" customWidth="1"/>
    <col min="1915" max="1924" width="8.109375" bestFit="1" customWidth="1"/>
    <col min="1925" max="1925" width="7.109375" bestFit="1" customWidth="1"/>
    <col min="1926" max="1935" width="8.109375" bestFit="1" customWidth="1"/>
    <col min="1936" max="1936" width="7.109375" bestFit="1" customWidth="1"/>
    <col min="1937" max="1946" width="8.109375" bestFit="1" customWidth="1"/>
    <col min="1947" max="1947" width="7.109375" bestFit="1" customWidth="1"/>
    <col min="1948" max="1957" width="8.109375" bestFit="1" customWidth="1"/>
    <col min="1958" max="1958" width="7.109375" bestFit="1" customWidth="1"/>
    <col min="1959" max="1968" width="8.109375" bestFit="1" customWidth="1"/>
    <col min="1969" max="1969" width="7.109375" bestFit="1" customWidth="1"/>
    <col min="1970" max="1979" width="8.109375" bestFit="1" customWidth="1"/>
    <col min="1980" max="1980" width="7.109375" bestFit="1" customWidth="1"/>
    <col min="1981" max="1990" width="8.109375" bestFit="1" customWidth="1"/>
    <col min="1991" max="1991" width="7.109375" bestFit="1" customWidth="1"/>
    <col min="1992" max="2001" width="8.109375" bestFit="1" customWidth="1"/>
    <col min="2002" max="2002" width="7" bestFit="1" customWidth="1"/>
    <col min="2003" max="2003" width="10.77734375" bestFit="1" customWidth="1"/>
  </cols>
  <sheetData>
    <row r="2" spans="1:3" x14ac:dyDescent="0.3">
      <c r="A2" s="17" t="s">
        <v>3960</v>
      </c>
      <c r="B2" t="s">
        <v>3962</v>
      </c>
      <c r="C2" t="s">
        <v>3963</v>
      </c>
    </row>
    <row r="3" spans="1:3" x14ac:dyDescent="0.3">
      <c r="A3" s="18">
        <v>2023</v>
      </c>
      <c r="B3" s="22">
        <v>223812.72450000007</v>
      </c>
      <c r="C3" s="22">
        <v>217</v>
      </c>
    </row>
    <row r="4" spans="1:3" x14ac:dyDescent="0.3">
      <c r="A4" s="18">
        <v>2024</v>
      </c>
      <c r="B4" s="22">
        <v>1093911.7953999995</v>
      </c>
      <c r="C4" s="22">
        <v>999</v>
      </c>
    </row>
    <row r="5" spans="1:3" x14ac:dyDescent="0.3">
      <c r="A5" s="18">
        <v>2025</v>
      </c>
      <c r="B5" s="22">
        <v>856670.17840000056</v>
      </c>
      <c r="C5" s="22">
        <v>784</v>
      </c>
    </row>
    <row r="6" spans="1:3" x14ac:dyDescent="0.3">
      <c r="A6" s="18" t="s">
        <v>3961</v>
      </c>
      <c r="B6" s="22">
        <v>2174394.6982999956</v>
      </c>
      <c r="C6" s="22">
        <v>2000</v>
      </c>
    </row>
    <row r="7" spans="1:3" x14ac:dyDescent="0.3">
      <c r="A7" s="18"/>
    </row>
    <row r="8" spans="1:3" x14ac:dyDescent="0.3">
      <c r="A8" s="18"/>
    </row>
    <row r="9" spans="1:3" x14ac:dyDescent="0.3">
      <c r="A9" s="18"/>
    </row>
    <row r="10" spans="1:3" x14ac:dyDescent="0.3">
      <c r="A10" s="18"/>
    </row>
    <row r="11" spans="1:3" x14ac:dyDescent="0.3">
      <c r="A11" s="18"/>
    </row>
    <row r="12" spans="1:3" x14ac:dyDescent="0.3">
      <c r="A12" s="18"/>
    </row>
    <row r="13" spans="1:3" x14ac:dyDescent="0.3">
      <c r="A13" s="18"/>
    </row>
    <row r="14" spans="1:3" x14ac:dyDescent="0.3">
      <c r="A14" s="18"/>
    </row>
    <row r="15" spans="1:3" x14ac:dyDescent="0.3">
      <c r="A15" s="18"/>
    </row>
    <row r="16" spans="1:3" x14ac:dyDescent="0.3">
      <c r="A16" s="18"/>
    </row>
    <row r="19" spans="1:3" x14ac:dyDescent="0.3">
      <c r="A19" s="17" t="s">
        <v>3960</v>
      </c>
      <c r="B19" t="s">
        <v>3963</v>
      </c>
    </row>
    <row r="20" spans="1:3" x14ac:dyDescent="0.3">
      <c r="A20" s="18" t="s">
        <v>1812</v>
      </c>
      <c r="B20" s="22">
        <v>660</v>
      </c>
    </row>
    <row r="21" spans="1:3" x14ac:dyDescent="0.3">
      <c r="A21" s="18" t="s">
        <v>1807</v>
      </c>
      <c r="B21" s="22">
        <v>645</v>
      </c>
    </row>
    <row r="22" spans="1:3" x14ac:dyDescent="0.3">
      <c r="A22" s="18" t="s">
        <v>1809</v>
      </c>
      <c r="B22" s="22">
        <v>695</v>
      </c>
    </row>
    <row r="23" spans="1:3" x14ac:dyDescent="0.3">
      <c r="A23" s="18" t="s">
        <v>3961</v>
      </c>
      <c r="B23" s="22">
        <v>2000</v>
      </c>
    </row>
    <row r="24" spans="1:3" x14ac:dyDescent="0.3">
      <c r="A24" s="18"/>
    </row>
    <row r="25" spans="1:3" x14ac:dyDescent="0.3">
      <c r="A25" s="18"/>
    </row>
    <row r="26" spans="1:3" x14ac:dyDescent="0.3">
      <c r="A26" s="18"/>
    </row>
    <row r="27" spans="1:3" x14ac:dyDescent="0.3">
      <c r="A27" s="18"/>
    </row>
    <row r="28" spans="1:3" x14ac:dyDescent="0.3">
      <c r="A28" s="18"/>
    </row>
    <row r="29" spans="1:3" x14ac:dyDescent="0.3">
      <c r="A29" s="18"/>
    </row>
    <row r="32" spans="1:3" x14ac:dyDescent="0.3">
      <c r="A32" s="17" t="s">
        <v>3960</v>
      </c>
      <c r="B32" t="s">
        <v>3963</v>
      </c>
      <c r="C32" t="s">
        <v>3970</v>
      </c>
    </row>
    <row r="33" spans="1:3" x14ac:dyDescent="0.3">
      <c r="A33" s="18" t="s">
        <v>1737</v>
      </c>
      <c r="B33" s="22">
        <v>590</v>
      </c>
      <c r="C33" s="22">
        <v>1054.9225700000002</v>
      </c>
    </row>
    <row r="34" spans="1:3" x14ac:dyDescent="0.3">
      <c r="A34" s="18" t="s">
        <v>1742</v>
      </c>
      <c r="B34" s="22">
        <v>596</v>
      </c>
      <c r="C34" s="22">
        <v>1084.0618796979873</v>
      </c>
    </row>
    <row r="35" spans="1:3" x14ac:dyDescent="0.3">
      <c r="A35" s="18" t="s">
        <v>1746</v>
      </c>
      <c r="B35" s="22">
        <v>581</v>
      </c>
      <c r="C35" s="22">
        <v>1093.3099753872634</v>
      </c>
    </row>
    <row r="36" spans="1:3" x14ac:dyDescent="0.3">
      <c r="A36" s="18" t="s">
        <v>1767</v>
      </c>
      <c r="B36" s="22">
        <v>233</v>
      </c>
      <c r="C36" s="22">
        <v>1161.701313304721</v>
      </c>
    </row>
    <row r="37" spans="1:3" x14ac:dyDescent="0.3">
      <c r="A37" s="18" t="s">
        <v>3961</v>
      </c>
      <c r="B37" s="22">
        <v>2000</v>
      </c>
      <c r="C37" s="22">
        <v>1087.1973491499982</v>
      </c>
    </row>
    <row r="38" spans="1:3" x14ac:dyDescent="0.3">
      <c r="A38" s="18"/>
    </row>
    <row r="39" spans="1:3" x14ac:dyDescent="0.3">
      <c r="A39" s="18"/>
    </row>
    <row r="40" spans="1:3" x14ac:dyDescent="0.3">
      <c r="A40" s="18"/>
    </row>
    <row r="41" spans="1:3" x14ac:dyDescent="0.3">
      <c r="A41" s="18"/>
    </row>
    <row r="42" spans="1:3" x14ac:dyDescent="0.3">
      <c r="A42" s="18"/>
    </row>
    <row r="43" spans="1:3" x14ac:dyDescent="0.3">
      <c r="A43" s="18"/>
    </row>
    <row r="44" spans="1:3" x14ac:dyDescent="0.3">
      <c r="A44" s="18"/>
    </row>
    <row r="45" spans="1:3" x14ac:dyDescent="0.3">
      <c r="A45" s="18"/>
    </row>
    <row r="48" spans="1:3" x14ac:dyDescent="0.3">
      <c r="A48" s="17" t="s">
        <v>3963</v>
      </c>
      <c r="B48" s="20" t="s">
        <v>3964</v>
      </c>
    </row>
    <row r="49" spans="1:4" x14ac:dyDescent="0.3">
      <c r="A49" s="17" t="s">
        <v>3960</v>
      </c>
      <c r="B49" t="s">
        <v>16</v>
      </c>
      <c r="C49" t="s">
        <v>9</v>
      </c>
      <c r="D49" t="s">
        <v>3961</v>
      </c>
    </row>
    <row r="50" spans="1:4" x14ac:dyDescent="0.3">
      <c r="A50" s="18" t="s">
        <v>3971</v>
      </c>
      <c r="B50" s="22">
        <v>307</v>
      </c>
      <c r="C50" s="22">
        <v>241</v>
      </c>
      <c r="D50" s="22">
        <v>548</v>
      </c>
    </row>
    <row r="51" spans="1:4" x14ac:dyDescent="0.3">
      <c r="A51" s="18" t="s">
        <v>3972</v>
      </c>
      <c r="B51" s="22">
        <v>449</v>
      </c>
      <c r="C51" s="22">
        <v>385</v>
      </c>
      <c r="D51" s="22">
        <v>834</v>
      </c>
    </row>
    <row r="52" spans="1:4" x14ac:dyDescent="0.3">
      <c r="A52" s="18" t="s">
        <v>3973</v>
      </c>
      <c r="B52" s="22">
        <v>340</v>
      </c>
      <c r="C52" s="22">
        <v>278</v>
      </c>
      <c r="D52" s="22">
        <v>618</v>
      </c>
    </row>
    <row r="53" spans="1:4" x14ac:dyDescent="0.3">
      <c r="A53" s="18" t="s">
        <v>3961</v>
      </c>
      <c r="B53" s="22">
        <v>1096</v>
      </c>
      <c r="C53" s="22">
        <v>904</v>
      </c>
      <c r="D53" s="22">
        <v>2000</v>
      </c>
    </row>
    <row r="58" spans="1:4" x14ac:dyDescent="0.3">
      <c r="A58" s="17" t="s">
        <v>3960</v>
      </c>
      <c r="B58" t="s">
        <v>3970</v>
      </c>
    </row>
    <row r="59" spans="1:4" x14ac:dyDescent="0.3">
      <c r="A59" s="18" t="s">
        <v>1541</v>
      </c>
      <c r="B59" s="22">
        <v>1057.7675273026307</v>
      </c>
    </row>
    <row r="60" spans="1:4" x14ac:dyDescent="0.3">
      <c r="A60" s="18" t="s">
        <v>1530</v>
      </c>
      <c r="B60" s="22">
        <v>1135.377376646707</v>
      </c>
    </row>
    <row r="61" spans="1:4" x14ac:dyDescent="0.3">
      <c r="A61" s="18" t="s">
        <v>1546</v>
      </c>
      <c r="B61" s="22">
        <v>1110.8179471365645</v>
      </c>
    </row>
    <row r="62" spans="1:4" x14ac:dyDescent="0.3">
      <c r="A62" s="18" t="s">
        <v>1527</v>
      </c>
      <c r="B62" s="22">
        <v>1042.1848868292682</v>
      </c>
    </row>
    <row r="63" spans="1:4" x14ac:dyDescent="0.3">
      <c r="A63" s="18" t="s">
        <v>1549</v>
      </c>
      <c r="B63" s="22">
        <v>1088.3738445783142</v>
      </c>
    </row>
    <row r="64" spans="1:4" x14ac:dyDescent="0.3">
      <c r="A64" s="18" t="s">
        <v>3961</v>
      </c>
      <c r="B64" s="22">
        <v>1087.1973491499982</v>
      </c>
    </row>
    <row r="69" spans="1:2" x14ac:dyDescent="0.3">
      <c r="A69" s="17" t="s">
        <v>3960</v>
      </c>
      <c r="B69" t="s">
        <v>3970</v>
      </c>
    </row>
    <row r="70" spans="1:2" x14ac:dyDescent="0.3">
      <c r="A70" s="18">
        <v>2023</v>
      </c>
      <c r="B70" s="22">
        <v>1031.3950437788017</v>
      </c>
    </row>
    <row r="71" spans="1:2" x14ac:dyDescent="0.3">
      <c r="A71" s="19" t="s">
        <v>16</v>
      </c>
      <c r="B71" s="22">
        <v>1028.6294704347824</v>
      </c>
    </row>
    <row r="72" spans="1:2" x14ac:dyDescent="0.3">
      <c r="A72" s="19" t="s">
        <v>9</v>
      </c>
      <c r="B72" s="22">
        <v>1034.5130921568625</v>
      </c>
    </row>
    <row r="73" spans="1:2" x14ac:dyDescent="0.3">
      <c r="A73" s="18">
        <v>2024</v>
      </c>
      <c r="B73" s="22">
        <v>1095.0068022022017</v>
      </c>
    </row>
    <row r="74" spans="1:2" x14ac:dyDescent="0.3">
      <c r="A74" s="19" t="s">
        <v>16</v>
      </c>
      <c r="B74" s="22">
        <v>1143.6407663023685</v>
      </c>
    </row>
    <row r="75" spans="1:2" x14ac:dyDescent="0.3">
      <c r="A75" s="19" t="s">
        <v>9</v>
      </c>
      <c r="B75" s="22">
        <v>1035.6733660000007</v>
      </c>
    </row>
    <row r="76" spans="1:2" x14ac:dyDescent="0.3">
      <c r="A76" s="18">
        <v>2025</v>
      </c>
      <c r="B76" s="22">
        <v>1092.6915540816335</v>
      </c>
    </row>
    <row r="77" spans="1:2" x14ac:dyDescent="0.3">
      <c r="A77" s="19" t="s">
        <v>16</v>
      </c>
      <c r="B77" s="22">
        <v>1123.3635648148145</v>
      </c>
    </row>
    <row r="78" spans="1:2" x14ac:dyDescent="0.3">
      <c r="A78" s="19" t="s">
        <v>9</v>
      </c>
      <c r="B78" s="22">
        <v>1055.0486318181813</v>
      </c>
    </row>
    <row r="79" spans="1:2" x14ac:dyDescent="0.3">
      <c r="A79" s="18" t="s">
        <v>3961</v>
      </c>
      <c r="B79" s="22">
        <v>1087.1973491499978</v>
      </c>
    </row>
    <row r="83" spans="1:3" x14ac:dyDescent="0.3">
      <c r="A83" s="17" t="s">
        <v>3960</v>
      </c>
      <c r="B83" t="s">
        <v>3963</v>
      </c>
      <c r="C83" t="s">
        <v>3962</v>
      </c>
    </row>
    <row r="84" spans="1:3" x14ac:dyDescent="0.3">
      <c r="A84" s="18" t="s">
        <v>3975</v>
      </c>
      <c r="B84" s="22">
        <v>164</v>
      </c>
      <c r="C84" s="23">
        <v>174449.14000000007</v>
      </c>
    </row>
    <row r="85" spans="1:3" x14ac:dyDescent="0.3">
      <c r="A85" s="18" t="s">
        <v>3976</v>
      </c>
      <c r="B85" s="22">
        <v>159</v>
      </c>
      <c r="C85" s="23">
        <v>155073.9390999999</v>
      </c>
    </row>
    <row r="86" spans="1:3" x14ac:dyDescent="0.3">
      <c r="A86" s="18" t="s">
        <v>3977</v>
      </c>
      <c r="B86" s="22">
        <v>183</v>
      </c>
      <c r="C86" s="23">
        <v>210704.52199999997</v>
      </c>
    </row>
    <row r="87" spans="1:3" x14ac:dyDescent="0.3">
      <c r="A87" s="18" t="s">
        <v>3978</v>
      </c>
      <c r="B87" s="22">
        <v>161</v>
      </c>
      <c r="C87" s="23">
        <v>192864.03530000005</v>
      </c>
    </row>
    <row r="88" spans="1:3" x14ac:dyDescent="0.3">
      <c r="A88" s="18" t="s">
        <v>3979</v>
      </c>
      <c r="B88" s="22">
        <v>158</v>
      </c>
      <c r="C88" s="23">
        <v>146511.96289999998</v>
      </c>
    </row>
    <row r="89" spans="1:3" x14ac:dyDescent="0.3">
      <c r="A89" s="18" t="s">
        <v>3980</v>
      </c>
      <c r="B89" s="22">
        <v>155</v>
      </c>
      <c r="C89" s="23">
        <v>162640.01650000011</v>
      </c>
    </row>
    <row r="90" spans="1:3" x14ac:dyDescent="0.3">
      <c r="A90" s="18" t="s">
        <v>3981</v>
      </c>
      <c r="B90" s="22">
        <v>184</v>
      </c>
      <c r="C90" s="23">
        <v>194711.8153999999</v>
      </c>
    </row>
    <row r="91" spans="1:3" x14ac:dyDescent="0.3">
      <c r="A91" s="18" t="s">
        <v>3982</v>
      </c>
      <c r="B91" s="22">
        <v>171</v>
      </c>
      <c r="C91" s="23">
        <v>192159.7325999999</v>
      </c>
    </row>
    <row r="92" spans="1:3" x14ac:dyDescent="0.3">
      <c r="A92" s="18" t="s">
        <v>3983</v>
      </c>
      <c r="B92" s="22">
        <v>165</v>
      </c>
      <c r="C92" s="23">
        <v>188570.17699999991</v>
      </c>
    </row>
    <row r="93" spans="1:3" x14ac:dyDescent="0.3">
      <c r="A93" s="18" t="s">
        <v>3984</v>
      </c>
      <c r="B93" s="22">
        <v>167</v>
      </c>
      <c r="C93" s="23">
        <v>186168.20670000001</v>
      </c>
    </row>
    <row r="94" spans="1:3" x14ac:dyDescent="0.3">
      <c r="A94" s="18" t="s">
        <v>3985</v>
      </c>
      <c r="B94" s="22">
        <v>166</v>
      </c>
      <c r="C94" s="23">
        <v>187386.16820000004</v>
      </c>
    </row>
    <row r="95" spans="1:3" x14ac:dyDescent="0.3">
      <c r="A95" s="18" t="s">
        <v>3986</v>
      </c>
      <c r="B95" s="22">
        <v>167</v>
      </c>
      <c r="C95" s="23">
        <v>183154.98259999999</v>
      </c>
    </row>
    <row r="96" spans="1:3" x14ac:dyDescent="0.3">
      <c r="A96" s="18" t="s">
        <v>3961</v>
      </c>
      <c r="B96" s="22">
        <v>2000</v>
      </c>
      <c r="C96" s="23">
        <v>2174394.6982999989</v>
      </c>
    </row>
  </sheetData>
  <pageMargins left="0.7" right="0.7" top="0.75" bottom="0.75" header="0.3" footer="0.3"/>
  <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B800C2-C88A-4931-A228-A8E4C0DEDCD0}">
  <dimension ref="A1:Q2001"/>
  <sheetViews>
    <sheetView topLeftCell="C1" zoomScale="79" zoomScaleNormal="79" workbookViewId="0">
      <selection activeCell="S20" sqref="S20"/>
    </sheetView>
  </sheetViews>
  <sheetFormatPr defaultColWidth="15" defaultRowHeight="14.4" x14ac:dyDescent="0.3"/>
  <cols>
    <col min="2" max="2" width="15" style="15"/>
    <col min="13" max="13" width="15" style="27"/>
    <col min="14" max="14" width="15" style="38"/>
    <col min="15" max="15" width="15" style="31"/>
  </cols>
  <sheetData>
    <row r="1" spans="1:17" x14ac:dyDescent="0.3">
      <c r="A1" s="3" t="s">
        <v>1799</v>
      </c>
      <c r="B1" s="16" t="s">
        <v>1800</v>
      </c>
      <c r="C1" s="3" t="s">
        <v>3969</v>
      </c>
      <c r="D1" s="3" t="s">
        <v>0</v>
      </c>
      <c r="E1" s="3" t="s">
        <v>3967</v>
      </c>
      <c r="F1" s="3" t="s">
        <v>3</v>
      </c>
      <c r="G1" s="3" t="s">
        <v>3968</v>
      </c>
      <c r="H1" s="3" t="s">
        <v>1519</v>
      </c>
      <c r="I1" s="3" t="s">
        <v>1521</v>
      </c>
      <c r="J1" s="3" t="s">
        <v>3965</v>
      </c>
      <c r="K1" s="3" t="s">
        <v>1731</v>
      </c>
      <c r="L1" s="3" t="s">
        <v>1733</v>
      </c>
      <c r="M1" s="24" t="s">
        <v>1801</v>
      </c>
      <c r="N1" s="35" t="s">
        <v>1802</v>
      </c>
      <c r="O1" s="28" t="s">
        <v>1803</v>
      </c>
      <c r="P1" s="3" t="s">
        <v>1804</v>
      </c>
      <c r="Q1" s="35" t="s">
        <v>1805</v>
      </c>
    </row>
    <row r="2" spans="1:17" x14ac:dyDescent="0.3">
      <c r="A2" s="2" t="s">
        <v>1806</v>
      </c>
      <c r="B2" s="14">
        <v>45480</v>
      </c>
      <c r="C2" s="2">
        <f>YEAR(Sales_Details2[[#This Row],[Order_Date]])</f>
        <v>2024</v>
      </c>
      <c r="D2" s="2" t="s">
        <v>1258</v>
      </c>
      <c r="E2" s="2" t="str">
        <f>VLOOKUP(Sales_Details2[[#This Row],[Customer_ID]],Customer_Details[#All],4,0)</f>
        <v>Senior</v>
      </c>
      <c r="F2" s="2" t="str">
        <f>VLOOKUP(Sales_Details2[[#This Row],[Customer_ID]],Customer_Details[#All],5,0)</f>
        <v>Male</v>
      </c>
      <c r="G2" s="2" t="str">
        <f>VLOOKUP(Sales_Details2[[#This Row],[Customer_ID]],Customer_Details[#All],9,0)</f>
        <v>Gold</v>
      </c>
      <c r="H2" s="2" t="s">
        <v>1725</v>
      </c>
      <c r="I2" s="2" t="str">
        <f>VLOOKUP(Sales_Details2[[#This Row],[Product_ID]],Product_details[[#All],[Product_ID]:[Cost]],3,0)</f>
        <v>Sports</v>
      </c>
      <c r="J2" s="2" t="str">
        <f>VLOOKUP(Sales_Details2[[#This Row],[Product_ID]],Product_details[[#All],[Product_ID]:[Cost]],4,0)</f>
        <v>Team Sports</v>
      </c>
      <c r="K2" s="2" t="s">
        <v>1749</v>
      </c>
      <c r="L2" s="2" t="str">
        <f>_xlfn.XLOOKUP(Sales_Details2[[#This Row],[Store_ID]],Table2[Store_ID],Table2[Region],"Region not found")</f>
        <v>North</v>
      </c>
      <c r="M2" s="25">
        <v>1</v>
      </c>
      <c r="N2" s="36">
        <v>218.04</v>
      </c>
      <c r="O2" s="29">
        <v>0.09</v>
      </c>
      <c r="P2" s="2" t="s">
        <v>1807</v>
      </c>
      <c r="Q2" s="36">
        <v>198.41640000000001</v>
      </c>
    </row>
    <row r="3" spans="1:17" x14ac:dyDescent="0.3">
      <c r="A3" s="2" t="s">
        <v>1808</v>
      </c>
      <c r="B3" s="14">
        <v>45285</v>
      </c>
      <c r="C3" s="2">
        <f>YEAR(Sales_Details2[[#This Row],[Order_Date]])</f>
        <v>2023</v>
      </c>
      <c r="D3" s="2" t="s">
        <v>1424</v>
      </c>
      <c r="E3" s="2" t="str">
        <f>VLOOKUP(Sales_Details2[[#This Row],[Customer_ID]],Customer_Details[#All],4,0)</f>
        <v>Senior</v>
      </c>
      <c r="F3" s="2" t="str">
        <f>VLOOKUP(Sales_Details2[[#This Row],[Customer_ID]],Customer_Details[#All],5,0)</f>
        <v>Female</v>
      </c>
      <c r="G3" s="2" t="str">
        <f>VLOOKUP(Sales_Details2[[#This Row],[Customer_ID]],Customer_Details[#All],9,0)</f>
        <v>Gold</v>
      </c>
      <c r="H3" s="2" t="s">
        <v>1679</v>
      </c>
      <c r="I3" s="2" t="str">
        <f>VLOOKUP(Sales_Details2[[#This Row],[Product_ID]],Product_details[[#All],[Product_ID]:[Cost]],3,0)</f>
        <v>Electronics</v>
      </c>
      <c r="J3" s="2" t="str">
        <f>VLOOKUP(Sales_Details2[[#This Row],[Product_ID]],Product_details[[#All],[Product_ID]:[Cost]],4,0)</f>
        <v>Audio</v>
      </c>
      <c r="K3" s="2" t="s">
        <v>1790</v>
      </c>
      <c r="L3" s="2" t="str">
        <f>_xlfn.XLOOKUP(Sales_Details2[[#This Row],[Store_ID]],Table2[Store_ID],Table2[Region],"Region not found")</f>
        <v>North</v>
      </c>
      <c r="M3" s="25">
        <v>3</v>
      </c>
      <c r="N3" s="36">
        <v>104.47</v>
      </c>
      <c r="O3" s="29">
        <v>0.27</v>
      </c>
      <c r="P3" s="2" t="s">
        <v>1809</v>
      </c>
      <c r="Q3" s="36">
        <v>228.7893</v>
      </c>
    </row>
    <row r="4" spans="1:17" x14ac:dyDescent="0.3">
      <c r="A4" s="2" t="s">
        <v>1810</v>
      </c>
      <c r="B4" s="14">
        <v>45446</v>
      </c>
      <c r="C4" s="2">
        <f>YEAR(Sales_Details2[[#This Row],[Order_Date]])</f>
        <v>2024</v>
      </c>
      <c r="D4" s="2" t="s">
        <v>208</v>
      </c>
      <c r="E4" s="2" t="str">
        <f>VLOOKUP(Sales_Details2[[#This Row],[Customer_ID]],Customer_Details[#All],4,0)</f>
        <v>Mid-Adult</v>
      </c>
      <c r="F4" s="2" t="str">
        <f>VLOOKUP(Sales_Details2[[#This Row],[Customer_ID]],Customer_Details[#All],5,0)</f>
        <v>Female</v>
      </c>
      <c r="G4" s="2" t="str">
        <f>VLOOKUP(Sales_Details2[[#This Row],[Customer_ID]],Customer_Details[#All],9,0)</f>
        <v>Gold</v>
      </c>
      <c r="H4" s="2" t="s">
        <v>1629</v>
      </c>
      <c r="I4" s="2" t="str">
        <f>VLOOKUP(Sales_Details2[[#This Row],[Product_ID]],Product_details[[#All],[Product_ID]:[Cost]],3,0)</f>
        <v>Beauty</v>
      </c>
      <c r="J4" s="2" t="str">
        <f>VLOOKUP(Sales_Details2[[#This Row],[Product_ID]],Product_details[[#All],[Product_ID]:[Cost]],4,0)</f>
        <v>Fragrance</v>
      </c>
      <c r="K4" s="2" t="s">
        <v>1765</v>
      </c>
      <c r="L4" s="2" t="str">
        <f>_xlfn.XLOOKUP(Sales_Details2[[#This Row],[Store_ID]],Table2[Store_ID],Table2[Region],"Region not found")</f>
        <v>West</v>
      </c>
      <c r="M4" s="25">
        <v>4</v>
      </c>
      <c r="N4" s="36">
        <v>914.05</v>
      </c>
      <c r="O4" s="29">
        <v>0.25</v>
      </c>
      <c r="P4" s="2" t="s">
        <v>1807</v>
      </c>
      <c r="Q4" s="36">
        <v>2742.15</v>
      </c>
    </row>
    <row r="5" spans="1:17" x14ac:dyDescent="0.3">
      <c r="A5" s="2" t="s">
        <v>1811</v>
      </c>
      <c r="B5" s="14">
        <v>45259</v>
      </c>
      <c r="C5" s="2">
        <f>YEAR(Sales_Details2[[#This Row],[Order_Date]])</f>
        <v>2023</v>
      </c>
      <c r="D5" s="2" t="s">
        <v>1075</v>
      </c>
      <c r="E5" s="2" t="str">
        <f>VLOOKUP(Sales_Details2[[#This Row],[Customer_ID]],Customer_Details[#All],4,0)</f>
        <v>Senior</v>
      </c>
      <c r="F5" s="2" t="str">
        <f>VLOOKUP(Sales_Details2[[#This Row],[Customer_ID]],Customer_Details[#All],5,0)</f>
        <v>Female</v>
      </c>
      <c r="G5" s="2" t="str">
        <f>VLOOKUP(Sales_Details2[[#This Row],[Customer_ID]],Customer_Details[#All],9,0)</f>
        <v>Platinum</v>
      </c>
      <c r="H5" s="2" t="s">
        <v>1683</v>
      </c>
      <c r="I5" s="2" t="str">
        <f>VLOOKUP(Sales_Details2[[#This Row],[Product_ID]],Product_details[[#All],[Product_ID]:[Cost]],3,0)</f>
        <v>Electronics</v>
      </c>
      <c r="J5" s="2" t="str">
        <f>VLOOKUP(Sales_Details2[[#This Row],[Product_ID]],Product_details[[#All],[Product_ID]:[Cost]],4,0)</f>
        <v>Computer</v>
      </c>
      <c r="K5" s="2" t="s">
        <v>1765</v>
      </c>
      <c r="L5" s="2" t="str">
        <f>_xlfn.XLOOKUP(Sales_Details2[[#This Row],[Store_ID]],Table2[Store_ID],Table2[Region],"Region not found")</f>
        <v>West</v>
      </c>
      <c r="M5" s="25">
        <v>1</v>
      </c>
      <c r="N5" s="36">
        <v>921.51</v>
      </c>
      <c r="O5" s="29">
        <v>0.16</v>
      </c>
      <c r="P5" s="2" t="s">
        <v>1812</v>
      </c>
      <c r="Q5" s="36">
        <v>774.0684</v>
      </c>
    </row>
    <row r="6" spans="1:17" x14ac:dyDescent="0.3">
      <c r="A6" s="2" t="s">
        <v>1813</v>
      </c>
      <c r="B6" s="14">
        <v>45297</v>
      </c>
      <c r="C6" s="2">
        <f>YEAR(Sales_Details2[[#This Row],[Order_Date]])</f>
        <v>2024</v>
      </c>
      <c r="D6" s="2" t="s">
        <v>1499</v>
      </c>
      <c r="E6" s="2" t="str">
        <f>VLOOKUP(Sales_Details2[[#This Row],[Customer_ID]],Customer_Details[#All],4,0)</f>
        <v>Adult</v>
      </c>
      <c r="F6" s="2" t="str">
        <f>VLOOKUP(Sales_Details2[[#This Row],[Customer_ID]],Customer_Details[#All],5,0)</f>
        <v>Male</v>
      </c>
      <c r="G6" s="2" t="str">
        <f>VLOOKUP(Sales_Details2[[#This Row],[Customer_ID]],Customer_Details[#All],9,0)</f>
        <v>Silver</v>
      </c>
      <c r="H6" s="2" t="s">
        <v>1649</v>
      </c>
      <c r="I6" s="2" t="str">
        <f>VLOOKUP(Sales_Details2[[#This Row],[Product_ID]],Product_details[[#All],[Product_ID]:[Cost]],3,0)</f>
        <v>Beauty</v>
      </c>
      <c r="J6" s="2" t="str">
        <f>VLOOKUP(Sales_Details2[[#This Row],[Product_ID]],Product_details[[#All],[Product_ID]:[Cost]],4,0)</f>
        <v>Haircare</v>
      </c>
      <c r="K6" s="2" t="s">
        <v>1756</v>
      </c>
      <c r="L6" s="2" t="str">
        <f>_xlfn.XLOOKUP(Sales_Details2[[#This Row],[Store_ID]],Table2[Store_ID],Table2[Region],"Region not found")</f>
        <v>North</v>
      </c>
      <c r="M6" s="25">
        <v>3</v>
      </c>
      <c r="N6" s="36">
        <v>745.3</v>
      </c>
      <c r="O6" s="29">
        <v>0.18</v>
      </c>
      <c r="P6" s="2" t="s">
        <v>1807</v>
      </c>
      <c r="Q6" s="36">
        <v>1833.4380000000001</v>
      </c>
    </row>
    <row r="7" spans="1:17" x14ac:dyDescent="0.3">
      <c r="A7" s="2" t="s">
        <v>1814</v>
      </c>
      <c r="B7" s="14">
        <v>45499</v>
      </c>
      <c r="C7" s="2">
        <f>YEAR(Sales_Details2[[#This Row],[Order_Date]])</f>
        <v>2024</v>
      </c>
      <c r="D7" s="2" t="s">
        <v>400</v>
      </c>
      <c r="E7" s="2" t="str">
        <f>VLOOKUP(Sales_Details2[[#This Row],[Customer_ID]],Customer_Details[#All],4,0)</f>
        <v>Adult</v>
      </c>
      <c r="F7" s="2" t="str">
        <f>VLOOKUP(Sales_Details2[[#This Row],[Customer_ID]],Customer_Details[#All],5,0)</f>
        <v>Female</v>
      </c>
      <c r="G7" s="2" t="str">
        <f>VLOOKUP(Sales_Details2[[#This Row],[Customer_ID]],Customer_Details[#All],9,0)</f>
        <v>Platinum</v>
      </c>
      <c r="H7" s="2" t="s">
        <v>1561</v>
      </c>
      <c r="I7" s="2" t="str">
        <f>VLOOKUP(Sales_Details2[[#This Row],[Product_ID]],Product_details[[#All],[Product_ID]:[Cost]],3,0)</f>
        <v>Electronics</v>
      </c>
      <c r="J7" s="2" t="str">
        <f>VLOOKUP(Sales_Details2[[#This Row],[Product_ID]],Product_details[[#All],[Product_ID]:[Cost]],4,0)</f>
        <v>Appliances</v>
      </c>
      <c r="K7" s="2" t="s">
        <v>1762</v>
      </c>
      <c r="L7" s="2" t="str">
        <f>_xlfn.XLOOKUP(Sales_Details2[[#This Row],[Store_ID]],Table2[Store_ID],Table2[Region],"Region not found")</f>
        <v>South</v>
      </c>
      <c r="M7" s="25">
        <v>3</v>
      </c>
      <c r="N7" s="36">
        <v>147.01</v>
      </c>
      <c r="O7" s="29">
        <v>0.19</v>
      </c>
      <c r="P7" s="2" t="s">
        <v>1812</v>
      </c>
      <c r="Q7" s="36">
        <v>357.23430000000002</v>
      </c>
    </row>
    <row r="8" spans="1:17" x14ac:dyDescent="0.3">
      <c r="A8" s="2" t="s">
        <v>1815</v>
      </c>
      <c r="B8" s="14">
        <v>45850</v>
      </c>
      <c r="C8" s="2">
        <f>YEAR(Sales_Details2[[#This Row],[Order_Date]])</f>
        <v>2025</v>
      </c>
      <c r="D8" s="2" t="s">
        <v>75</v>
      </c>
      <c r="E8" s="2" t="str">
        <f>VLOOKUP(Sales_Details2[[#This Row],[Customer_ID]],Customer_Details[#All],4,0)</f>
        <v>Adult</v>
      </c>
      <c r="F8" s="2" t="str">
        <f>VLOOKUP(Sales_Details2[[#This Row],[Customer_ID]],Customer_Details[#All],5,0)</f>
        <v>Female</v>
      </c>
      <c r="G8" s="2" t="str">
        <f>VLOOKUP(Sales_Details2[[#This Row],[Customer_ID]],Customer_Details[#All],9,0)</f>
        <v>Bronze</v>
      </c>
      <c r="H8" s="2" t="s">
        <v>1643</v>
      </c>
      <c r="I8" s="2" t="str">
        <f>VLOOKUP(Sales_Details2[[#This Row],[Product_ID]],Product_details[[#All],[Product_ID]:[Cost]],3,0)</f>
        <v>Home</v>
      </c>
      <c r="J8" s="2" t="str">
        <f>VLOOKUP(Sales_Details2[[#This Row],[Product_ID]],Product_details[[#All],[Product_ID]:[Cost]],4,0)</f>
        <v>Decor</v>
      </c>
      <c r="K8" s="2" t="s">
        <v>1752</v>
      </c>
      <c r="L8" s="2" t="str">
        <f>_xlfn.XLOOKUP(Sales_Details2[[#This Row],[Store_ID]],Table2[Store_ID],Table2[Region],"Region not found")</f>
        <v>South</v>
      </c>
      <c r="M8" s="25">
        <v>2</v>
      </c>
      <c r="N8" s="36">
        <v>785.31</v>
      </c>
      <c r="O8" s="29">
        <v>0.15</v>
      </c>
      <c r="P8" s="2" t="s">
        <v>1809</v>
      </c>
      <c r="Q8" s="36">
        <v>1335.027</v>
      </c>
    </row>
    <row r="9" spans="1:17" x14ac:dyDescent="0.3">
      <c r="A9" s="2" t="s">
        <v>1816</v>
      </c>
      <c r="B9" s="14">
        <v>45248</v>
      </c>
      <c r="C9" s="2">
        <f>YEAR(Sales_Details2[[#This Row],[Order_Date]])</f>
        <v>2023</v>
      </c>
      <c r="D9" s="2" t="s">
        <v>506</v>
      </c>
      <c r="E9" s="2" t="str">
        <f>VLOOKUP(Sales_Details2[[#This Row],[Customer_ID]],Customer_Details[#All],4,0)</f>
        <v>Mid-Adult</v>
      </c>
      <c r="F9" s="2" t="str">
        <f>VLOOKUP(Sales_Details2[[#This Row],[Customer_ID]],Customer_Details[#All],5,0)</f>
        <v>Female</v>
      </c>
      <c r="G9" s="2" t="str">
        <f>VLOOKUP(Sales_Details2[[#This Row],[Customer_ID]],Customer_Details[#All],9,0)</f>
        <v>Platinum</v>
      </c>
      <c r="H9" s="2" t="s">
        <v>1671</v>
      </c>
      <c r="I9" s="2" t="str">
        <f>VLOOKUP(Sales_Details2[[#This Row],[Product_ID]],Product_details[[#All],[Product_ID]:[Cost]],3,0)</f>
        <v>Home</v>
      </c>
      <c r="J9" s="2" t="str">
        <f>VLOOKUP(Sales_Details2[[#This Row],[Product_ID]],Product_details[[#All],[Product_ID]:[Cost]],4,0)</f>
        <v>Storage</v>
      </c>
      <c r="K9" s="2" t="s">
        <v>1765</v>
      </c>
      <c r="L9" s="2" t="str">
        <f>_xlfn.XLOOKUP(Sales_Details2[[#This Row],[Store_ID]],Table2[Store_ID],Table2[Region],"Region not found")</f>
        <v>West</v>
      </c>
      <c r="M9" s="25">
        <v>4</v>
      </c>
      <c r="N9" s="36">
        <v>342.39</v>
      </c>
      <c r="O9" s="29">
        <v>0.23</v>
      </c>
      <c r="P9" s="2" t="s">
        <v>1809</v>
      </c>
      <c r="Q9" s="36">
        <v>1054.5612000000001</v>
      </c>
    </row>
    <row r="10" spans="1:17" x14ac:dyDescent="0.3">
      <c r="A10" s="2" t="s">
        <v>1817</v>
      </c>
      <c r="B10" s="14">
        <v>45781</v>
      </c>
      <c r="C10" s="2">
        <f>YEAR(Sales_Details2[[#This Row],[Order_Date]])</f>
        <v>2025</v>
      </c>
      <c r="D10" s="2" t="s">
        <v>610</v>
      </c>
      <c r="E10" s="2" t="str">
        <f>VLOOKUP(Sales_Details2[[#This Row],[Customer_ID]],Customer_Details[#All],4,0)</f>
        <v>Senior</v>
      </c>
      <c r="F10" s="2" t="str">
        <f>VLOOKUP(Sales_Details2[[#This Row],[Customer_ID]],Customer_Details[#All],5,0)</f>
        <v>Female</v>
      </c>
      <c r="G10" s="2" t="str">
        <f>VLOOKUP(Sales_Details2[[#This Row],[Customer_ID]],Customer_Details[#All],9,0)</f>
        <v>Platinum</v>
      </c>
      <c r="H10" s="2" t="s">
        <v>1729</v>
      </c>
      <c r="I10" s="2" t="str">
        <f>VLOOKUP(Sales_Details2[[#This Row],[Product_ID]],Product_details[[#All],[Product_ID]:[Cost]],3,0)</f>
        <v>Home</v>
      </c>
      <c r="J10" s="2" t="str">
        <f>VLOOKUP(Sales_Details2[[#This Row],[Product_ID]],Product_details[[#All],[Product_ID]:[Cost]],4,0)</f>
        <v>Kitchen</v>
      </c>
      <c r="K10" s="2" t="s">
        <v>1756</v>
      </c>
      <c r="L10" s="2" t="str">
        <f>_xlfn.XLOOKUP(Sales_Details2[[#This Row],[Store_ID]],Table2[Store_ID],Table2[Region],"Region not found")</f>
        <v>North</v>
      </c>
      <c r="M10" s="26">
        <f>Sales_Details2[[#This Row],[Total_Amount]]/(Sales_Details2[[#This Row],[Unit_Price]]*(1-Sales_Details2[[#This Row],[Discount]]))</f>
        <v>3.0000000000000004</v>
      </c>
      <c r="N10" s="36">
        <v>448.25</v>
      </c>
      <c r="O10" s="29">
        <v>7.0000000000000007E-2</v>
      </c>
      <c r="P10" s="2" t="s">
        <v>1809</v>
      </c>
      <c r="Q10" s="36">
        <v>1250.6175000000001</v>
      </c>
    </row>
    <row r="11" spans="1:17" x14ac:dyDescent="0.3">
      <c r="A11" s="2" t="s">
        <v>1818</v>
      </c>
      <c r="B11" s="14">
        <v>45869</v>
      </c>
      <c r="C11" s="2">
        <f>YEAR(Sales_Details2[[#This Row],[Order_Date]])</f>
        <v>2025</v>
      </c>
      <c r="D11" s="2" t="s">
        <v>1415</v>
      </c>
      <c r="E11" s="2" t="str">
        <f>VLOOKUP(Sales_Details2[[#This Row],[Customer_ID]],Customer_Details[#All],4,0)</f>
        <v>Mid-Adult</v>
      </c>
      <c r="F11" s="2" t="str">
        <f>VLOOKUP(Sales_Details2[[#This Row],[Customer_ID]],Customer_Details[#All],5,0)</f>
        <v>Female</v>
      </c>
      <c r="G11" s="2" t="str">
        <f>VLOOKUP(Sales_Details2[[#This Row],[Customer_ID]],Customer_Details[#All],9,0)</f>
        <v>Platinum</v>
      </c>
      <c r="H11" s="2" t="s">
        <v>1597</v>
      </c>
      <c r="I11" s="2" t="str">
        <f>VLOOKUP(Sales_Details2[[#This Row],[Product_ID]],Product_details[[#All],[Product_ID]:[Cost]],3,0)</f>
        <v>Home</v>
      </c>
      <c r="J11" s="2" t="str">
        <f>VLOOKUP(Sales_Details2[[#This Row],[Product_ID]],Product_details[[#All],[Product_ID]:[Cost]],4,0)</f>
        <v>Decor</v>
      </c>
      <c r="K11" s="2" t="s">
        <v>1735</v>
      </c>
      <c r="L11" s="2" t="str">
        <f>_xlfn.XLOOKUP(Sales_Details2[[#This Row],[Store_ID]],Table2[Store_ID],Table2[Region],"Region not found")</f>
        <v>East</v>
      </c>
      <c r="M11" s="25">
        <v>2</v>
      </c>
      <c r="N11" s="36">
        <v>873.17</v>
      </c>
      <c r="O11" s="29">
        <v>0.23</v>
      </c>
      <c r="P11" s="2" t="s">
        <v>1809</v>
      </c>
      <c r="Q11" s="36">
        <v>1344.6818000000001</v>
      </c>
    </row>
    <row r="12" spans="1:17" x14ac:dyDescent="0.3">
      <c r="A12" s="2" t="s">
        <v>1819</v>
      </c>
      <c r="B12" s="14">
        <v>45335</v>
      </c>
      <c r="C12" s="2">
        <f>YEAR(Sales_Details2[[#This Row],[Order_Date]])</f>
        <v>2024</v>
      </c>
      <c r="D12" s="2" t="s">
        <v>238</v>
      </c>
      <c r="E12" s="2" t="str">
        <f>VLOOKUP(Sales_Details2[[#This Row],[Customer_ID]],Customer_Details[#All],4,0)</f>
        <v>Adult</v>
      </c>
      <c r="F12" s="2" t="str">
        <f>VLOOKUP(Sales_Details2[[#This Row],[Customer_ID]],Customer_Details[#All],5,0)</f>
        <v>Female</v>
      </c>
      <c r="G12" s="2" t="str">
        <f>VLOOKUP(Sales_Details2[[#This Row],[Customer_ID]],Customer_Details[#All],9,0)</f>
        <v>Silver</v>
      </c>
      <c r="H12" s="2" t="s">
        <v>1579</v>
      </c>
      <c r="I12" s="2" t="str">
        <f>VLOOKUP(Sales_Details2[[#This Row],[Product_ID]],Product_details[[#All],[Product_ID]:[Cost]],3,0)</f>
        <v>Sports</v>
      </c>
      <c r="J12" s="2" t="str">
        <f>VLOOKUP(Sales_Details2[[#This Row],[Product_ID]],Product_details[[#All],[Product_ID]:[Cost]],4,0)</f>
        <v>Outdoor</v>
      </c>
      <c r="K12" s="2" t="s">
        <v>1782</v>
      </c>
      <c r="L12" s="2" t="str">
        <f>_xlfn.XLOOKUP(Sales_Details2[[#This Row],[Store_ID]],Table2[Store_ID],Table2[Region],"Region not found")</f>
        <v>South</v>
      </c>
      <c r="M12" s="25">
        <v>1</v>
      </c>
      <c r="N12" s="36">
        <v>278.63</v>
      </c>
      <c r="O12" s="29">
        <v>7.0000000000000007E-2</v>
      </c>
      <c r="P12" s="2" t="s">
        <v>1807</v>
      </c>
      <c r="Q12" s="36">
        <v>259.1259</v>
      </c>
    </row>
    <row r="13" spans="1:17" x14ac:dyDescent="0.3">
      <c r="A13" s="2" t="s">
        <v>1820</v>
      </c>
      <c r="B13" s="14">
        <v>45801</v>
      </c>
      <c r="C13" s="2">
        <f>YEAR(Sales_Details2[[#This Row],[Order_Date]])</f>
        <v>2025</v>
      </c>
      <c r="D13" s="2" t="s">
        <v>998</v>
      </c>
      <c r="E13" s="2" t="str">
        <f>VLOOKUP(Sales_Details2[[#This Row],[Customer_ID]],Customer_Details[#All],4,0)</f>
        <v>Mid-Adult</v>
      </c>
      <c r="F13" s="2" t="str">
        <f>VLOOKUP(Sales_Details2[[#This Row],[Customer_ID]],Customer_Details[#All],5,0)</f>
        <v>Female</v>
      </c>
      <c r="G13" s="2" t="str">
        <f>VLOOKUP(Sales_Details2[[#This Row],[Customer_ID]],Customer_Details[#All],9,0)</f>
        <v>Bronze</v>
      </c>
      <c r="H13" s="2" t="s">
        <v>1609</v>
      </c>
      <c r="I13" s="2" t="str">
        <f>VLOOKUP(Sales_Details2[[#This Row],[Product_ID]],Product_details[[#All],[Product_ID]:[Cost]],3,0)</f>
        <v>Electronics</v>
      </c>
      <c r="J13" s="2" t="str">
        <f>VLOOKUP(Sales_Details2[[#This Row],[Product_ID]],Product_details[[#All],[Product_ID]:[Cost]],4,0)</f>
        <v>Mobile</v>
      </c>
      <c r="K13" s="2" t="s">
        <v>1740</v>
      </c>
      <c r="L13" s="2" t="str">
        <f>_xlfn.XLOOKUP(Sales_Details2[[#This Row],[Store_ID]],Table2[Store_ID],Table2[Region],"Region not found")</f>
        <v>North</v>
      </c>
      <c r="M13" s="25">
        <v>4</v>
      </c>
      <c r="N13" s="36">
        <v>286.92</v>
      </c>
      <c r="O13" s="29">
        <v>0.17</v>
      </c>
      <c r="P13" s="2" t="s">
        <v>1807</v>
      </c>
      <c r="Q13" s="36">
        <v>952.57439999999997</v>
      </c>
    </row>
    <row r="14" spans="1:17" x14ac:dyDescent="0.3">
      <c r="A14" s="2" t="s">
        <v>1821</v>
      </c>
      <c r="B14" s="14">
        <v>45528</v>
      </c>
      <c r="C14" s="2">
        <f>YEAR(Sales_Details2[[#This Row],[Order_Date]])</f>
        <v>2024</v>
      </c>
      <c r="D14" s="2" t="s">
        <v>755</v>
      </c>
      <c r="E14" s="2" t="str">
        <f>VLOOKUP(Sales_Details2[[#This Row],[Customer_ID]],Customer_Details[#All],4,0)</f>
        <v>Mid-Adult</v>
      </c>
      <c r="F14" s="2" t="str">
        <f>VLOOKUP(Sales_Details2[[#This Row],[Customer_ID]],Customer_Details[#All],5,0)</f>
        <v>Female</v>
      </c>
      <c r="G14" s="2" t="str">
        <f>VLOOKUP(Sales_Details2[[#This Row],[Customer_ID]],Customer_Details[#All],9,0)</f>
        <v>Gold</v>
      </c>
      <c r="H14" s="2" t="s">
        <v>1707</v>
      </c>
      <c r="I14" s="2" t="str">
        <f>VLOOKUP(Sales_Details2[[#This Row],[Product_ID]],Product_details[[#All],[Product_ID]:[Cost]],3,0)</f>
        <v>Sports</v>
      </c>
      <c r="J14" s="2" t="str">
        <f>VLOOKUP(Sales_Details2[[#This Row],[Product_ID]],Product_details[[#All],[Product_ID]:[Cost]],4,0)</f>
        <v>Accessories</v>
      </c>
      <c r="K14" s="2" t="s">
        <v>1752</v>
      </c>
      <c r="L14" s="2" t="str">
        <f>_xlfn.XLOOKUP(Sales_Details2[[#This Row],[Store_ID]],Table2[Store_ID],Table2[Region],"Region not found")</f>
        <v>South</v>
      </c>
      <c r="M14" s="25">
        <v>4</v>
      </c>
      <c r="N14" s="36">
        <v>644.58000000000004</v>
      </c>
      <c r="O14" s="29">
        <v>0.01</v>
      </c>
      <c r="P14" s="2" t="s">
        <v>1807</v>
      </c>
      <c r="Q14" s="36">
        <v>2552.5367999999999</v>
      </c>
    </row>
    <row r="15" spans="1:17" x14ac:dyDescent="0.3">
      <c r="A15" s="2" t="s">
        <v>1822</v>
      </c>
      <c r="B15" s="14">
        <v>45875</v>
      </c>
      <c r="C15" s="2">
        <f>YEAR(Sales_Details2[[#This Row],[Order_Date]])</f>
        <v>2025</v>
      </c>
      <c r="D15" s="2" t="s">
        <v>1355</v>
      </c>
      <c r="E15" s="2" t="str">
        <f>VLOOKUP(Sales_Details2[[#This Row],[Customer_ID]],Customer_Details[#All],4,0)</f>
        <v>Senior</v>
      </c>
      <c r="F15" s="2" t="str">
        <f>VLOOKUP(Sales_Details2[[#This Row],[Customer_ID]],Customer_Details[#All],5,0)</f>
        <v>Male</v>
      </c>
      <c r="G15" s="2" t="str">
        <f>VLOOKUP(Sales_Details2[[#This Row],[Customer_ID]],Customer_Details[#All],9,0)</f>
        <v>Silver</v>
      </c>
      <c r="H15" s="2" t="s">
        <v>1599</v>
      </c>
      <c r="I15" s="2" t="str">
        <f>VLOOKUP(Sales_Details2[[#This Row],[Product_ID]],Product_details[[#All],[Product_ID]:[Cost]],3,0)</f>
        <v>Electronics</v>
      </c>
      <c r="J15" s="2" t="str">
        <f>VLOOKUP(Sales_Details2[[#This Row],[Product_ID]],Product_details[[#All],[Product_ID]:[Cost]],4,0)</f>
        <v>Computer</v>
      </c>
      <c r="K15" s="2" t="s">
        <v>1787</v>
      </c>
      <c r="L15" s="2" t="str">
        <f>_xlfn.XLOOKUP(Sales_Details2[[#This Row],[Store_ID]],Table2[Store_ID],Table2[Region],"Region not found")</f>
        <v>West</v>
      </c>
      <c r="M15" s="25">
        <v>2</v>
      </c>
      <c r="N15" s="36">
        <v>316.89999999999998</v>
      </c>
      <c r="O15" s="29">
        <v>0.3</v>
      </c>
      <c r="P15" s="2" t="s">
        <v>1809</v>
      </c>
      <c r="Q15" s="36">
        <v>443.66</v>
      </c>
    </row>
    <row r="16" spans="1:17" x14ac:dyDescent="0.3">
      <c r="A16" s="2" t="s">
        <v>1823</v>
      </c>
      <c r="B16" s="14">
        <v>45829</v>
      </c>
      <c r="C16" s="2">
        <f>YEAR(Sales_Details2[[#This Row],[Order_Date]])</f>
        <v>2025</v>
      </c>
      <c r="D16" s="2" t="s">
        <v>1080</v>
      </c>
      <c r="E16" s="2" t="str">
        <f>VLOOKUP(Sales_Details2[[#This Row],[Customer_ID]],Customer_Details[#All],4,0)</f>
        <v>Senior</v>
      </c>
      <c r="F16" s="2" t="str">
        <f>VLOOKUP(Sales_Details2[[#This Row],[Customer_ID]],Customer_Details[#All],5,0)</f>
        <v>Male</v>
      </c>
      <c r="G16" s="2" t="str">
        <f>VLOOKUP(Sales_Details2[[#This Row],[Customer_ID]],Customer_Details[#All],9,0)</f>
        <v>Silver</v>
      </c>
      <c r="H16" s="2" t="s">
        <v>1579</v>
      </c>
      <c r="I16" s="2" t="str">
        <f>VLOOKUP(Sales_Details2[[#This Row],[Product_ID]],Product_details[[#All],[Product_ID]:[Cost]],3,0)</f>
        <v>Sports</v>
      </c>
      <c r="J16" s="2" t="str">
        <f>VLOOKUP(Sales_Details2[[#This Row],[Product_ID]],Product_details[[#All],[Product_ID]:[Cost]],4,0)</f>
        <v>Outdoor</v>
      </c>
      <c r="K16" s="2" t="s">
        <v>1784</v>
      </c>
      <c r="L16" s="2" t="str">
        <f>_xlfn.XLOOKUP(Sales_Details2[[#This Row],[Store_ID]],Table2[Store_ID],Table2[Region],"Region not found")</f>
        <v>North</v>
      </c>
      <c r="M16" s="25">
        <v>4</v>
      </c>
      <c r="N16" s="36">
        <v>403.47</v>
      </c>
      <c r="O16" s="29">
        <v>0.28999999999999998</v>
      </c>
      <c r="P16" s="2" t="s">
        <v>1809</v>
      </c>
      <c r="Q16" s="36">
        <v>1145.8548000000001</v>
      </c>
    </row>
    <row r="17" spans="1:17" x14ac:dyDescent="0.3">
      <c r="A17" s="2" t="s">
        <v>1824</v>
      </c>
      <c r="B17" s="14">
        <v>45636</v>
      </c>
      <c r="C17" s="2">
        <f>YEAR(Sales_Details2[[#This Row],[Order_Date]])</f>
        <v>2024</v>
      </c>
      <c r="D17" s="2" t="s">
        <v>1333</v>
      </c>
      <c r="E17" s="2" t="str">
        <f>VLOOKUP(Sales_Details2[[#This Row],[Customer_ID]],Customer_Details[#All],4,0)</f>
        <v>Mid-Adult</v>
      </c>
      <c r="F17" s="2" t="str">
        <f>VLOOKUP(Sales_Details2[[#This Row],[Customer_ID]],Customer_Details[#All],5,0)</f>
        <v>Female</v>
      </c>
      <c r="G17" s="2" t="str">
        <f>VLOOKUP(Sales_Details2[[#This Row],[Customer_ID]],Customer_Details[#All],9,0)</f>
        <v>Silver</v>
      </c>
      <c r="H17" s="2" t="s">
        <v>1603</v>
      </c>
      <c r="I17" s="2" t="str">
        <f>VLOOKUP(Sales_Details2[[#This Row],[Product_ID]],Product_details[[#All],[Product_ID]:[Cost]],3,0)</f>
        <v>Clothing</v>
      </c>
      <c r="J17" s="2" t="str">
        <f>VLOOKUP(Sales_Details2[[#This Row],[Product_ID]],Product_details[[#All],[Product_ID]:[Cost]],4,0)</f>
        <v>Tops</v>
      </c>
      <c r="K17" s="2" t="s">
        <v>1769</v>
      </c>
      <c r="L17" s="2" t="str">
        <f>_xlfn.XLOOKUP(Sales_Details2[[#This Row],[Store_ID]],Table2[Store_ID],Table2[Region],"Region not found")</f>
        <v>South</v>
      </c>
      <c r="M17" s="26">
        <f>Sales_Details2[[#This Row],[Total_Amount]]/(Sales_Details2[[#This Row],[Unit_Price]]*(1-Sales_Details2[[#This Row],[Discount]]))</f>
        <v>2.9999999999999996</v>
      </c>
      <c r="N17" s="36">
        <v>871.34</v>
      </c>
      <c r="O17" s="29">
        <v>0.04</v>
      </c>
      <c r="P17" s="2" t="s">
        <v>1812</v>
      </c>
      <c r="Q17" s="36">
        <v>2509.4591999999998</v>
      </c>
    </row>
    <row r="18" spans="1:17" x14ac:dyDescent="0.3">
      <c r="A18" s="2" t="s">
        <v>1825</v>
      </c>
      <c r="B18" s="14">
        <v>45913</v>
      </c>
      <c r="C18" s="2">
        <f>YEAR(Sales_Details2[[#This Row],[Order_Date]])</f>
        <v>2025</v>
      </c>
      <c r="D18" s="2" t="s">
        <v>870</v>
      </c>
      <c r="E18" s="2" t="str">
        <f>VLOOKUP(Sales_Details2[[#This Row],[Customer_ID]],Customer_Details[#All],4,0)</f>
        <v>Mid-Adult</v>
      </c>
      <c r="F18" s="2" t="str">
        <f>VLOOKUP(Sales_Details2[[#This Row],[Customer_ID]],Customer_Details[#All],5,0)</f>
        <v>Male</v>
      </c>
      <c r="G18" s="2" t="str">
        <f>VLOOKUP(Sales_Details2[[#This Row],[Customer_ID]],Customer_Details[#All],9,0)</f>
        <v>Gold</v>
      </c>
      <c r="H18" s="2" t="s">
        <v>1661</v>
      </c>
      <c r="I18" s="2" t="str">
        <f>VLOOKUP(Sales_Details2[[#This Row],[Product_ID]],Product_details[[#All],[Product_ID]:[Cost]],3,0)</f>
        <v>Sports</v>
      </c>
      <c r="J18" s="2" t="str">
        <f>VLOOKUP(Sales_Details2[[#This Row],[Product_ID]],Product_details[[#All],[Product_ID]:[Cost]],4,0)</f>
        <v>Fitness</v>
      </c>
      <c r="K18" s="2" t="s">
        <v>1796</v>
      </c>
      <c r="L18" s="2" t="str">
        <f>_xlfn.XLOOKUP(Sales_Details2[[#This Row],[Store_ID]],Table2[Store_ID],Table2[Region],"Region not found")</f>
        <v>East</v>
      </c>
      <c r="M18" s="25">
        <v>2</v>
      </c>
      <c r="N18" s="36">
        <v>451.98</v>
      </c>
      <c r="O18" s="29">
        <v>0.25</v>
      </c>
      <c r="P18" s="2" t="s">
        <v>1807</v>
      </c>
      <c r="Q18" s="36">
        <v>677.97</v>
      </c>
    </row>
    <row r="19" spans="1:17" x14ac:dyDescent="0.3">
      <c r="A19" s="2" t="s">
        <v>1826</v>
      </c>
      <c r="B19" s="14">
        <v>45637</v>
      </c>
      <c r="C19" s="2">
        <f>YEAR(Sales_Details2[[#This Row],[Order_Date]])</f>
        <v>2024</v>
      </c>
      <c r="D19" s="2" t="s">
        <v>285</v>
      </c>
      <c r="E19" s="2" t="str">
        <f>VLOOKUP(Sales_Details2[[#This Row],[Customer_ID]],Customer_Details[#All],4,0)</f>
        <v>Adult</v>
      </c>
      <c r="F19" s="2" t="str">
        <f>VLOOKUP(Sales_Details2[[#This Row],[Customer_ID]],Customer_Details[#All],5,0)</f>
        <v>Female</v>
      </c>
      <c r="G19" s="2" t="str">
        <f>VLOOKUP(Sales_Details2[[#This Row],[Customer_ID]],Customer_Details[#All],9,0)</f>
        <v>Platinum</v>
      </c>
      <c r="H19" s="2" t="s">
        <v>1585</v>
      </c>
      <c r="I19" s="2" t="str">
        <f>VLOOKUP(Sales_Details2[[#This Row],[Product_ID]],Product_details[[#All],[Product_ID]:[Cost]],3,0)</f>
        <v>Home</v>
      </c>
      <c r="J19" s="2" t="str">
        <f>VLOOKUP(Sales_Details2[[#This Row],[Product_ID]],Product_details[[#All],[Product_ID]:[Cost]],4,0)</f>
        <v>Decor</v>
      </c>
      <c r="K19" s="2" t="s">
        <v>1752</v>
      </c>
      <c r="L19" s="2" t="str">
        <f>_xlfn.XLOOKUP(Sales_Details2[[#This Row],[Store_ID]],Table2[Store_ID],Table2[Region],"Region not found")</f>
        <v>South</v>
      </c>
      <c r="M19" s="25">
        <v>2</v>
      </c>
      <c r="N19" s="36">
        <v>502.69</v>
      </c>
      <c r="O19" s="29">
        <v>0.23</v>
      </c>
      <c r="P19" s="2" t="s">
        <v>1807</v>
      </c>
      <c r="Q19" s="36">
        <v>774.14260000000002</v>
      </c>
    </row>
    <row r="20" spans="1:17" x14ac:dyDescent="0.3">
      <c r="A20" s="2" t="s">
        <v>1827</v>
      </c>
      <c r="B20" s="14">
        <v>45517</v>
      </c>
      <c r="C20" s="2">
        <f>YEAR(Sales_Details2[[#This Row],[Order_Date]])</f>
        <v>2024</v>
      </c>
      <c r="D20" s="2" t="s">
        <v>333</v>
      </c>
      <c r="E20" s="2" t="str">
        <f>VLOOKUP(Sales_Details2[[#This Row],[Customer_ID]],Customer_Details[#All],4,0)</f>
        <v>Mid-Adult</v>
      </c>
      <c r="F20" s="2" t="str">
        <f>VLOOKUP(Sales_Details2[[#This Row],[Customer_ID]],Customer_Details[#All],5,0)</f>
        <v>Female</v>
      </c>
      <c r="G20" s="2" t="str">
        <f>VLOOKUP(Sales_Details2[[#This Row],[Customer_ID]],Customer_Details[#All],9,0)</f>
        <v>Gold</v>
      </c>
      <c r="H20" s="2" t="s">
        <v>1609</v>
      </c>
      <c r="I20" s="2" t="str">
        <f>VLOOKUP(Sales_Details2[[#This Row],[Product_ID]],Product_details[[#All],[Product_ID]:[Cost]],3,0)</f>
        <v>Electronics</v>
      </c>
      <c r="J20" s="2" t="str">
        <f>VLOOKUP(Sales_Details2[[#This Row],[Product_ID]],Product_details[[#All],[Product_ID]:[Cost]],4,0)</f>
        <v>Mobile</v>
      </c>
      <c r="K20" s="2" t="s">
        <v>1752</v>
      </c>
      <c r="L20" s="2" t="str">
        <f>_xlfn.XLOOKUP(Sales_Details2[[#This Row],[Store_ID]],Table2[Store_ID],Table2[Region],"Region not found")</f>
        <v>South</v>
      </c>
      <c r="M20" s="25">
        <v>2</v>
      </c>
      <c r="N20" s="36">
        <v>559.23</v>
      </c>
      <c r="O20" s="29">
        <v>0.25</v>
      </c>
      <c r="P20" s="2" t="s">
        <v>1812</v>
      </c>
      <c r="Q20" s="36">
        <v>838.84500000000003</v>
      </c>
    </row>
    <row r="21" spans="1:17" x14ac:dyDescent="0.3">
      <c r="A21" s="2" t="s">
        <v>1828</v>
      </c>
      <c r="B21" s="14">
        <v>45369</v>
      </c>
      <c r="C21" s="2">
        <f>YEAR(Sales_Details2[[#This Row],[Order_Date]])</f>
        <v>2024</v>
      </c>
      <c r="D21" s="2" t="s">
        <v>761</v>
      </c>
      <c r="E21" s="2" t="str">
        <f>VLOOKUP(Sales_Details2[[#This Row],[Customer_ID]],Customer_Details[#All],4,0)</f>
        <v>Senior</v>
      </c>
      <c r="F21" s="2" t="str">
        <f>VLOOKUP(Sales_Details2[[#This Row],[Customer_ID]],Customer_Details[#All],5,0)</f>
        <v>Female</v>
      </c>
      <c r="G21" s="2" t="str">
        <f>VLOOKUP(Sales_Details2[[#This Row],[Customer_ID]],Customer_Details[#All],9,0)</f>
        <v>Platinum</v>
      </c>
      <c r="H21" s="2" t="s">
        <v>1651</v>
      </c>
      <c r="I21" s="2" t="str">
        <f>VLOOKUP(Sales_Details2[[#This Row],[Product_ID]],Product_details[[#All],[Product_ID]:[Cost]],3,0)</f>
        <v>Beauty</v>
      </c>
      <c r="J21" s="2" t="str">
        <f>VLOOKUP(Sales_Details2[[#This Row],[Product_ID]],Product_details[[#All],[Product_ID]:[Cost]],4,0)</f>
        <v>Fragrance</v>
      </c>
      <c r="K21" s="2" t="s">
        <v>1780</v>
      </c>
      <c r="L21" s="2" t="str">
        <f>_xlfn.XLOOKUP(Sales_Details2[[#This Row],[Store_ID]],Table2[Store_ID],Table2[Region],"Region not found")</f>
        <v>East</v>
      </c>
      <c r="M21" s="25">
        <v>4</v>
      </c>
      <c r="N21" s="37">
        <v>464.18</v>
      </c>
      <c r="O21" s="29">
        <v>0.04</v>
      </c>
      <c r="P21" s="2" t="s">
        <v>1812</v>
      </c>
      <c r="Q21" s="36">
        <v>1782.4512</v>
      </c>
    </row>
    <row r="22" spans="1:17" x14ac:dyDescent="0.3">
      <c r="A22" s="2" t="s">
        <v>1829</v>
      </c>
      <c r="B22" s="14">
        <v>45843</v>
      </c>
      <c r="C22" s="2">
        <f>YEAR(Sales_Details2[[#This Row],[Order_Date]])</f>
        <v>2025</v>
      </c>
      <c r="D22" s="2" t="s">
        <v>482</v>
      </c>
      <c r="E22" s="2" t="str">
        <f>VLOOKUP(Sales_Details2[[#This Row],[Customer_ID]],Customer_Details[#All],4,0)</f>
        <v>Senior</v>
      </c>
      <c r="F22" s="2" t="str">
        <f>VLOOKUP(Sales_Details2[[#This Row],[Customer_ID]],Customer_Details[#All],5,0)</f>
        <v>Female</v>
      </c>
      <c r="G22" s="2" t="str">
        <f>VLOOKUP(Sales_Details2[[#This Row],[Customer_ID]],Customer_Details[#All],9,0)</f>
        <v>Bronze</v>
      </c>
      <c r="H22" s="2" t="s">
        <v>1675</v>
      </c>
      <c r="I22" s="2" t="str">
        <f>VLOOKUP(Sales_Details2[[#This Row],[Product_ID]],Product_details[[#All],[Product_ID]:[Cost]],3,0)</f>
        <v>Sports</v>
      </c>
      <c r="J22" s="2" t="str">
        <f>VLOOKUP(Sales_Details2[[#This Row],[Product_ID]],Product_details[[#All],[Product_ID]:[Cost]],4,0)</f>
        <v>Fitness</v>
      </c>
      <c r="K22" s="2" t="s">
        <v>1790</v>
      </c>
      <c r="L22" s="2" t="str">
        <f>_xlfn.XLOOKUP(Sales_Details2[[#This Row],[Store_ID]],Table2[Store_ID],Table2[Region],"Region not found")</f>
        <v>North</v>
      </c>
      <c r="M22" s="25">
        <v>3</v>
      </c>
      <c r="N22" s="36">
        <v>986.04</v>
      </c>
      <c r="O22" s="29">
        <v>0.27</v>
      </c>
      <c r="P22" s="2" t="s">
        <v>1812</v>
      </c>
      <c r="Q22" s="36">
        <v>2159.4276</v>
      </c>
    </row>
    <row r="23" spans="1:17" x14ac:dyDescent="0.3">
      <c r="A23" s="2" t="s">
        <v>1830</v>
      </c>
      <c r="B23" s="14">
        <v>45447</v>
      </c>
      <c r="C23" s="2">
        <f>YEAR(Sales_Details2[[#This Row],[Order_Date]])</f>
        <v>2024</v>
      </c>
      <c r="D23" s="2" t="s">
        <v>1222</v>
      </c>
      <c r="E23" s="2" t="str">
        <f>VLOOKUP(Sales_Details2[[#This Row],[Customer_ID]],Customer_Details[#All],4,0)</f>
        <v>Adult</v>
      </c>
      <c r="F23" s="2" t="str">
        <f>VLOOKUP(Sales_Details2[[#This Row],[Customer_ID]],Customer_Details[#All],5,0)</f>
        <v>Female</v>
      </c>
      <c r="G23" s="2" t="str">
        <f>VLOOKUP(Sales_Details2[[#This Row],[Customer_ID]],Customer_Details[#All],9,0)</f>
        <v>Silver</v>
      </c>
      <c r="H23" s="2" t="s">
        <v>1617</v>
      </c>
      <c r="I23" s="2" t="str">
        <f>VLOOKUP(Sales_Details2[[#This Row],[Product_ID]],Product_details[[#All],[Product_ID]:[Cost]],3,0)</f>
        <v>Electronics</v>
      </c>
      <c r="J23" s="2" t="str">
        <f>VLOOKUP(Sales_Details2[[#This Row],[Product_ID]],Product_details[[#All],[Product_ID]:[Cost]],4,0)</f>
        <v>Computer</v>
      </c>
      <c r="K23" s="2" t="s">
        <v>1793</v>
      </c>
      <c r="L23" s="2" t="str">
        <f>_xlfn.XLOOKUP(Sales_Details2[[#This Row],[Store_ID]],Table2[Store_ID],Table2[Region],"Region not found")</f>
        <v>East</v>
      </c>
      <c r="M23" s="25">
        <v>1</v>
      </c>
      <c r="N23" s="36">
        <v>589.55999999999995</v>
      </c>
      <c r="O23" s="29">
        <v>0.22</v>
      </c>
      <c r="P23" s="2" t="s">
        <v>1807</v>
      </c>
      <c r="Q23" s="36">
        <v>459.85680000000002</v>
      </c>
    </row>
    <row r="24" spans="1:17" x14ac:dyDescent="0.3">
      <c r="A24" s="2" t="s">
        <v>1831</v>
      </c>
      <c r="B24" s="14">
        <v>45394</v>
      </c>
      <c r="C24" s="2">
        <f>YEAR(Sales_Details2[[#This Row],[Order_Date]])</f>
        <v>2024</v>
      </c>
      <c r="D24" s="2" t="s">
        <v>1450</v>
      </c>
      <c r="E24" s="2" t="str">
        <f>VLOOKUP(Sales_Details2[[#This Row],[Customer_ID]],Customer_Details[#All],4,0)</f>
        <v>Mid-Adult</v>
      </c>
      <c r="F24" s="2" t="str">
        <f>VLOOKUP(Sales_Details2[[#This Row],[Customer_ID]],Customer_Details[#All],5,0)</f>
        <v>Female</v>
      </c>
      <c r="G24" s="2" t="str">
        <f>VLOOKUP(Sales_Details2[[#This Row],[Customer_ID]],Customer_Details[#All],9,0)</f>
        <v>Gold</v>
      </c>
      <c r="H24" s="2" t="s">
        <v>1669</v>
      </c>
      <c r="I24" s="2" t="str">
        <f>VLOOKUP(Sales_Details2[[#This Row],[Product_ID]],Product_details[[#All],[Product_ID]:[Cost]],3,0)</f>
        <v>Clothing</v>
      </c>
      <c r="J24" s="2" t="str">
        <f>VLOOKUP(Sales_Details2[[#This Row],[Product_ID]],Product_details[[#All],[Product_ID]:[Cost]],4,0)</f>
        <v>Bottoms</v>
      </c>
      <c r="K24" s="2" t="s">
        <v>1772</v>
      </c>
      <c r="L24" s="2" t="str">
        <f>_xlfn.XLOOKUP(Sales_Details2[[#This Row],[Store_ID]],Table2[Store_ID],Table2[Region],"Region not found")</f>
        <v>East</v>
      </c>
      <c r="M24" s="25">
        <v>3</v>
      </c>
      <c r="N24" s="36">
        <v>979.42</v>
      </c>
      <c r="O24" s="29">
        <v>0.03</v>
      </c>
      <c r="P24" s="2" t="s">
        <v>1809</v>
      </c>
      <c r="Q24" s="36">
        <v>2850.1122</v>
      </c>
    </row>
    <row r="25" spans="1:17" x14ac:dyDescent="0.3">
      <c r="A25" s="2" t="s">
        <v>1832</v>
      </c>
      <c r="B25" s="14">
        <v>45466</v>
      </c>
      <c r="C25" s="2">
        <f>YEAR(Sales_Details2[[#This Row],[Order_Date]])</f>
        <v>2024</v>
      </c>
      <c r="D25" s="2" t="s">
        <v>1138</v>
      </c>
      <c r="E25" s="2" t="str">
        <f>VLOOKUP(Sales_Details2[[#This Row],[Customer_ID]],Customer_Details[#All],4,0)</f>
        <v>Mid-Adult</v>
      </c>
      <c r="F25" s="2" t="str">
        <f>VLOOKUP(Sales_Details2[[#This Row],[Customer_ID]],Customer_Details[#All],5,0)</f>
        <v>Female</v>
      </c>
      <c r="G25" s="2" t="str">
        <f>VLOOKUP(Sales_Details2[[#This Row],[Customer_ID]],Customer_Details[#All],9,0)</f>
        <v>Platinum</v>
      </c>
      <c r="H25" s="2" t="s">
        <v>1555</v>
      </c>
      <c r="I25" s="2" t="str">
        <f>VLOOKUP(Sales_Details2[[#This Row],[Product_ID]],Product_details[[#All],[Product_ID]:[Cost]],3,0)</f>
        <v>Beauty</v>
      </c>
      <c r="J25" s="2" t="str">
        <f>VLOOKUP(Sales_Details2[[#This Row],[Product_ID]],Product_details[[#All],[Product_ID]:[Cost]],4,0)</f>
        <v>Haircare</v>
      </c>
      <c r="K25" s="2" t="s">
        <v>1765</v>
      </c>
      <c r="L25" s="2" t="str">
        <f>_xlfn.XLOOKUP(Sales_Details2[[#This Row],[Store_ID]],Table2[Store_ID],Table2[Region],"Region not found")</f>
        <v>West</v>
      </c>
      <c r="M25" s="25">
        <v>1</v>
      </c>
      <c r="N25" s="36">
        <v>719.28</v>
      </c>
      <c r="O25" s="29">
        <v>0.08</v>
      </c>
      <c r="P25" s="2" t="s">
        <v>1807</v>
      </c>
      <c r="Q25" s="36">
        <v>661.73760000000004</v>
      </c>
    </row>
    <row r="26" spans="1:17" x14ac:dyDescent="0.3">
      <c r="A26" s="2" t="s">
        <v>1833</v>
      </c>
      <c r="B26" s="14">
        <v>45908</v>
      </c>
      <c r="C26" s="2">
        <f>YEAR(Sales_Details2[[#This Row],[Order_Date]])</f>
        <v>2025</v>
      </c>
      <c r="D26" s="2" t="s">
        <v>607</v>
      </c>
      <c r="E26" s="2" t="str">
        <f>VLOOKUP(Sales_Details2[[#This Row],[Customer_ID]],Customer_Details[#All],4,0)</f>
        <v>Senior</v>
      </c>
      <c r="F26" s="2" t="str">
        <f>VLOOKUP(Sales_Details2[[#This Row],[Customer_ID]],Customer_Details[#All],5,0)</f>
        <v>Male</v>
      </c>
      <c r="G26" s="2" t="str">
        <f>VLOOKUP(Sales_Details2[[#This Row],[Customer_ID]],Customer_Details[#All],9,0)</f>
        <v>Silver</v>
      </c>
      <c r="H26" s="2" t="s">
        <v>1665</v>
      </c>
      <c r="I26" s="2" t="str">
        <f>VLOOKUP(Sales_Details2[[#This Row],[Product_ID]],Product_details[[#All],[Product_ID]:[Cost]],3,0)</f>
        <v>Electronics</v>
      </c>
      <c r="J26" s="2" t="str">
        <f>VLOOKUP(Sales_Details2[[#This Row],[Product_ID]],Product_details[[#All],[Product_ID]:[Cost]],4,0)</f>
        <v>Accessories</v>
      </c>
      <c r="K26" s="2" t="s">
        <v>1759</v>
      </c>
      <c r="L26" s="2" t="str">
        <f>_xlfn.XLOOKUP(Sales_Details2[[#This Row],[Store_ID]],Table2[Store_ID],Table2[Region],"Region not found")</f>
        <v>East</v>
      </c>
      <c r="M26" s="25">
        <v>3</v>
      </c>
      <c r="N26" s="36">
        <v>77.599999999999994</v>
      </c>
      <c r="O26" s="29">
        <v>7.0000000000000007E-2</v>
      </c>
      <c r="P26" s="2" t="s">
        <v>1807</v>
      </c>
      <c r="Q26" s="36">
        <v>216.50399999999999</v>
      </c>
    </row>
    <row r="27" spans="1:17" x14ac:dyDescent="0.3">
      <c r="A27" s="2" t="s">
        <v>1834</v>
      </c>
      <c r="B27" s="14">
        <v>45552</v>
      </c>
      <c r="C27" s="2">
        <f>YEAR(Sales_Details2[[#This Row],[Order_Date]])</f>
        <v>2024</v>
      </c>
      <c r="D27" s="2" t="s">
        <v>1177</v>
      </c>
      <c r="E27" s="2" t="str">
        <f>VLOOKUP(Sales_Details2[[#This Row],[Customer_ID]],Customer_Details[#All],4,0)</f>
        <v>Mid-Adult</v>
      </c>
      <c r="F27" s="2" t="str">
        <f>VLOOKUP(Sales_Details2[[#This Row],[Customer_ID]],Customer_Details[#All],5,0)</f>
        <v>Male</v>
      </c>
      <c r="G27" s="2" t="str">
        <f>VLOOKUP(Sales_Details2[[#This Row],[Customer_ID]],Customer_Details[#All],9,0)</f>
        <v>Silver</v>
      </c>
      <c r="H27" s="2" t="s">
        <v>1538</v>
      </c>
      <c r="I27" s="2" t="str">
        <f>VLOOKUP(Sales_Details2[[#This Row],[Product_ID]],Product_details[[#All],[Product_ID]:[Cost]],3,0)</f>
        <v>Clothing</v>
      </c>
      <c r="J27" s="2" t="str">
        <f>VLOOKUP(Sales_Details2[[#This Row],[Product_ID]],Product_details[[#All],[Product_ID]:[Cost]],4,0)</f>
        <v>Accessories</v>
      </c>
      <c r="K27" s="2" t="s">
        <v>1749</v>
      </c>
      <c r="L27" s="2" t="str">
        <f>_xlfn.XLOOKUP(Sales_Details2[[#This Row],[Store_ID]],Table2[Store_ID],Table2[Region],"Region not found")</f>
        <v>North</v>
      </c>
      <c r="M27" s="25">
        <v>4</v>
      </c>
      <c r="N27" s="36">
        <v>852.71</v>
      </c>
      <c r="O27" s="29">
        <v>0.14000000000000001</v>
      </c>
      <c r="P27" s="2" t="s">
        <v>1809</v>
      </c>
      <c r="Q27" s="36">
        <v>2933.3224</v>
      </c>
    </row>
    <row r="28" spans="1:17" x14ac:dyDescent="0.3">
      <c r="A28" s="2" t="s">
        <v>1835</v>
      </c>
      <c r="B28" s="14">
        <v>45294</v>
      </c>
      <c r="C28" s="2">
        <f>YEAR(Sales_Details2[[#This Row],[Order_Date]])</f>
        <v>2024</v>
      </c>
      <c r="D28" s="2" t="s">
        <v>687</v>
      </c>
      <c r="E28" s="2" t="str">
        <f>VLOOKUP(Sales_Details2[[#This Row],[Customer_ID]],Customer_Details[#All],4,0)</f>
        <v>Mid-Adult</v>
      </c>
      <c r="F28" s="2" t="str">
        <f>VLOOKUP(Sales_Details2[[#This Row],[Customer_ID]],Customer_Details[#All],5,0)</f>
        <v>Female</v>
      </c>
      <c r="G28" s="2" t="str">
        <f>VLOOKUP(Sales_Details2[[#This Row],[Customer_ID]],Customer_Details[#All],9,0)</f>
        <v>Platinum</v>
      </c>
      <c r="H28" s="2" t="s">
        <v>1727</v>
      </c>
      <c r="I28" s="2" t="str">
        <f>VLOOKUP(Sales_Details2[[#This Row],[Product_ID]],Product_details[[#All],[Product_ID]:[Cost]],3,0)</f>
        <v>Electronics</v>
      </c>
      <c r="J28" s="2" t="str">
        <f>VLOOKUP(Sales_Details2[[#This Row],[Product_ID]],Product_details[[#All],[Product_ID]:[Cost]],4,0)</f>
        <v>Audio</v>
      </c>
      <c r="K28" s="2" t="s">
        <v>1765</v>
      </c>
      <c r="L28" s="2" t="str">
        <f>_xlfn.XLOOKUP(Sales_Details2[[#This Row],[Store_ID]],Table2[Store_ID],Table2[Region],"Region not found")</f>
        <v>West</v>
      </c>
      <c r="M28" s="25">
        <v>4</v>
      </c>
      <c r="N28" s="36">
        <v>156.16</v>
      </c>
      <c r="O28" s="30">
        <f>(1-Sales_Details2[[#This Row],[Total_Amount]]/(Sales_Details2[[#This Row],[Quantity]]*Sales_Details2[[#This Row],[Unit_Price]]))</f>
        <v>3.9999999999999925E-2</v>
      </c>
      <c r="P28" s="2" t="s">
        <v>1807</v>
      </c>
      <c r="Q28" s="36">
        <v>599.65440000000001</v>
      </c>
    </row>
    <row r="29" spans="1:17" x14ac:dyDescent="0.3">
      <c r="A29" s="2" t="s">
        <v>1836</v>
      </c>
      <c r="B29" s="14">
        <v>45710</v>
      </c>
      <c r="C29" s="2">
        <f>YEAR(Sales_Details2[[#This Row],[Order_Date]])</f>
        <v>2025</v>
      </c>
      <c r="D29" s="2" t="s">
        <v>648</v>
      </c>
      <c r="E29" s="2" t="str">
        <f>VLOOKUP(Sales_Details2[[#This Row],[Customer_ID]],Customer_Details[#All],4,0)</f>
        <v>Adult</v>
      </c>
      <c r="F29" s="2" t="str">
        <f>VLOOKUP(Sales_Details2[[#This Row],[Customer_ID]],Customer_Details[#All],5,0)</f>
        <v>Male</v>
      </c>
      <c r="G29" s="2" t="str">
        <f>VLOOKUP(Sales_Details2[[#This Row],[Customer_ID]],Customer_Details[#All],9,0)</f>
        <v>Platinum</v>
      </c>
      <c r="H29" s="2" t="s">
        <v>1685</v>
      </c>
      <c r="I29" s="2" t="str">
        <f>VLOOKUP(Sales_Details2[[#This Row],[Product_ID]],Product_details[[#All],[Product_ID]:[Cost]],3,0)</f>
        <v>Electronics</v>
      </c>
      <c r="J29" s="2" t="str">
        <f>VLOOKUP(Sales_Details2[[#This Row],[Product_ID]],Product_details[[#All],[Product_ID]:[Cost]],4,0)</f>
        <v>Appliances</v>
      </c>
      <c r="K29" s="2" t="s">
        <v>1765</v>
      </c>
      <c r="L29" s="2" t="str">
        <f>_xlfn.XLOOKUP(Sales_Details2[[#This Row],[Store_ID]],Table2[Store_ID],Table2[Region],"Region not found")</f>
        <v>West</v>
      </c>
      <c r="M29" s="25">
        <v>3</v>
      </c>
      <c r="N29" s="36">
        <v>815.49</v>
      </c>
      <c r="O29" s="29">
        <v>0.17</v>
      </c>
      <c r="P29" s="2" t="s">
        <v>1807</v>
      </c>
      <c r="Q29" s="36">
        <v>2030.5700999999999</v>
      </c>
    </row>
    <row r="30" spans="1:17" x14ac:dyDescent="0.3">
      <c r="A30" s="2" t="s">
        <v>1837</v>
      </c>
      <c r="B30" s="14">
        <v>45923</v>
      </c>
      <c r="C30" s="2">
        <f>YEAR(Sales_Details2[[#This Row],[Order_Date]])</f>
        <v>2025</v>
      </c>
      <c r="D30" s="2" t="s">
        <v>494</v>
      </c>
      <c r="E30" s="2" t="str">
        <f>VLOOKUP(Sales_Details2[[#This Row],[Customer_ID]],Customer_Details[#All],4,0)</f>
        <v>Mid-Adult</v>
      </c>
      <c r="F30" s="2" t="str">
        <f>VLOOKUP(Sales_Details2[[#This Row],[Customer_ID]],Customer_Details[#All],5,0)</f>
        <v>Female</v>
      </c>
      <c r="G30" s="2" t="str">
        <f>VLOOKUP(Sales_Details2[[#This Row],[Customer_ID]],Customer_Details[#All],9,0)</f>
        <v>Bronze</v>
      </c>
      <c r="H30" s="2" t="s">
        <v>1557</v>
      </c>
      <c r="I30" s="2" t="str">
        <f>VLOOKUP(Sales_Details2[[#This Row],[Product_ID]],Product_details[[#All],[Product_ID]:[Cost]],3,0)</f>
        <v>Electronics</v>
      </c>
      <c r="J30" s="2" t="str">
        <f>VLOOKUP(Sales_Details2[[#This Row],[Product_ID]],Product_details[[#All],[Product_ID]:[Cost]],4,0)</f>
        <v>Accessories</v>
      </c>
      <c r="K30" s="2" t="s">
        <v>1744</v>
      </c>
      <c r="L30" s="2" t="str">
        <f>_xlfn.XLOOKUP(Sales_Details2[[#This Row],[Store_ID]],Table2[Store_ID],Table2[Region],"Region not found")</f>
        <v>South</v>
      </c>
      <c r="M30" s="25">
        <v>2</v>
      </c>
      <c r="N30" s="36">
        <v>74.209999999999994</v>
      </c>
      <c r="O30" s="29">
        <v>0.11</v>
      </c>
      <c r="P30" s="2" t="s">
        <v>1809</v>
      </c>
      <c r="Q30" s="36">
        <v>132.09379999999999</v>
      </c>
    </row>
    <row r="31" spans="1:17" x14ac:dyDescent="0.3">
      <c r="A31" s="2" t="s">
        <v>1838</v>
      </c>
      <c r="B31" s="14">
        <v>45302</v>
      </c>
      <c r="C31" s="2">
        <f>YEAR(Sales_Details2[[#This Row],[Order_Date]])</f>
        <v>2024</v>
      </c>
      <c r="D31" s="2" t="s">
        <v>1080</v>
      </c>
      <c r="E31" s="2" t="str">
        <f>VLOOKUP(Sales_Details2[[#This Row],[Customer_ID]],Customer_Details[#All],4,0)</f>
        <v>Senior</v>
      </c>
      <c r="F31" s="2" t="str">
        <f>VLOOKUP(Sales_Details2[[#This Row],[Customer_ID]],Customer_Details[#All],5,0)</f>
        <v>Male</v>
      </c>
      <c r="G31" s="2" t="str">
        <f>VLOOKUP(Sales_Details2[[#This Row],[Customer_ID]],Customer_Details[#All],9,0)</f>
        <v>Silver</v>
      </c>
      <c r="H31" s="2" t="s">
        <v>1729</v>
      </c>
      <c r="I31" s="2" t="str">
        <f>VLOOKUP(Sales_Details2[[#This Row],[Product_ID]],Product_details[[#All],[Product_ID]:[Cost]],3,0)</f>
        <v>Home</v>
      </c>
      <c r="J31" s="2" t="str">
        <f>VLOOKUP(Sales_Details2[[#This Row],[Product_ID]],Product_details[[#All],[Product_ID]:[Cost]],4,0)</f>
        <v>Kitchen</v>
      </c>
      <c r="K31" s="2" t="s">
        <v>1749</v>
      </c>
      <c r="L31" s="2" t="str">
        <f>_xlfn.XLOOKUP(Sales_Details2[[#This Row],[Store_ID]],Table2[Store_ID],Table2[Region],"Region not found")</f>
        <v>North</v>
      </c>
      <c r="M31" s="26">
        <f>Sales_Details2[[#This Row],[Total_Amount]]/(Sales_Details2[[#This Row],[Unit_Price]]*(1-Sales_Details2[[#This Row],[Discount]]))</f>
        <v>4</v>
      </c>
      <c r="N31" s="36">
        <v>451.67</v>
      </c>
      <c r="O31" s="29">
        <v>0.15</v>
      </c>
      <c r="P31" s="2" t="s">
        <v>1807</v>
      </c>
      <c r="Q31" s="36">
        <v>1535.6780000000001</v>
      </c>
    </row>
    <row r="32" spans="1:17" x14ac:dyDescent="0.3">
      <c r="A32" s="2" t="s">
        <v>1839</v>
      </c>
      <c r="B32" s="14">
        <v>45217</v>
      </c>
      <c r="C32" s="2">
        <f>YEAR(Sales_Details2[[#This Row],[Order_Date]])</f>
        <v>2023</v>
      </c>
      <c r="D32" s="2" t="s">
        <v>118</v>
      </c>
      <c r="E32" s="2" t="str">
        <f>VLOOKUP(Sales_Details2[[#This Row],[Customer_ID]],Customer_Details[#All],4,0)</f>
        <v>Adult</v>
      </c>
      <c r="F32" s="2" t="str">
        <f>VLOOKUP(Sales_Details2[[#This Row],[Customer_ID]],Customer_Details[#All],5,0)</f>
        <v>Female</v>
      </c>
      <c r="G32" s="2" t="str">
        <f>VLOOKUP(Sales_Details2[[#This Row],[Customer_ID]],Customer_Details[#All],9,0)</f>
        <v>Platinum</v>
      </c>
      <c r="H32" s="2" t="s">
        <v>1538</v>
      </c>
      <c r="I32" s="2" t="str">
        <f>VLOOKUP(Sales_Details2[[#This Row],[Product_ID]],Product_details[[#All],[Product_ID]:[Cost]],3,0)</f>
        <v>Clothing</v>
      </c>
      <c r="J32" s="2" t="str">
        <f>VLOOKUP(Sales_Details2[[#This Row],[Product_ID]],Product_details[[#All],[Product_ID]:[Cost]],4,0)</f>
        <v>Accessories</v>
      </c>
      <c r="K32" s="2" t="s">
        <v>1796</v>
      </c>
      <c r="L32" s="2" t="str">
        <f>_xlfn.XLOOKUP(Sales_Details2[[#This Row],[Store_ID]],Table2[Store_ID],Table2[Region],"Region not found")</f>
        <v>East</v>
      </c>
      <c r="M32" s="25">
        <v>1</v>
      </c>
      <c r="N32" s="36">
        <v>429.38</v>
      </c>
      <c r="O32" s="29">
        <v>0.13</v>
      </c>
      <c r="P32" s="2" t="s">
        <v>1809</v>
      </c>
      <c r="Q32" s="36">
        <v>373.56060000000002</v>
      </c>
    </row>
    <row r="33" spans="1:17" x14ac:dyDescent="0.3">
      <c r="A33" s="2" t="s">
        <v>1840</v>
      </c>
      <c r="B33" s="14">
        <v>45593</v>
      </c>
      <c r="C33" s="2">
        <f>YEAR(Sales_Details2[[#This Row],[Order_Date]])</f>
        <v>2024</v>
      </c>
      <c r="D33" s="2" t="s">
        <v>1267</v>
      </c>
      <c r="E33" s="2" t="str">
        <f>VLOOKUP(Sales_Details2[[#This Row],[Customer_ID]],Customer_Details[#All],4,0)</f>
        <v>Adult</v>
      </c>
      <c r="F33" s="2" t="str">
        <f>VLOOKUP(Sales_Details2[[#This Row],[Customer_ID]],Customer_Details[#All],5,0)</f>
        <v>Female</v>
      </c>
      <c r="G33" s="2" t="str">
        <f>VLOOKUP(Sales_Details2[[#This Row],[Customer_ID]],Customer_Details[#All],9,0)</f>
        <v>Gold</v>
      </c>
      <c r="H33" s="2" t="s">
        <v>1637</v>
      </c>
      <c r="I33" s="2" t="str">
        <f>VLOOKUP(Sales_Details2[[#This Row],[Product_ID]],Product_details[[#All],[Product_ID]:[Cost]],3,0)</f>
        <v>Clothing</v>
      </c>
      <c r="J33" s="2" t="str">
        <f>VLOOKUP(Sales_Details2[[#This Row],[Product_ID]],Product_details[[#All],[Product_ID]:[Cost]],4,0)</f>
        <v>Bottoms</v>
      </c>
      <c r="K33" s="2" t="s">
        <v>1777</v>
      </c>
      <c r="L33" s="2" t="str">
        <f>_xlfn.XLOOKUP(Sales_Details2[[#This Row],[Store_ID]],Table2[Store_ID],Table2[Region],"Region not found")</f>
        <v>North</v>
      </c>
      <c r="M33" s="25">
        <v>2</v>
      </c>
      <c r="N33" s="36">
        <v>148.96</v>
      </c>
      <c r="O33" s="29">
        <v>0.03</v>
      </c>
      <c r="P33" s="2" t="s">
        <v>1812</v>
      </c>
      <c r="Q33" s="36">
        <v>288.98239999999998</v>
      </c>
    </row>
    <row r="34" spans="1:17" x14ac:dyDescent="0.3">
      <c r="A34" s="2" t="s">
        <v>1841</v>
      </c>
      <c r="B34" s="14">
        <v>45597</v>
      </c>
      <c r="C34" s="2">
        <f>YEAR(Sales_Details2[[#This Row],[Order_Date]])</f>
        <v>2024</v>
      </c>
      <c r="D34" s="2" t="s">
        <v>1226</v>
      </c>
      <c r="E34" s="2" t="str">
        <f>VLOOKUP(Sales_Details2[[#This Row],[Customer_ID]],Customer_Details[#All],4,0)</f>
        <v>Senior</v>
      </c>
      <c r="F34" s="2" t="str">
        <f>VLOOKUP(Sales_Details2[[#This Row],[Customer_ID]],Customer_Details[#All],5,0)</f>
        <v>Male</v>
      </c>
      <c r="G34" s="2" t="str">
        <f>VLOOKUP(Sales_Details2[[#This Row],[Customer_ID]],Customer_Details[#All],9,0)</f>
        <v>Bronze</v>
      </c>
      <c r="H34" s="2" t="s">
        <v>1681</v>
      </c>
      <c r="I34" s="2" t="str">
        <f>VLOOKUP(Sales_Details2[[#This Row],[Product_ID]],Product_details[[#All],[Product_ID]:[Cost]],3,0)</f>
        <v>Clothing</v>
      </c>
      <c r="J34" s="2" t="str">
        <f>VLOOKUP(Sales_Details2[[#This Row],[Product_ID]],Product_details[[#All],[Product_ID]:[Cost]],4,0)</f>
        <v>Footwear</v>
      </c>
      <c r="K34" s="2" t="s">
        <v>1765</v>
      </c>
      <c r="L34" s="2" t="str">
        <f>_xlfn.XLOOKUP(Sales_Details2[[#This Row],[Store_ID]],Table2[Store_ID],Table2[Region],"Region not found")</f>
        <v>West</v>
      </c>
      <c r="M34" s="25">
        <v>4</v>
      </c>
      <c r="N34" s="36">
        <v>313.83</v>
      </c>
      <c r="O34" s="29">
        <v>0.08</v>
      </c>
      <c r="P34" s="2" t="s">
        <v>1807</v>
      </c>
      <c r="Q34" s="36">
        <v>1154.8943999999999</v>
      </c>
    </row>
    <row r="35" spans="1:17" x14ac:dyDescent="0.3">
      <c r="A35" s="2" t="s">
        <v>1842</v>
      </c>
      <c r="B35" s="14">
        <v>45620</v>
      </c>
      <c r="C35" s="2">
        <f>YEAR(Sales_Details2[[#This Row],[Order_Date]])</f>
        <v>2024</v>
      </c>
      <c r="D35" s="2" t="s">
        <v>1384</v>
      </c>
      <c r="E35" s="2" t="str">
        <f>VLOOKUP(Sales_Details2[[#This Row],[Customer_ID]],Customer_Details[#All],4,0)</f>
        <v>Senior</v>
      </c>
      <c r="F35" s="2" t="str">
        <f>VLOOKUP(Sales_Details2[[#This Row],[Customer_ID]],Customer_Details[#All],5,0)</f>
        <v>Female</v>
      </c>
      <c r="G35" s="2" t="str">
        <f>VLOOKUP(Sales_Details2[[#This Row],[Customer_ID]],Customer_Details[#All],9,0)</f>
        <v>Platinum</v>
      </c>
      <c r="H35" s="2" t="s">
        <v>1555</v>
      </c>
      <c r="I35" s="2" t="str">
        <f>VLOOKUP(Sales_Details2[[#This Row],[Product_ID]],Product_details[[#All],[Product_ID]:[Cost]],3,0)</f>
        <v>Beauty</v>
      </c>
      <c r="J35" s="2" t="str">
        <f>VLOOKUP(Sales_Details2[[#This Row],[Product_ID]],Product_details[[#All],[Product_ID]:[Cost]],4,0)</f>
        <v>Haircare</v>
      </c>
      <c r="K35" s="2" t="s">
        <v>1759</v>
      </c>
      <c r="L35" s="2" t="str">
        <f>_xlfn.XLOOKUP(Sales_Details2[[#This Row],[Store_ID]],Table2[Store_ID],Table2[Region],"Region not found")</f>
        <v>East</v>
      </c>
      <c r="M35" s="25">
        <v>2</v>
      </c>
      <c r="N35" s="36">
        <v>717.31</v>
      </c>
      <c r="O35" s="29">
        <v>0.15</v>
      </c>
      <c r="P35" s="2" t="s">
        <v>1807</v>
      </c>
      <c r="Q35" s="36">
        <v>1219.4269999999999</v>
      </c>
    </row>
    <row r="36" spans="1:17" x14ac:dyDescent="0.3">
      <c r="A36" s="2" t="s">
        <v>1843</v>
      </c>
      <c r="B36" s="14">
        <v>45215</v>
      </c>
      <c r="C36" s="2">
        <f>YEAR(Sales_Details2[[#This Row],[Order_Date]])</f>
        <v>2023</v>
      </c>
      <c r="D36" s="2" t="s">
        <v>1069</v>
      </c>
      <c r="E36" s="2" t="str">
        <f>VLOOKUP(Sales_Details2[[#This Row],[Customer_ID]],Customer_Details[#All],4,0)</f>
        <v>Mid-Adult</v>
      </c>
      <c r="F36" s="2" t="str">
        <f>VLOOKUP(Sales_Details2[[#This Row],[Customer_ID]],Customer_Details[#All],5,0)</f>
        <v>Male</v>
      </c>
      <c r="G36" s="2" t="str">
        <f>VLOOKUP(Sales_Details2[[#This Row],[Customer_ID]],Customer_Details[#All],9,0)</f>
        <v>Gold</v>
      </c>
      <c r="H36" s="2" t="s">
        <v>1689</v>
      </c>
      <c r="I36" s="2" t="str">
        <f>VLOOKUP(Sales_Details2[[#This Row],[Product_ID]],Product_details[[#All],[Product_ID]:[Cost]],3,0)</f>
        <v>Home</v>
      </c>
      <c r="J36" s="2" t="str">
        <f>VLOOKUP(Sales_Details2[[#This Row],[Product_ID]],Product_details[[#All],[Product_ID]:[Cost]],4,0)</f>
        <v>Lighting</v>
      </c>
      <c r="K36" s="2" t="s">
        <v>1740</v>
      </c>
      <c r="L36" s="2" t="str">
        <f>_xlfn.XLOOKUP(Sales_Details2[[#This Row],[Store_ID]],Table2[Store_ID],Table2[Region],"Region not found")</f>
        <v>North</v>
      </c>
      <c r="M36" s="26">
        <f>Sales_Details2[[#This Row],[Total_Amount]]/(Sales_Details2[[#This Row],[Unit_Price]]*(1-Sales_Details2[[#This Row],[Discount]]))</f>
        <v>2.9999999999999996</v>
      </c>
      <c r="N36" s="36">
        <v>873.22</v>
      </c>
      <c r="O36" s="29">
        <v>0.18</v>
      </c>
      <c r="P36" s="2" t="s">
        <v>1807</v>
      </c>
      <c r="Q36" s="36">
        <v>2148.1212</v>
      </c>
    </row>
    <row r="37" spans="1:17" x14ac:dyDescent="0.3">
      <c r="A37" s="2" t="s">
        <v>1844</v>
      </c>
      <c r="B37" s="14">
        <v>45878</v>
      </c>
      <c r="C37" s="2">
        <f>YEAR(Sales_Details2[[#This Row],[Order_Date]])</f>
        <v>2025</v>
      </c>
      <c r="D37" s="2" t="s">
        <v>702</v>
      </c>
      <c r="E37" s="2" t="str">
        <f>VLOOKUP(Sales_Details2[[#This Row],[Customer_ID]],Customer_Details[#All],4,0)</f>
        <v>Mid-Adult</v>
      </c>
      <c r="F37" s="2" t="str">
        <f>VLOOKUP(Sales_Details2[[#This Row],[Customer_ID]],Customer_Details[#All],5,0)</f>
        <v>Male</v>
      </c>
      <c r="G37" s="2" t="str">
        <f>VLOOKUP(Sales_Details2[[#This Row],[Customer_ID]],Customer_Details[#All],9,0)</f>
        <v>Platinum</v>
      </c>
      <c r="H37" s="2" t="s">
        <v>1563</v>
      </c>
      <c r="I37" s="2" t="str">
        <f>VLOOKUP(Sales_Details2[[#This Row],[Product_ID]],Product_details[[#All],[Product_ID]:[Cost]],3,0)</f>
        <v>Beauty</v>
      </c>
      <c r="J37" s="2" t="str">
        <f>VLOOKUP(Sales_Details2[[#This Row],[Product_ID]],Product_details[[#All],[Product_ID]:[Cost]],4,0)</f>
        <v>Grooming</v>
      </c>
      <c r="K37" s="2" t="s">
        <v>1749</v>
      </c>
      <c r="L37" s="2" t="str">
        <f>_xlfn.XLOOKUP(Sales_Details2[[#This Row],[Store_ID]],Table2[Store_ID],Table2[Region],"Region not found")</f>
        <v>North</v>
      </c>
      <c r="M37" s="25">
        <v>4</v>
      </c>
      <c r="N37" s="36">
        <v>109.36</v>
      </c>
      <c r="O37" s="29">
        <v>0.19</v>
      </c>
      <c r="P37" s="2" t="s">
        <v>1812</v>
      </c>
      <c r="Q37" s="36">
        <v>354.32639999999998</v>
      </c>
    </row>
    <row r="38" spans="1:17" x14ac:dyDescent="0.3">
      <c r="A38" s="2" t="s">
        <v>1845</v>
      </c>
      <c r="B38" s="14">
        <v>45635</v>
      </c>
      <c r="C38" s="2">
        <f>YEAR(Sales_Details2[[#This Row],[Order_Date]])</f>
        <v>2024</v>
      </c>
      <c r="D38" s="2" t="s">
        <v>307</v>
      </c>
      <c r="E38" s="2" t="str">
        <f>VLOOKUP(Sales_Details2[[#This Row],[Customer_ID]],Customer_Details[#All],4,0)</f>
        <v>Adult</v>
      </c>
      <c r="F38" s="2" t="str">
        <f>VLOOKUP(Sales_Details2[[#This Row],[Customer_ID]],Customer_Details[#All],5,0)</f>
        <v>Female</v>
      </c>
      <c r="G38" s="2" t="str">
        <f>VLOOKUP(Sales_Details2[[#This Row],[Customer_ID]],Customer_Details[#All],9,0)</f>
        <v>Gold</v>
      </c>
      <c r="H38" s="2" t="s">
        <v>1538</v>
      </c>
      <c r="I38" s="2" t="str">
        <f>VLOOKUP(Sales_Details2[[#This Row],[Product_ID]],Product_details[[#All],[Product_ID]:[Cost]],3,0)</f>
        <v>Clothing</v>
      </c>
      <c r="J38" s="2" t="str">
        <f>VLOOKUP(Sales_Details2[[#This Row],[Product_ID]],Product_details[[#All],[Product_ID]:[Cost]],4,0)</f>
        <v>Accessories</v>
      </c>
      <c r="K38" s="2" t="s">
        <v>1762</v>
      </c>
      <c r="L38" s="2" t="str">
        <f>_xlfn.XLOOKUP(Sales_Details2[[#This Row],[Store_ID]],Table2[Store_ID],Table2[Region],"Region not found")</f>
        <v>South</v>
      </c>
      <c r="M38" s="25">
        <v>3</v>
      </c>
      <c r="N38" s="36">
        <v>559.52</v>
      </c>
      <c r="O38" s="29">
        <v>0.16</v>
      </c>
      <c r="P38" s="2" t="s">
        <v>1809</v>
      </c>
      <c r="Q38" s="36">
        <v>1409.9903999999999</v>
      </c>
    </row>
    <row r="39" spans="1:17" x14ac:dyDescent="0.3">
      <c r="A39" s="2" t="s">
        <v>1846</v>
      </c>
      <c r="B39" s="14">
        <v>45329</v>
      </c>
      <c r="C39" s="2">
        <f>YEAR(Sales_Details2[[#This Row],[Order_Date]])</f>
        <v>2024</v>
      </c>
      <c r="D39" s="2" t="s">
        <v>1496</v>
      </c>
      <c r="E39" s="2" t="str">
        <f>VLOOKUP(Sales_Details2[[#This Row],[Customer_ID]],Customer_Details[#All],4,0)</f>
        <v>Senior</v>
      </c>
      <c r="F39" s="2" t="str">
        <f>VLOOKUP(Sales_Details2[[#This Row],[Customer_ID]],Customer_Details[#All],5,0)</f>
        <v>Female</v>
      </c>
      <c r="G39" s="2" t="str">
        <f>VLOOKUP(Sales_Details2[[#This Row],[Customer_ID]],Customer_Details[#All],9,0)</f>
        <v>Platinum</v>
      </c>
      <c r="H39" s="2" t="s">
        <v>1551</v>
      </c>
      <c r="I39" s="2" t="str">
        <f>VLOOKUP(Sales_Details2[[#This Row],[Product_ID]],Product_details[[#All],[Product_ID]:[Cost]],3,0)</f>
        <v>Home</v>
      </c>
      <c r="J39" s="2" t="str">
        <f>VLOOKUP(Sales_Details2[[#This Row],[Product_ID]],Product_details[[#All],[Product_ID]:[Cost]],4,0)</f>
        <v>Kitchen</v>
      </c>
      <c r="K39" s="2" t="s">
        <v>1790</v>
      </c>
      <c r="L39" s="2" t="str">
        <f>_xlfn.XLOOKUP(Sales_Details2[[#This Row],[Store_ID]],Table2[Store_ID],Table2[Region],"Region not found")</f>
        <v>North</v>
      </c>
      <c r="M39" s="25">
        <v>3</v>
      </c>
      <c r="N39" s="36">
        <v>121.76</v>
      </c>
      <c r="O39" s="29">
        <v>0.27</v>
      </c>
      <c r="P39" s="2" t="s">
        <v>1809</v>
      </c>
      <c r="Q39" s="36">
        <v>266.65440000000001</v>
      </c>
    </row>
    <row r="40" spans="1:17" x14ac:dyDescent="0.3">
      <c r="A40" s="2" t="s">
        <v>1847</v>
      </c>
      <c r="B40" s="14">
        <v>45378</v>
      </c>
      <c r="C40" s="2">
        <f>YEAR(Sales_Details2[[#This Row],[Order_Date]])</f>
        <v>2024</v>
      </c>
      <c r="D40" s="2" t="s">
        <v>616</v>
      </c>
      <c r="E40" s="2" t="str">
        <f>VLOOKUP(Sales_Details2[[#This Row],[Customer_ID]],Customer_Details[#All],4,0)</f>
        <v>Adult</v>
      </c>
      <c r="F40" s="2" t="str">
        <f>VLOOKUP(Sales_Details2[[#This Row],[Customer_ID]],Customer_Details[#All],5,0)</f>
        <v>Male</v>
      </c>
      <c r="G40" s="2" t="str">
        <f>VLOOKUP(Sales_Details2[[#This Row],[Customer_ID]],Customer_Details[#All],9,0)</f>
        <v>Gold</v>
      </c>
      <c r="H40" s="2" t="s">
        <v>1597</v>
      </c>
      <c r="I40" s="2" t="str">
        <f>VLOOKUP(Sales_Details2[[#This Row],[Product_ID]],Product_details[[#All],[Product_ID]:[Cost]],3,0)</f>
        <v>Home</v>
      </c>
      <c r="J40" s="2" t="str">
        <f>VLOOKUP(Sales_Details2[[#This Row],[Product_ID]],Product_details[[#All],[Product_ID]:[Cost]],4,0)</f>
        <v>Decor</v>
      </c>
      <c r="K40" s="2" t="s">
        <v>1780</v>
      </c>
      <c r="L40" s="2" t="str">
        <f>_xlfn.XLOOKUP(Sales_Details2[[#This Row],[Store_ID]],Table2[Store_ID],Table2[Region],"Region not found")</f>
        <v>East</v>
      </c>
      <c r="M40" s="25">
        <v>4</v>
      </c>
      <c r="N40" s="36">
        <v>735.32</v>
      </c>
      <c r="O40" s="29">
        <v>0.06</v>
      </c>
      <c r="P40" s="2" t="s">
        <v>1812</v>
      </c>
      <c r="Q40" s="36">
        <v>2764.8031999999998</v>
      </c>
    </row>
    <row r="41" spans="1:17" x14ac:dyDescent="0.3">
      <c r="A41" s="2" t="s">
        <v>1848</v>
      </c>
      <c r="B41" s="14">
        <v>45264</v>
      </c>
      <c r="C41" s="2">
        <f>YEAR(Sales_Details2[[#This Row],[Order_Date]])</f>
        <v>2023</v>
      </c>
      <c r="D41" s="2" t="s">
        <v>1321</v>
      </c>
      <c r="E41" s="2" t="str">
        <f>VLOOKUP(Sales_Details2[[#This Row],[Customer_ID]],Customer_Details[#All],4,0)</f>
        <v>Adult</v>
      </c>
      <c r="F41" s="2" t="str">
        <f>VLOOKUP(Sales_Details2[[#This Row],[Customer_ID]],Customer_Details[#All],5,0)</f>
        <v>Male</v>
      </c>
      <c r="G41" s="2" t="str">
        <f>VLOOKUP(Sales_Details2[[#This Row],[Customer_ID]],Customer_Details[#All],9,0)</f>
        <v>Platinum</v>
      </c>
      <c r="H41" s="2" t="s">
        <v>1719</v>
      </c>
      <c r="I41" s="2" t="str">
        <f>VLOOKUP(Sales_Details2[[#This Row],[Product_ID]],Product_details[[#All],[Product_ID]:[Cost]],3,0)</f>
        <v>Beauty</v>
      </c>
      <c r="J41" s="2" t="str">
        <f>VLOOKUP(Sales_Details2[[#This Row],[Product_ID]],Product_details[[#All],[Product_ID]:[Cost]],4,0)</f>
        <v>Skincare</v>
      </c>
      <c r="K41" s="2" t="s">
        <v>1749</v>
      </c>
      <c r="L41" s="2" t="str">
        <f>_xlfn.XLOOKUP(Sales_Details2[[#This Row],[Store_ID]],Table2[Store_ID],Table2[Region],"Region not found")</f>
        <v>North</v>
      </c>
      <c r="M41" s="25">
        <v>2</v>
      </c>
      <c r="N41" s="36">
        <v>600.73</v>
      </c>
      <c r="O41" s="29">
        <v>0.08</v>
      </c>
      <c r="P41" s="2" t="s">
        <v>1807</v>
      </c>
      <c r="Q41" s="36">
        <v>1105.3432</v>
      </c>
    </row>
    <row r="42" spans="1:17" x14ac:dyDescent="0.3">
      <c r="A42" s="2" t="s">
        <v>1849</v>
      </c>
      <c r="B42" s="14">
        <v>45486</v>
      </c>
      <c r="C42" s="2">
        <f>YEAR(Sales_Details2[[#This Row],[Order_Date]])</f>
        <v>2024</v>
      </c>
      <c r="D42" s="2" t="s">
        <v>261</v>
      </c>
      <c r="E42" s="2" t="str">
        <f>VLOOKUP(Sales_Details2[[#This Row],[Customer_ID]],Customer_Details[#All],4,0)</f>
        <v>Mid-Adult</v>
      </c>
      <c r="F42" s="2" t="str">
        <f>VLOOKUP(Sales_Details2[[#This Row],[Customer_ID]],Customer_Details[#All],5,0)</f>
        <v>Female</v>
      </c>
      <c r="G42" s="2" t="str">
        <f>VLOOKUP(Sales_Details2[[#This Row],[Customer_ID]],Customer_Details[#All],9,0)</f>
        <v>Gold</v>
      </c>
      <c r="H42" s="2" t="s">
        <v>1583</v>
      </c>
      <c r="I42" s="2" t="str">
        <f>VLOOKUP(Sales_Details2[[#This Row],[Product_ID]],Product_details[[#All],[Product_ID]:[Cost]],3,0)</f>
        <v>Electronics</v>
      </c>
      <c r="J42" s="2" t="str">
        <f>VLOOKUP(Sales_Details2[[#This Row],[Product_ID]],Product_details[[#All],[Product_ID]:[Cost]],4,0)</f>
        <v>Audio</v>
      </c>
      <c r="K42" s="2" t="s">
        <v>1796</v>
      </c>
      <c r="L42" s="2" t="str">
        <f>_xlfn.XLOOKUP(Sales_Details2[[#This Row],[Store_ID]],Table2[Store_ID],Table2[Region],"Region not found")</f>
        <v>East</v>
      </c>
      <c r="M42" s="25">
        <v>2</v>
      </c>
      <c r="N42" s="36">
        <v>873.86</v>
      </c>
      <c r="O42" s="29">
        <v>7.0000000000000007E-2</v>
      </c>
      <c r="P42" s="2" t="s">
        <v>1812</v>
      </c>
      <c r="Q42" s="36">
        <v>1625.3796</v>
      </c>
    </row>
    <row r="43" spans="1:17" x14ac:dyDescent="0.3">
      <c r="A43" s="2" t="s">
        <v>1850</v>
      </c>
      <c r="B43" s="14">
        <v>45241</v>
      </c>
      <c r="C43" s="2">
        <f>YEAR(Sales_Details2[[#This Row],[Order_Date]])</f>
        <v>2023</v>
      </c>
      <c r="D43" s="2" t="s">
        <v>945</v>
      </c>
      <c r="E43" s="2" t="str">
        <f>VLOOKUP(Sales_Details2[[#This Row],[Customer_ID]],Customer_Details[#All],4,0)</f>
        <v>Mid-Adult</v>
      </c>
      <c r="F43" s="2" t="str">
        <f>VLOOKUP(Sales_Details2[[#This Row],[Customer_ID]],Customer_Details[#All],5,0)</f>
        <v>Male</v>
      </c>
      <c r="G43" s="2" t="str">
        <f>VLOOKUP(Sales_Details2[[#This Row],[Customer_ID]],Customer_Details[#All],9,0)</f>
        <v>Gold</v>
      </c>
      <c r="H43" s="2" t="s">
        <v>1577</v>
      </c>
      <c r="I43" s="2" t="str">
        <f>VLOOKUP(Sales_Details2[[#This Row],[Product_ID]],Product_details[[#All],[Product_ID]:[Cost]],3,0)</f>
        <v>Clothing</v>
      </c>
      <c r="J43" s="2" t="str">
        <f>VLOOKUP(Sales_Details2[[#This Row],[Product_ID]],Product_details[[#All],[Product_ID]:[Cost]],4,0)</f>
        <v>Tops</v>
      </c>
      <c r="K43" s="2" t="s">
        <v>1765</v>
      </c>
      <c r="L43" s="2" t="str">
        <f>_xlfn.XLOOKUP(Sales_Details2[[#This Row],[Store_ID]],Table2[Store_ID],Table2[Region],"Region not found")</f>
        <v>West</v>
      </c>
      <c r="M43" s="25">
        <v>3</v>
      </c>
      <c r="N43" s="36">
        <v>342.47</v>
      </c>
      <c r="O43" s="29">
        <v>0.08</v>
      </c>
      <c r="P43" s="2" t="s">
        <v>1809</v>
      </c>
      <c r="Q43" s="36">
        <v>945.21720000000016</v>
      </c>
    </row>
    <row r="44" spans="1:17" x14ac:dyDescent="0.3">
      <c r="A44" s="2" t="s">
        <v>1851</v>
      </c>
      <c r="B44" s="14">
        <v>45649</v>
      </c>
      <c r="C44" s="2">
        <f>YEAR(Sales_Details2[[#This Row],[Order_Date]])</f>
        <v>2024</v>
      </c>
      <c r="D44" s="2" t="s">
        <v>1042</v>
      </c>
      <c r="E44" s="2" t="str">
        <f>VLOOKUP(Sales_Details2[[#This Row],[Customer_ID]],Customer_Details[#All],4,0)</f>
        <v>Mid-Adult</v>
      </c>
      <c r="F44" s="2" t="str">
        <f>VLOOKUP(Sales_Details2[[#This Row],[Customer_ID]],Customer_Details[#All],5,0)</f>
        <v>Male</v>
      </c>
      <c r="G44" s="2" t="str">
        <f>VLOOKUP(Sales_Details2[[#This Row],[Customer_ID]],Customer_Details[#All],9,0)</f>
        <v>Platinum</v>
      </c>
      <c r="H44" s="2" t="s">
        <v>1589</v>
      </c>
      <c r="I44" s="2" t="str">
        <f>VLOOKUP(Sales_Details2[[#This Row],[Product_ID]],Product_details[[#All],[Product_ID]:[Cost]],3,0)</f>
        <v>Home</v>
      </c>
      <c r="J44" s="2" t="str">
        <f>VLOOKUP(Sales_Details2[[#This Row],[Product_ID]],Product_details[[#All],[Product_ID]:[Cost]],4,0)</f>
        <v>Decor</v>
      </c>
      <c r="K44" s="2" t="s">
        <v>1769</v>
      </c>
      <c r="L44" s="2" t="str">
        <f>_xlfn.XLOOKUP(Sales_Details2[[#This Row],[Store_ID]],Table2[Store_ID],Table2[Region],"Region not found")</f>
        <v>South</v>
      </c>
      <c r="M44" s="25">
        <v>2</v>
      </c>
      <c r="N44" s="36">
        <v>915.15</v>
      </c>
      <c r="O44" s="29">
        <v>0.16</v>
      </c>
      <c r="P44" s="2" t="s">
        <v>1809</v>
      </c>
      <c r="Q44" s="36">
        <v>1537.452</v>
      </c>
    </row>
    <row r="45" spans="1:17" x14ac:dyDescent="0.3">
      <c r="A45" s="2" t="s">
        <v>1852</v>
      </c>
      <c r="B45" s="14">
        <v>45677</v>
      </c>
      <c r="C45" s="2">
        <f>YEAR(Sales_Details2[[#This Row],[Order_Date]])</f>
        <v>2025</v>
      </c>
      <c r="D45" s="2" t="s">
        <v>301</v>
      </c>
      <c r="E45" s="2" t="str">
        <f>VLOOKUP(Sales_Details2[[#This Row],[Customer_ID]],Customer_Details[#All],4,0)</f>
        <v>Adult</v>
      </c>
      <c r="F45" s="2" t="str">
        <f>VLOOKUP(Sales_Details2[[#This Row],[Customer_ID]],Customer_Details[#All],5,0)</f>
        <v>Female</v>
      </c>
      <c r="G45" s="2" t="str">
        <f>VLOOKUP(Sales_Details2[[#This Row],[Customer_ID]],Customer_Details[#All],9,0)</f>
        <v>Platinum</v>
      </c>
      <c r="H45" s="2" t="s">
        <v>1597</v>
      </c>
      <c r="I45" s="2" t="str">
        <f>VLOOKUP(Sales_Details2[[#This Row],[Product_ID]],Product_details[[#All],[Product_ID]:[Cost]],3,0)</f>
        <v>Home</v>
      </c>
      <c r="J45" s="2" t="str">
        <f>VLOOKUP(Sales_Details2[[#This Row],[Product_ID]],Product_details[[#All],[Product_ID]:[Cost]],4,0)</f>
        <v>Decor</v>
      </c>
      <c r="K45" s="2" t="s">
        <v>1790</v>
      </c>
      <c r="L45" s="2" t="str">
        <f>_xlfn.XLOOKUP(Sales_Details2[[#This Row],[Store_ID]],Table2[Store_ID],Table2[Region],"Region not found")</f>
        <v>North</v>
      </c>
      <c r="M45" s="26">
        <f>Sales_Details2[[#This Row],[Total_Amount]]/(Sales_Details2[[#This Row],[Unit_Price]]*(1-Sales_Details2[[#This Row],[Discount]]))</f>
        <v>3</v>
      </c>
      <c r="N45" s="36">
        <v>863.11</v>
      </c>
      <c r="O45" s="29">
        <v>0.28000000000000003</v>
      </c>
      <c r="P45" s="2" t="s">
        <v>1809</v>
      </c>
      <c r="Q45" s="36">
        <v>1864.3176000000001</v>
      </c>
    </row>
    <row r="46" spans="1:17" x14ac:dyDescent="0.3">
      <c r="A46" s="2" t="s">
        <v>1853</v>
      </c>
      <c r="B46" s="14">
        <v>45538</v>
      </c>
      <c r="C46" s="2">
        <f>YEAR(Sales_Details2[[#This Row],[Order_Date]])</f>
        <v>2024</v>
      </c>
      <c r="D46" s="2" t="s">
        <v>657</v>
      </c>
      <c r="E46" s="2" t="str">
        <f>VLOOKUP(Sales_Details2[[#This Row],[Customer_ID]],Customer_Details[#All],4,0)</f>
        <v>Mid-Adult</v>
      </c>
      <c r="F46" s="2" t="str">
        <f>VLOOKUP(Sales_Details2[[#This Row],[Customer_ID]],Customer_Details[#All],5,0)</f>
        <v>Male</v>
      </c>
      <c r="G46" s="2" t="str">
        <f>VLOOKUP(Sales_Details2[[#This Row],[Customer_ID]],Customer_Details[#All],9,0)</f>
        <v>Platinum</v>
      </c>
      <c r="H46" s="2" t="s">
        <v>1617</v>
      </c>
      <c r="I46" s="2" t="str">
        <f>VLOOKUP(Sales_Details2[[#This Row],[Product_ID]],Product_details[[#All],[Product_ID]:[Cost]],3,0)</f>
        <v>Electronics</v>
      </c>
      <c r="J46" s="2" t="str">
        <f>VLOOKUP(Sales_Details2[[#This Row],[Product_ID]],Product_details[[#All],[Product_ID]:[Cost]],4,0)</f>
        <v>Computer</v>
      </c>
      <c r="K46" s="2" t="s">
        <v>1777</v>
      </c>
      <c r="L46" s="2" t="str">
        <f>_xlfn.XLOOKUP(Sales_Details2[[#This Row],[Store_ID]],Table2[Store_ID],Table2[Region],"Region not found")</f>
        <v>North</v>
      </c>
      <c r="M46" s="25">
        <v>2</v>
      </c>
      <c r="N46" s="36">
        <v>209.32</v>
      </c>
      <c r="O46" s="29">
        <v>0.23</v>
      </c>
      <c r="P46" s="2" t="s">
        <v>1812</v>
      </c>
      <c r="Q46" s="36">
        <v>322.3528</v>
      </c>
    </row>
    <row r="47" spans="1:17" x14ac:dyDescent="0.3">
      <c r="A47" s="2" t="s">
        <v>1854</v>
      </c>
      <c r="B47" s="14">
        <v>45606</v>
      </c>
      <c r="C47" s="2">
        <f>YEAR(Sales_Details2[[#This Row],[Order_Date]])</f>
        <v>2024</v>
      </c>
      <c r="D47" s="2" t="s">
        <v>1433</v>
      </c>
      <c r="E47" s="2" t="str">
        <f>VLOOKUP(Sales_Details2[[#This Row],[Customer_ID]],Customer_Details[#All],4,0)</f>
        <v>Adult</v>
      </c>
      <c r="F47" s="2" t="str">
        <f>VLOOKUP(Sales_Details2[[#This Row],[Customer_ID]],Customer_Details[#All],5,0)</f>
        <v>Female</v>
      </c>
      <c r="G47" s="2" t="str">
        <f>VLOOKUP(Sales_Details2[[#This Row],[Customer_ID]],Customer_Details[#All],9,0)</f>
        <v>Gold</v>
      </c>
      <c r="H47" s="2" t="s">
        <v>1649</v>
      </c>
      <c r="I47" s="2" t="str">
        <f>VLOOKUP(Sales_Details2[[#This Row],[Product_ID]],Product_details[[#All],[Product_ID]:[Cost]],3,0)</f>
        <v>Beauty</v>
      </c>
      <c r="J47" s="2" t="str">
        <f>VLOOKUP(Sales_Details2[[#This Row],[Product_ID]],Product_details[[#All],[Product_ID]:[Cost]],4,0)</f>
        <v>Haircare</v>
      </c>
      <c r="K47" s="2" t="s">
        <v>1765</v>
      </c>
      <c r="L47" s="2" t="str">
        <f>_xlfn.XLOOKUP(Sales_Details2[[#This Row],[Store_ID]],Table2[Store_ID],Table2[Region],"Region not found")</f>
        <v>West</v>
      </c>
      <c r="M47" s="25">
        <v>4</v>
      </c>
      <c r="N47" s="36">
        <v>288.60000000000002</v>
      </c>
      <c r="O47" s="29">
        <v>0.09</v>
      </c>
      <c r="P47" s="2" t="s">
        <v>1809</v>
      </c>
      <c r="Q47" s="36">
        <v>1050.5039999999999</v>
      </c>
    </row>
    <row r="48" spans="1:17" x14ac:dyDescent="0.3">
      <c r="A48" s="2" t="s">
        <v>1855</v>
      </c>
      <c r="B48" s="14">
        <v>45570</v>
      </c>
      <c r="C48" s="2">
        <f>YEAR(Sales_Details2[[#This Row],[Order_Date]])</f>
        <v>2024</v>
      </c>
      <c r="D48" s="2" t="s">
        <v>255</v>
      </c>
      <c r="E48" s="2" t="str">
        <f>VLOOKUP(Sales_Details2[[#This Row],[Customer_ID]],Customer_Details[#All],4,0)</f>
        <v>Adult</v>
      </c>
      <c r="F48" s="2" t="str">
        <f>VLOOKUP(Sales_Details2[[#This Row],[Customer_ID]],Customer_Details[#All],5,0)</f>
        <v>Female</v>
      </c>
      <c r="G48" s="2" t="str">
        <f>VLOOKUP(Sales_Details2[[#This Row],[Customer_ID]],Customer_Details[#All],9,0)</f>
        <v>Gold</v>
      </c>
      <c r="H48" s="2" t="s">
        <v>1687</v>
      </c>
      <c r="I48" s="2" t="str">
        <f>VLOOKUP(Sales_Details2[[#This Row],[Product_ID]],Product_details[[#All],[Product_ID]:[Cost]],3,0)</f>
        <v>Home</v>
      </c>
      <c r="J48" s="2" t="str">
        <f>VLOOKUP(Sales_Details2[[#This Row],[Product_ID]],Product_details[[#All],[Product_ID]:[Cost]],4,0)</f>
        <v>Decor</v>
      </c>
      <c r="K48" s="2" t="s">
        <v>1787</v>
      </c>
      <c r="L48" s="2" t="str">
        <f>_xlfn.XLOOKUP(Sales_Details2[[#This Row],[Store_ID]],Table2[Store_ID],Table2[Region],"Region not found")</f>
        <v>West</v>
      </c>
      <c r="M48" s="25">
        <v>1</v>
      </c>
      <c r="N48" s="36">
        <v>418.69</v>
      </c>
      <c r="O48" s="29">
        <v>0.06</v>
      </c>
      <c r="P48" s="2" t="s">
        <v>1809</v>
      </c>
      <c r="Q48" s="36">
        <v>393.5686</v>
      </c>
    </row>
    <row r="49" spans="1:17" x14ac:dyDescent="0.3">
      <c r="A49" s="2" t="s">
        <v>1856</v>
      </c>
      <c r="B49" s="14">
        <v>45466</v>
      </c>
      <c r="C49" s="2">
        <f>YEAR(Sales_Details2[[#This Row],[Order_Date]])</f>
        <v>2024</v>
      </c>
      <c r="D49" s="2" t="s">
        <v>44</v>
      </c>
      <c r="E49" s="2" t="str">
        <f>VLOOKUP(Sales_Details2[[#This Row],[Customer_ID]],Customer_Details[#All],4,0)</f>
        <v>Senior</v>
      </c>
      <c r="F49" s="2" t="str">
        <f>VLOOKUP(Sales_Details2[[#This Row],[Customer_ID]],Customer_Details[#All],5,0)</f>
        <v>Female</v>
      </c>
      <c r="G49" s="2" t="str">
        <f>VLOOKUP(Sales_Details2[[#This Row],[Customer_ID]],Customer_Details[#All],9,0)</f>
        <v>Gold</v>
      </c>
      <c r="H49" s="2" t="s">
        <v>1591</v>
      </c>
      <c r="I49" s="2" t="str">
        <f>VLOOKUP(Sales_Details2[[#This Row],[Product_ID]],Product_details[[#All],[Product_ID]:[Cost]],3,0)</f>
        <v>Home</v>
      </c>
      <c r="J49" s="2" t="str">
        <f>VLOOKUP(Sales_Details2[[#This Row],[Product_ID]],Product_details[[#All],[Product_ID]:[Cost]],4,0)</f>
        <v>Kitchen</v>
      </c>
      <c r="K49" s="2" t="s">
        <v>1775</v>
      </c>
      <c r="L49" s="2" t="str">
        <f>_xlfn.XLOOKUP(Sales_Details2[[#This Row],[Store_ID]],Table2[Store_ID],Table2[Region],"Region not found")</f>
        <v>South</v>
      </c>
      <c r="M49" s="25">
        <v>1</v>
      </c>
      <c r="N49" s="36">
        <v>135.78</v>
      </c>
      <c r="O49" s="29">
        <v>0.14000000000000001</v>
      </c>
      <c r="P49" s="2" t="s">
        <v>1809</v>
      </c>
      <c r="Q49" s="36">
        <v>116.77079999999999</v>
      </c>
    </row>
    <row r="50" spans="1:17" x14ac:dyDescent="0.3">
      <c r="A50" s="2" t="s">
        <v>1857</v>
      </c>
      <c r="B50" s="14">
        <v>45218</v>
      </c>
      <c r="C50" s="2">
        <f>YEAR(Sales_Details2[[#This Row],[Order_Date]])</f>
        <v>2023</v>
      </c>
      <c r="D50" s="2" t="s">
        <v>657</v>
      </c>
      <c r="E50" s="2" t="str">
        <f>VLOOKUP(Sales_Details2[[#This Row],[Customer_ID]],Customer_Details[#All],4,0)</f>
        <v>Mid-Adult</v>
      </c>
      <c r="F50" s="2" t="str">
        <f>VLOOKUP(Sales_Details2[[#This Row],[Customer_ID]],Customer_Details[#All],5,0)</f>
        <v>Male</v>
      </c>
      <c r="G50" s="2" t="str">
        <f>VLOOKUP(Sales_Details2[[#This Row],[Customer_ID]],Customer_Details[#All],9,0)</f>
        <v>Platinum</v>
      </c>
      <c r="H50" s="2" t="s">
        <v>1619</v>
      </c>
      <c r="I50" s="2" t="str">
        <f>VLOOKUP(Sales_Details2[[#This Row],[Product_ID]],Product_details[[#All],[Product_ID]:[Cost]],3,0)</f>
        <v>Sports</v>
      </c>
      <c r="J50" s="2" t="str">
        <f>VLOOKUP(Sales_Details2[[#This Row],[Product_ID]],Product_details[[#All],[Product_ID]:[Cost]],4,0)</f>
        <v>Fitness</v>
      </c>
      <c r="K50" s="2" t="s">
        <v>1790</v>
      </c>
      <c r="L50" s="2" t="str">
        <f>_xlfn.XLOOKUP(Sales_Details2[[#This Row],[Store_ID]],Table2[Store_ID],Table2[Region],"Region not found")</f>
        <v>North</v>
      </c>
      <c r="M50" s="25">
        <v>1</v>
      </c>
      <c r="N50" s="36">
        <v>517.13</v>
      </c>
      <c r="O50" s="29">
        <v>0.28000000000000003</v>
      </c>
      <c r="P50" s="2" t="s">
        <v>1807</v>
      </c>
      <c r="Q50" s="36">
        <v>372.33359999999999</v>
      </c>
    </row>
    <row r="51" spans="1:17" x14ac:dyDescent="0.3">
      <c r="A51" s="2" t="s">
        <v>1858</v>
      </c>
      <c r="B51" s="14">
        <v>45607</v>
      </c>
      <c r="C51" s="2">
        <f>YEAR(Sales_Details2[[#This Row],[Order_Date]])</f>
        <v>2024</v>
      </c>
      <c r="D51" s="2" t="s">
        <v>1290</v>
      </c>
      <c r="E51" s="2" t="str">
        <f>VLOOKUP(Sales_Details2[[#This Row],[Customer_ID]],Customer_Details[#All],4,0)</f>
        <v>Senior</v>
      </c>
      <c r="F51" s="2" t="str">
        <f>VLOOKUP(Sales_Details2[[#This Row],[Customer_ID]],Customer_Details[#All],5,0)</f>
        <v>Male</v>
      </c>
      <c r="G51" s="2" t="str">
        <f>VLOOKUP(Sales_Details2[[#This Row],[Customer_ID]],Customer_Details[#All],9,0)</f>
        <v>Bronze</v>
      </c>
      <c r="H51" s="2" t="s">
        <v>1573</v>
      </c>
      <c r="I51" s="2" t="str">
        <f>VLOOKUP(Sales_Details2[[#This Row],[Product_ID]],Product_details[[#All],[Product_ID]:[Cost]],3,0)</f>
        <v>Home</v>
      </c>
      <c r="J51" s="2" t="str">
        <f>VLOOKUP(Sales_Details2[[#This Row],[Product_ID]],Product_details[[#All],[Product_ID]:[Cost]],4,0)</f>
        <v>Storage</v>
      </c>
      <c r="K51" s="2" t="s">
        <v>1787</v>
      </c>
      <c r="L51" s="2" t="str">
        <f>_xlfn.XLOOKUP(Sales_Details2[[#This Row],[Store_ID]],Table2[Store_ID],Table2[Region],"Region not found")</f>
        <v>West</v>
      </c>
      <c r="M51" s="25">
        <v>2</v>
      </c>
      <c r="N51" s="36">
        <v>384.66</v>
      </c>
      <c r="O51" s="29">
        <v>0.08</v>
      </c>
      <c r="P51" s="2" t="s">
        <v>1812</v>
      </c>
      <c r="Q51" s="36">
        <v>707.77440000000013</v>
      </c>
    </row>
    <row r="52" spans="1:17" x14ac:dyDescent="0.3">
      <c r="A52" s="2" t="s">
        <v>1859</v>
      </c>
      <c r="B52" s="14">
        <v>45291</v>
      </c>
      <c r="C52" s="2">
        <f>YEAR(Sales_Details2[[#This Row],[Order_Date]])</f>
        <v>2023</v>
      </c>
      <c r="D52" s="2" t="s">
        <v>255</v>
      </c>
      <c r="E52" s="2" t="str">
        <f>VLOOKUP(Sales_Details2[[#This Row],[Customer_ID]],Customer_Details[#All],4,0)</f>
        <v>Adult</v>
      </c>
      <c r="F52" s="2" t="str">
        <f>VLOOKUP(Sales_Details2[[#This Row],[Customer_ID]],Customer_Details[#All],5,0)</f>
        <v>Female</v>
      </c>
      <c r="G52" s="2" t="str">
        <f>VLOOKUP(Sales_Details2[[#This Row],[Customer_ID]],Customer_Details[#All],9,0)</f>
        <v>Gold</v>
      </c>
      <c r="H52" s="2" t="s">
        <v>1635</v>
      </c>
      <c r="I52" s="2" t="str">
        <f>VLOOKUP(Sales_Details2[[#This Row],[Product_ID]],Product_details[[#All],[Product_ID]:[Cost]],3,0)</f>
        <v>Sports</v>
      </c>
      <c r="J52" s="2" t="str">
        <f>VLOOKUP(Sales_Details2[[#This Row],[Product_ID]],Product_details[[#All],[Product_ID]:[Cost]],4,0)</f>
        <v>Team Sports</v>
      </c>
      <c r="K52" s="2" t="s">
        <v>1769</v>
      </c>
      <c r="L52" s="2" t="str">
        <f>_xlfn.XLOOKUP(Sales_Details2[[#This Row],[Store_ID]],Table2[Store_ID],Table2[Region],"Region not found")</f>
        <v>South</v>
      </c>
      <c r="M52" s="25">
        <v>3</v>
      </c>
      <c r="N52" s="36">
        <v>83.7</v>
      </c>
      <c r="O52" s="29">
        <v>0.24</v>
      </c>
      <c r="P52" s="2" t="s">
        <v>1809</v>
      </c>
      <c r="Q52" s="36">
        <v>190.83600000000001</v>
      </c>
    </row>
    <row r="53" spans="1:17" x14ac:dyDescent="0.3">
      <c r="A53" s="2" t="s">
        <v>1860</v>
      </c>
      <c r="B53" s="14">
        <v>45689</v>
      </c>
      <c r="C53" s="2">
        <f>YEAR(Sales_Details2[[#This Row],[Order_Date]])</f>
        <v>2025</v>
      </c>
      <c r="D53" s="2" t="s">
        <v>476</v>
      </c>
      <c r="E53" s="2" t="str">
        <f>VLOOKUP(Sales_Details2[[#This Row],[Customer_ID]],Customer_Details[#All],4,0)</f>
        <v>Mid-Adult</v>
      </c>
      <c r="F53" s="2" t="str">
        <f>VLOOKUP(Sales_Details2[[#This Row],[Customer_ID]],Customer_Details[#All],5,0)</f>
        <v>Male</v>
      </c>
      <c r="G53" s="2" t="str">
        <f>VLOOKUP(Sales_Details2[[#This Row],[Customer_ID]],Customer_Details[#All],9,0)</f>
        <v>Bronze</v>
      </c>
      <c r="H53" s="2" t="s">
        <v>1669</v>
      </c>
      <c r="I53" s="2" t="str">
        <f>VLOOKUP(Sales_Details2[[#This Row],[Product_ID]],Product_details[[#All],[Product_ID]:[Cost]],3,0)</f>
        <v>Clothing</v>
      </c>
      <c r="J53" s="2" t="str">
        <f>VLOOKUP(Sales_Details2[[#This Row],[Product_ID]],Product_details[[#All],[Product_ID]:[Cost]],4,0)</f>
        <v>Bottoms</v>
      </c>
      <c r="K53" s="2" t="s">
        <v>1762</v>
      </c>
      <c r="L53" s="2" t="str">
        <f>_xlfn.XLOOKUP(Sales_Details2[[#This Row],[Store_ID]],Table2[Store_ID],Table2[Region],"Region not found")</f>
        <v>South</v>
      </c>
      <c r="M53" s="25">
        <v>3</v>
      </c>
      <c r="N53" s="36">
        <v>76.569999999999993</v>
      </c>
      <c r="O53" s="29">
        <v>0.26</v>
      </c>
      <c r="P53" s="2" t="s">
        <v>1807</v>
      </c>
      <c r="Q53" s="36">
        <v>169.9854</v>
      </c>
    </row>
    <row r="54" spans="1:17" x14ac:dyDescent="0.3">
      <c r="A54" s="2" t="s">
        <v>1861</v>
      </c>
      <c r="B54" s="14">
        <v>45894</v>
      </c>
      <c r="C54" s="2">
        <f>YEAR(Sales_Details2[[#This Row],[Order_Date]])</f>
        <v>2025</v>
      </c>
      <c r="D54" s="2" t="s">
        <v>494</v>
      </c>
      <c r="E54" s="2" t="str">
        <f>VLOOKUP(Sales_Details2[[#This Row],[Customer_ID]],Customer_Details[#All],4,0)</f>
        <v>Mid-Adult</v>
      </c>
      <c r="F54" s="2" t="str">
        <f>VLOOKUP(Sales_Details2[[#This Row],[Customer_ID]],Customer_Details[#All],5,0)</f>
        <v>Female</v>
      </c>
      <c r="G54" s="2" t="str">
        <f>VLOOKUP(Sales_Details2[[#This Row],[Customer_ID]],Customer_Details[#All],9,0)</f>
        <v>Bronze</v>
      </c>
      <c r="H54" s="2" t="s">
        <v>1709</v>
      </c>
      <c r="I54" s="2" t="str">
        <f>VLOOKUP(Sales_Details2[[#This Row],[Product_ID]],Product_details[[#All],[Product_ID]:[Cost]],3,0)</f>
        <v>Beauty</v>
      </c>
      <c r="J54" s="2" t="str">
        <f>VLOOKUP(Sales_Details2[[#This Row],[Product_ID]],Product_details[[#All],[Product_ID]:[Cost]],4,0)</f>
        <v>Makeup</v>
      </c>
      <c r="K54" s="2" t="s">
        <v>1759</v>
      </c>
      <c r="L54" s="2" t="str">
        <f>_xlfn.XLOOKUP(Sales_Details2[[#This Row],[Store_ID]],Table2[Store_ID],Table2[Region],"Region not found")</f>
        <v>East</v>
      </c>
      <c r="M54" s="25">
        <v>3</v>
      </c>
      <c r="N54" s="37">
        <v>183.04</v>
      </c>
      <c r="O54" s="30">
        <f>(1-Sales_Details2[[#This Row],[Total_Amount]]/(Sales_Details2[[#This Row],[Quantity]]*Sales_Details2[[#This Row],[Unit_Price]]))</f>
        <v>0.114832277097902</v>
      </c>
      <c r="P54" s="2" t="s">
        <v>1807</v>
      </c>
      <c r="Q54" s="36">
        <v>486.06330000000003</v>
      </c>
    </row>
    <row r="55" spans="1:17" x14ac:dyDescent="0.3">
      <c r="A55" s="2" t="s">
        <v>1862</v>
      </c>
      <c r="B55" s="14">
        <v>45677</v>
      </c>
      <c r="C55" s="2">
        <f>YEAR(Sales_Details2[[#This Row],[Order_Date]])</f>
        <v>2025</v>
      </c>
      <c r="D55" s="2" t="s">
        <v>1010</v>
      </c>
      <c r="E55" s="2" t="str">
        <f>VLOOKUP(Sales_Details2[[#This Row],[Customer_ID]],Customer_Details[#All],4,0)</f>
        <v>Senior</v>
      </c>
      <c r="F55" s="2" t="str">
        <f>VLOOKUP(Sales_Details2[[#This Row],[Customer_ID]],Customer_Details[#All],5,0)</f>
        <v>Male</v>
      </c>
      <c r="G55" s="2" t="str">
        <f>VLOOKUP(Sales_Details2[[#This Row],[Customer_ID]],Customer_Details[#All],9,0)</f>
        <v>Bronze</v>
      </c>
      <c r="H55" s="2" t="s">
        <v>1571</v>
      </c>
      <c r="I55" s="2" t="str">
        <f>VLOOKUP(Sales_Details2[[#This Row],[Product_ID]],Product_details[[#All],[Product_ID]:[Cost]],3,0)</f>
        <v>Sports</v>
      </c>
      <c r="J55" s="2" t="str">
        <f>VLOOKUP(Sales_Details2[[#This Row],[Product_ID]],Product_details[[#All],[Product_ID]:[Cost]],4,0)</f>
        <v>Accessories</v>
      </c>
      <c r="K55" s="2" t="s">
        <v>1765</v>
      </c>
      <c r="L55" s="2" t="str">
        <f>_xlfn.XLOOKUP(Sales_Details2[[#This Row],[Store_ID]],Table2[Store_ID],Table2[Region],"Region not found")</f>
        <v>West</v>
      </c>
      <c r="M55" s="25">
        <v>1</v>
      </c>
      <c r="N55" s="36">
        <v>900.35</v>
      </c>
      <c r="O55" s="29">
        <v>0.13</v>
      </c>
      <c r="P55" s="2" t="s">
        <v>1812</v>
      </c>
      <c r="Q55" s="36">
        <v>783.30449999999996</v>
      </c>
    </row>
    <row r="56" spans="1:17" x14ac:dyDescent="0.3">
      <c r="A56" s="2" t="s">
        <v>1863</v>
      </c>
      <c r="B56" s="14">
        <v>45706</v>
      </c>
      <c r="C56" s="2">
        <f>YEAR(Sales_Details2[[#This Row],[Order_Date]])</f>
        <v>2025</v>
      </c>
      <c r="D56" s="2" t="s">
        <v>336</v>
      </c>
      <c r="E56" s="2" t="str">
        <f>VLOOKUP(Sales_Details2[[#This Row],[Customer_ID]],Customer_Details[#All],4,0)</f>
        <v>Senior</v>
      </c>
      <c r="F56" s="2" t="str">
        <f>VLOOKUP(Sales_Details2[[#This Row],[Customer_ID]],Customer_Details[#All],5,0)</f>
        <v>Female</v>
      </c>
      <c r="G56" s="2" t="str">
        <f>VLOOKUP(Sales_Details2[[#This Row],[Customer_ID]],Customer_Details[#All],9,0)</f>
        <v>Platinum</v>
      </c>
      <c r="H56" s="2" t="s">
        <v>1611</v>
      </c>
      <c r="I56" s="2" t="str">
        <f>VLOOKUP(Sales_Details2[[#This Row],[Product_ID]],Product_details[[#All],[Product_ID]:[Cost]],3,0)</f>
        <v>Electronics</v>
      </c>
      <c r="J56" s="2" t="str">
        <f>VLOOKUP(Sales_Details2[[#This Row],[Product_ID]],Product_details[[#All],[Product_ID]:[Cost]],4,0)</f>
        <v>Audio</v>
      </c>
      <c r="K56" s="2" t="s">
        <v>1772</v>
      </c>
      <c r="L56" s="2" t="str">
        <f>_xlfn.XLOOKUP(Sales_Details2[[#This Row],[Store_ID]],Table2[Store_ID],Table2[Region],"Region not found")</f>
        <v>East</v>
      </c>
      <c r="M56" s="25">
        <v>4</v>
      </c>
      <c r="N56" s="36">
        <v>428.09</v>
      </c>
      <c r="O56" s="29">
        <v>7.0000000000000007E-2</v>
      </c>
      <c r="P56" s="2" t="s">
        <v>1807</v>
      </c>
      <c r="Q56" s="36">
        <v>1592.4947999999999</v>
      </c>
    </row>
    <row r="57" spans="1:17" x14ac:dyDescent="0.3">
      <c r="A57" s="2" t="s">
        <v>1864</v>
      </c>
      <c r="B57" s="14">
        <v>45589</v>
      </c>
      <c r="C57" s="2">
        <f>YEAR(Sales_Details2[[#This Row],[Order_Date]])</f>
        <v>2024</v>
      </c>
      <c r="D57" s="2" t="s">
        <v>1278</v>
      </c>
      <c r="E57" s="2" t="str">
        <f>VLOOKUP(Sales_Details2[[#This Row],[Customer_ID]],Customer_Details[#All],4,0)</f>
        <v>Mid-Adult</v>
      </c>
      <c r="F57" s="2" t="str">
        <f>VLOOKUP(Sales_Details2[[#This Row],[Customer_ID]],Customer_Details[#All],5,0)</f>
        <v>Male</v>
      </c>
      <c r="G57" s="2" t="str">
        <f>VLOOKUP(Sales_Details2[[#This Row],[Customer_ID]],Customer_Details[#All],9,0)</f>
        <v>Platinum</v>
      </c>
      <c r="H57" s="2" t="s">
        <v>1629</v>
      </c>
      <c r="I57" s="2" t="str">
        <f>VLOOKUP(Sales_Details2[[#This Row],[Product_ID]],Product_details[[#All],[Product_ID]:[Cost]],3,0)</f>
        <v>Beauty</v>
      </c>
      <c r="J57" s="2" t="str">
        <f>VLOOKUP(Sales_Details2[[#This Row],[Product_ID]],Product_details[[#All],[Product_ID]:[Cost]],4,0)</f>
        <v>Fragrance</v>
      </c>
      <c r="K57" s="2" t="s">
        <v>1775</v>
      </c>
      <c r="L57" s="2" t="str">
        <f>_xlfn.XLOOKUP(Sales_Details2[[#This Row],[Store_ID]],Table2[Store_ID],Table2[Region],"Region not found")</f>
        <v>South</v>
      </c>
      <c r="M57" s="25">
        <v>2</v>
      </c>
      <c r="N57" s="36">
        <v>559.71</v>
      </c>
      <c r="O57" s="29">
        <v>0.3</v>
      </c>
      <c r="P57" s="2" t="s">
        <v>1812</v>
      </c>
      <c r="Q57" s="36">
        <v>783.59400000000005</v>
      </c>
    </row>
    <row r="58" spans="1:17" x14ac:dyDescent="0.3">
      <c r="A58" s="2" t="s">
        <v>1865</v>
      </c>
      <c r="B58" s="14">
        <v>45282</v>
      </c>
      <c r="C58" s="2">
        <f>YEAR(Sales_Details2[[#This Row],[Order_Date]])</f>
        <v>2023</v>
      </c>
      <c r="D58" s="2" t="s">
        <v>289</v>
      </c>
      <c r="E58" s="2" t="str">
        <f>VLOOKUP(Sales_Details2[[#This Row],[Customer_ID]],Customer_Details[#All],4,0)</f>
        <v>Senior</v>
      </c>
      <c r="F58" s="2" t="str">
        <f>VLOOKUP(Sales_Details2[[#This Row],[Customer_ID]],Customer_Details[#All],5,0)</f>
        <v>Female</v>
      </c>
      <c r="G58" s="2" t="str">
        <f>VLOOKUP(Sales_Details2[[#This Row],[Customer_ID]],Customer_Details[#All],9,0)</f>
        <v>Bronze</v>
      </c>
      <c r="H58" s="2" t="s">
        <v>1599</v>
      </c>
      <c r="I58" s="2" t="str">
        <f>VLOOKUP(Sales_Details2[[#This Row],[Product_ID]],Product_details[[#All],[Product_ID]:[Cost]],3,0)</f>
        <v>Electronics</v>
      </c>
      <c r="J58" s="2" t="str">
        <f>VLOOKUP(Sales_Details2[[#This Row],[Product_ID]],Product_details[[#All],[Product_ID]:[Cost]],4,0)</f>
        <v>Computer</v>
      </c>
      <c r="K58" s="2" t="s">
        <v>1759</v>
      </c>
      <c r="L58" s="2" t="str">
        <f>_xlfn.XLOOKUP(Sales_Details2[[#This Row],[Store_ID]],Table2[Store_ID],Table2[Region],"Region not found")</f>
        <v>East</v>
      </c>
      <c r="M58" s="25">
        <v>2</v>
      </c>
      <c r="N58" s="36">
        <v>833.7</v>
      </c>
      <c r="O58" s="29">
        <v>0.06</v>
      </c>
      <c r="P58" s="2" t="s">
        <v>1809</v>
      </c>
      <c r="Q58" s="36">
        <v>1567.356</v>
      </c>
    </row>
    <row r="59" spans="1:17" x14ac:dyDescent="0.3">
      <c r="A59" s="2" t="s">
        <v>1866</v>
      </c>
      <c r="B59" s="14">
        <v>45462</v>
      </c>
      <c r="C59" s="2">
        <f>YEAR(Sales_Details2[[#This Row],[Order_Date]])</f>
        <v>2024</v>
      </c>
      <c r="D59" s="2" t="s">
        <v>1424</v>
      </c>
      <c r="E59" s="2" t="str">
        <f>VLOOKUP(Sales_Details2[[#This Row],[Customer_ID]],Customer_Details[#All],4,0)</f>
        <v>Senior</v>
      </c>
      <c r="F59" s="2" t="str">
        <f>VLOOKUP(Sales_Details2[[#This Row],[Customer_ID]],Customer_Details[#All],5,0)</f>
        <v>Female</v>
      </c>
      <c r="G59" s="2" t="str">
        <f>VLOOKUP(Sales_Details2[[#This Row],[Customer_ID]],Customer_Details[#All],9,0)</f>
        <v>Gold</v>
      </c>
      <c r="H59" s="2" t="s">
        <v>1625</v>
      </c>
      <c r="I59" s="2" t="str">
        <f>VLOOKUP(Sales_Details2[[#This Row],[Product_ID]],Product_details[[#All],[Product_ID]:[Cost]],3,0)</f>
        <v>Beauty</v>
      </c>
      <c r="J59" s="2" t="str">
        <f>VLOOKUP(Sales_Details2[[#This Row],[Product_ID]],Product_details[[#All],[Product_ID]:[Cost]],4,0)</f>
        <v>Makeup</v>
      </c>
      <c r="K59" s="2" t="s">
        <v>1782</v>
      </c>
      <c r="L59" s="2" t="str">
        <f>_xlfn.XLOOKUP(Sales_Details2[[#This Row],[Store_ID]],Table2[Store_ID],Table2[Region],"Region not found")</f>
        <v>South</v>
      </c>
      <c r="M59" s="25">
        <v>2</v>
      </c>
      <c r="N59" s="36">
        <v>680.16</v>
      </c>
      <c r="O59" s="29">
        <v>0.28000000000000003</v>
      </c>
      <c r="P59" s="2" t="s">
        <v>1807</v>
      </c>
      <c r="Q59" s="36">
        <v>979.43039999999996</v>
      </c>
    </row>
    <row r="60" spans="1:17" x14ac:dyDescent="0.3">
      <c r="A60" s="2" t="s">
        <v>1867</v>
      </c>
      <c r="B60" s="14">
        <v>45633</v>
      </c>
      <c r="C60" s="2">
        <f>YEAR(Sales_Details2[[#This Row],[Order_Date]])</f>
        <v>2024</v>
      </c>
      <c r="D60" s="2" t="s">
        <v>1243</v>
      </c>
      <c r="E60" s="2" t="str">
        <f>VLOOKUP(Sales_Details2[[#This Row],[Customer_ID]],Customer_Details[#All],4,0)</f>
        <v>Adult</v>
      </c>
      <c r="F60" s="2" t="str">
        <f>VLOOKUP(Sales_Details2[[#This Row],[Customer_ID]],Customer_Details[#All],5,0)</f>
        <v>Female</v>
      </c>
      <c r="G60" s="2" t="str">
        <f>VLOOKUP(Sales_Details2[[#This Row],[Customer_ID]],Customer_Details[#All],9,0)</f>
        <v>Silver</v>
      </c>
      <c r="H60" s="2" t="s">
        <v>1561</v>
      </c>
      <c r="I60" s="2" t="str">
        <f>VLOOKUP(Sales_Details2[[#This Row],[Product_ID]],Product_details[[#All],[Product_ID]:[Cost]],3,0)</f>
        <v>Electronics</v>
      </c>
      <c r="J60" s="2" t="str">
        <f>VLOOKUP(Sales_Details2[[#This Row],[Product_ID]],Product_details[[#All],[Product_ID]:[Cost]],4,0)</f>
        <v>Appliances</v>
      </c>
      <c r="K60" s="2" t="s">
        <v>1762</v>
      </c>
      <c r="L60" s="2" t="str">
        <f>_xlfn.XLOOKUP(Sales_Details2[[#This Row],[Store_ID]],Table2[Store_ID],Table2[Region],"Region not found")</f>
        <v>South</v>
      </c>
      <c r="M60" s="25">
        <v>4</v>
      </c>
      <c r="N60" s="36">
        <v>733.42</v>
      </c>
      <c r="O60" s="30">
        <f>(1-Sales_Details2[[#This Row],[Total_Amount]]/(Sales_Details2[[#This Row],[Quantity]]*Sales_Details2[[#This Row],[Unit_Price]]))</f>
        <v>0.13</v>
      </c>
      <c r="P60" s="2" t="s">
        <v>1809</v>
      </c>
      <c r="Q60" s="36">
        <v>2552.3015999999998</v>
      </c>
    </row>
    <row r="61" spans="1:17" x14ac:dyDescent="0.3">
      <c r="A61" s="2" t="s">
        <v>1868</v>
      </c>
      <c r="B61" s="14">
        <v>45257</v>
      </c>
      <c r="C61" s="2">
        <f>YEAR(Sales_Details2[[#This Row],[Order_Date]])</f>
        <v>2023</v>
      </c>
      <c r="D61" s="2" t="s">
        <v>1135</v>
      </c>
      <c r="E61" s="2" t="str">
        <f>VLOOKUP(Sales_Details2[[#This Row],[Customer_ID]],Customer_Details[#All],4,0)</f>
        <v>Senior</v>
      </c>
      <c r="F61" s="2" t="str">
        <f>VLOOKUP(Sales_Details2[[#This Row],[Customer_ID]],Customer_Details[#All],5,0)</f>
        <v>Male</v>
      </c>
      <c r="G61" s="2" t="str">
        <f>VLOOKUP(Sales_Details2[[#This Row],[Customer_ID]],Customer_Details[#All],9,0)</f>
        <v>Bronze</v>
      </c>
      <c r="H61" s="2" t="s">
        <v>1709</v>
      </c>
      <c r="I61" s="2" t="str">
        <f>VLOOKUP(Sales_Details2[[#This Row],[Product_ID]],Product_details[[#All],[Product_ID]:[Cost]],3,0)</f>
        <v>Beauty</v>
      </c>
      <c r="J61" s="2" t="str">
        <f>VLOOKUP(Sales_Details2[[#This Row],[Product_ID]],Product_details[[#All],[Product_ID]:[Cost]],4,0)</f>
        <v>Makeup</v>
      </c>
      <c r="K61" s="2" t="s">
        <v>1775</v>
      </c>
      <c r="L61" s="2" t="str">
        <f>_xlfn.XLOOKUP(Sales_Details2[[#This Row],[Store_ID]],Table2[Store_ID],Table2[Region],"Region not found")</f>
        <v>South</v>
      </c>
      <c r="M61" s="25">
        <v>1</v>
      </c>
      <c r="N61" s="36">
        <v>996.33</v>
      </c>
      <c r="O61" s="29">
        <v>0.23</v>
      </c>
      <c r="P61" s="2" t="s">
        <v>1809</v>
      </c>
      <c r="Q61" s="36">
        <v>767.17410000000007</v>
      </c>
    </row>
    <row r="62" spans="1:17" x14ac:dyDescent="0.3">
      <c r="A62" s="2" t="s">
        <v>1869</v>
      </c>
      <c r="B62" s="14">
        <v>45854</v>
      </c>
      <c r="C62" s="2">
        <f>YEAR(Sales_Details2[[#This Row],[Order_Date]])</f>
        <v>2025</v>
      </c>
      <c r="D62" s="2" t="s">
        <v>1255</v>
      </c>
      <c r="E62" s="2" t="str">
        <f>VLOOKUP(Sales_Details2[[#This Row],[Customer_ID]],Customer_Details[#All],4,0)</f>
        <v>Mid-Adult</v>
      </c>
      <c r="F62" s="2" t="str">
        <f>VLOOKUP(Sales_Details2[[#This Row],[Customer_ID]],Customer_Details[#All],5,0)</f>
        <v>Male</v>
      </c>
      <c r="G62" s="2" t="str">
        <f>VLOOKUP(Sales_Details2[[#This Row],[Customer_ID]],Customer_Details[#All],9,0)</f>
        <v>Gold</v>
      </c>
      <c r="H62" s="2" t="s">
        <v>1593</v>
      </c>
      <c r="I62" s="2" t="str">
        <f>VLOOKUP(Sales_Details2[[#This Row],[Product_ID]],Product_details[[#All],[Product_ID]:[Cost]],3,0)</f>
        <v>Sports</v>
      </c>
      <c r="J62" s="2" t="str">
        <f>VLOOKUP(Sales_Details2[[#This Row],[Product_ID]],Product_details[[#All],[Product_ID]:[Cost]],4,0)</f>
        <v>Team Sports</v>
      </c>
      <c r="K62" s="2" t="s">
        <v>1772</v>
      </c>
      <c r="L62" s="2" t="str">
        <f>_xlfn.XLOOKUP(Sales_Details2[[#This Row],[Store_ID]],Table2[Store_ID],Table2[Region],"Region not found")</f>
        <v>East</v>
      </c>
      <c r="M62" s="25">
        <v>1</v>
      </c>
      <c r="N62" s="36">
        <v>198.83</v>
      </c>
      <c r="O62" s="29">
        <v>0.09</v>
      </c>
      <c r="P62" s="2" t="s">
        <v>1812</v>
      </c>
      <c r="Q62" s="36">
        <v>180.93530000000001</v>
      </c>
    </row>
    <row r="63" spans="1:17" x14ac:dyDescent="0.3">
      <c r="A63" s="2" t="s">
        <v>1870</v>
      </c>
      <c r="B63" s="14">
        <v>45716</v>
      </c>
      <c r="C63" s="2">
        <f>YEAR(Sales_Details2[[#This Row],[Order_Date]])</f>
        <v>2025</v>
      </c>
      <c r="D63" s="2" t="s">
        <v>761</v>
      </c>
      <c r="E63" s="2" t="str">
        <f>VLOOKUP(Sales_Details2[[#This Row],[Customer_ID]],Customer_Details[#All],4,0)</f>
        <v>Senior</v>
      </c>
      <c r="F63" s="2" t="str">
        <f>VLOOKUP(Sales_Details2[[#This Row],[Customer_ID]],Customer_Details[#All],5,0)</f>
        <v>Female</v>
      </c>
      <c r="G63" s="2" t="str">
        <f>VLOOKUP(Sales_Details2[[#This Row],[Customer_ID]],Customer_Details[#All],9,0)</f>
        <v>Platinum</v>
      </c>
      <c r="H63" s="2" t="s">
        <v>1569</v>
      </c>
      <c r="I63" s="2" t="str">
        <f>VLOOKUP(Sales_Details2[[#This Row],[Product_ID]],Product_details[[#All],[Product_ID]:[Cost]],3,0)</f>
        <v>Sports</v>
      </c>
      <c r="J63" s="2" t="str">
        <f>VLOOKUP(Sales_Details2[[#This Row],[Product_ID]],Product_details[[#All],[Product_ID]:[Cost]],4,0)</f>
        <v>Equipment</v>
      </c>
      <c r="K63" s="2" t="s">
        <v>1762</v>
      </c>
      <c r="L63" s="2" t="str">
        <f>_xlfn.XLOOKUP(Sales_Details2[[#This Row],[Store_ID]],Table2[Store_ID],Table2[Region],"Region not found")</f>
        <v>South</v>
      </c>
      <c r="M63" s="25">
        <v>1</v>
      </c>
      <c r="N63" s="36">
        <v>374.92</v>
      </c>
      <c r="O63" s="29">
        <v>0.18</v>
      </c>
      <c r="P63" s="2" t="s">
        <v>1809</v>
      </c>
      <c r="Q63" s="36">
        <v>307.43439999999998</v>
      </c>
    </row>
    <row r="64" spans="1:17" x14ac:dyDescent="0.3">
      <c r="A64" s="2" t="s">
        <v>1871</v>
      </c>
      <c r="B64" s="14">
        <v>45515</v>
      </c>
      <c r="C64" s="2">
        <f>YEAR(Sales_Details2[[#This Row],[Order_Date]])</f>
        <v>2024</v>
      </c>
      <c r="D64" s="2" t="s">
        <v>1415</v>
      </c>
      <c r="E64" s="2" t="str">
        <f>VLOOKUP(Sales_Details2[[#This Row],[Customer_ID]],Customer_Details[#All],4,0)</f>
        <v>Mid-Adult</v>
      </c>
      <c r="F64" s="2" t="str">
        <f>VLOOKUP(Sales_Details2[[#This Row],[Customer_ID]],Customer_Details[#All],5,0)</f>
        <v>Female</v>
      </c>
      <c r="G64" s="2" t="str">
        <f>VLOOKUP(Sales_Details2[[#This Row],[Customer_ID]],Customer_Details[#All],9,0)</f>
        <v>Platinum</v>
      </c>
      <c r="H64" s="2" t="s">
        <v>1717</v>
      </c>
      <c r="I64" s="2" t="str">
        <f>VLOOKUP(Sales_Details2[[#This Row],[Product_ID]],Product_details[[#All],[Product_ID]:[Cost]],3,0)</f>
        <v>Electronics</v>
      </c>
      <c r="J64" s="2" t="str">
        <f>VLOOKUP(Sales_Details2[[#This Row],[Product_ID]],Product_details[[#All],[Product_ID]:[Cost]],4,0)</f>
        <v>Computer</v>
      </c>
      <c r="K64" s="2" t="s">
        <v>1787</v>
      </c>
      <c r="L64" s="2" t="str">
        <f>_xlfn.XLOOKUP(Sales_Details2[[#This Row],[Store_ID]],Table2[Store_ID],Table2[Region],"Region not found")</f>
        <v>West</v>
      </c>
      <c r="M64" s="25">
        <v>1</v>
      </c>
      <c r="N64" s="36">
        <v>468.94</v>
      </c>
      <c r="O64" s="29">
        <v>0.12</v>
      </c>
      <c r="P64" s="2" t="s">
        <v>1807</v>
      </c>
      <c r="Q64" s="36">
        <v>412.66719999999998</v>
      </c>
    </row>
    <row r="65" spans="1:17" x14ac:dyDescent="0.3">
      <c r="A65" s="2" t="s">
        <v>1872</v>
      </c>
      <c r="B65" s="14">
        <v>45927</v>
      </c>
      <c r="C65" s="2">
        <f>YEAR(Sales_Details2[[#This Row],[Order_Date]])</f>
        <v>2025</v>
      </c>
      <c r="D65" s="2" t="s">
        <v>430</v>
      </c>
      <c r="E65" s="2" t="str">
        <f>VLOOKUP(Sales_Details2[[#This Row],[Customer_ID]],Customer_Details[#All],4,0)</f>
        <v>Senior</v>
      </c>
      <c r="F65" s="2" t="str">
        <f>VLOOKUP(Sales_Details2[[#This Row],[Customer_ID]],Customer_Details[#All],5,0)</f>
        <v>Female</v>
      </c>
      <c r="G65" s="2" t="str">
        <f>VLOOKUP(Sales_Details2[[#This Row],[Customer_ID]],Customer_Details[#All],9,0)</f>
        <v>Gold</v>
      </c>
      <c r="H65" s="2" t="s">
        <v>1709</v>
      </c>
      <c r="I65" s="2" t="str">
        <f>VLOOKUP(Sales_Details2[[#This Row],[Product_ID]],Product_details[[#All],[Product_ID]:[Cost]],3,0)</f>
        <v>Beauty</v>
      </c>
      <c r="J65" s="2" t="str">
        <f>VLOOKUP(Sales_Details2[[#This Row],[Product_ID]],Product_details[[#All],[Product_ID]:[Cost]],4,0)</f>
        <v>Makeup</v>
      </c>
      <c r="K65" s="2" t="s">
        <v>1777</v>
      </c>
      <c r="L65" s="2" t="str">
        <f>_xlfn.XLOOKUP(Sales_Details2[[#This Row],[Store_ID]],Table2[Store_ID],Table2[Region],"Region not found")</f>
        <v>North</v>
      </c>
      <c r="M65" s="25">
        <v>2</v>
      </c>
      <c r="N65" s="36">
        <v>121.37</v>
      </c>
      <c r="O65" s="29">
        <v>0.05</v>
      </c>
      <c r="P65" s="2" t="s">
        <v>1807</v>
      </c>
      <c r="Q65" s="36">
        <v>230.60300000000001</v>
      </c>
    </row>
    <row r="66" spans="1:17" x14ac:dyDescent="0.3">
      <c r="A66" s="2" t="s">
        <v>1873</v>
      </c>
      <c r="B66" s="14">
        <v>45914</v>
      </c>
      <c r="C66" s="2">
        <f>YEAR(Sales_Details2[[#This Row],[Order_Date]])</f>
        <v>2025</v>
      </c>
      <c r="D66" s="2" t="s">
        <v>808</v>
      </c>
      <c r="E66" s="2" t="str">
        <f>VLOOKUP(Sales_Details2[[#This Row],[Customer_ID]],Customer_Details[#All],4,0)</f>
        <v>Adult</v>
      </c>
      <c r="F66" s="2" t="str">
        <f>VLOOKUP(Sales_Details2[[#This Row],[Customer_ID]],Customer_Details[#All],5,0)</f>
        <v>Male</v>
      </c>
      <c r="G66" s="2" t="str">
        <f>VLOOKUP(Sales_Details2[[#This Row],[Customer_ID]],Customer_Details[#All],9,0)</f>
        <v>Gold</v>
      </c>
      <c r="H66" s="2" t="s">
        <v>1637</v>
      </c>
      <c r="I66" s="2" t="str">
        <f>VLOOKUP(Sales_Details2[[#This Row],[Product_ID]],Product_details[[#All],[Product_ID]:[Cost]],3,0)</f>
        <v>Clothing</v>
      </c>
      <c r="J66" s="2" t="str">
        <f>VLOOKUP(Sales_Details2[[#This Row],[Product_ID]],Product_details[[#All],[Product_ID]:[Cost]],4,0)</f>
        <v>Bottoms</v>
      </c>
      <c r="K66" s="2" t="s">
        <v>1772</v>
      </c>
      <c r="L66" s="2" t="str">
        <f>_xlfn.XLOOKUP(Sales_Details2[[#This Row],[Store_ID]],Table2[Store_ID],Table2[Region],"Region not found")</f>
        <v>East</v>
      </c>
      <c r="M66" s="25">
        <v>3</v>
      </c>
      <c r="N66" s="36">
        <v>480.06</v>
      </c>
      <c r="O66" s="29">
        <v>0.01</v>
      </c>
      <c r="P66" s="2" t="s">
        <v>1807</v>
      </c>
      <c r="Q66" s="37">
        <f>Sales_Details2[[#This Row],[Quantity]]*Sales_Details2[[#This Row],[Unit_Price]]*(1-Sales_Details2[[#This Row],[Discount]])</f>
        <v>1425.7782</v>
      </c>
    </row>
    <row r="67" spans="1:17" x14ac:dyDescent="0.3">
      <c r="A67" s="2" t="s">
        <v>1874</v>
      </c>
      <c r="B67" s="14">
        <v>45290</v>
      </c>
      <c r="C67" s="2">
        <f>YEAR(Sales_Details2[[#This Row],[Order_Date]])</f>
        <v>2023</v>
      </c>
      <c r="D67" s="2" t="s">
        <v>536</v>
      </c>
      <c r="E67" s="2" t="str">
        <f>VLOOKUP(Sales_Details2[[#This Row],[Customer_ID]],Customer_Details[#All],4,0)</f>
        <v>Mid-Adult</v>
      </c>
      <c r="F67" s="2" t="str">
        <f>VLOOKUP(Sales_Details2[[#This Row],[Customer_ID]],Customer_Details[#All],5,0)</f>
        <v>Male</v>
      </c>
      <c r="G67" s="2" t="str">
        <f>VLOOKUP(Sales_Details2[[#This Row],[Customer_ID]],Customer_Details[#All],9,0)</f>
        <v>Silver</v>
      </c>
      <c r="H67" s="2" t="s">
        <v>1729</v>
      </c>
      <c r="I67" s="2" t="str">
        <f>VLOOKUP(Sales_Details2[[#This Row],[Product_ID]],Product_details[[#All],[Product_ID]:[Cost]],3,0)</f>
        <v>Home</v>
      </c>
      <c r="J67" s="2" t="str">
        <f>VLOOKUP(Sales_Details2[[#This Row],[Product_ID]],Product_details[[#All],[Product_ID]:[Cost]],4,0)</f>
        <v>Kitchen</v>
      </c>
      <c r="K67" s="2" t="s">
        <v>1790</v>
      </c>
      <c r="L67" s="2" t="str">
        <f>_xlfn.XLOOKUP(Sales_Details2[[#This Row],[Store_ID]],Table2[Store_ID],Table2[Region],"Region not found")</f>
        <v>North</v>
      </c>
      <c r="M67" s="25">
        <v>2</v>
      </c>
      <c r="N67" s="36">
        <v>856.57</v>
      </c>
      <c r="O67" s="29">
        <v>0.24</v>
      </c>
      <c r="P67" s="2" t="s">
        <v>1807</v>
      </c>
      <c r="Q67" s="36">
        <v>1301.9864</v>
      </c>
    </row>
    <row r="68" spans="1:17" x14ac:dyDescent="0.3">
      <c r="A68" s="2" t="s">
        <v>1875</v>
      </c>
      <c r="B68" s="14">
        <v>45213</v>
      </c>
      <c r="C68" s="2">
        <f>YEAR(Sales_Details2[[#This Row],[Order_Date]])</f>
        <v>2023</v>
      </c>
      <c r="D68" s="2" t="s">
        <v>850</v>
      </c>
      <c r="E68" s="2" t="str">
        <f>VLOOKUP(Sales_Details2[[#This Row],[Customer_ID]],Customer_Details[#All],4,0)</f>
        <v>Mid-Adult</v>
      </c>
      <c r="F68" s="2" t="str">
        <f>VLOOKUP(Sales_Details2[[#This Row],[Customer_ID]],Customer_Details[#All],5,0)</f>
        <v>Female</v>
      </c>
      <c r="G68" s="2" t="str">
        <f>VLOOKUP(Sales_Details2[[#This Row],[Customer_ID]],Customer_Details[#All],9,0)</f>
        <v>Silver</v>
      </c>
      <c r="H68" s="2" t="s">
        <v>1685</v>
      </c>
      <c r="I68" s="2" t="str">
        <f>VLOOKUP(Sales_Details2[[#This Row],[Product_ID]],Product_details[[#All],[Product_ID]:[Cost]],3,0)</f>
        <v>Electronics</v>
      </c>
      <c r="J68" s="2" t="str">
        <f>VLOOKUP(Sales_Details2[[#This Row],[Product_ID]],Product_details[[#All],[Product_ID]:[Cost]],4,0)</f>
        <v>Appliances</v>
      </c>
      <c r="K68" s="2" t="s">
        <v>1744</v>
      </c>
      <c r="L68" s="2" t="str">
        <f>_xlfn.XLOOKUP(Sales_Details2[[#This Row],[Store_ID]],Table2[Store_ID],Table2[Region],"Region not found")</f>
        <v>South</v>
      </c>
      <c r="M68" s="25">
        <v>4</v>
      </c>
      <c r="N68" s="36">
        <v>814.25</v>
      </c>
      <c r="O68" s="29">
        <v>0.18</v>
      </c>
      <c r="P68" s="2" t="s">
        <v>1807</v>
      </c>
      <c r="Q68" s="36">
        <v>2670.74</v>
      </c>
    </row>
    <row r="69" spans="1:17" x14ac:dyDescent="0.3">
      <c r="A69" s="2" t="s">
        <v>1876</v>
      </c>
      <c r="B69" s="14">
        <v>45255</v>
      </c>
      <c r="C69" s="2">
        <f>YEAR(Sales_Details2[[#This Row],[Order_Date]])</f>
        <v>2023</v>
      </c>
      <c r="D69" s="2" t="s">
        <v>1470</v>
      </c>
      <c r="E69" s="2" t="str">
        <f>VLOOKUP(Sales_Details2[[#This Row],[Customer_ID]],Customer_Details[#All],4,0)</f>
        <v>Mid-Adult</v>
      </c>
      <c r="F69" s="2" t="str">
        <f>VLOOKUP(Sales_Details2[[#This Row],[Customer_ID]],Customer_Details[#All],5,0)</f>
        <v>Male</v>
      </c>
      <c r="G69" s="2" t="str">
        <f>VLOOKUP(Sales_Details2[[#This Row],[Customer_ID]],Customer_Details[#All],9,0)</f>
        <v>Gold</v>
      </c>
      <c r="H69" s="2" t="s">
        <v>1555</v>
      </c>
      <c r="I69" s="2" t="str">
        <f>VLOOKUP(Sales_Details2[[#This Row],[Product_ID]],Product_details[[#All],[Product_ID]:[Cost]],3,0)</f>
        <v>Beauty</v>
      </c>
      <c r="J69" s="2" t="str">
        <f>VLOOKUP(Sales_Details2[[#This Row],[Product_ID]],Product_details[[#All],[Product_ID]:[Cost]],4,0)</f>
        <v>Haircare</v>
      </c>
      <c r="K69" s="2" t="s">
        <v>1744</v>
      </c>
      <c r="L69" s="2" t="str">
        <f>_xlfn.XLOOKUP(Sales_Details2[[#This Row],[Store_ID]],Table2[Store_ID],Table2[Region],"Region not found")</f>
        <v>South</v>
      </c>
      <c r="M69" s="25">
        <v>1</v>
      </c>
      <c r="N69" s="36">
        <v>989.17</v>
      </c>
      <c r="O69" s="29">
        <v>0.2</v>
      </c>
      <c r="P69" s="2" t="s">
        <v>1809</v>
      </c>
      <c r="Q69" s="36">
        <v>791.33600000000001</v>
      </c>
    </row>
    <row r="70" spans="1:17" x14ac:dyDescent="0.3">
      <c r="A70" s="2" t="s">
        <v>1877</v>
      </c>
      <c r="B70" s="14">
        <v>45270</v>
      </c>
      <c r="C70" s="2">
        <f>YEAR(Sales_Details2[[#This Row],[Order_Date]])</f>
        <v>2023</v>
      </c>
      <c r="D70" s="2" t="s">
        <v>1150</v>
      </c>
      <c r="E70" s="2" t="str">
        <f>VLOOKUP(Sales_Details2[[#This Row],[Customer_ID]],Customer_Details[#All],4,0)</f>
        <v>Adult</v>
      </c>
      <c r="F70" s="2" t="str">
        <f>VLOOKUP(Sales_Details2[[#This Row],[Customer_ID]],Customer_Details[#All],5,0)</f>
        <v>Male</v>
      </c>
      <c r="G70" s="2" t="str">
        <f>VLOOKUP(Sales_Details2[[#This Row],[Customer_ID]],Customer_Details[#All],9,0)</f>
        <v>Bronze</v>
      </c>
      <c r="H70" s="2" t="s">
        <v>1675</v>
      </c>
      <c r="I70" s="2" t="str">
        <f>VLOOKUP(Sales_Details2[[#This Row],[Product_ID]],Product_details[[#All],[Product_ID]:[Cost]],3,0)</f>
        <v>Sports</v>
      </c>
      <c r="J70" s="2" t="str">
        <f>VLOOKUP(Sales_Details2[[#This Row],[Product_ID]],Product_details[[#All],[Product_ID]:[Cost]],4,0)</f>
        <v>Fitness</v>
      </c>
      <c r="K70" s="2" t="s">
        <v>1772</v>
      </c>
      <c r="L70" s="2" t="str">
        <f>_xlfn.XLOOKUP(Sales_Details2[[#This Row],[Store_ID]],Table2[Store_ID],Table2[Region],"Region not found")</f>
        <v>East</v>
      </c>
      <c r="M70" s="25">
        <v>4</v>
      </c>
      <c r="N70" s="36">
        <v>62.48</v>
      </c>
      <c r="O70" s="29">
        <v>0.18</v>
      </c>
      <c r="P70" s="2" t="s">
        <v>1807</v>
      </c>
      <c r="Q70" s="36">
        <v>204.93440000000001</v>
      </c>
    </row>
    <row r="71" spans="1:17" x14ac:dyDescent="0.3">
      <c r="A71" s="2" t="s">
        <v>1878</v>
      </c>
      <c r="B71" s="14">
        <v>45897</v>
      </c>
      <c r="C71" s="2">
        <f>YEAR(Sales_Details2[[#This Row],[Order_Date]])</f>
        <v>2025</v>
      </c>
      <c r="D71" s="2" t="s">
        <v>1297</v>
      </c>
      <c r="E71" s="2" t="str">
        <f>VLOOKUP(Sales_Details2[[#This Row],[Customer_ID]],Customer_Details[#All],4,0)</f>
        <v>Mid-Adult</v>
      </c>
      <c r="F71" s="2" t="str">
        <f>VLOOKUP(Sales_Details2[[#This Row],[Customer_ID]],Customer_Details[#All],5,0)</f>
        <v>Male</v>
      </c>
      <c r="G71" s="2" t="str">
        <f>VLOOKUP(Sales_Details2[[#This Row],[Customer_ID]],Customer_Details[#All],9,0)</f>
        <v>Silver</v>
      </c>
      <c r="H71" s="2" t="s">
        <v>1557</v>
      </c>
      <c r="I71" s="2" t="str">
        <f>VLOOKUP(Sales_Details2[[#This Row],[Product_ID]],Product_details[[#All],[Product_ID]:[Cost]],3,0)</f>
        <v>Electronics</v>
      </c>
      <c r="J71" s="2" t="str">
        <f>VLOOKUP(Sales_Details2[[#This Row],[Product_ID]],Product_details[[#All],[Product_ID]:[Cost]],4,0)</f>
        <v>Accessories</v>
      </c>
      <c r="K71" s="2" t="s">
        <v>1787</v>
      </c>
      <c r="L71" s="2" t="str">
        <f>_xlfn.XLOOKUP(Sales_Details2[[#This Row],[Store_ID]],Table2[Store_ID],Table2[Region],"Region not found")</f>
        <v>West</v>
      </c>
      <c r="M71" s="25">
        <v>4</v>
      </c>
      <c r="N71" s="36">
        <v>561.24</v>
      </c>
      <c r="O71" s="29">
        <v>0.24</v>
      </c>
      <c r="P71" s="2" t="s">
        <v>1807</v>
      </c>
      <c r="Q71" s="36">
        <v>1706.1695999999999</v>
      </c>
    </row>
    <row r="72" spans="1:17" x14ac:dyDescent="0.3">
      <c r="A72" s="2" t="s">
        <v>1879</v>
      </c>
      <c r="B72" s="14">
        <v>45849</v>
      </c>
      <c r="C72" s="2">
        <f>YEAR(Sales_Details2[[#This Row],[Order_Date]])</f>
        <v>2025</v>
      </c>
      <c r="D72" s="2" t="s">
        <v>215</v>
      </c>
      <c r="E72" s="2" t="str">
        <f>VLOOKUP(Sales_Details2[[#This Row],[Customer_ID]],Customer_Details[#All],4,0)</f>
        <v>Senior</v>
      </c>
      <c r="F72" s="2" t="str">
        <f>VLOOKUP(Sales_Details2[[#This Row],[Customer_ID]],Customer_Details[#All],5,0)</f>
        <v>Male</v>
      </c>
      <c r="G72" s="2" t="str">
        <f>VLOOKUP(Sales_Details2[[#This Row],[Customer_ID]],Customer_Details[#All],9,0)</f>
        <v>Platinum</v>
      </c>
      <c r="H72" s="2" t="s">
        <v>1651</v>
      </c>
      <c r="I72" s="2" t="str">
        <f>VLOOKUP(Sales_Details2[[#This Row],[Product_ID]],Product_details[[#All],[Product_ID]:[Cost]],3,0)</f>
        <v>Beauty</v>
      </c>
      <c r="J72" s="2" t="str">
        <f>VLOOKUP(Sales_Details2[[#This Row],[Product_ID]],Product_details[[#All],[Product_ID]:[Cost]],4,0)</f>
        <v>Fragrance</v>
      </c>
      <c r="K72" s="2" t="s">
        <v>1756</v>
      </c>
      <c r="L72" s="2" t="str">
        <f>_xlfn.XLOOKUP(Sales_Details2[[#This Row],[Store_ID]],Table2[Store_ID],Table2[Region],"Region not found")</f>
        <v>North</v>
      </c>
      <c r="M72" s="25">
        <v>3</v>
      </c>
      <c r="N72" s="36">
        <v>92.24</v>
      </c>
      <c r="O72" s="29">
        <v>0.28000000000000003</v>
      </c>
      <c r="P72" s="2" t="s">
        <v>1812</v>
      </c>
      <c r="Q72" s="37">
        <f>Sales_Details2[[#This Row],[Quantity]]*Sales_Details2[[#This Row],[Unit_Price]]*(1-Sales_Details2[[#This Row],[Discount]])</f>
        <v>199.23839999999998</v>
      </c>
    </row>
    <row r="73" spans="1:17" x14ac:dyDescent="0.3">
      <c r="A73" s="2" t="s">
        <v>1880</v>
      </c>
      <c r="B73" s="14">
        <v>45889</v>
      </c>
      <c r="C73" s="2">
        <f>YEAR(Sales_Details2[[#This Row],[Order_Date]])</f>
        <v>2025</v>
      </c>
      <c r="D73" s="2" t="s">
        <v>554</v>
      </c>
      <c r="E73" s="2" t="str">
        <f>VLOOKUP(Sales_Details2[[#This Row],[Customer_ID]],Customer_Details[#All],4,0)</f>
        <v>Mid-Adult</v>
      </c>
      <c r="F73" s="2" t="str">
        <f>VLOOKUP(Sales_Details2[[#This Row],[Customer_ID]],Customer_Details[#All],5,0)</f>
        <v>Female</v>
      </c>
      <c r="G73" s="2" t="str">
        <f>VLOOKUP(Sales_Details2[[#This Row],[Customer_ID]],Customer_Details[#All],9,0)</f>
        <v>Platinum</v>
      </c>
      <c r="H73" s="2" t="s">
        <v>1675</v>
      </c>
      <c r="I73" s="2" t="str">
        <f>VLOOKUP(Sales_Details2[[#This Row],[Product_ID]],Product_details[[#All],[Product_ID]:[Cost]],3,0)</f>
        <v>Sports</v>
      </c>
      <c r="J73" s="2" t="str">
        <f>VLOOKUP(Sales_Details2[[#This Row],[Product_ID]],Product_details[[#All],[Product_ID]:[Cost]],4,0)</f>
        <v>Fitness</v>
      </c>
      <c r="K73" s="2" t="s">
        <v>1740</v>
      </c>
      <c r="L73" s="2" t="str">
        <f>_xlfn.XLOOKUP(Sales_Details2[[#This Row],[Store_ID]],Table2[Store_ID],Table2[Region],"Region not found")</f>
        <v>North</v>
      </c>
      <c r="M73" s="25">
        <v>2</v>
      </c>
      <c r="N73" s="36">
        <v>668.3</v>
      </c>
      <c r="O73" s="29">
        <v>7.0000000000000007E-2</v>
      </c>
      <c r="P73" s="2" t="s">
        <v>1807</v>
      </c>
      <c r="Q73" s="36">
        <v>1243.038</v>
      </c>
    </row>
    <row r="74" spans="1:17" x14ac:dyDescent="0.3">
      <c r="A74" s="2" t="s">
        <v>1881</v>
      </c>
      <c r="B74" s="14">
        <v>45533</v>
      </c>
      <c r="C74" s="2">
        <f>YEAR(Sales_Details2[[#This Row],[Order_Date]])</f>
        <v>2024</v>
      </c>
      <c r="D74" s="2" t="s">
        <v>1258</v>
      </c>
      <c r="E74" s="2" t="str">
        <f>VLOOKUP(Sales_Details2[[#This Row],[Customer_ID]],Customer_Details[#All],4,0)</f>
        <v>Senior</v>
      </c>
      <c r="F74" s="2" t="str">
        <f>VLOOKUP(Sales_Details2[[#This Row],[Customer_ID]],Customer_Details[#All],5,0)</f>
        <v>Male</v>
      </c>
      <c r="G74" s="2" t="str">
        <f>VLOOKUP(Sales_Details2[[#This Row],[Customer_ID]],Customer_Details[#All],9,0)</f>
        <v>Gold</v>
      </c>
      <c r="H74" s="2" t="s">
        <v>1607</v>
      </c>
      <c r="I74" s="2" t="str">
        <f>VLOOKUP(Sales_Details2[[#This Row],[Product_ID]],Product_details[[#All],[Product_ID]:[Cost]],3,0)</f>
        <v>Sports</v>
      </c>
      <c r="J74" s="2" t="str">
        <f>VLOOKUP(Sales_Details2[[#This Row],[Product_ID]],Product_details[[#All],[Product_ID]:[Cost]],4,0)</f>
        <v>Outdoor</v>
      </c>
      <c r="K74" s="2" t="s">
        <v>1756</v>
      </c>
      <c r="L74" s="2" t="str">
        <f>_xlfn.XLOOKUP(Sales_Details2[[#This Row],[Store_ID]],Table2[Store_ID],Table2[Region],"Region not found")</f>
        <v>North</v>
      </c>
      <c r="M74" s="25">
        <v>1</v>
      </c>
      <c r="N74" s="36">
        <v>553.82000000000005</v>
      </c>
      <c r="O74" s="29">
        <v>0.09</v>
      </c>
      <c r="P74" s="2" t="s">
        <v>1807</v>
      </c>
      <c r="Q74" s="36">
        <v>503.97620000000012</v>
      </c>
    </row>
    <row r="75" spans="1:17" x14ac:dyDescent="0.3">
      <c r="A75" s="2" t="s">
        <v>1882</v>
      </c>
      <c r="B75" s="14">
        <v>45626</v>
      </c>
      <c r="C75" s="2">
        <f>YEAR(Sales_Details2[[#This Row],[Order_Date]])</f>
        <v>2024</v>
      </c>
      <c r="D75" s="2" t="s">
        <v>146</v>
      </c>
      <c r="E75" s="2" t="str">
        <f>VLOOKUP(Sales_Details2[[#This Row],[Customer_ID]],Customer_Details[#All],4,0)</f>
        <v>Adult</v>
      </c>
      <c r="F75" s="2" t="str">
        <f>VLOOKUP(Sales_Details2[[#This Row],[Customer_ID]],Customer_Details[#All],5,0)</f>
        <v>Female</v>
      </c>
      <c r="G75" s="2" t="str">
        <f>VLOOKUP(Sales_Details2[[#This Row],[Customer_ID]],Customer_Details[#All],9,0)</f>
        <v>Platinum</v>
      </c>
      <c r="H75" s="2" t="s">
        <v>1621</v>
      </c>
      <c r="I75" s="2" t="str">
        <f>VLOOKUP(Sales_Details2[[#This Row],[Product_ID]],Product_details[[#All],[Product_ID]:[Cost]],3,0)</f>
        <v>Sports</v>
      </c>
      <c r="J75" s="2" t="str">
        <f>VLOOKUP(Sales_Details2[[#This Row],[Product_ID]],Product_details[[#All],[Product_ID]:[Cost]],4,0)</f>
        <v>Team Sports</v>
      </c>
      <c r="K75" s="2" t="s">
        <v>1775</v>
      </c>
      <c r="L75" s="2" t="str">
        <f>_xlfn.XLOOKUP(Sales_Details2[[#This Row],[Store_ID]],Table2[Store_ID],Table2[Region],"Region not found")</f>
        <v>South</v>
      </c>
      <c r="M75" s="25">
        <v>2</v>
      </c>
      <c r="N75" s="36">
        <v>556.42999999999995</v>
      </c>
      <c r="O75" s="29">
        <v>0.13</v>
      </c>
      <c r="P75" s="2" t="s">
        <v>1807</v>
      </c>
      <c r="Q75" s="36">
        <v>968.18819999999994</v>
      </c>
    </row>
    <row r="76" spans="1:17" x14ac:dyDescent="0.3">
      <c r="A76" s="2" t="s">
        <v>1883</v>
      </c>
      <c r="B76" s="14">
        <v>45942</v>
      </c>
      <c r="C76" s="2">
        <f>YEAR(Sales_Details2[[#This Row],[Order_Date]])</f>
        <v>2025</v>
      </c>
      <c r="D76" s="2" t="s">
        <v>861</v>
      </c>
      <c r="E76" s="2" t="str">
        <f>VLOOKUP(Sales_Details2[[#This Row],[Customer_ID]],Customer_Details[#All],4,0)</f>
        <v>Adult</v>
      </c>
      <c r="F76" s="2" t="str">
        <f>VLOOKUP(Sales_Details2[[#This Row],[Customer_ID]],Customer_Details[#All],5,0)</f>
        <v>Male</v>
      </c>
      <c r="G76" s="2" t="str">
        <f>VLOOKUP(Sales_Details2[[#This Row],[Customer_ID]],Customer_Details[#All],9,0)</f>
        <v>Bronze</v>
      </c>
      <c r="H76" s="2" t="s">
        <v>1571</v>
      </c>
      <c r="I76" s="2" t="str">
        <f>VLOOKUP(Sales_Details2[[#This Row],[Product_ID]],Product_details[[#All],[Product_ID]:[Cost]],3,0)</f>
        <v>Sports</v>
      </c>
      <c r="J76" s="2" t="str">
        <f>VLOOKUP(Sales_Details2[[#This Row],[Product_ID]],Product_details[[#All],[Product_ID]:[Cost]],4,0)</f>
        <v>Accessories</v>
      </c>
      <c r="K76" s="2" t="s">
        <v>1765</v>
      </c>
      <c r="L76" s="2" t="str">
        <f>_xlfn.XLOOKUP(Sales_Details2[[#This Row],[Store_ID]],Table2[Store_ID],Table2[Region],"Region not found")</f>
        <v>West</v>
      </c>
      <c r="M76" s="25">
        <v>1</v>
      </c>
      <c r="N76" s="36">
        <v>184.98</v>
      </c>
      <c r="O76" s="29">
        <v>0.1</v>
      </c>
      <c r="P76" s="2" t="s">
        <v>1812</v>
      </c>
      <c r="Q76" s="36">
        <v>166.482</v>
      </c>
    </row>
    <row r="77" spans="1:17" x14ac:dyDescent="0.3">
      <c r="A77" s="2" t="s">
        <v>1884</v>
      </c>
      <c r="B77" s="14">
        <v>45500</v>
      </c>
      <c r="C77" s="2">
        <f>YEAR(Sales_Details2[[#This Row],[Order_Date]])</f>
        <v>2024</v>
      </c>
      <c r="D77" s="2" t="s">
        <v>140</v>
      </c>
      <c r="E77" s="2" t="str">
        <f>VLOOKUP(Sales_Details2[[#This Row],[Customer_ID]],Customer_Details[#All],4,0)</f>
        <v>Senior</v>
      </c>
      <c r="F77" s="2" t="str">
        <f>VLOOKUP(Sales_Details2[[#This Row],[Customer_ID]],Customer_Details[#All],5,0)</f>
        <v>Male</v>
      </c>
      <c r="G77" s="2" t="str">
        <f>VLOOKUP(Sales_Details2[[#This Row],[Customer_ID]],Customer_Details[#All],9,0)</f>
        <v>Silver</v>
      </c>
      <c r="H77" s="2" t="s">
        <v>1725</v>
      </c>
      <c r="I77" s="2" t="str">
        <f>VLOOKUP(Sales_Details2[[#This Row],[Product_ID]],Product_details[[#All],[Product_ID]:[Cost]],3,0)</f>
        <v>Sports</v>
      </c>
      <c r="J77" s="2" t="str">
        <f>VLOOKUP(Sales_Details2[[#This Row],[Product_ID]],Product_details[[#All],[Product_ID]:[Cost]],4,0)</f>
        <v>Team Sports</v>
      </c>
      <c r="K77" s="2" t="s">
        <v>1777</v>
      </c>
      <c r="L77" s="2" t="str">
        <f>_xlfn.XLOOKUP(Sales_Details2[[#This Row],[Store_ID]],Table2[Store_ID],Table2[Region],"Region not found")</f>
        <v>North</v>
      </c>
      <c r="M77" s="25">
        <v>4</v>
      </c>
      <c r="N77" s="36">
        <v>700.18</v>
      </c>
      <c r="O77" s="29">
        <v>0.23</v>
      </c>
      <c r="P77" s="2" t="s">
        <v>1807</v>
      </c>
      <c r="Q77" s="36">
        <v>2156.5544</v>
      </c>
    </row>
    <row r="78" spans="1:17" x14ac:dyDescent="0.3">
      <c r="A78" s="2" t="s">
        <v>1885</v>
      </c>
      <c r="B78" s="14">
        <v>45285</v>
      </c>
      <c r="C78" s="2">
        <f>YEAR(Sales_Details2[[#This Row],[Order_Date]])</f>
        <v>2023</v>
      </c>
      <c r="D78" s="2" t="s">
        <v>85</v>
      </c>
      <c r="E78" s="2" t="str">
        <f>VLOOKUP(Sales_Details2[[#This Row],[Customer_ID]],Customer_Details[#All],4,0)</f>
        <v>Mid-Adult</v>
      </c>
      <c r="F78" s="2" t="str">
        <f>VLOOKUP(Sales_Details2[[#This Row],[Customer_ID]],Customer_Details[#All],5,0)</f>
        <v>Female</v>
      </c>
      <c r="G78" s="2" t="str">
        <f>VLOOKUP(Sales_Details2[[#This Row],[Customer_ID]],Customer_Details[#All],9,0)</f>
        <v>Platinum</v>
      </c>
      <c r="H78" s="2" t="s">
        <v>1683</v>
      </c>
      <c r="I78" s="2" t="str">
        <f>VLOOKUP(Sales_Details2[[#This Row],[Product_ID]],Product_details[[#All],[Product_ID]:[Cost]],3,0)</f>
        <v>Electronics</v>
      </c>
      <c r="J78" s="2" t="str">
        <f>VLOOKUP(Sales_Details2[[#This Row],[Product_ID]],Product_details[[#All],[Product_ID]:[Cost]],4,0)</f>
        <v>Computer</v>
      </c>
      <c r="K78" s="2" t="s">
        <v>1772</v>
      </c>
      <c r="L78" s="2" t="str">
        <f>_xlfn.XLOOKUP(Sales_Details2[[#This Row],[Store_ID]],Table2[Store_ID],Table2[Region],"Region not found")</f>
        <v>East</v>
      </c>
      <c r="M78" s="25">
        <v>2</v>
      </c>
      <c r="N78" s="36">
        <v>686.31</v>
      </c>
      <c r="O78" s="29">
        <v>0.25</v>
      </c>
      <c r="P78" s="2" t="s">
        <v>1807</v>
      </c>
      <c r="Q78" s="36">
        <v>1029.4649999999999</v>
      </c>
    </row>
    <row r="79" spans="1:17" x14ac:dyDescent="0.3">
      <c r="A79" s="2" t="s">
        <v>1886</v>
      </c>
      <c r="B79" s="14">
        <v>45800</v>
      </c>
      <c r="C79" s="2">
        <f>YEAR(Sales_Details2[[#This Row],[Order_Date]])</f>
        <v>2025</v>
      </c>
      <c r="D79" s="2" t="s">
        <v>40</v>
      </c>
      <c r="E79" s="2" t="str">
        <f>VLOOKUP(Sales_Details2[[#This Row],[Customer_ID]],Customer_Details[#All],4,0)</f>
        <v>Adult</v>
      </c>
      <c r="F79" s="2" t="str">
        <f>VLOOKUP(Sales_Details2[[#This Row],[Customer_ID]],Customer_Details[#All],5,0)</f>
        <v>Female</v>
      </c>
      <c r="G79" s="2" t="str">
        <f>VLOOKUP(Sales_Details2[[#This Row],[Customer_ID]],Customer_Details[#All],9,0)</f>
        <v>Bronze</v>
      </c>
      <c r="H79" s="2" t="s">
        <v>1665</v>
      </c>
      <c r="I79" s="2" t="str">
        <f>VLOOKUP(Sales_Details2[[#This Row],[Product_ID]],Product_details[[#All],[Product_ID]:[Cost]],3,0)</f>
        <v>Electronics</v>
      </c>
      <c r="J79" s="2" t="str">
        <f>VLOOKUP(Sales_Details2[[#This Row],[Product_ID]],Product_details[[#All],[Product_ID]:[Cost]],4,0)</f>
        <v>Accessories</v>
      </c>
      <c r="K79" s="2" t="s">
        <v>1784</v>
      </c>
      <c r="L79" s="2" t="str">
        <f>_xlfn.XLOOKUP(Sales_Details2[[#This Row],[Store_ID]],Table2[Store_ID],Table2[Region],"Region not found")</f>
        <v>North</v>
      </c>
      <c r="M79" s="25">
        <v>1</v>
      </c>
      <c r="N79" s="36">
        <v>687.82</v>
      </c>
      <c r="O79" s="29">
        <v>0.27</v>
      </c>
      <c r="P79" s="2" t="s">
        <v>1812</v>
      </c>
      <c r="Q79" s="36">
        <v>502.10860000000002</v>
      </c>
    </row>
    <row r="80" spans="1:17" x14ac:dyDescent="0.3">
      <c r="A80" s="2" t="s">
        <v>1887</v>
      </c>
      <c r="B80" s="14">
        <v>45609</v>
      </c>
      <c r="C80" s="2">
        <f>YEAR(Sales_Details2[[#This Row],[Order_Date]])</f>
        <v>2024</v>
      </c>
      <c r="D80" s="2" t="s">
        <v>710</v>
      </c>
      <c r="E80" s="2" t="str">
        <f>VLOOKUP(Sales_Details2[[#This Row],[Customer_ID]],Customer_Details[#All],4,0)</f>
        <v>Mid-Adult</v>
      </c>
      <c r="F80" s="2" t="str">
        <f>VLOOKUP(Sales_Details2[[#This Row],[Customer_ID]],Customer_Details[#All],5,0)</f>
        <v>Male</v>
      </c>
      <c r="G80" s="2" t="str">
        <f>VLOOKUP(Sales_Details2[[#This Row],[Customer_ID]],Customer_Details[#All],9,0)</f>
        <v>Platinum</v>
      </c>
      <c r="H80" s="2" t="s">
        <v>1697</v>
      </c>
      <c r="I80" s="2" t="str">
        <f>VLOOKUP(Sales_Details2[[#This Row],[Product_ID]],Product_details[[#All],[Product_ID]:[Cost]],3,0)</f>
        <v>Beauty</v>
      </c>
      <c r="J80" s="2" t="str">
        <f>VLOOKUP(Sales_Details2[[#This Row],[Product_ID]],Product_details[[#All],[Product_ID]:[Cost]],4,0)</f>
        <v>Skincare</v>
      </c>
      <c r="K80" s="2" t="s">
        <v>1765</v>
      </c>
      <c r="L80" s="2" t="str">
        <f>_xlfn.XLOOKUP(Sales_Details2[[#This Row],[Store_ID]],Table2[Store_ID],Table2[Region],"Region not found")</f>
        <v>West</v>
      </c>
      <c r="M80" s="25">
        <v>2</v>
      </c>
      <c r="N80" s="36">
        <v>900.55</v>
      </c>
      <c r="O80" s="29">
        <v>0.16</v>
      </c>
      <c r="P80" s="2" t="s">
        <v>1807</v>
      </c>
      <c r="Q80" s="36">
        <v>1512.924</v>
      </c>
    </row>
    <row r="81" spans="1:17" x14ac:dyDescent="0.3">
      <c r="A81" s="2" t="s">
        <v>1888</v>
      </c>
      <c r="B81" s="14">
        <v>45268</v>
      </c>
      <c r="C81" s="2">
        <f>YEAR(Sales_Details2[[#This Row],[Order_Date]])</f>
        <v>2023</v>
      </c>
      <c r="D81" s="2" t="s">
        <v>397</v>
      </c>
      <c r="E81" s="2" t="str">
        <f>VLOOKUP(Sales_Details2[[#This Row],[Customer_ID]],Customer_Details[#All],4,0)</f>
        <v>Senior</v>
      </c>
      <c r="F81" s="2" t="str">
        <f>VLOOKUP(Sales_Details2[[#This Row],[Customer_ID]],Customer_Details[#All],5,0)</f>
        <v>Female</v>
      </c>
      <c r="G81" s="2" t="str">
        <f>VLOOKUP(Sales_Details2[[#This Row],[Customer_ID]],Customer_Details[#All],9,0)</f>
        <v>Platinum</v>
      </c>
      <c r="H81" s="2" t="s">
        <v>1573</v>
      </c>
      <c r="I81" s="2" t="str">
        <f>VLOOKUP(Sales_Details2[[#This Row],[Product_ID]],Product_details[[#All],[Product_ID]:[Cost]],3,0)</f>
        <v>Home</v>
      </c>
      <c r="J81" s="2" t="str">
        <f>VLOOKUP(Sales_Details2[[#This Row],[Product_ID]],Product_details[[#All],[Product_ID]:[Cost]],4,0)</f>
        <v>Storage</v>
      </c>
      <c r="K81" s="2" t="s">
        <v>1744</v>
      </c>
      <c r="L81" s="2" t="str">
        <f>_xlfn.XLOOKUP(Sales_Details2[[#This Row],[Store_ID]],Table2[Store_ID],Table2[Region],"Region not found")</f>
        <v>South</v>
      </c>
      <c r="M81" s="25">
        <v>1</v>
      </c>
      <c r="N81" s="36">
        <v>341.17</v>
      </c>
      <c r="O81" s="29">
        <v>0.15</v>
      </c>
      <c r="P81" s="2" t="s">
        <v>1807</v>
      </c>
      <c r="Q81" s="36">
        <v>289.99450000000002</v>
      </c>
    </row>
    <row r="82" spans="1:17" x14ac:dyDescent="0.3">
      <c r="A82" s="2" t="s">
        <v>1889</v>
      </c>
      <c r="B82" s="14">
        <v>45885</v>
      </c>
      <c r="C82" s="2">
        <f>YEAR(Sales_Details2[[#This Row],[Order_Date]])</f>
        <v>2025</v>
      </c>
      <c r="D82" s="2" t="s">
        <v>576</v>
      </c>
      <c r="E82" s="2" t="str">
        <f>VLOOKUP(Sales_Details2[[#This Row],[Customer_ID]],Customer_Details[#All],4,0)</f>
        <v>Mid-Adult</v>
      </c>
      <c r="F82" s="2" t="str">
        <f>VLOOKUP(Sales_Details2[[#This Row],[Customer_ID]],Customer_Details[#All],5,0)</f>
        <v>Male</v>
      </c>
      <c r="G82" s="2" t="str">
        <f>VLOOKUP(Sales_Details2[[#This Row],[Customer_ID]],Customer_Details[#All],9,0)</f>
        <v>Silver</v>
      </c>
      <c r="H82" s="2" t="s">
        <v>1635</v>
      </c>
      <c r="I82" s="2" t="str">
        <f>VLOOKUP(Sales_Details2[[#This Row],[Product_ID]],Product_details[[#All],[Product_ID]:[Cost]],3,0)</f>
        <v>Sports</v>
      </c>
      <c r="J82" s="2" t="str">
        <f>VLOOKUP(Sales_Details2[[#This Row],[Product_ID]],Product_details[[#All],[Product_ID]:[Cost]],4,0)</f>
        <v>Team Sports</v>
      </c>
      <c r="K82" s="2" t="s">
        <v>1765</v>
      </c>
      <c r="L82" s="2" t="str">
        <f>_xlfn.XLOOKUP(Sales_Details2[[#This Row],[Store_ID]],Table2[Store_ID],Table2[Region],"Region not found")</f>
        <v>West</v>
      </c>
      <c r="M82" s="25">
        <v>1</v>
      </c>
      <c r="N82" s="36">
        <v>442.27</v>
      </c>
      <c r="O82" s="29">
        <v>0.06</v>
      </c>
      <c r="P82" s="2" t="s">
        <v>1812</v>
      </c>
      <c r="Q82" s="36">
        <v>415.73379999999997</v>
      </c>
    </row>
    <row r="83" spans="1:17" x14ac:dyDescent="0.3">
      <c r="A83" s="2" t="s">
        <v>1890</v>
      </c>
      <c r="B83" s="14">
        <v>45616</v>
      </c>
      <c r="C83" s="2">
        <f>YEAR(Sales_Details2[[#This Row],[Order_Date]])</f>
        <v>2024</v>
      </c>
      <c r="D83" s="2" t="s">
        <v>803</v>
      </c>
      <c r="E83" s="2" t="str">
        <f>VLOOKUP(Sales_Details2[[#This Row],[Customer_ID]],Customer_Details[#All],4,0)</f>
        <v>Mid-Adult</v>
      </c>
      <c r="F83" s="2" t="str">
        <f>VLOOKUP(Sales_Details2[[#This Row],[Customer_ID]],Customer_Details[#All],5,0)</f>
        <v>Male</v>
      </c>
      <c r="G83" s="2" t="str">
        <f>VLOOKUP(Sales_Details2[[#This Row],[Customer_ID]],Customer_Details[#All],9,0)</f>
        <v>Bronze</v>
      </c>
      <c r="H83" s="2" t="s">
        <v>1673</v>
      </c>
      <c r="I83" s="2" t="str">
        <f>VLOOKUP(Sales_Details2[[#This Row],[Product_ID]],Product_details[[#All],[Product_ID]:[Cost]],3,0)</f>
        <v>Beauty</v>
      </c>
      <c r="J83" s="2" t="str">
        <f>VLOOKUP(Sales_Details2[[#This Row],[Product_ID]],Product_details[[#All],[Product_ID]:[Cost]],4,0)</f>
        <v>Haircare</v>
      </c>
      <c r="K83" s="2" t="s">
        <v>1769</v>
      </c>
      <c r="L83" s="2" t="str">
        <f>_xlfn.XLOOKUP(Sales_Details2[[#This Row],[Store_ID]],Table2[Store_ID],Table2[Region],"Region not found")</f>
        <v>South</v>
      </c>
      <c r="M83" s="25">
        <v>1</v>
      </c>
      <c r="N83" s="36">
        <v>363.73</v>
      </c>
      <c r="O83" s="29">
        <v>0.25</v>
      </c>
      <c r="P83" s="2" t="s">
        <v>1809</v>
      </c>
      <c r="Q83" s="36">
        <v>272.79750000000001</v>
      </c>
    </row>
    <row r="84" spans="1:17" x14ac:dyDescent="0.3">
      <c r="A84" s="2" t="s">
        <v>1891</v>
      </c>
      <c r="B84" s="14">
        <v>45518</v>
      </c>
      <c r="C84" s="2">
        <f>YEAR(Sales_Details2[[#This Row],[Order_Date]])</f>
        <v>2024</v>
      </c>
      <c r="D84" s="2" t="s">
        <v>1168</v>
      </c>
      <c r="E84" s="2" t="str">
        <f>VLOOKUP(Sales_Details2[[#This Row],[Customer_ID]],Customer_Details[#All],4,0)</f>
        <v>Mid-Adult</v>
      </c>
      <c r="F84" s="2" t="str">
        <f>VLOOKUP(Sales_Details2[[#This Row],[Customer_ID]],Customer_Details[#All],5,0)</f>
        <v>Female</v>
      </c>
      <c r="G84" s="2" t="str">
        <f>VLOOKUP(Sales_Details2[[#This Row],[Customer_ID]],Customer_Details[#All],9,0)</f>
        <v>Bronze</v>
      </c>
      <c r="H84" s="2" t="s">
        <v>1713</v>
      </c>
      <c r="I84" s="2" t="str">
        <f>VLOOKUP(Sales_Details2[[#This Row],[Product_ID]],Product_details[[#All],[Product_ID]:[Cost]],3,0)</f>
        <v>Clothing</v>
      </c>
      <c r="J84" s="2" t="str">
        <f>VLOOKUP(Sales_Details2[[#This Row],[Product_ID]],Product_details[[#All],[Product_ID]:[Cost]],4,0)</f>
        <v>Footwear</v>
      </c>
      <c r="K84" s="2" t="s">
        <v>1790</v>
      </c>
      <c r="L84" s="2" t="str">
        <f>_xlfn.XLOOKUP(Sales_Details2[[#This Row],[Store_ID]],Table2[Store_ID],Table2[Region],"Region not found")</f>
        <v>North</v>
      </c>
      <c r="M84" s="25">
        <v>2</v>
      </c>
      <c r="N84" s="36">
        <v>601.33000000000004</v>
      </c>
      <c r="O84" s="29">
        <v>0.16</v>
      </c>
      <c r="P84" s="2" t="s">
        <v>1809</v>
      </c>
      <c r="Q84" s="36">
        <v>1010.2344000000001</v>
      </c>
    </row>
    <row r="85" spans="1:17" x14ac:dyDescent="0.3">
      <c r="A85" s="2" t="s">
        <v>1892</v>
      </c>
      <c r="B85" s="14">
        <v>45427</v>
      </c>
      <c r="C85" s="2">
        <f>YEAR(Sales_Details2[[#This Row],[Order_Date]])</f>
        <v>2024</v>
      </c>
      <c r="D85" s="2" t="s">
        <v>1240</v>
      </c>
      <c r="E85" s="2" t="str">
        <f>VLOOKUP(Sales_Details2[[#This Row],[Customer_ID]],Customer_Details[#All],4,0)</f>
        <v>Mid-Adult</v>
      </c>
      <c r="F85" s="2" t="str">
        <f>VLOOKUP(Sales_Details2[[#This Row],[Customer_ID]],Customer_Details[#All],5,0)</f>
        <v>Male</v>
      </c>
      <c r="G85" s="2" t="str">
        <f>VLOOKUP(Sales_Details2[[#This Row],[Customer_ID]],Customer_Details[#All],9,0)</f>
        <v>Bronze</v>
      </c>
      <c r="H85" s="2" t="s">
        <v>1565</v>
      </c>
      <c r="I85" s="2" t="str">
        <f>VLOOKUP(Sales_Details2[[#This Row],[Product_ID]],Product_details[[#All],[Product_ID]:[Cost]],3,0)</f>
        <v>Sports</v>
      </c>
      <c r="J85" s="2" t="str">
        <f>VLOOKUP(Sales_Details2[[#This Row],[Product_ID]],Product_details[[#All],[Product_ID]:[Cost]],4,0)</f>
        <v>Accessories</v>
      </c>
      <c r="K85" s="2" t="s">
        <v>1793</v>
      </c>
      <c r="L85" s="2" t="str">
        <f>_xlfn.XLOOKUP(Sales_Details2[[#This Row],[Store_ID]],Table2[Store_ID],Table2[Region],"Region not found")</f>
        <v>East</v>
      </c>
      <c r="M85" s="25">
        <v>4</v>
      </c>
      <c r="N85" s="36">
        <v>34.39</v>
      </c>
      <c r="O85" s="29">
        <v>0.03</v>
      </c>
      <c r="P85" s="2" t="s">
        <v>1809</v>
      </c>
      <c r="Q85" s="36">
        <v>133.4332</v>
      </c>
    </row>
    <row r="86" spans="1:17" x14ac:dyDescent="0.3">
      <c r="A86" s="2" t="s">
        <v>1893</v>
      </c>
      <c r="B86" s="14">
        <v>45268</v>
      </c>
      <c r="C86" s="2">
        <f>YEAR(Sales_Details2[[#This Row],[Order_Date]])</f>
        <v>2023</v>
      </c>
      <c r="D86" s="2" t="s">
        <v>1297</v>
      </c>
      <c r="E86" s="2" t="str">
        <f>VLOOKUP(Sales_Details2[[#This Row],[Customer_ID]],Customer_Details[#All],4,0)</f>
        <v>Mid-Adult</v>
      </c>
      <c r="F86" s="2" t="str">
        <f>VLOOKUP(Sales_Details2[[#This Row],[Customer_ID]],Customer_Details[#All],5,0)</f>
        <v>Male</v>
      </c>
      <c r="G86" s="2" t="str">
        <f>VLOOKUP(Sales_Details2[[#This Row],[Customer_ID]],Customer_Details[#All],9,0)</f>
        <v>Silver</v>
      </c>
      <c r="H86" s="2" t="s">
        <v>1623</v>
      </c>
      <c r="I86" s="2" t="str">
        <f>VLOOKUP(Sales_Details2[[#This Row],[Product_ID]],Product_details[[#All],[Product_ID]:[Cost]],3,0)</f>
        <v>Clothing</v>
      </c>
      <c r="J86" s="2" t="str">
        <f>VLOOKUP(Sales_Details2[[#This Row],[Product_ID]],Product_details[[#All],[Product_ID]:[Cost]],4,0)</f>
        <v>Outerwear</v>
      </c>
      <c r="K86" s="2" t="s">
        <v>1790</v>
      </c>
      <c r="L86" s="2" t="str">
        <f>_xlfn.XLOOKUP(Sales_Details2[[#This Row],[Store_ID]],Table2[Store_ID],Table2[Region],"Region not found")</f>
        <v>North</v>
      </c>
      <c r="M86" s="25">
        <v>1</v>
      </c>
      <c r="N86" s="36">
        <v>773.57</v>
      </c>
      <c r="O86" s="29">
        <v>0.05</v>
      </c>
      <c r="P86" s="2" t="s">
        <v>1812</v>
      </c>
      <c r="Q86" s="37">
        <f>Sales_Details2[[#This Row],[Quantity]]*Sales_Details2[[#This Row],[Unit_Price]]*(1-Sales_Details2[[#This Row],[Discount]])</f>
        <v>734.89150000000006</v>
      </c>
    </row>
    <row r="87" spans="1:17" x14ac:dyDescent="0.3">
      <c r="A87" s="2" t="s">
        <v>1894</v>
      </c>
      <c r="B87" s="14">
        <v>45282</v>
      </c>
      <c r="C87" s="2">
        <f>YEAR(Sales_Details2[[#This Row],[Order_Date]])</f>
        <v>2023</v>
      </c>
      <c r="D87" s="2" t="s">
        <v>202</v>
      </c>
      <c r="E87" s="2" t="str">
        <f>VLOOKUP(Sales_Details2[[#This Row],[Customer_ID]],Customer_Details[#All],4,0)</f>
        <v>Adult</v>
      </c>
      <c r="F87" s="2" t="str">
        <f>VLOOKUP(Sales_Details2[[#This Row],[Customer_ID]],Customer_Details[#All],5,0)</f>
        <v>Male</v>
      </c>
      <c r="G87" s="2" t="str">
        <f>VLOOKUP(Sales_Details2[[#This Row],[Customer_ID]],Customer_Details[#All],9,0)</f>
        <v>Platinum</v>
      </c>
      <c r="H87" s="2" t="s">
        <v>1707</v>
      </c>
      <c r="I87" s="2" t="str">
        <f>VLOOKUP(Sales_Details2[[#This Row],[Product_ID]],Product_details[[#All],[Product_ID]:[Cost]],3,0)</f>
        <v>Sports</v>
      </c>
      <c r="J87" s="2" t="str">
        <f>VLOOKUP(Sales_Details2[[#This Row],[Product_ID]],Product_details[[#All],[Product_ID]:[Cost]],4,0)</f>
        <v>Accessories</v>
      </c>
      <c r="K87" s="2" t="s">
        <v>1762</v>
      </c>
      <c r="L87" s="2" t="str">
        <f>_xlfn.XLOOKUP(Sales_Details2[[#This Row],[Store_ID]],Table2[Store_ID],Table2[Region],"Region not found")</f>
        <v>South</v>
      </c>
      <c r="M87" s="25">
        <v>4</v>
      </c>
      <c r="N87" s="36">
        <v>127.1</v>
      </c>
      <c r="O87" s="29">
        <v>0.24</v>
      </c>
      <c r="P87" s="2" t="s">
        <v>1812</v>
      </c>
      <c r="Q87" s="36">
        <v>386.38400000000001</v>
      </c>
    </row>
    <row r="88" spans="1:17" x14ac:dyDescent="0.3">
      <c r="A88" s="2" t="s">
        <v>1895</v>
      </c>
      <c r="B88" s="14">
        <v>45545</v>
      </c>
      <c r="C88" s="2">
        <f>YEAR(Sales_Details2[[#This Row],[Order_Date]])</f>
        <v>2024</v>
      </c>
      <c r="D88" s="2" t="s">
        <v>948</v>
      </c>
      <c r="E88" s="2" t="str">
        <f>VLOOKUP(Sales_Details2[[#This Row],[Customer_ID]],Customer_Details[#All],4,0)</f>
        <v>Adult</v>
      </c>
      <c r="F88" s="2" t="str">
        <f>VLOOKUP(Sales_Details2[[#This Row],[Customer_ID]],Customer_Details[#All],5,0)</f>
        <v>Female</v>
      </c>
      <c r="G88" s="2" t="str">
        <f>VLOOKUP(Sales_Details2[[#This Row],[Customer_ID]],Customer_Details[#All],9,0)</f>
        <v>Platinum</v>
      </c>
      <c r="H88" s="2" t="s">
        <v>1571</v>
      </c>
      <c r="I88" s="2" t="str">
        <f>VLOOKUP(Sales_Details2[[#This Row],[Product_ID]],Product_details[[#All],[Product_ID]:[Cost]],3,0)</f>
        <v>Sports</v>
      </c>
      <c r="J88" s="2" t="str">
        <f>VLOOKUP(Sales_Details2[[#This Row],[Product_ID]],Product_details[[#All],[Product_ID]:[Cost]],4,0)</f>
        <v>Accessories</v>
      </c>
      <c r="K88" s="2" t="s">
        <v>1749</v>
      </c>
      <c r="L88" s="2" t="str">
        <f>_xlfn.XLOOKUP(Sales_Details2[[#This Row],[Store_ID]],Table2[Store_ID],Table2[Region],"Region not found")</f>
        <v>North</v>
      </c>
      <c r="M88" s="25">
        <v>3</v>
      </c>
      <c r="N88" s="36">
        <v>899.58</v>
      </c>
      <c r="O88" s="29">
        <v>0.28000000000000003</v>
      </c>
      <c r="P88" s="2" t="s">
        <v>1809</v>
      </c>
      <c r="Q88" s="36">
        <v>1943.0927999999999</v>
      </c>
    </row>
    <row r="89" spans="1:17" x14ac:dyDescent="0.3">
      <c r="A89" s="2" t="s">
        <v>1896</v>
      </c>
      <c r="B89" s="14">
        <v>45755</v>
      </c>
      <c r="C89" s="2">
        <f>YEAR(Sales_Details2[[#This Row],[Order_Date]])</f>
        <v>2025</v>
      </c>
      <c r="D89" s="2" t="s">
        <v>1018</v>
      </c>
      <c r="E89" s="2" t="str">
        <f>VLOOKUP(Sales_Details2[[#This Row],[Customer_ID]],Customer_Details[#All],4,0)</f>
        <v>Senior</v>
      </c>
      <c r="F89" s="2" t="str">
        <f>VLOOKUP(Sales_Details2[[#This Row],[Customer_ID]],Customer_Details[#All],5,0)</f>
        <v>Female</v>
      </c>
      <c r="G89" s="2" t="str">
        <f>VLOOKUP(Sales_Details2[[#This Row],[Customer_ID]],Customer_Details[#All],9,0)</f>
        <v>Bronze</v>
      </c>
      <c r="H89" s="2" t="s">
        <v>1529</v>
      </c>
      <c r="I89" s="2" t="str">
        <f>VLOOKUP(Sales_Details2[[#This Row],[Product_ID]],Product_details[[#All],[Product_ID]:[Cost]],3,0)</f>
        <v>Clothing</v>
      </c>
      <c r="J89" s="2" t="str">
        <f>VLOOKUP(Sales_Details2[[#This Row],[Product_ID]],Product_details[[#All],[Product_ID]:[Cost]],4,0)</f>
        <v>Tops</v>
      </c>
      <c r="K89" s="2" t="s">
        <v>1772</v>
      </c>
      <c r="L89" s="2" t="str">
        <f>_xlfn.XLOOKUP(Sales_Details2[[#This Row],[Store_ID]],Table2[Store_ID],Table2[Region],"Region not found")</f>
        <v>East</v>
      </c>
      <c r="M89" s="25">
        <v>3</v>
      </c>
      <c r="N89" s="36">
        <v>964.39</v>
      </c>
      <c r="O89" s="29">
        <v>0.04</v>
      </c>
      <c r="P89" s="2" t="s">
        <v>1807</v>
      </c>
      <c r="Q89" s="36">
        <v>2777.4432000000002</v>
      </c>
    </row>
    <row r="90" spans="1:17" x14ac:dyDescent="0.3">
      <c r="A90" s="2" t="s">
        <v>1897</v>
      </c>
      <c r="B90" s="14">
        <v>45588</v>
      </c>
      <c r="C90" s="2">
        <f>YEAR(Sales_Details2[[#This Row],[Order_Date]])</f>
        <v>2024</v>
      </c>
      <c r="D90" s="2" t="s">
        <v>598</v>
      </c>
      <c r="E90" s="2" t="str">
        <f>VLOOKUP(Sales_Details2[[#This Row],[Customer_ID]],Customer_Details[#All],4,0)</f>
        <v>Adult</v>
      </c>
      <c r="F90" s="2" t="str">
        <f>VLOOKUP(Sales_Details2[[#This Row],[Customer_ID]],Customer_Details[#All],5,0)</f>
        <v>Male</v>
      </c>
      <c r="G90" s="2" t="str">
        <f>VLOOKUP(Sales_Details2[[#This Row],[Customer_ID]],Customer_Details[#All],9,0)</f>
        <v>Platinum</v>
      </c>
      <c r="H90" s="2" t="s">
        <v>1607</v>
      </c>
      <c r="I90" s="2" t="str">
        <f>VLOOKUP(Sales_Details2[[#This Row],[Product_ID]],Product_details[[#All],[Product_ID]:[Cost]],3,0)</f>
        <v>Sports</v>
      </c>
      <c r="J90" s="2" t="str">
        <f>VLOOKUP(Sales_Details2[[#This Row],[Product_ID]],Product_details[[#All],[Product_ID]:[Cost]],4,0)</f>
        <v>Outdoor</v>
      </c>
      <c r="K90" s="2" t="s">
        <v>1735</v>
      </c>
      <c r="L90" s="2" t="str">
        <f>_xlfn.XLOOKUP(Sales_Details2[[#This Row],[Store_ID]],Table2[Store_ID],Table2[Region],"Region not found")</f>
        <v>East</v>
      </c>
      <c r="M90" s="25">
        <v>2</v>
      </c>
      <c r="N90" s="36">
        <v>217.83</v>
      </c>
      <c r="O90" s="29">
        <v>0.14000000000000001</v>
      </c>
      <c r="P90" s="2" t="s">
        <v>1809</v>
      </c>
      <c r="Q90" s="36">
        <v>374.66759999999999</v>
      </c>
    </row>
    <row r="91" spans="1:17" x14ac:dyDescent="0.3">
      <c r="A91" s="2" t="s">
        <v>1898</v>
      </c>
      <c r="B91" s="14">
        <v>45848</v>
      </c>
      <c r="C91" s="2">
        <f>YEAR(Sales_Details2[[#This Row],[Order_Date]])</f>
        <v>2025</v>
      </c>
      <c r="D91" s="2" t="s">
        <v>479</v>
      </c>
      <c r="E91" s="2" t="str">
        <f>VLOOKUP(Sales_Details2[[#This Row],[Customer_ID]],Customer_Details[#All],4,0)</f>
        <v>Mid-Adult</v>
      </c>
      <c r="F91" s="2" t="str">
        <f>VLOOKUP(Sales_Details2[[#This Row],[Customer_ID]],Customer_Details[#All],5,0)</f>
        <v>Male</v>
      </c>
      <c r="G91" s="2" t="str">
        <f>VLOOKUP(Sales_Details2[[#This Row],[Customer_ID]],Customer_Details[#All],9,0)</f>
        <v>Bronze</v>
      </c>
      <c r="H91" s="2" t="s">
        <v>1565</v>
      </c>
      <c r="I91" s="2" t="str">
        <f>VLOOKUP(Sales_Details2[[#This Row],[Product_ID]],Product_details[[#All],[Product_ID]:[Cost]],3,0)</f>
        <v>Sports</v>
      </c>
      <c r="J91" s="2" t="str">
        <f>VLOOKUP(Sales_Details2[[#This Row],[Product_ID]],Product_details[[#All],[Product_ID]:[Cost]],4,0)</f>
        <v>Accessories</v>
      </c>
      <c r="K91" s="2" t="s">
        <v>1740</v>
      </c>
      <c r="L91" s="2" t="str">
        <f>_xlfn.XLOOKUP(Sales_Details2[[#This Row],[Store_ID]],Table2[Store_ID],Table2[Region],"Region not found")</f>
        <v>North</v>
      </c>
      <c r="M91" s="25">
        <v>4</v>
      </c>
      <c r="N91" s="36">
        <v>187.71</v>
      </c>
      <c r="O91" s="29">
        <v>0.06</v>
      </c>
      <c r="P91" s="2" t="s">
        <v>1812</v>
      </c>
      <c r="Q91" s="36">
        <v>705.78959999999995</v>
      </c>
    </row>
    <row r="92" spans="1:17" x14ac:dyDescent="0.3">
      <c r="A92" s="2" t="s">
        <v>1899</v>
      </c>
      <c r="B92" s="14">
        <v>45577</v>
      </c>
      <c r="C92" s="2">
        <f>YEAR(Sales_Details2[[#This Row],[Order_Date]])</f>
        <v>2024</v>
      </c>
      <c r="D92" s="2" t="s">
        <v>52</v>
      </c>
      <c r="E92" s="2" t="str">
        <f>VLOOKUP(Sales_Details2[[#This Row],[Customer_ID]],Customer_Details[#All],4,0)</f>
        <v>Senior</v>
      </c>
      <c r="F92" s="2" t="str">
        <f>VLOOKUP(Sales_Details2[[#This Row],[Customer_ID]],Customer_Details[#All],5,0)</f>
        <v>Male</v>
      </c>
      <c r="G92" s="2" t="str">
        <f>VLOOKUP(Sales_Details2[[#This Row],[Customer_ID]],Customer_Details[#All],9,0)</f>
        <v>Bronze</v>
      </c>
      <c r="H92" s="2" t="s">
        <v>1597</v>
      </c>
      <c r="I92" s="2" t="str">
        <f>VLOOKUP(Sales_Details2[[#This Row],[Product_ID]],Product_details[[#All],[Product_ID]:[Cost]],3,0)</f>
        <v>Home</v>
      </c>
      <c r="J92" s="2" t="str">
        <f>VLOOKUP(Sales_Details2[[#This Row],[Product_ID]],Product_details[[#All],[Product_ID]:[Cost]],4,0)</f>
        <v>Decor</v>
      </c>
      <c r="K92" s="2" t="s">
        <v>1793</v>
      </c>
      <c r="L92" s="2" t="str">
        <f>_xlfn.XLOOKUP(Sales_Details2[[#This Row],[Store_ID]],Table2[Store_ID],Table2[Region],"Region not found")</f>
        <v>East</v>
      </c>
      <c r="M92" s="25">
        <v>2</v>
      </c>
      <c r="N92" s="36">
        <v>350.12</v>
      </c>
      <c r="O92" s="29">
        <v>0.12</v>
      </c>
      <c r="P92" s="2" t="s">
        <v>1812</v>
      </c>
      <c r="Q92" s="36">
        <v>616.21119999999996</v>
      </c>
    </row>
    <row r="93" spans="1:17" x14ac:dyDescent="0.3">
      <c r="A93" s="2" t="s">
        <v>1900</v>
      </c>
      <c r="B93" s="14">
        <v>45312</v>
      </c>
      <c r="C93" s="2">
        <f>YEAR(Sales_Details2[[#This Row],[Order_Date]])</f>
        <v>2024</v>
      </c>
      <c r="D93" s="2" t="s">
        <v>1249</v>
      </c>
      <c r="E93" s="2" t="str">
        <f>VLOOKUP(Sales_Details2[[#This Row],[Customer_ID]],Customer_Details[#All],4,0)</f>
        <v>Adult</v>
      </c>
      <c r="F93" s="2" t="str">
        <f>VLOOKUP(Sales_Details2[[#This Row],[Customer_ID]],Customer_Details[#All],5,0)</f>
        <v>Female</v>
      </c>
      <c r="G93" s="2" t="str">
        <f>VLOOKUP(Sales_Details2[[#This Row],[Customer_ID]],Customer_Details[#All],9,0)</f>
        <v>Gold</v>
      </c>
      <c r="H93" s="2" t="s">
        <v>1563</v>
      </c>
      <c r="I93" s="2" t="str">
        <f>VLOOKUP(Sales_Details2[[#This Row],[Product_ID]],Product_details[[#All],[Product_ID]:[Cost]],3,0)</f>
        <v>Beauty</v>
      </c>
      <c r="J93" s="2" t="str">
        <f>VLOOKUP(Sales_Details2[[#This Row],[Product_ID]],Product_details[[#All],[Product_ID]:[Cost]],4,0)</f>
        <v>Grooming</v>
      </c>
      <c r="K93" s="2" t="s">
        <v>1740</v>
      </c>
      <c r="L93" s="2" t="str">
        <f>_xlfn.XLOOKUP(Sales_Details2[[#This Row],[Store_ID]],Table2[Store_ID],Table2[Region],"Region not found")</f>
        <v>North</v>
      </c>
      <c r="M93" s="25">
        <v>4</v>
      </c>
      <c r="N93" s="36">
        <v>102.19</v>
      </c>
      <c r="O93" s="29">
        <v>0.17</v>
      </c>
      <c r="P93" s="2" t="s">
        <v>1809</v>
      </c>
      <c r="Q93" s="36">
        <v>339.27080000000001</v>
      </c>
    </row>
    <row r="94" spans="1:17" x14ac:dyDescent="0.3">
      <c r="A94" s="2" t="s">
        <v>1901</v>
      </c>
      <c r="B94" s="14">
        <v>45350</v>
      </c>
      <c r="C94" s="2">
        <f>YEAR(Sales_Details2[[#This Row],[Order_Date]])</f>
        <v>2024</v>
      </c>
      <c r="D94" s="2" t="s">
        <v>40</v>
      </c>
      <c r="E94" s="2" t="str">
        <f>VLOOKUP(Sales_Details2[[#This Row],[Customer_ID]],Customer_Details[#All],4,0)</f>
        <v>Adult</v>
      </c>
      <c r="F94" s="2" t="str">
        <f>VLOOKUP(Sales_Details2[[#This Row],[Customer_ID]],Customer_Details[#All],5,0)</f>
        <v>Female</v>
      </c>
      <c r="G94" s="2" t="str">
        <f>VLOOKUP(Sales_Details2[[#This Row],[Customer_ID]],Customer_Details[#All],9,0)</f>
        <v>Bronze</v>
      </c>
      <c r="H94" s="2" t="s">
        <v>1703</v>
      </c>
      <c r="I94" s="2" t="str">
        <f>VLOOKUP(Sales_Details2[[#This Row],[Product_ID]],Product_details[[#All],[Product_ID]:[Cost]],3,0)</f>
        <v>Home</v>
      </c>
      <c r="J94" s="2" t="str">
        <f>VLOOKUP(Sales_Details2[[#This Row],[Product_ID]],Product_details[[#All],[Product_ID]:[Cost]],4,0)</f>
        <v>Kitchen</v>
      </c>
      <c r="K94" s="2" t="s">
        <v>1752</v>
      </c>
      <c r="L94" s="2" t="str">
        <f>_xlfn.XLOOKUP(Sales_Details2[[#This Row],[Store_ID]],Table2[Store_ID],Table2[Region],"Region not found")</f>
        <v>South</v>
      </c>
      <c r="M94" s="25">
        <v>1</v>
      </c>
      <c r="N94" s="36">
        <v>696.53</v>
      </c>
      <c r="O94" s="29">
        <v>0.17</v>
      </c>
      <c r="P94" s="2" t="s">
        <v>1807</v>
      </c>
      <c r="Q94" s="36">
        <v>578.11989999999992</v>
      </c>
    </row>
    <row r="95" spans="1:17" x14ac:dyDescent="0.3">
      <c r="A95" s="2" t="s">
        <v>1902</v>
      </c>
      <c r="B95" s="14">
        <v>45657</v>
      </c>
      <c r="C95" s="2">
        <f>YEAR(Sales_Details2[[#This Row],[Order_Date]])</f>
        <v>2024</v>
      </c>
      <c r="D95" s="2" t="s">
        <v>238</v>
      </c>
      <c r="E95" s="2" t="str">
        <f>VLOOKUP(Sales_Details2[[#This Row],[Customer_ID]],Customer_Details[#All],4,0)</f>
        <v>Adult</v>
      </c>
      <c r="F95" s="2" t="str">
        <f>VLOOKUP(Sales_Details2[[#This Row],[Customer_ID]],Customer_Details[#All],5,0)</f>
        <v>Female</v>
      </c>
      <c r="G95" s="2" t="str">
        <f>VLOOKUP(Sales_Details2[[#This Row],[Customer_ID]],Customer_Details[#All],9,0)</f>
        <v>Silver</v>
      </c>
      <c r="H95" s="2" t="s">
        <v>1569</v>
      </c>
      <c r="I95" s="2" t="str">
        <f>VLOOKUP(Sales_Details2[[#This Row],[Product_ID]],Product_details[[#All],[Product_ID]:[Cost]],3,0)</f>
        <v>Sports</v>
      </c>
      <c r="J95" s="2" t="str">
        <f>VLOOKUP(Sales_Details2[[#This Row],[Product_ID]],Product_details[[#All],[Product_ID]:[Cost]],4,0)</f>
        <v>Equipment</v>
      </c>
      <c r="K95" s="2" t="s">
        <v>1752</v>
      </c>
      <c r="L95" s="2" t="str">
        <f>_xlfn.XLOOKUP(Sales_Details2[[#This Row],[Store_ID]],Table2[Store_ID],Table2[Region],"Region not found")</f>
        <v>South</v>
      </c>
      <c r="M95" s="25">
        <v>2</v>
      </c>
      <c r="N95" s="36">
        <v>327.52</v>
      </c>
      <c r="O95" s="29">
        <v>0.15</v>
      </c>
      <c r="P95" s="2" t="s">
        <v>1809</v>
      </c>
      <c r="Q95" s="36">
        <v>556.78399999999999</v>
      </c>
    </row>
    <row r="96" spans="1:17" x14ac:dyDescent="0.3">
      <c r="A96" s="2" t="s">
        <v>1903</v>
      </c>
      <c r="B96" s="14">
        <v>45530</v>
      </c>
      <c r="C96" s="2">
        <f>YEAR(Sales_Details2[[#This Row],[Order_Date]])</f>
        <v>2024</v>
      </c>
      <c r="D96" s="2" t="s">
        <v>933</v>
      </c>
      <c r="E96" s="2" t="str">
        <f>VLOOKUP(Sales_Details2[[#This Row],[Customer_ID]],Customer_Details[#All],4,0)</f>
        <v>Senior</v>
      </c>
      <c r="F96" s="2" t="str">
        <f>VLOOKUP(Sales_Details2[[#This Row],[Customer_ID]],Customer_Details[#All],5,0)</f>
        <v>Male</v>
      </c>
      <c r="G96" s="2" t="str">
        <f>VLOOKUP(Sales_Details2[[#This Row],[Customer_ID]],Customer_Details[#All],9,0)</f>
        <v>Platinum</v>
      </c>
      <c r="H96" s="2" t="s">
        <v>1725</v>
      </c>
      <c r="I96" s="2" t="str">
        <f>VLOOKUP(Sales_Details2[[#This Row],[Product_ID]],Product_details[[#All],[Product_ID]:[Cost]],3,0)</f>
        <v>Sports</v>
      </c>
      <c r="J96" s="2" t="str">
        <f>VLOOKUP(Sales_Details2[[#This Row],[Product_ID]],Product_details[[#All],[Product_ID]:[Cost]],4,0)</f>
        <v>Team Sports</v>
      </c>
      <c r="K96" s="2" t="s">
        <v>1796</v>
      </c>
      <c r="L96" s="2" t="str">
        <f>_xlfn.XLOOKUP(Sales_Details2[[#This Row],[Store_ID]],Table2[Store_ID],Table2[Region],"Region not found")</f>
        <v>East</v>
      </c>
      <c r="M96" s="25">
        <v>2</v>
      </c>
      <c r="N96" s="36">
        <v>569.36</v>
      </c>
      <c r="O96" s="29">
        <v>0.01</v>
      </c>
      <c r="P96" s="2" t="s">
        <v>1809</v>
      </c>
      <c r="Q96" s="37">
        <f>Sales_Details2[[#This Row],[Quantity]]*Sales_Details2[[#This Row],[Unit_Price]]*(1-Sales_Details2[[#This Row],[Discount]])</f>
        <v>1127.3327999999999</v>
      </c>
    </row>
    <row r="97" spans="1:17" x14ac:dyDescent="0.3">
      <c r="A97" s="2" t="s">
        <v>1904</v>
      </c>
      <c r="B97" s="14">
        <v>45556</v>
      </c>
      <c r="C97" s="2">
        <f>YEAR(Sales_Details2[[#This Row],[Order_Date]])</f>
        <v>2024</v>
      </c>
      <c r="D97" s="2" t="s">
        <v>1001</v>
      </c>
      <c r="E97" s="2" t="str">
        <f>VLOOKUP(Sales_Details2[[#This Row],[Customer_ID]],Customer_Details[#All],4,0)</f>
        <v>Adult</v>
      </c>
      <c r="F97" s="2" t="str">
        <f>VLOOKUP(Sales_Details2[[#This Row],[Customer_ID]],Customer_Details[#All],5,0)</f>
        <v>Female</v>
      </c>
      <c r="G97" s="2" t="str">
        <f>VLOOKUP(Sales_Details2[[#This Row],[Customer_ID]],Customer_Details[#All],9,0)</f>
        <v>Bronze</v>
      </c>
      <c r="H97" s="2" t="s">
        <v>1729</v>
      </c>
      <c r="I97" s="2" t="str">
        <f>VLOOKUP(Sales_Details2[[#This Row],[Product_ID]],Product_details[[#All],[Product_ID]:[Cost]],3,0)</f>
        <v>Home</v>
      </c>
      <c r="J97" s="2" t="str">
        <f>VLOOKUP(Sales_Details2[[#This Row],[Product_ID]],Product_details[[#All],[Product_ID]:[Cost]],4,0)</f>
        <v>Kitchen</v>
      </c>
      <c r="K97" s="2" t="s">
        <v>1759</v>
      </c>
      <c r="L97" s="2" t="str">
        <f>_xlfn.XLOOKUP(Sales_Details2[[#This Row],[Store_ID]],Table2[Store_ID],Table2[Region],"Region not found")</f>
        <v>East</v>
      </c>
      <c r="M97" s="25">
        <v>2</v>
      </c>
      <c r="N97" s="36">
        <v>68.290000000000006</v>
      </c>
      <c r="O97" s="29">
        <v>0.14000000000000001</v>
      </c>
      <c r="P97" s="2" t="s">
        <v>1812</v>
      </c>
      <c r="Q97" s="36">
        <v>117.4588</v>
      </c>
    </row>
    <row r="98" spans="1:17" x14ac:dyDescent="0.3">
      <c r="A98" s="2" t="s">
        <v>1905</v>
      </c>
      <c r="B98" s="14">
        <v>45523</v>
      </c>
      <c r="C98" s="2">
        <f>YEAR(Sales_Details2[[#This Row],[Order_Date]])</f>
        <v>2024</v>
      </c>
      <c r="D98" s="2" t="s">
        <v>776</v>
      </c>
      <c r="E98" s="2" t="str">
        <f>VLOOKUP(Sales_Details2[[#This Row],[Customer_ID]],Customer_Details[#All],4,0)</f>
        <v>Adult</v>
      </c>
      <c r="F98" s="2" t="str">
        <f>VLOOKUP(Sales_Details2[[#This Row],[Customer_ID]],Customer_Details[#All],5,0)</f>
        <v>Male</v>
      </c>
      <c r="G98" s="2" t="str">
        <f>VLOOKUP(Sales_Details2[[#This Row],[Customer_ID]],Customer_Details[#All],9,0)</f>
        <v>Bronze</v>
      </c>
      <c r="H98" s="2" t="s">
        <v>1631</v>
      </c>
      <c r="I98" s="2" t="str">
        <f>VLOOKUP(Sales_Details2[[#This Row],[Product_ID]],Product_details[[#All],[Product_ID]:[Cost]],3,0)</f>
        <v>Sports</v>
      </c>
      <c r="J98" s="2" t="str">
        <f>VLOOKUP(Sales_Details2[[#This Row],[Product_ID]],Product_details[[#All],[Product_ID]:[Cost]],4,0)</f>
        <v>Fitness</v>
      </c>
      <c r="K98" s="2" t="s">
        <v>1772</v>
      </c>
      <c r="L98" s="2" t="str">
        <f>_xlfn.XLOOKUP(Sales_Details2[[#This Row],[Store_ID]],Table2[Store_ID],Table2[Region],"Region not found")</f>
        <v>East</v>
      </c>
      <c r="M98" s="25">
        <v>1</v>
      </c>
      <c r="N98" s="36">
        <v>842.9</v>
      </c>
      <c r="O98" s="29">
        <v>0.06</v>
      </c>
      <c r="P98" s="2" t="s">
        <v>1812</v>
      </c>
      <c r="Q98" s="36">
        <v>792.32599999999991</v>
      </c>
    </row>
    <row r="99" spans="1:17" x14ac:dyDescent="0.3">
      <c r="A99" s="2" t="s">
        <v>1906</v>
      </c>
      <c r="B99" s="14">
        <v>45587</v>
      </c>
      <c r="C99" s="2">
        <f>YEAR(Sales_Details2[[#This Row],[Order_Date]])</f>
        <v>2024</v>
      </c>
      <c r="D99" s="2" t="s">
        <v>903</v>
      </c>
      <c r="E99" s="2" t="str">
        <f>VLOOKUP(Sales_Details2[[#This Row],[Customer_ID]],Customer_Details[#All],4,0)</f>
        <v>Adult</v>
      </c>
      <c r="F99" s="2" t="str">
        <f>VLOOKUP(Sales_Details2[[#This Row],[Customer_ID]],Customer_Details[#All],5,0)</f>
        <v>Female</v>
      </c>
      <c r="G99" s="2" t="str">
        <f>VLOOKUP(Sales_Details2[[#This Row],[Customer_ID]],Customer_Details[#All],9,0)</f>
        <v>Gold</v>
      </c>
      <c r="H99" s="2" t="s">
        <v>1534</v>
      </c>
      <c r="I99" s="2" t="str">
        <f>VLOOKUP(Sales_Details2[[#This Row],[Product_ID]],Product_details[[#All],[Product_ID]:[Cost]],3,0)</f>
        <v>Clothing</v>
      </c>
      <c r="J99" s="2" t="str">
        <f>VLOOKUP(Sales_Details2[[#This Row],[Product_ID]],Product_details[[#All],[Product_ID]:[Cost]],4,0)</f>
        <v>Outerwear</v>
      </c>
      <c r="K99" s="2" t="s">
        <v>1749</v>
      </c>
      <c r="L99" s="2" t="str">
        <f>_xlfn.XLOOKUP(Sales_Details2[[#This Row],[Store_ID]],Table2[Store_ID],Table2[Region],"Region not found")</f>
        <v>North</v>
      </c>
      <c r="M99" s="25">
        <v>3</v>
      </c>
      <c r="N99" s="36">
        <v>751.94</v>
      </c>
      <c r="O99" s="29">
        <v>0.26</v>
      </c>
      <c r="P99" s="2" t="s">
        <v>1809</v>
      </c>
      <c r="Q99" s="36">
        <v>1669.3068000000001</v>
      </c>
    </row>
    <row r="100" spans="1:17" x14ac:dyDescent="0.3">
      <c r="A100" s="2" t="s">
        <v>1907</v>
      </c>
      <c r="B100" s="14">
        <v>45580</v>
      </c>
      <c r="C100" s="2">
        <f>YEAR(Sales_Details2[[#This Row],[Order_Date]])</f>
        <v>2024</v>
      </c>
      <c r="D100" s="2" t="s">
        <v>444</v>
      </c>
      <c r="E100" s="2" t="str">
        <f>VLOOKUP(Sales_Details2[[#This Row],[Customer_ID]],Customer_Details[#All],4,0)</f>
        <v>Mid-Adult</v>
      </c>
      <c r="F100" s="2" t="str">
        <f>VLOOKUP(Sales_Details2[[#This Row],[Customer_ID]],Customer_Details[#All],5,0)</f>
        <v>Female</v>
      </c>
      <c r="G100" s="2" t="str">
        <f>VLOOKUP(Sales_Details2[[#This Row],[Customer_ID]],Customer_Details[#All],9,0)</f>
        <v>Bronze</v>
      </c>
      <c r="H100" s="2" t="s">
        <v>1643</v>
      </c>
      <c r="I100" s="2" t="str">
        <f>VLOOKUP(Sales_Details2[[#This Row],[Product_ID]],Product_details[[#All],[Product_ID]:[Cost]],3,0)</f>
        <v>Home</v>
      </c>
      <c r="J100" s="2" t="str">
        <f>VLOOKUP(Sales_Details2[[#This Row],[Product_ID]],Product_details[[#All],[Product_ID]:[Cost]],4,0)</f>
        <v>Decor</v>
      </c>
      <c r="K100" s="2" t="s">
        <v>1762</v>
      </c>
      <c r="L100" s="2" t="str">
        <f>_xlfn.XLOOKUP(Sales_Details2[[#This Row],[Store_ID]],Table2[Store_ID],Table2[Region],"Region not found")</f>
        <v>South</v>
      </c>
      <c r="M100" s="25">
        <v>4</v>
      </c>
      <c r="N100" s="36">
        <v>476.28</v>
      </c>
      <c r="O100" s="29">
        <v>0.17</v>
      </c>
      <c r="P100" s="2" t="s">
        <v>1807</v>
      </c>
      <c r="Q100" s="36">
        <v>1581.2496000000001</v>
      </c>
    </row>
    <row r="101" spans="1:17" x14ac:dyDescent="0.3">
      <c r="A101" s="2" t="s">
        <v>1908</v>
      </c>
      <c r="B101" s="14">
        <v>45479</v>
      </c>
      <c r="C101" s="2">
        <f>YEAR(Sales_Details2[[#This Row],[Order_Date]])</f>
        <v>2024</v>
      </c>
      <c r="D101" s="2" t="s">
        <v>1012</v>
      </c>
      <c r="E101" s="2" t="str">
        <f>VLOOKUP(Sales_Details2[[#This Row],[Customer_ID]],Customer_Details[#All],4,0)</f>
        <v>Senior</v>
      </c>
      <c r="F101" s="2" t="str">
        <f>VLOOKUP(Sales_Details2[[#This Row],[Customer_ID]],Customer_Details[#All],5,0)</f>
        <v>Male</v>
      </c>
      <c r="G101" s="2" t="str">
        <f>VLOOKUP(Sales_Details2[[#This Row],[Customer_ID]],Customer_Details[#All],9,0)</f>
        <v>Bronze</v>
      </c>
      <c r="H101" s="2" t="s">
        <v>1639</v>
      </c>
      <c r="I101" s="2" t="str">
        <f>VLOOKUP(Sales_Details2[[#This Row],[Product_ID]],Product_details[[#All],[Product_ID]:[Cost]],3,0)</f>
        <v>Sports</v>
      </c>
      <c r="J101" s="2" t="str">
        <f>VLOOKUP(Sales_Details2[[#This Row],[Product_ID]],Product_details[[#All],[Product_ID]:[Cost]],4,0)</f>
        <v>Accessories</v>
      </c>
      <c r="K101" s="2" t="s">
        <v>1749</v>
      </c>
      <c r="L101" s="2" t="str">
        <f>_xlfn.XLOOKUP(Sales_Details2[[#This Row],[Store_ID]],Table2[Store_ID],Table2[Region],"Region not found")</f>
        <v>North</v>
      </c>
      <c r="M101" s="25">
        <v>3</v>
      </c>
      <c r="N101" s="36">
        <v>541.99</v>
      </c>
      <c r="O101" s="29">
        <v>0.24</v>
      </c>
      <c r="P101" s="2" t="s">
        <v>1812</v>
      </c>
      <c r="Q101" s="36">
        <v>1235.7372</v>
      </c>
    </row>
    <row r="102" spans="1:17" x14ac:dyDescent="0.3">
      <c r="A102" s="2" t="s">
        <v>1909</v>
      </c>
      <c r="B102" s="14">
        <v>45677</v>
      </c>
      <c r="C102" s="2">
        <f>YEAR(Sales_Details2[[#This Row],[Order_Date]])</f>
        <v>2025</v>
      </c>
      <c r="D102" s="2" t="s">
        <v>1141</v>
      </c>
      <c r="E102" s="2" t="str">
        <f>VLOOKUP(Sales_Details2[[#This Row],[Customer_ID]],Customer_Details[#All],4,0)</f>
        <v>Adult</v>
      </c>
      <c r="F102" s="2" t="str">
        <f>VLOOKUP(Sales_Details2[[#This Row],[Customer_ID]],Customer_Details[#All],5,0)</f>
        <v>Female</v>
      </c>
      <c r="G102" s="2" t="str">
        <f>VLOOKUP(Sales_Details2[[#This Row],[Customer_ID]],Customer_Details[#All],9,0)</f>
        <v>Platinum</v>
      </c>
      <c r="H102" s="2" t="s">
        <v>1597</v>
      </c>
      <c r="I102" s="2" t="str">
        <f>VLOOKUP(Sales_Details2[[#This Row],[Product_ID]],Product_details[[#All],[Product_ID]:[Cost]],3,0)</f>
        <v>Home</v>
      </c>
      <c r="J102" s="2" t="str">
        <f>VLOOKUP(Sales_Details2[[#This Row],[Product_ID]],Product_details[[#All],[Product_ID]:[Cost]],4,0)</f>
        <v>Decor</v>
      </c>
      <c r="K102" s="2" t="s">
        <v>1756</v>
      </c>
      <c r="L102" s="2" t="str">
        <f>_xlfn.XLOOKUP(Sales_Details2[[#This Row],[Store_ID]],Table2[Store_ID],Table2[Region],"Region not found")</f>
        <v>North</v>
      </c>
      <c r="M102" s="25">
        <v>2</v>
      </c>
      <c r="N102" s="36">
        <v>401.5</v>
      </c>
      <c r="O102" s="29">
        <v>0.18</v>
      </c>
      <c r="P102" s="2" t="s">
        <v>1807</v>
      </c>
      <c r="Q102" s="36">
        <v>658.46</v>
      </c>
    </row>
    <row r="103" spans="1:17" x14ac:dyDescent="0.3">
      <c r="A103" s="2" t="s">
        <v>1910</v>
      </c>
      <c r="B103" s="14">
        <v>45453</v>
      </c>
      <c r="C103" s="2">
        <f>YEAR(Sales_Details2[[#This Row],[Order_Date]])</f>
        <v>2024</v>
      </c>
      <c r="D103" s="2" t="s">
        <v>301</v>
      </c>
      <c r="E103" s="2" t="str">
        <f>VLOOKUP(Sales_Details2[[#This Row],[Customer_ID]],Customer_Details[#All],4,0)</f>
        <v>Adult</v>
      </c>
      <c r="F103" s="2" t="str">
        <f>VLOOKUP(Sales_Details2[[#This Row],[Customer_ID]],Customer_Details[#All],5,0)</f>
        <v>Female</v>
      </c>
      <c r="G103" s="2" t="str">
        <f>VLOOKUP(Sales_Details2[[#This Row],[Customer_ID]],Customer_Details[#All],9,0)</f>
        <v>Platinum</v>
      </c>
      <c r="H103" s="2" t="s">
        <v>1581</v>
      </c>
      <c r="I103" s="2" t="str">
        <f>VLOOKUP(Sales_Details2[[#This Row],[Product_ID]],Product_details[[#All],[Product_ID]:[Cost]],3,0)</f>
        <v>Clothing</v>
      </c>
      <c r="J103" s="2" t="str">
        <f>VLOOKUP(Sales_Details2[[#This Row],[Product_ID]],Product_details[[#All],[Product_ID]:[Cost]],4,0)</f>
        <v>Accessories</v>
      </c>
      <c r="K103" s="2" t="s">
        <v>1780</v>
      </c>
      <c r="L103" s="2" t="str">
        <f>_xlfn.XLOOKUP(Sales_Details2[[#This Row],[Store_ID]],Table2[Store_ID],Table2[Region],"Region not found")</f>
        <v>East</v>
      </c>
      <c r="M103" s="25">
        <v>3</v>
      </c>
      <c r="N103" s="36">
        <v>359.56</v>
      </c>
      <c r="O103" s="29">
        <v>0.17</v>
      </c>
      <c r="P103" s="2" t="s">
        <v>1809</v>
      </c>
      <c r="Q103" s="36">
        <v>895.30439999999999</v>
      </c>
    </row>
    <row r="104" spans="1:17" x14ac:dyDescent="0.3">
      <c r="A104" s="2" t="s">
        <v>1911</v>
      </c>
      <c r="B104" s="14">
        <v>45552</v>
      </c>
      <c r="C104" s="2">
        <f>YEAR(Sales_Details2[[#This Row],[Order_Date]])</f>
        <v>2024</v>
      </c>
      <c r="D104" s="2" t="s">
        <v>342</v>
      </c>
      <c r="E104" s="2" t="str">
        <f>VLOOKUP(Sales_Details2[[#This Row],[Customer_ID]],Customer_Details[#All],4,0)</f>
        <v>Mid-Adult</v>
      </c>
      <c r="F104" s="2" t="str">
        <f>VLOOKUP(Sales_Details2[[#This Row],[Customer_ID]],Customer_Details[#All],5,0)</f>
        <v>Male</v>
      </c>
      <c r="G104" s="2" t="str">
        <f>VLOOKUP(Sales_Details2[[#This Row],[Customer_ID]],Customer_Details[#All],9,0)</f>
        <v>Silver</v>
      </c>
      <c r="H104" s="2" t="s">
        <v>1691</v>
      </c>
      <c r="I104" s="2" t="str">
        <f>VLOOKUP(Sales_Details2[[#This Row],[Product_ID]],Product_details[[#All],[Product_ID]:[Cost]],3,0)</f>
        <v>Home</v>
      </c>
      <c r="J104" s="2" t="str">
        <f>VLOOKUP(Sales_Details2[[#This Row],[Product_ID]],Product_details[[#All],[Product_ID]:[Cost]],4,0)</f>
        <v>Kitchen</v>
      </c>
      <c r="K104" s="2" t="s">
        <v>1777</v>
      </c>
      <c r="L104" s="2" t="str">
        <f>_xlfn.XLOOKUP(Sales_Details2[[#This Row],[Store_ID]],Table2[Store_ID],Table2[Region],"Region not found")</f>
        <v>North</v>
      </c>
      <c r="M104" s="25">
        <v>2</v>
      </c>
      <c r="N104" s="36">
        <v>471.88</v>
      </c>
      <c r="O104" s="29">
        <v>0.24</v>
      </c>
      <c r="P104" s="2" t="s">
        <v>1809</v>
      </c>
      <c r="Q104" s="36">
        <v>717.25760000000002</v>
      </c>
    </row>
    <row r="105" spans="1:17" x14ac:dyDescent="0.3">
      <c r="A105" s="2" t="s">
        <v>1912</v>
      </c>
      <c r="B105" s="14">
        <v>45907</v>
      </c>
      <c r="C105" s="2">
        <f>YEAR(Sales_Details2[[#This Row],[Order_Date]])</f>
        <v>2025</v>
      </c>
      <c r="D105" s="2" t="s">
        <v>595</v>
      </c>
      <c r="E105" s="2" t="str">
        <f>VLOOKUP(Sales_Details2[[#This Row],[Customer_ID]],Customer_Details[#All],4,0)</f>
        <v>Adult</v>
      </c>
      <c r="F105" s="2" t="str">
        <f>VLOOKUP(Sales_Details2[[#This Row],[Customer_ID]],Customer_Details[#All],5,0)</f>
        <v>Female</v>
      </c>
      <c r="G105" s="2" t="str">
        <f>VLOOKUP(Sales_Details2[[#This Row],[Customer_ID]],Customer_Details[#All],9,0)</f>
        <v>Silver</v>
      </c>
      <c r="H105" s="2" t="s">
        <v>1599</v>
      </c>
      <c r="I105" s="2" t="str">
        <f>VLOOKUP(Sales_Details2[[#This Row],[Product_ID]],Product_details[[#All],[Product_ID]:[Cost]],3,0)</f>
        <v>Electronics</v>
      </c>
      <c r="J105" s="2" t="str">
        <f>VLOOKUP(Sales_Details2[[#This Row],[Product_ID]],Product_details[[#All],[Product_ID]:[Cost]],4,0)</f>
        <v>Computer</v>
      </c>
      <c r="K105" s="2" t="s">
        <v>1752</v>
      </c>
      <c r="L105" s="2" t="str">
        <f>_xlfn.XLOOKUP(Sales_Details2[[#This Row],[Store_ID]],Table2[Store_ID],Table2[Region],"Region not found")</f>
        <v>South</v>
      </c>
      <c r="M105" s="25">
        <v>4</v>
      </c>
      <c r="N105" s="36">
        <v>925.19</v>
      </c>
      <c r="O105" s="29">
        <v>0.19</v>
      </c>
      <c r="P105" s="2" t="s">
        <v>1809</v>
      </c>
      <c r="Q105" s="36">
        <v>2997.615600000001</v>
      </c>
    </row>
    <row r="106" spans="1:17" x14ac:dyDescent="0.3">
      <c r="A106" s="2" t="s">
        <v>1913</v>
      </c>
      <c r="B106" s="14">
        <v>45330</v>
      </c>
      <c r="C106" s="2">
        <f>YEAR(Sales_Details2[[#This Row],[Order_Date]])</f>
        <v>2024</v>
      </c>
      <c r="D106" s="2" t="s">
        <v>121</v>
      </c>
      <c r="E106" s="2" t="str">
        <f>VLOOKUP(Sales_Details2[[#This Row],[Customer_ID]],Customer_Details[#All],4,0)</f>
        <v>Senior</v>
      </c>
      <c r="F106" s="2" t="str">
        <f>VLOOKUP(Sales_Details2[[#This Row],[Customer_ID]],Customer_Details[#All],5,0)</f>
        <v>Female</v>
      </c>
      <c r="G106" s="2" t="str">
        <f>VLOOKUP(Sales_Details2[[#This Row],[Customer_ID]],Customer_Details[#All],9,0)</f>
        <v>Silver</v>
      </c>
      <c r="H106" s="2" t="s">
        <v>1703</v>
      </c>
      <c r="I106" s="2" t="str">
        <f>VLOOKUP(Sales_Details2[[#This Row],[Product_ID]],Product_details[[#All],[Product_ID]:[Cost]],3,0)</f>
        <v>Home</v>
      </c>
      <c r="J106" s="2" t="str">
        <f>VLOOKUP(Sales_Details2[[#This Row],[Product_ID]],Product_details[[#All],[Product_ID]:[Cost]],4,0)</f>
        <v>Kitchen</v>
      </c>
      <c r="K106" s="2" t="s">
        <v>1775</v>
      </c>
      <c r="L106" s="2" t="str">
        <f>_xlfn.XLOOKUP(Sales_Details2[[#This Row],[Store_ID]],Table2[Store_ID],Table2[Region],"Region not found")</f>
        <v>South</v>
      </c>
      <c r="M106" s="25">
        <v>2</v>
      </c>
      <c r="N106" s="36">
        <v>879.63</v>
      </c>
      <c r="O106" s="29">
        <v>7.0000000000000007E-2</v>
      </c>
      <c r="P106" s="2" t="s">
        <v>1812</v>
      </c>
      <c r="Q106" s="36">
        <v>1636.1117999999999</v>
      </c>
    </row>
    <row r="107" spans="1:17" x14ac:dyDescent="0.3">
      <c r="A107" s="2" t="s">
        <v>1914</v>
      </c>
      <c r="B107" s="14">
        <v>45214</v>
      </c>
      <c r="C107" s="2">
        <f>YEAR(Sales_Details2[[#This Row],[Order_Date]])</f>
        <v>2023</v>
      </c>
      <c r="D107" s="2" t="s">
        <v>20</v>
      </c>
      <c r="E107" s="2" t="str">
        <f>VLOOKUP(Sales_Details2[[#This Row],[Customer_ID]],Customer_Details[#All],4,0)</f>
        <v>Adult</v>
      </c>
      <c r="F107" s="2" t="str">
        <f>VLOOKUP(Sales_Details2[[#This Row],[Customer_ID]],Customer_Details[#All],5,0)</f>
        <v>Female</v>
      </c>
      <c r="G107" s="2" t="str">
        <f>VLOOKUP(Sales_Details2[[#This Row],[Customer_ID]],Customer_Details[#All],9,0)</f>
        <v>Platinum</v>
      </c>
      <c r="H107" s="2" t="s">
        <v>1689</v>
      </c>
      <c r="I107" s="2" t="str">
        <f>VLOOKUP(Sales_Details2[[#This Row],[Product_ID]],Product_details[[#All],[Product_ID]:[Cost]],3,0)</f>
        <v>Home</v>
      </c>
      <c r="J107" s="2" t="str">
        <f>VLOOKUP(Sales_Details2[[#This Row],[Product_ID]],Product_details[[#All],[Product_ID]:[Cost]],4,0)</f>
        <v>Lighting</v>
      </c>
      <c r="K107" s="2" t="s">
        <v>1790</v>
      </c>
      <c r="L107" s="2" t="str">
        <f>_xlfn.XLOOKUP(Sales_Details2[[#This Row],[Store_ID]],Table2[Store_ID],Table2[Region],"Region not found")</f>
        <v>North</v>
      </c>
      <c r="M107" s="25">
        <v>2</v>
      </c>
      <c r="N107" s="36">
        <v>418.23</v>
      </c>
      <c r="O107" s="29">
        <v>0.28000000000000003</v>
      </c>
      <c r="P107" s="2" t="s">
        <v>1807</v>
      </c>
      <c r="Q107" s="36">
        <v>602.25120000000004</v>
      </c>
    </row>
    <row r="108" spans="1:17" x14ac:dyDescent="0.3">
      <c r="A108" s="2" t="s">
        <v>1915</v>
      </c>
      <c r="B108" s="14">
        <v>45891</v>
      </c>
      <c r="C108" s="2">
        <f>YEAR(Sales_Details2[[#This Row],[Order_Date]])</f>
        <v>2025</v>
      </c>
      <c r="D108" s="2" t="s">
        <v>850</v>
      </c>
      <c r="E108" s="2" t="str">
        <f>VLOOKUP(Sales_Details2[[#This Row],[Customer_ID]],Customer_Details[#All],4,0)</f>
        <v>Mid-Adult</v>
      </c>
      <c r="F108" s="2" t="str">
        <f>VLOOKUP(Sales_Details2[[#This Row],[Customer_ID]],Customer_Details[#All],5,0)</f>
        <v>Female</v>
      </c>
      <c r="G108" s="2" t="str">
        <f>VLOOKUP(Sales_Details2[[#This Row],[Customer_ID]],Customer_Details[#All],9,0)</f>
        <v>Silver</v>
      </c>
      <c r="H108" s="2" t="s">
        <v>1569</v>
      </c>
      <c r="I108" s="2" t="str">
        <f>VLOOKUP(Sales_Details2[[#This Row],[Product_ID]],Product_details[[#All],[Product_ID]:[Cost]],3,0)</f>
        <v>Sports</v>
      </c>
      <c r="J108" s="2" t="str">
        <f>VLOOKUP(Sales_Details2[[#This Row],[Product_ID]],Product_details[[#All],[Product_ID]:[Cost]],4,0)</f>
        <v>Equipment</v>
      </c>
      <c r="K108" s="2" t="s">
        <v>1793</v>
      </c>
      <c r="L108" s="2" t="str">
        <f>_xlfn.XLOOKUP(Sales_Details2[[#This Row],[Store_ID]],Table2[Store_ID],Table2[Region],"Region not found")</f>
        <v>East</v>
      </c>
      <c r="M108" s="25">
        <v>3</v>
      </c>
      <c r="N108" s="36">
        <v>551.72</v>
      </c>
      <c r="O108" s="29">
        <v>0.03</v>
      </c>
      <c r="P108" s="2" t="s">
        <v>1812</v>
      </c>
      <c r="Q108" s="36">
        <v>1605.5052000000001</v>
      </c>
    </row>
    <row r="109" spans="1:17" x14ac:dyDescent="0.3">
      <c r="A109" s="2" t="s">
        <v>1916</v>
      </c>
      <c r="B109" s="14">
        <v>45323</v>
      </c>
      <c r="C109" s="2">
        <f>YEAR(Sales_Details2[[#This Row],[Order_Date]])</f>
        <v>2024</v>
      </c>
      <c r="D109" s="2" t="s">
        <v>1051</v>
      </c>
      <c r="E109" s="2" t="str">
        <f>VLOOKUP(Sales_Details2[[#This Row],[Customer_ID]],Customer_Details[#All],4,0)</f>
        <v>Mid-Adult</v>
      </c>
      <c r="F109" s="2" t="str">
        <f>VLOOKUP(Sales_Details2[[#This Row],[Customer_ID]],Customer_Details[#All],5,0)</f>
        <v>Female</v>
      </c>
      <c r="G109" s="2" t="str">
        <f>VLOOKUP(Sales_Details2[[#This Row],[Customer_ID]],Customer_Details[#All],9,0)</f>
        <v>Silver</v>
      </c>
      <c r="H109" s="2" t="s">
        <v>1703</v>
      </c>
      <c r="I109" s="2" t="str">
        <f>VLOOKUP(Sales_Details2[[#This Row],[Product_ID]],Product_details[[#All],[Product_ID]:[Cost]],3,0)</f>
        <v>Home</v>
      </c>
      <c r="J109" s="2" t="str">
        <f>VLOOKUP(Sales_Details2[[#This Row],[Product_ID]],Product_details[[#All],[Product_ID]:[Cost]],4,0)</f>
        <v>Kitchen</v>
      </c>
      <c r="K109" s="2" t="s">
        <v>1762</v>
      </c>
      <c r="L109" s="2" t="str">
        <f>_xlfn.XLOOKUP(Sales_Details2[[#This Row],[Store_ID]],Table2[Store_ID],Table2[Region],"Region not found")</f>
        <v>South</v>
      </c>
      <c r="M109" s="25">
        <v>4</v>
      </c>
      <c r="N109" s="36">
        <v>525.61</v>
      </c>
      <c r="O109" s="29">
        <v>0.02</v>
      </c>
      <c r="P109" s="2" t="s">
        <v>1809</v>
      </c>
      <c r="Q109" s="36">
        <v>2060.3912</v>
      </c>
    </row>
    <row r="110" spans="1:17" x14ac:dyDescent="0.3">
      <c r="A110" s="2" t="s">
        <v>1917</v>
      </c>
      <c r="B110" s="14">
        <v>45785</v>
      </c>
      <c r="C110" s="2">
        <f>YEAR(Sales_Details2[[#This Row],[Order_Date]])</f>
        <v>2025</v>
      </c>
      <c r="D110" s="2" t="s">
        <v>159</v>
      </c>
      <c r="E110" s="2" t="str">
        <f>VLOOKUP(Sales_Details2[[#This Row],[Customer_ID]],Customer_Details[#All],4,0)</f>
        <v>Adult</v>
      </c>
      <c r="F110" s="2" t="str">
        <f>VLOOKUP(Sales_Details2[[#This Row],[Customer_ID]],Customer_Details[#All],5,0)</f>
        <v>Male</v>
      </c>
      <c r="G110" s="2" t="str">
        <f>VLOOKUP(Sales_Details2[[#This Row],[Customer_ID]],Customer_Details[#All],9,0)</f>
        <v>Platinum</v>
      </c>
      <c r="H110" s="2" t="s">
        <v>1575</v>
      </c>
      <c r="I110" s="2" t="str">
        <f>VLOOKUP(Sales_Details2[[#This Row],[Product_ID]],Product_details[[#All],[Product_ID]:[Cost]],3,0)</f>
        <v>Sports</v>
      </c>
      <c r="J110" s="2" t="str">
        <f>VLOOKUP(Sales_Details2[[#This Row],[Product_ID]],Product_details[[#All],[Product_ID]:[Cost]],4,0)</f>
        <v>Equipment</v>
      </c>
      <c r="K110" s="2" t="s">
        <v>1780</v>
      </c>
      <c r="L110" s="2" t="str">
        <f>_xlfn.XLOOKUP(Sales_Details2[[#This Row],[Store_ID]],Table2[Store_ID],Table2[Region],"Region not found")</f>
        <v>East</v>
      </c>
      <c r="M110" s="25">
        <v>3</v>
      </c>
      <c r="N110" s="36">
        <v>815.3</v>
      </c>
      <c r="O110" s="29">
        <v>0.03</v>
      </c>
      <c r="P110" s="2" t="s">
        <v>1807</v>
      </c>
      <c r="Q110" s="36">
        <v>2372.5230000000001</v>
      </c>
    </row>
    <row r="111" spans="1:17" x14ac:dyDescent="0.3">
      <c r="A111" s="2" t="s">
        <v>1918</v>
      </c>
      <c r="B111" s="14">
        <v>45738</v>
      </c>
      <c r="C111" s="2">
        <f>YEAR(Sales_Details2[[#This Row],[Order_Date]])</f>
        <v>2025</v>
      </c>
      <c r="D111" s="2" t="s">
        <v>690</v>
      </c>
      <c r="E111" s="2" t="str">
        <f>VLOOKUP(Sales_Details2[[#This Row],[Customer_ID]],Customer_Details[#All],4,0)</f>
        <v>Senior</v>
      </c>
      <c r="F111" s="2" t="str">
        <f>VLOOKUP(Sales_Details2[[#This Row],[Customer_ID]],Customer_Details[#All],5,0)</f>
        <v>Male</v>
      </c>
      <c r="G111" s="2" t="str">
        <f>VLOOKUP(Sales_Details2[[#This Row],[Customer_ID]],Customer_Details[#All],9,0)</f>
        <v>Gold</v>
      </c>
      <c r="H111" s="2" t="s">
        <v>1713</v>
      </c>
      <c r="I111" s="2" t="str">
        <f>VLOOKUP(Sales_Details2[[#This Row],[Product_ID]],Product_details[[#All],[Product_ID]:[Cost]],3,0)</f>
        <v>Clothing</v>
      </c>
      <c r="J111" s="2" t="str">
        <f>VLOOKUP(Sales_Details2[[#This Row],[Product_ID]],Product_details[[#All],[Product_ID]:[Cost]],4,0)</f>
        <v>Footwear</v>
      </c>
      <c r="K111" s="2" t="s">
        <v>1735</v>
      </c>
      <c r="L111" s="2" t="str">
        <f>_xlfn.XLOOKUP(Sales_Details2[[#This Row],[Store_ID]],Table2[Store_ID],Table2[Region],"Region not found")</f>
        <v>East</v>
      </c>
      <c r="M111" s="25">
        <v>3</v>
      </c>
      <c r="N111" s="36">
        <v>376.46</v>
      </c>
      <c r="O111" s="29">
        <v>0.09</v>
      </c>
      <c r="P111" s="2" t="s">
        <v>1812</v>
      </c>
      <c r="Q111" s="36">
        <v>1027.7357999999999</v>
      </c>
    </row>
    <row r="112" spans="1:17" x14ac:dyDescent="0.3">
      <c r="A112" s="2" t="s">
        <v>1919</v>
      </c>
      <c r="B112" s="14">
        <v>45851</v>
      </c>
      <c r="C112" s="2">
        <f>YEAR(Sales_Details2[[#This Row],[Order_Date]])</f>
        <v>2025</v>
      </c>
      <c r="D112" s="2" t="s">
        <v>40</v>
      </c>
      <c r="E112" s="2" t="str">
        <f>VLOOKUP(Sales_Details2[[#This Row],[Customer_ID]],Customer_Details[#All],4,0)</f>
        <v>Adult</v>
      </c>
      <c r="F112" s="2" t="str">
        <f>VLOOKUP(Sales_Details2[[#This Row],[Customer_ID]],Customer_Details[#All],5,0)</f>
        <v>Female</v>
      </c>
      <c r="G112" s="2" t="str">
        <f>VLOOKUP(Sales_Details2[[#This Row],[Customer_ID]],Customer_Details[#All],9,0)</f>
        <v>Bronze</v>
      </c>
      <c r="H112" s="2" t="s">
        <v>1615</v>
      </c>
      <c r="I112" s="2" t="str">
        <f>VLOOKUP(Sales_Details2[[#This Row],[Product_ID]],Product_details[[#All],[Product_ID]:[Cost]],3,0)</f>
        <v>Electronics</v>
      </c>
      <c r="J112" s="2" t="str">
        <f>VLOOKUP(Sales_Details2[[#This Row],[Product_ID]],Product_details[[#All],[Product_ID]:[Cost]],4,0)</f>
        <v>Accessories</v>
      </c>
      <c r="K112" s="2" t="s">
        <v>1765</v>
      </c>
      <c r="L112" s="2" t="str">
        <f>_xlfn.XLOOKUP(Sales_Details2[[#This Row],[Store_ID]],Table2[Store_ID],Table2[Region],"Region not found")</f>
        <v>West</v>
      </c>
      <c r="M112" s="25">
        <v>4</v>
      </c>
      <c r="N112" s="36">
        <v>239.83</v>
      </c>
      <c r="O112" s="29">
        <v>0.08</v>
      </c>
      <c r="P112" s="2" t="s">
        <v>1807</v>
      </c>
      <c r="Q112" s="36">
        <v>882.57440000000008</v>
      </c>
    </row>
    <row r="113" spans="1:17" x14ac:dyDescent="0.3">
      <c r="A113" s="2" t="s">
        <v>1920</v>
      </c>
      <c r="B113" s="14">
        <v>45798</v>
      </c>
      <c r="C113" s="2">
        <f>YEAR(Sales_Details2[[#This Row],[Order_Date]])</f>
        <v>2025</v>
      </c>
      <c r="D113" s="2" t="s">
        <v>409</v>
      </c>
      <c r="E113" s="2" t="str">
        <f>VLOOKUP(Sales_Details2[[#This Row],[Customer_ID]],Customer_Details[#All],4,0)</f>
        <v>Mid-Adult</v>
      </c>
      <c r="F113" s="2" t="str">
        <f>VLOOKUP(Sales_Details2[[#This Row],[Customer_ID]],Customer_Details[#All],5,0)</f>
        <v>Male</v>
      </c>
      <c r="G113" s="2" t="str">
        <f>VLOOKUP(Sales_Details2[[#This Row],[Customer_ID]],Customer_Details[#All],9,0)</f>
        <v>Bronze</v>
      </c>
      <c r="H113" s="2" t="s">
        <v>1711</v>
      </c>
      <c r="I113" s="2" t="str">
        <f>VLOOKUP(Sales_Details2[[#This Row],[Product_ID]],Product_details[[#All],[Product_ID]:[Cost]],3,0)</f>
        <v>Electronics</v>
      </c>
      <c r="J113" s="2" t="str">
        <f>VLOOKUP(Sales_Details2[[#This Row],[Product_ID]],Product_details[[#All],[Product_ID]:[Cost]],4,0)</f>
        <v>Accessories</v>
      </c>
      <c r="K113" s="2" t="s">
        <v>1749</v>
      </c>
      <c r="L113" s="2" t="str">
        <f>_xlfn.XLOOKUP(Sales_Details2[[#This Row],[Store_ID]],Table2[Store_ID],Table2[Region],"Region not found")</f>
        <v>North</v>
      </c>
      <c r="M113" s="25">
        <v>2</v>
      </c>
      <c r="N113" s="36">
        <v>845.71</v>
      </c>
      <c r="O113" s="29">
        <v>0.01</v>
      </c>
      <c r="P113" s="2" t="s">
        <v>1809</v>
      </c>
      <c r="Q113" s="36">
        <v>1674.5057999999999</v>
      </c>
    </row>
    <row r="114" spans="1:17" x14ac:dyDescent="0.3">
      <c r="A114" s="2" t="s">
        <v>1921</v>
      </c>
      <c r="B114" s="14">
        <v>45705</v>
      </c>
      <c r="C114" s="2">
        <f>YEAR(Sales_Details2[[#This Row],[Order_Date]])</f>
        <v>2025</v>
      </c>
      <c r="D114" s="2" t="s">
        <v>310</v>
      </c>
      <c r="E114" s="2" t="str">
        <f>VLOOKUP(Sales_Details2[[#This Row],[Customer_ID]],Customer_Details[#All],4,0)</f>
        <v>Senior</v>
      </c>
      <c r="F114" s="2" t="str">
        <f>VLOOKUP(Sales_Details2[[#This Row],[Customer_ID]],Customer_Details[#All],5,0)</f>
        <v>Female</v>
      </c>
      <c r="G114" s="2" t="str">
        <f>VLOOKUP(Sales_Details2[[#This Row],[Customer_ID]],Customer_Details[#All],9,0)</f>
        <v>Bronze</v>
      </c>
      <c r="H114" s="2" t="s">
        <v>1683</v>
      </c>
      <c r="I114" s="2" t="str">
        <f>VLOOKUP(Sales_Details2[[#This Row],[Product_ID]],Product_details[[#All],[Product_ID]:[Cost]],3,0)</f>
        <v>Electronics</v>
      </c>
      <c r="J114" s="2" t="str">
        <f>VLOOKUP(Sales_Details2[[#This Row],[Product_ID]],Product_details[[#All],[Product_ID]:[Cost]],4,0)</f>
        <v>Computer</v>
      </c>
      <c r="K114" s="2" t="s">
        <v>1780</v>
      </c>
      <c r="L114" s="2" t="str">
        <f>_xlfn.XLOOKUP(Sales_Details2[[#This Row],[Store_ID]],Table2[Store_ID],Table2[Region],"Region not found")</f>
        <v>East</v>
      </c>
      <c r="M114" s="25">
        <v>3</v>
      </c>
      <c r="N114" s="36">
        <v>948.69</v>
      </c>
      <c r="O114" s="29">
        <v>0.28999999999999998</v>
      </c>
      <c r="P114" s="2" t="s">
        <v>1807</v>
      </c>
      <c r="Q114" s="36">
        <v>2020.7097000000001</v>
      </c>
    </row>
    <row r="115" spans="1:17" x14ac:dyDescent="0.3">
      <c r="A115" s="2" t="s">
        <v>1922</v>
      </c>
      <c r="B115" s="14">
        <v>45413</v>
      </c>
      <c r="C115" s="2">
        <f>YEAR(Sales_Details2[[#This Row],[Order_Date]])</f>
        <v>2024</v>
      </c>
      <c r="D115" s="2" t="s">
        <v>1424</v>
      </c>
      <c r="E115" s="2" t="str">
        <f>VLOOKUP(Sales_Details2[[#This Row],[Customer_ID]],Customer_Details[#All],4,0)</f>
        <v>Senior</v>
      </c>
      <c r="F115" s="2" t="str">
        <f>VLOOKUP(Sales_Details2[[#This Row],[Customer_ID]],Customer_Details[#All],5,0)</f>
        <v>Female</v>
      </c>
      <c r="G115" s="2" t="str">
        <f>VLOOKUP(Sales_Details2[[#This Row],[Customer_ID]],Customer_Details[#All],9,0)</f>
        <v>Gold</v>
      </c>
      <c r="H115" s="2" t="s">
        <v>1585</v>
      </c>
      <c r="I115" s="2" t="str">
        <f>VLOOKUP(Sales_Details2[[#This Row],[Product_ID]],Product_details[[#All],[Product_ID]:[Cost]],3,0)</f>
        <v>Home</v>
      </c>
      <c r="J115" s="2" t="str">
        <f>VLOOKUP(Sales_Details2[[#This Row],[Product_ID]],Product_details[[#All],[Product_ID]:[Cost]],4,0)</f>
        <v>Decor</v>
      </c>
      <c r="K115" s="2" t="s">
        <v>1772</v>
      </c>
      <c r="L115" s="2" t="str">
        <f>_xlfn.XLOOKUP(Sales_Details2[[#This Row],[Store_ID]],Table2[Store_ID],Table2[Region],"Region not found")</f>
        <v>East</v>
      </c>
      <c r="M115" s="25">
        <v>1</v>
      </c>
      <c r="N115" s="36">
        <v>281.97000000000003</v>
      </c>
      <c r="O115" s="29">
        <v>0.2</v>
      </c>
      <c r="P115" s="2" t="s">
        <v>1809</v>
      </c>
      <c r="Q115" s="36">
        <v>225.57599999999999</v>
      </c>
    </row>
    <row r="116" spans="1:17" x14ac:dyDescent="0.3">
      <c r="A116" s="2" t="s">
        <v>1923</v>
      </c>
      <c r="B116" s="14">
        <v>45482</v>
      </c>
      <c r="C116" s="2">
        <f>YEAR(Sales_Details2[[#This Row],[Order_Date]])</f>
        <v>2024</v>
      </c>
      <c r="D116" s="2" t="s">
        <v>506</v>
      </c>
      <c r="E116" s="2" t="str">
        <f>VLOOKUP(Sales_Details2[[#This Row],[Customer_ID]],Customer_Details[#All],4,0)</f>
        <v>Mid-Adult</v>
      </c>
      <c r="F116" s="2" t="str">
        <f>VLOOKUP(Sales_Details2[[#This Row],[Customer_ID]],Customer_Details[#All],5,0)</f>
        <v>Female</v>
      </c>
      <c r="G116" s="2" t="str">
        <f>VLOOKUP(Sales_Details2[[#This Row],[Customer_ID]],Customer_Details[#All],9,0)</f>
        <v>Platinum</v>
      </c>
      <c r="H116" s="2" t="s">
        <v>1713</v>
      </c>
      <c r="I116" s="2" t="str">
        <f>VLOOKUP(Sales_Details2[[#This Row],[Product_ID]],Product_details[[#All],[Product_ID]:[Cost]],3,0)</f>
        <v>Clothing</v>
      </c>
      <c r="J116" s="2" t="str">
        <f>VLOOKUP(Sales_Details2[[#This Row],[Product_ID]],Product_details[[#All],[Product_ID]:[Cost]],4,0)</f>
        <v>Footwear</v>
      </c>
      <c r="K116" s="2" t="s">
        <v>1752</v>
      </c>
      <c r="L116" s="2" t="str">
        <f>_xlfn.XLOOKUP(Sales_Details2[[#This Row],[Store_ID]],Table2[Store_ID],Table2[Region],"Region not found")</f>
        <v>South</v>
      </c>
      <c r="M116" s="25">
        <v>2</v>
      </c>
      <c r="N116" s="36">
        <v>731.01</v>
      </c>
      <c r="O116" s="29">
        <v>0.05</v>
      </c>
      <c r="P116" s="2" t="s">
        <v>1809</v>
      </c>
      <c r="Q116" s="36">
        <v>1388.9190000000001</v>
      </c>
    </row>
    <row r="117" spans="1:17" x14ac:dyDescent="0.3">
      <c r="A117" s="2" t="s">
        <v>1924</v>
      </c>
      <c r="B117" s="14">
        <v>45925</v>
      </c>
      <c r="C117" s="2">
        <f>YEAR(Sales_Details2[[#This Row],[Order_Date]])</f>
        <v>2025</v>
      </c>
      <c r="D117" s="2" t="s">
        <v>814</v>
      </c>
      <c r="E117" s="2" t="str">
        <f>VLOOKUP(Sales_Details2[[#This Row],[Customer_ID]],Customer_Details[#All],4,0)</f>
        <v>Mid-Adult</v>
      </c>
      <c r="F117" s="2" t="str">
        <f>VLOOKUP(Sales_Details2[[#This Row],[Customer_ID]],Customer_Details[#All],5,0)</f>
        <v>Male</v>
      </c>
      <c r="G117" s="2" t="str">
        <f>VLOOKUP(Sales_Details2[[#This Row],[Customer_ID]],Customer_Details[#All],9,0)</f>
        <v>Silver</v>
      </c>
      <c r="H117" s="2" t="s">
        <v>1701</v>
      </c>
      <c r="I117" s="2" t="str">
        <f>VLOOKUP(Sales_Details2[[#This Row],[Product_ID]],Product_details[[#All],[Product_ID]:[Cost]],3,0)</f>
        <v>Clothing</v>
      </c>
      <c r="J117" s="2" t="str">
        <f>VLOOKUP(Sales_Details2[[#This Row],[Product_ID]],Product_details[[#All],[Product_ID]:[Cost]],4,0)</f>
        <v>Accessories</v>
      </c>
      <c r="K117" s="2" t="s">
        <v>1762</v>
      </c>
      <c r="L117" s="2" t="str">
        <f>_xlfn.XLOOKUP(Sales_Details2[[#This Row],[Store_ID]],Table2[Store_ID],Table2[Region],"Region not found")</f>
        <v>South</v>
      </c>
      <c r="M117" s="25">
        <v>4</v>
      </c>
      <c r="N117" s="36">
        <v>930.85</v>
      </c>
      <c r="O117" s="29">
        <v>0.13</v>
      </c>
      <c r="P117" s="2" t="s">
        <v>1809</v>
      </c>
      <c r="Q117" s="36">
        <v>3239.3580000000002</v>
      </c>
    </row>
    <row r="118" spans="1:17" x14ac:dyDescent="0.3">
      <c r="A118" s="2" t="s">
        <v>1925</v>
      </c>
      <c r="B118" s="14">
        <v>45420</v>
      </c>
      <c r="C118" s="2">
        <f>YEAR(Sales_Details2[[#This Row],[Order_Date]])</f>
        <v>2024</v>
      </c>
      <c r="D118" s="2" t="s">
        <v>1287</v>
      </c>
      <c r="E118" s="2" t="str">
        <f>VLOOKUP(Sales_Details2[[#This Row],[Customer_ID]],Customer_Details[#All],4,0)</f>
        <v>Mid-Adult</v>
      </c>
      <c r="F118" s="2" t="str">
        <f>VLOOKUP(Sales_Details2[[#This Row],[Customer_ID]],Customer_Details[#All],5,0)</f>
        <v>Male</v>
      </c>
      <c r="G118" s="2" t="str">
        <f>VLOOKUP(Sales_Details2[[#This Row],[Customer_ID]],Customer_Details[#All],9,0)</f>
        <v>Gold</v>
      </c>
      <c r="H118" s="2" t="s">
        <v>1534</v>
      </c>
      <c r="I118" s="2" t="str">
        <f>VLOOKUP(Sales_Details2[[#This Row],[Product_ID]],Product_details[[#All],[Product_ID]:[Cost]],3,0)</f>
        <v>Clothing</v>
      </c>
      <c r="J118" s="2" t="str">
        <f>VLOOKUP(Sales_Details2[[#This Row],[Product_ID]],Product_details[[#All],[Product_ID]:[Cost]],4,0)</f>
        <v>Outerwear</v>
      </c>
      <c r="K118" s="2" t="s">
        <v>1765</v>
      </c>
      <c r="L118" s="2" t="str">
        <f>_xlfn.XLOOKUP(Sales_Details2[[#This Row],[Store_ID]],Table2[Store_ID],Table2[Region],"Region not found")</f>
        <v>West</v>
      </c>
      <c r="M118" s="25">
        <v>4</v>
      </c>
      <c r="N118" s="36">
        <v>770.77</v>
      </c>
      <c r="O118" s="29">
        <v>0.22</v>
      </c>
      <c r="P118" s="2" t="s">
        <v>1807</v>
      </c>
      <c r="Q118" s="36">
        <v>2404.8024</v>
      </c>
    </row>
    <row r="119" spans="1:17" x14ac:dyDescent="0.3">
      <c r="A119" s="2" t="s">
        <v>1926</v>
      </c>
      <c r="B119" s="14">
        <v>45554</v>
      </c>
      <c r="C119" s="2">
        <f>YEAR(Sales_Details2[[#This Row],[Order_Date]])</f>
        <v>2024</v>
      </c>
      <c r="D119" s="2" t="s">
        <v>244</v>
      </c>
      <c r="E119" s="2" t="str">
        <f>VLOOKUP(Sales_Details2[[#This Row],[Customer_ID]],Customer_Details[#All],4,0)</f>
        <v>Senior</v>
      </c>
      <c r="F119" s="2" t="str">
        <f>VLOOKUP(Sales_Details2[[#This Row],[Customer_ID]],Customer_Details[#All],5,0)</f>
        <v>Male</v>
      </c>
      <c r="G119" s="2" t="str">
        <f>VLOOKUP(Sales_Details2[[#This Row],[Customer_ID]],Customer_Details[#All],9,0)</f>
        <v>Silver</v>
      </c>
      <c r="H119" s="2" t="s">
        <v>1623</v>
      </c>
      <c r="I119" s="2" t="str">
        <f>VLOOKUP(Sales_Details2[[#This Row],[Product_ID]],Product_details[[#All],[Product_ID]:[Cost]],3,0)</f>
        <v>Clothing</v>
      </c>
      <c r="J119" s="2" t="str">
        <f>VLOOKUP(Sales_Details2[[#This Row],[Product_ID]],Product_details[[#All],[Product_ID]:[Cost]],4,0)</f>
        <v>Outerwear</v>
      </c>
      <c r="K119" s="2" t="s">
        <v>1752</v>
      </c>
      <c r="L119" s="2" t="str">
        <f>_xlfn.XLOOKUP(Sales_Details2[[#This Row],[Store_ID]],Table2[Store_ID],Table2[Region],"Region not found")</f>
        <v>South</v>
      </c>
      <c r="M119" s="25">
        <v>3</v>
      </c>
      <c r="N119" s="36">
        <v>479.63</v>
      </c>
      <c r="O119" s="29">
        <v>0.3</v>
      </c>
      <c r="P119" s="2" t="s">
        <v>1809</v>
      </c>
      <c r="Q119" s="36">
        <v>1007.223</v>
      </c>
    </row>
    <row r="120" spans="1:17" x14ac:dyDescent="0.3">
      <c r="A120" s="2" t="s">
        <v>1927</v>
      </c>
      <c r="B120" s="14">
        <v>45405</v>
      </c>
      <c r="C120" s="2">
        <f>YEAR(Sales_Details2[[#This Row],[Order_Date]])</f>
        <v>2024</v>
      </c>
      <c r="D120" s="2" t="s">
        <v>367</v>
      </c>
      <c r="E120" s="2" t="str">
        <f>VLOOKUP(Sales_Details2[[#This Row],[Customer_ID]],Customer_Details[#All],4,0)</f>
        <v>Mid-Adult</v>
      </c>
      <c r="F120" s="2" t="str">
        <f>VLOOKUP(Sales_Details2[[#This Row],[Customer_ID]],Customer_Details[#All],5,0)</f>
        <v>Female</v>
      </c>
      <c r="G120" s="2" t="str">
        <f>VLOOKUP(Sales_Details2[[#This Row],[Customer_ID]],Customer_Details[#All],9,0)</f>
        <v>Gold</v>
      </c>
      <c r="H120" s="2" t="s">
        <v>1609</v>
      </c>
      <c r="I120" s="2" t="str">
        <f>VLOOKUP(Sales_Details2[[#This Row],[Product_ID]],Product_details[[#All],[Product_ID]:[Cost]],3,0)</f>
        <v>Electronics</v>
      </c>
      <c r="J120" s="2" t="str">
        <f>VLOOKUP(Sales_Details2[[#This Row],[Product_ID]],Product_details[[#All],[Product_ID]:[Cost]],4,0)</f>
        <v>Mobile</v>
      </c>
      <c r="K120" s="2" t="s">
        <v>1775</v>
      </c>
      <c r="L120" s="2" t="str">
        <f>_xlfn.XLOOKUP(Sales_Details2[[#This Row],[Store_ID]],Table2[Store_ID],Table2[Region],"Region not found")</f>
        <v>South</v>
      </c>
      <c r="M120" s="25">
        <v>1</v>
      </c>
      <c r="N120" s="36">
        <v>165</v>
      </c>
      <c r="O120" s="29">
        <v>0.3</v>
      </c>
      <c r="P120" s="2" t="s">
        <v>1812</v>
      </c>
      <c r="Q120" s="36">
        <v>115.5</v>
      </c>
    </row>
    <row r="121" spans="1:17" x14ac:dyDescent="0.3">
      <c r="A121" s="2" t="s">
        <v>1928</v>
      </c>
      <c r="B121" s="14">
        <v>45503</v>
      </c>
      <c r="C121" s="2">
        <f>YEAR(Sales_Details2[[#This Row],[Order_Date]])</f>
        <v>2024</v>
      </c>
      <c r="D121" s="2" t="s">
        <v>524</v>
      </c>
      <c r="E121" s="2" t="str">
        <f>VLOOKUP(Sales_Details2[[#This Row],[Customer_ID]],Customer_Details[#All],4,0)</f>
        <v>Mid-Adult</v>
      </c>
      <c r="F121" s="2" t="str">
        <f>VLOOKUP(Sales_Details2[[#This Row],[Customer_ID]],Customer_Details[#All],5,0)</f>
        <v>Male</v>
      </c>
      <c r="G121" s="2" t="str">
        <f>VLOOKUP(Sales_Details2[[#This Row],[Customer_ID]],Customer_Details[#All],9,0)</f>
        <v>Bronze</v>
      </c>
      <c r="H121" s="2" t="s">
        <v>1569</v>
      </c>
      <c r="I121" s="2" t="str">
        <f>VLOOKUP(Sales_Details2[[#This Row],[Product_ID]],Product_details[[#All],[Product_ID]:[Cost]],3,0)</f>
        <v>Sports</v>
      </c>
      <c r="J121" s="2" t="str">
        <f>VLOOKUP(Sales_Details2[[#This Row],[Product_ID]],Product_details[[#All],[Product_ID]:[Cost]],4,0)</f>
        <v>Equipment</v>
      </c>
      <c r="K121" s="2" t="s">
        <v>1765</v>
      </c>
      <c r="L121" s="2" t="str">
        <f>_xlfn.XLOOKUP(Sales_Details2[[#This Row],[Store_ID]],Table2[Store_ID],Table2[Region],"Region not found")</f>
        <v>West</v>
      </c>
      <c r="M121" s="25">
        <v>2</v>
      </c>
      <c r="N121" s="36">
        <v>151.51</v>
      </c>
      <c r="O121" s="29">
        <v>0.28999999999999998</v>
      </c>
      <c r="P121" s="2" t="s">
        <v>1812</v>
      </c>
      <c r="Q121" s="36">
        <v>215.14420000000001</v>
      </c>
    </row>
    <row r="122" spans="1:17" x14ac:dyDescent="0.3">
      <c r="A122" s="2" t="s">
        <v>1929</v>
      </c>
      <c r="B122" s="14">
        <v>45274</v>
      </c>
      <c r="C122" s="2">
        <f>YEAR(Sales_Details2[[#This Row],[Order_Date]])</f>
        <v>2023</v>
      </c>
      <c r="D122" s="2" t="s">
        <v>737</v>
      </c>
      <c r="E122" s="2" t="str">
        <f>VLOOKUP(Sales_Details2[[#This Row],[Customer_ID]],Customer_Details[#All],4,0)</f>
        <v>Adult</v>
      </c>
      <c r="F122" s="2" t="str">
        <f>VLOOKUP(Sales_Details2[[#This Row],[Customer_ID]],Customer_Details[#All],5,0)</f>
        <v>Female</v>
      </c>
      <c r="G122" s="2" t="str">
        <f>VLOOKUP(Sales_Details2[[#This Row],[Customer_ID]],Customer_Details[#All],9,0)</f>
        <v>Bronze</v>
      </c>
      <c r="H122" s="2" t="s">
        <v>1593</v>
      </c>
      <c r="I122" s="2" t="str">
        <f>VLOOKUP(Sales_Details2[[#This Row],[Product_ID]],Product_details[[#All],[Product_ID]:[Cost]],3,0)</f>
        <v>Sports</v>
      </c>
      <c r="J122" s="2" t="str">
        <f>VLOOKUP(Sales_Details2[[#This Row],[Product_ID]],Product_details[[#All],[Product_ID]:[Cost]],4,0)</f>
        <v>Team Sports</v>
      </c>
      <c r="K122" s="2" t="s">
        <v>1790</v>
      </c>
      <c r="L122" s="2" t="str">
        <f>_xlfn.XLOOKUP(Sales_Details2[[#This Row],[Store_ID]],Table2[Store_ID],Table2[Region],"Region not found")</f>
        <v>North</v>
      </c>
      <c r="M122" s="25">
        <v>2</v>
      </c>
      <c r="N122" s="36">
        <v>872.93</v>
      </c>
      <c r="O122" s="29">
        <v>0.28999999999999998</v>
      </c>
      <c r="P122" s="2" t="s">
        <v>1812</v>
      </c>
      <c r="Q122" s="36">
        <v>1239.5606</v>
      </c>
    </row>
    <row r="123" spans="1:17" x14ac:dyDescent="0.3">
      <c r="A123" s="2" t="s">
        <v>1930</v>
      </c>
      <c r="B123" s="14">
        <v>45558</v>
      </c>
      <c r="C123" s="2">
        <f>YEAR(Sales_Details2[[#This Row],[Order_Date]])</f>
        <v>2024</v>
      </c>
      <c r="D123" s="2" t="s">
        <v>835</v>
      </c>
      <c r="E123" s="2" t="str">
        <f>VLOOKUP(Sales_Details2[[#This Row],[Customer_ID]],Customer_Details[#All],4,0)</f>
        <v>Adult</v>
      </c>
      <c r="F123" s="2" t="str">
        <f>VLOOKUP(Sales_Details2[[#This Row],[Customer_ID]],Customer_Details[#All],5,0)</f>
        <v>Male</v>
      </c>
      <c r="G123" s="2" t="str">
        <f>VLOOKUP(Sales_Details2[[#This Row],[Customer_ID]],Customer_Details[#All],9,0)</f>
        <v>Gold</v>
      </c>
      <c r="H123" s="2" t="s">
        <v>1575</v>
      </c>
      <c r="I123" s="2" t="str">
        <f>VLOOKUP(Sales_Details2[[#This Row],[Product_ID]],Product_details[[#All],[Product_ID]:[Cost]],3,0)</f>
        <v>Sports</v>
      </c>
      <c r="J123" s="2" t="str">
        <f>VLOOKUP(Sales_Details2[[#This Row],[Product_ID]],Product_details[[#All],[Product_ID]:[Cost]],4,0)</f>
        <v>Equipment</v>
      </c>
      <c r="K123" s="2" t="s">
        <v>1772</v>
      </c>
      <c r="L123" s="2" t="str">
        <f>_xlfn.XLOOKUP(Sales_Details2[[#This Row],[Store_ID]],Table2[Store_ID],Table2[Region],"Region not found")</f>
        <v>East</v>
      </c>
      <c r="M123" s="25">
        <v>3</v>
      </c>
      <c r="N123" s="36">
        <v>432.4</v>
      </c>
      <c r="O123" s="29">
        <v>0.04</v>
      </c>
      <c r="P123" s="2" t="s">
        <v>1807</v>
      </c>
      <c r="Q123" s="36">
        <v>1245.3119999999999</v>
      </c>
    </row>
    <row r="124" spans="1:17" x14ac:dyDescent="0.3">
      <c r="A124" s="2" t="s">
        <v>1931</v>
      </c>
      <c r="B124" s="14">
        <v>45886</v>
      </c>
      <c r="C124" s="2">
        <f>YEAR(Sales_Details2[[#This Row],[Order_Date]])</f>
        <v>2025</v>
      </c>
      <c r="D124" s="2" t="s">
        <v>1051</v>
      </c>
      <c r="E124" s="2" t="str">
        <f>VLOOKUP(Sales_Details2[[#This Row],[Customer_ID]],Customer_Details[#All],4,0)</f>
        <v>Mid-Adult</v>
      </c>
      <c r="F124" s="2" t="str">
        <f>VLOOKUP(Sales_Details2[[#This Row],[Customer_ID]],Customer_Details[#All],5,0)</f>
        <v>Female</v>
      </c>
      <c r="G124" s="2" t="str">
        <f>VLOOKUP(Sales_Details2[[#This Row],[Customer_ID]],Customer_Details[#All],9,0)</f>
        <v>Silver</v>
      </c>
      <c r="H124" s="2" t="s">
        <v>1631</v>
      </c>
      <c r="I124" s="2" t="str">
        <f>VLOOKUP(Sales_Details2[[#This Row],[Product_ID]],Product_details[[#All],[Product_ID]:[Cost]],3,0)</f>
        <v>Sports</v>
      </c>
      <c r="J124" s="2" t="str">
        <f>VLOOKUP(Sales_Details2[[#This Row],[Product_ID]],Product_details[[#All],[Product_ID]:[Cost]],4,0)</f>
        <v>Fitness</v>
      </c>
      <c r="K124" s="2" t="s">
        <v>1762</v>
      </c>
      <c r="L124" s="2" t="str">
        <f>_xlfn.XLOOKUP(Sales_Details2[[#This Row],[Store_ID]],Table2[Store_ID],Table2[Region],"Region not found")</f>
        <v>South</v>
      </c>
      <c r="M124" s="25">
        <v>2</v>
      </c>
      <c r="N124" s="36">
        <v>197.76</v>
      </c>
      <c r="O124" s="29">
        <v>0.04</v>
      </c>
      <c r="P124" s="2" t="s">
        <v>1807</v>
      </c>
      <c r="Q124" s="36">
        <v>379.69920000000002</v>
      </c>
    </row>
    <row r="125" spans="1:17" x14ac:dyDescent="0.3">
      <c r="A125" s="2" t="s">
        <v>1932</v>
      </c>
      <c r="B125" s="14">
        <v>45674</v>
      </c>
      <c r="C125" s="2">
        <f>YEAR(Sales_Details2[[#This Row],[Order_Date]])</f>
        <v>2025</v>
      </c>
      <c r="D125" s="2" t="s">
        <v>1450</v>
      </c>
      <c r="E125" s="2" t="str">
        <f>VLOOKUP(Sales_Details2[[#This Row],[Customer_ID]],Customer_Details[#All],4,0)</f>
        <v>Mid-Adult</v>
      </c>
      <c r="F125" s="2" t="str">
        <f>VLOOKUP(Sales_Details2[[#This Row],[Customer_ID]],Customer_Details[#All],5,0)</f>
        <v>Female</v>
      </c>
      <c r="G125" s="2" t="str">
        <f>VLOOKUP(Sales_Details2[[#This Row],[Customer_ID]],Customer_Details[#All],9,0)</f>
        <v>Gold</v>
      </c>
      <c r="H125" s="2" t="s">
        <v>1611</v>
      </c>
      <c r="I125" s="2" t="str">
        <f>VLOOKUP(Sales_Details2[[#This Row],[Product_ID]],Product_details[[#All],[Product_ID]:[Cost]],3,0)</f>
        <v>Electronics</v>
      </c>
      <c r="J125" s="2" t="str">
        <f>VLOOKUP(Sales_Details2[[#This Row],[Product_ID]],Product_details[[#All],[Product_ID]:[Cost]],4,0)</f>
        <v>Audio</v>
      </c>
      <c r="K125" s="2" t="s">
        <v>1744</v>
      </c>
      <c r="L125" s="2" t="str">
        <f>_xlfn.XLOOKUP(Sales_Details2[[#This Row],[Store_ID]],Table2[Store_ID],Table2[Region],"Region not found")</f>
        <v>South</v>
      </c>
      <c r="M125" s="25">
        <v>3</v>
      </c>
      <c r="N125" s="36">
        <v>334.6</v>
      </c>
      <c r="O125" s="29">
        <v>0.11</v>
      </c>
      <c r="P125" s="2" t="s">
        <v>1809</v>
      </c>
      <c r="Q125" s="36">
        <v>893.38200000000006</v>
      </c>
    </row>
    <row r="126" spans="1:17" x14ac:dyDescent="0.3">
      <c r="A126" s="2" t="s">
        <v>1933</v>
      </c>
      <c r="B126" s="14">
        <v>45777</v>
      </c>
      <c r="C126" s="2">
        <f>YEAR(Sales_Details2[[#This Row],[Order_Date]])</f>
        <v>2025</v>
      </c>
      <c r="D126" s="2" t="s">
        <v>310</v>
      </c>
      <c r="E126" s="2" t="str">
        <f>VLOOKUP(Sales_Details2[[#This Row],[Customer_ID]],Customer_Details[#All],4,0)</f>
        <v>Senior</v>
      </c>
      <c r="F126" s="2" t="str">
        <f>VLOOKUP(Sales_Details2[[#This Row],[Customer_ID]],Customer_Details[#All],5,0)</f>
        <v>Female</v>
      </c>
      <c r="G126" s="2" t="str">
        <f>VLOOKUP(Sales_Details2[[#This Row],[Customer_ID]],Customer_Details[#All],9,0)</f>
        <v>Bronze</v>
      </c>
      <c r="H126" s="2" t="s">
        <v>1559</v>
      </c>
      <c r="I126" s="2" t="str">
        <f>VLOOKUP(Sales_Details2[[#This Row],[Product_ID]],Product_details[[#All],[Product_ID]:[Cost]],3,0)</f>
        <v>Home</v>
      </c>
      <c r="J126" s="2" t="str">
        <f>VLOOKUP(Sales_Details2[[#This Row],[Product_ID]],Product_details[[#All],[Product_ID]:[Cost]],4,0)</f>
        <v>Decor</v>
      </c>
      <c r="K126" s="2" t="s">
        <v>1749</v>
      </c>
      <c r="L126" s="2" t="str">
        <f>_xlfn.XLOOKUP(Sales_Details2[[#This Row],[Store_ID]],Table2[Store_ID],Table2[Region],"Region not found")</f>
        <v>North</v>
      </c>
      <c r="M126" s="25">
        <v>2</v>
      </c>
      <c r="N126" s="36">
        <v>44.35</v>
      </c>
      <c r="O126" s="29">
        <v>0.2</v>
      </c>
      <c r="P126" s="2" t="s">
        <v>1812</v>
      </c>
      <c r="Q126" s="36">
        <v>70.960000000000008</v>
      </c>
    </row>
    <row r="127" spans="1:17" x14ac:dyDescent="0.3">
      <c r="A127" s="2" t="s">
        <v>1934</v>
      </c>
      <c r="B127" s="14">
        <v>45598</v>
      </c>
      <c r="C127" s="2">
        <f>YEAR(Sales_Details2[[#This Row],[Order_Date]])</f>
        <v>2024</v>
      </c>
      <c r="D127" s="2" t="s">
        <v>1513</v>
      </c>
      <c r="E127" s="2" t="str">
        <f>VLOOKUP(Sales_Details2[[#This Row],[Customer_ID]],Customer_Details[#All],4,0)</f>
        <v>Mid-Adult</v>
      </c>
      <c r="F127" s="2" t="str">
        <f>VLOOKUP(Sales_Details2[[#This Row],[Customer_ID]],Customer_Details[#All],5,0)</f>
        <v>Male</v>
      </c>
      <c r="G127" s="2" t="str">
        <f>VLOOKUP(Sales_Details2[[#This Row],[Customer_ID]],Customer_Details[#All],9,0)</f>
        <v>Silver</v>
      </c>
      <c r="H127" s="2" t="s">
        <v>1545</v>
      </c>
      <c r="I127" s="2" t="str">
        <f>VLOOKUP(Sales_Details2[[#This Row],[Product_ID]],Product_details[[#All],[Product_ID]:[Cost]],3,0)</f>
        <v>Electronics</v>
      </c>
      <c r="J127" s="2" t="str">
        <f>VLOOKUP(Sales_Details2[[#This Row],[Product_ID]],Product_details[[#All],[Product_ID]:[Cost]],4,0)</f>
        <v>Audio</v>
      </c>
      <c r="K127" s="2" t="s">
        <v>1759</v>
      </c>
      <c r="L127" s="2" t="str">
        <f>_xlfn.XLOOKUP(Sales_Details2[[#This Row],[Store_ID]],Table2[Store_ID],Table2[Region],"Region not found")</f>
        <v>East</v>
      </c>
      <c r="M127" s="25">
        <v>1</v>
      </c>
      <c r="N127" s="36">
        <v>846.31</v>
      </c>
      <c r="O127" s="29">
        <v>0.05</v>
      </c>
      <c r="P127" s="2" t="s">
        <v>1809</v>
      </c>
      <c r="Q127" s="36">
        <v>803.9944999999999</v>
      </c>
    </row>
    <row r="128" spans="1:17" x14ac:dyDescent="0.3">
      <c r="A128" s="2" t="s">
        <v>1935</v>
      </c>
      <c r="B128" s="14">
        <v>45884</v>
      </c>
      <c r="C128" s="2">
        <f>YEAR(Sales_Details2[[#This Row],[Order_Date]])</f>
        <v>2025</v>
      </c>
      <c r="D128" s="2" t="s">
        <v>444</v>
      </c>
      <c r="E128" s="2" t="str">
        <f>VLOOKUP(Sales_Details2[[#This Row],[Customer_ID]],Customer_Details[#All],4,0)</f>
        <v>Mid-Adult</v>
      </c>
      <c r="F128" s="2" t="str">
        <f>VLOOKUP(Sales_Details2[[#This Row],[Customer_ID]],Customer_Details[#All],5,0)</f>
        <v>Female</v>
      </c>
      <c r="G128" s="2" t="str">
        <f>VLOOKUP(Sales_Details2[[#This Row],[Customer_ID]],Customer_Details[#All],9,0)</f>
        <v>Bronze</v>
      </c>
      <c r="H128" s="2" t="s">
        <v>1601</v>
      </c>
      <c r="I128" s="2" t="str">
        <f>VLOOKUP(Sales_Details2[[#This Row],[Product_ID]],Product_details[[#All],[Product_ID]:[Cost]],3,0)</f>
        <v>Home</v>
      </c>
      <c r="J128" s="2" t="str">
        <f>VLOOKUP(Sales_Details2[[#This Row],[Product_ID]],Product_details[[#All],[Product_ID]:[Cost]],4,0)</f>
        <v>Lighting</v>
      </c>
      <c r="K128" s="2" t="s">
        <v>1777</v>
      </c>
      <c r="L128" s="2" t="str">
        <f>_xlfn.XLOOKUP(Sales_Details2[[#This Row],[Store_ID]],Table2[Store_ID],Table2[Region],"Region not found")</f>
        <v>North</v>
      </c>
      <c r="M128" s="25">
        <v>1</v>
      </c>
      <c r="N128" s="36">
        <v>996.48</v>
      </c>
      <c r="O128" s="29">
        <v>7.0000000000000007E-2</v>
      </c>
      <c r="P128" s="2" t="s">
        <v>1812</v>
      </c>
      <c r="Q128" s="36">
        <v>926.7263999999999</v>
      </c>
    </row>
    <row r="129" spans="1:17" x14ac:dyDescent="0.3">
      <c r="A129" s="2" t="s">
        <v>1936</v>
      </c>
      <c r="B129" s="14">
        <v>45916</v>
      </c>
      <c r="C129" s="2">
        <f>YEAR(Sales_Details2[[#This Row],[Order_Date]])</f>
        <v>2025</v>
      </c>
      <c r="D129" s="2" t="s">
        <v>873</v>
      </c>
      <c r="E129" s="2" t="str">
        <f>VLOOKUP(Sales_Details2[[#This Row],[Customer_ID]],Customer_Details[#All],4,0)</f>
        <v>Adult</v>
      </c>
      <c r="F129" s="2" t="str">
        <f>VLOOKUP(Sales_Details2[[#This Row],[Customer_ID]],Customer_Details[#All],5,0)</f>
        <v>Female</v>
      </c>
      <c r="G129" s="2" t="str">
        <f>VLOOKUP(Sales_Details2[[#This Row],[Customer_ID]],Customer_Details[#All],9,0)</f>
        <v>Platinum</v>
      </c>
      <c r="H129" s="2" t="s">
        <v>1717</v>
      </c>
      <c r="I129" s="2" t="str">
        <f>VLOOKUP(Sales_Details2[[#This Row],[Product_ID]],Product_details[[#All],[Product_ID]:[Cost]],3,0)</f>
        <v>Electronics</v>
      </c>
      <c r="J129" s="2" t="str">
        <f>VLOOKUP(Sales_Details2[[#This Row],[Product_ID]],Product_details[[#All],[Product_ID]:[Cost]],4,0)</f>
        <v>Computer</v>
      </c>
      <c r="K129" s="2" t="s">
        <v>1759</v>
      </c>
      <c r="L129" s="2" t="str">
        <f>_xlfn.XLOOKUP(Sales_Details2[[#This Row],[Store_ID]],Table2[Store_ID],Table2[Region],"Region not found")</f>
        <v>East</v>
      </c>
      <c r="M129" s="25">
        <v>3</v>
      </c>
      <c r="N129" s="36">
        <v>949.19</v>
      </c>
      <c r="O129" s="29">
        <v>0.03</v>
      </c>
      <c r="P129" s="2" t="s">
        <v>1812</v>
      </c>
      <c r="Q129" s="36">
        <v>2762.1428999999998</v>
      </c>
    </row>
    <row r="130" spans="1:17" x14ac:dyDescent="0.3">
      <c r="A130" s="2" t="s">
        <v>1937</v>
      </c>
      <c r="B130" s="14">
        <v>45347</v>
      </c>
      <c r="C130" s="2">
        <f>YEAR(Sales_Details2[[#This Row],[Order_Date]])</f>
        <v>2024</v>
      </c>
      <c r="D130" s="2" t="s">
        <v>1225</v>
      </c>
      <c r="E130" s="2" t="str">
        <f>VLOOKUP(Sales_Details2[[#This Row],[Customer_ID]],Customer_Details[#All],4,0)</f>
        <v>Senior</v>
      </c>
      <c r="F130" s="2" t="str">
        <f>VLOOKUP(Sales_Details2[[#This Row],[Customer_ID]],Customer_Details[#All],5,0)</f>
        <v>Female</v>
      </c>
      <c r="G130" s="2" t="str">
        <f>VLOOKUP(Sales_Details2[[#This Row],[Customer_ID]],Customer_Details[#All],9,0)</f>
        <v>Platinum</v>
      </c>
      <c r="H130" s="2" t="s">
        <v>1719</v>
      </c>
      <c r="I130" s="2" t="str">
        <f>VLOOKUP(Sales_Details2[[#This Row],[Product_ID]],Product_details[[#All],[Product_ID]:[Cost]],3,0)</f>
        <v>Beauty</v>
      </c>
      <c r="J130" s="2" t="str">
        <f>VLOOKUP(Sales_Details2[[#This Row],[Product_ID]],Product_details[[#All],[Product_ID]:[Cost]],4,0)</f>
        <v>Skincare</v>
      </c>
      <c r="K130" s="2" t="s">
        <v>1769</v>
      </c>
      <c r="L130" s="2" t="str">
        <f>_xlfn.XLOOKUP(Sales_Details2[[#This Row],[Store_ID]],Table2[Store_ID],Table2[Region],"Region not found")</f>
        <v>South</v>
      </c>
      <c r="M130" s="25">
        <v>2</v>
      </c>
      <c r="N130" s="36">
        <v>724.97</v>
      </c>
      <c r="O130" s="29">
        <v>0.1</v>
      </c>
      <c r="P130" s="2" t="s">
        <v>1807</v>
      </c>
      <c r="Q130" s="36">
        <v>1304.9459999999999</v>
      </c>
    </row>
    <row r="131" spans="1:17" x14ac:dyDescent="0.3">
      <c r="A131" s="2" t="s">
        <v>1938</v>
      </c>
      <c r="B131" s="14">
        <v>45723</v>
      </c>
      <c r="C131" s="2">
        <f>YEAR(Sales_Details2[[#This Row],[Order_Date]])</f>
        <v>2025</v>
      </c>
      <c r="D131" s="2" t="s">
        <v>983</v>
      </c>
      <c r="E131" s="2" t="str">
        <f>VLOOKUP(Sales_Details2[[#This Row],[Customer_ID]],Customer_Details[#All],4,0)</f>
        <v>Mid-Adult</v>
      </c>
      <c r="F131" s="2" t="str">
        <f>VLOOKUP(Sales_Details2[[#This Row],[Customer_ID]],Customer_Details[#All],5,0)</f>
        <v>Male</v>
      </c>
      <c r="G131" s="2" t="str">
        <f>VLOOKUP(Sales_Details2[[#This Row],[Customer_ID]],Customer_Details[#All],9,0)</f>
        <v>Silver</v>
      </c>
      <c r="H131" s="2" t="s">
        <v>1529</v>
      </c>
      <c r="I131" s="2" t="str">
        <f>VLOOKUP(Sales_Details2[[#This Row],[Product_ID]],Product_details[[#All],[Product_ID]:[Cost]],3,0)</f>
        <v>Clothing</v>
      </c>
      <c r="J131" s="2" t="str">
        <f>VLOOKUP(Sales_Details2[[#This Row],[Product_ID]],Product_details[[#All],[Product_ID]:[Cost]],4,0)</f>
        <v>Tops</v>
      </c>
      <c r="K131" s="2" t="s">
        <v>1787</v>
      </c>
      <c r="L131" s="2" t="str">
        <f>_xlfn.XLOOKUP(Sales_Details2[[#This Row],[Store_ID]],Table2[Store_ID],Table2[Region],"Region not found")</f>
        <v>West</v>
      </c>
      <c r="M131" s="25">
        <v>1</v>
      </c>
      <c r="N131" s="36">
        <v>783.25</v>
      </c>
      <c r="O131" s="29">
        <v>0.3</v>
      </c>
      <c r="P131" s="2" t="s">
        <v>1807</v>
      </c>
      <c r="Q131" s="36">
        <v>548.27499999999998</v>
      </c>
    </row>
    <row r="132" spans="1:17" x14ac:dyDescent="0.3">
      <c r="A132" s="2" t="s">
        <v>1939</v>
      </c>
      <c r="B132" s="14">
        <v>45495</v>
      </c>
      <c r="C132" s="2">
        <f>YEAR(Sales_Details2[[#This Row],[Order_Date]])</f>
        <v>2024</v>
      </c>
      <c r="D132" s="2" t="s">
        <v>1066</v>
      </c>
      <c r="E132" s="2" t="str">
        <f>VLOOKUP(Sales_Details2[[#This Row],[Customer_ID]],Customer_Details[#All],4,0)</f>
        <v>Mid-Adult</v>
      </c>
      <c r="F132" s="2" t="str">
        <f>VLOOKUP(Sales_Details2[[#This Row],[Customer_ID]],Customer_Details[#All],5,0)</f>
        <v>Male</v>
      </c>
      <c r="G132" s="2" t="str">
        <f>VLOOKUP(Sales_Details2[[#This Row],[Customer_ID]],Customer_Details[#All],9,0)</f>
        <v>Bronze</v>
      </c>
      <c r="H132" s="2" t="s">
        <v>1565</v>
      </c>
      <c r="I132" s="2" t="str">
        <f>VLOOKUP(Sales_Details2[[#This Row],[Product_ID]],Product_details[[#All],[Product_ID]:[Cost]],3,0)</f>
        <v>Sports</v>
      </c>
      <c r="J132" s="2" t="str">
        <f>VLOOKUP(Sales_Details2[[#This Row],[Product_ID]],Product_details[[#All],[Product_ID]:[Cost]],4,0)</f>
        <v>Accessories</v>
      </c>
      <c r="K132" s="2" t="s">
        <v>1749</v>
      </c>
      <c r="L132" s="2" t="str">
        <f>_xlfn.XLOOKUP(Sales_Details2[[#This Row],[Store_ID]],Table2[Store_ID],Table2[Region],"Region not found")</f>
        <v>North</v>
      </c>
      <c r="M132" s="25">
        <v>1</v>
      </c>
      <c r="N132" s="36">
        <v>942.38</v>
      </c>
      <c r="O132" s="29">
        <v>0.17</v>
      </c>
      <c r="P132" s="2" t="s">
        <v>1807</v>
      </c>
      <c r="Q132" s="36">
        <v>782.17539999999997</v>
      </c>
    </row>
    <row r="133" spans="1:17" x14ac:dyDescent="0.3">
      <c r="A133" s="2" t="s">
        <v>1940</v>
      </c>
      <c r="B133" s="14">
        <v>45444</v>
      </c>
      <c r="C133" s="2">
        <f>YEAR(Sales_Details2[[#This Row],[Order_Date]])</f>
        <v>2024</v>
      </c>
      <c r="D133" s="2" t="s">
        <v>1507</v>
      </c>
      <c r="E133" s="2" t="str">
        <f>VLOOKUP(Sales_Details2[[#This Row],[Customer_ID]],Customer_Details[#All],4,0)</f>
        <v>Senior</v>
      </c>
      <c r="F133" s="2" t="str">
        <f>VLOOKUP(Sales_Details2[[#This Row],[Customer_ID]],Customer_Details[#All],5,0)</f>
        <v>Male</v>
      </c>
      <c r="G133" s="2" t="str">
        <f>VLOOKUP(Sales_Details2[[#This Row],[Customer_ID]],Customer_Details[#All],9,0)</f>
        <v>Bronze</v>
      </c>
      <c r="H133" s="2" t="s">
        <v>1633</v>
      </c>
      <c r="I133" s="2" t="str">
        <f>VLOOKUP(Sales_Details2[[#This Row],[Product_ID]],Product_details[[#All],[Product_ID]:[Cost]],3,0)</f>
        <v>Electronics</v>
      </c>
      <c r="J133" s="2" t="str">
        <f>VLOOKUP(Sales_Details2[[#This Row],[Product_ID]],Product_details[[#All],[Product_ID]:[Cost]],4,0)</f>
        <v>Accessories</v>
      </c>
      <c r="K133" s="2" t="s">
        <v>1775</v>
      </c>
      <c r="L133" s="2" t="str">
        <f>_xlfn.XLOOKUP(Sales_Details2[[#This Row],[Store_ID]],Table2[Store_ID],Table2[Region],"Region not found")</f>
        <v>South</v>
      </c>
      <c r="M133" s="25">
        <v>3</v>
      </c>
      <c r="N133" s="36">
        <v>298.35000000000002</v>
      </c>
      <c r="O133" s="29">
        <v>0.05</v>
      </c>
      <c r="P133" s="2" t="s">
        <v>1812</v>
      </c>
      <c r="Q133" s="36">
        <v>850.29750000000001</v>
      </c>
    </row>
    <row r="134" spans="1:17" x14ac:dyDescent="0.3">
      <c r="A134" s="2" t="s">
        <v>1941</v>
      </c>
      <c r="B134" s="14">
        <v>45662</v>
      </c>
      <c r="C134" s="2">
        <f>YEAR(Sales_Details2[[#This Row],[Order_Date]])</f>
        <v>2025</v>
      </c>
      <c r="D134" s="2" t="s">
        <v>542</v>
      </c>
      <c r="E134" s="2" t="str">
        <f>VLOOKUP(Sales_Details2[[#This Row],[Customer_ID]],Customer_Details[#All],4,0)</f>
        <v>Mid-Adult</v>
      </c>
      <c r="F134" s="2" t="str">
        <f>VLOOKUP(Sales_Details2[[#This Row],[Customer_ID]],Customer_Details[#All],5,0)</f>
        <v>Female</v>
      </c>
      <c r="G134" s="2" t="str">
        <f>VLOOKUP(Sales_Details2[[#This Row],[Customer_ID]],Customer_Details[#All],9,0)</f>
        <v>Silver</v>
      </c>
      <c r="H134" s="2" t="s">
        <v>1627</v>
      </c>
      <c r="I134" s="2" t="str">
        <f>VLOOKUP(Sales_Details2[[#This Row],[Product_ID]],Product_details[[#All],[Product_ID]:[Cost]],3,0)</f>
        <v>Electronics</v>
      </c>
      <c r="J134" s="2" t="str">
        <f>VLOOKUP(Sales_Details2[[#This Row],[Product_ID]],Product_details[[#All],[Product_ID]:[Cost]],4,0)</f>
        <v>Accessories</v>
      </c>
      <c r="K134" s="2" t="s">
        <v>1777</v>
      </c>
      <c r="L134" s="2" t="str">
        <f>_xlfn.XLOOKUP(Sales_Details2[[#This Row],[Store_ID]],Table2[Store_ID],Table2[Region],"Region not found")</f>
        <v>North</v>
      </c>
      <c r="M134" s="25">
        <v>4</v>
      </c>
      <c r="N134" s="36">
        <v>950.04</v>
      </c>
      <c r="O134" s="29">
        <v>0.13</v>
      </c>
      <c r="P134" s="2" t="s">
        <v>1809</v>
      </c>
      <c r="Q134" s="36">
        <v>3306.1392000000001</v>
      </c>
    </row>
    <row r="135" spans="1:17" x14ac:dyDescent="0.3">
      <c r="A135" s="2" t="s">
        <v>1942</v>
      </c>
      <c r="B135" s="14">
        <v>45910</v>
      </c>
      <c r="C135" s="2">
        <f>YEAR(Sales_Details2[[#This Row],[Order_Date]])</f>
        <v>2025</v>
      </c>
      <c r="D135" s="2" t="s">
        <v>1024</v>
      </c>
      <c r="E135" s="2" t="str">
        <f>VLOOKUP(Sales_Details2[[#This Row],[Customer_ID]],Customer_Details[#All],4,0)</f>
        <v>Senior</v>
      </c>
      <c r="F135" s="2" t="str">
        <f>VLOOKUP(Sales_Details2[[#This Row],[Customer_ID]],Customer_Details[#All],5,0)</f>
        <v>Female</v>
      </c>
      <c r="G135" s="2" t="str">
        <f>VLOOKUP(Sales_Details2[[#This Row],[Customer_ID]],Customer_Details[#All],9,0)</f>
        <v>Bronze</v>
      </c>
      <c r="H135" s="2" t="s">
        <v>1645</v>
      </c>
      <c r="I135" s="2" t="str">
        <f>VLOOKUP(Sales_Details2[[#This Row],[Product_ID]],Product_details[[#All],[Product_ID]:[Cost]],3,0)</f>
        <v>Sports</v>
      </c>
      <c r="J135" s="2" t="str">
        <f>VLOOKUP(Sales_Details2[[#This Row],[Product_ID]],Product_details[[#All],[Product_ID]:[Cost]],4,0)</f>
        <v>Fitness</v>
      </c>
      <c r="K135" s="2" t="s">
        <v>1752</v>
      </c>
      <c r="L135" s="2" t="str">
        <f>_xlfn.XLOOKUP(Sales_Details2[[#This Row],[Store_ID]],Table2[Store_ID],Table2[Region],"Region not found")</f>
        <v>South</v>
      </c>
      <c r="M135" s="25">
        <v>2</v>
      </c>
      <c r="N135" s="36">
        <v>267.19</v>
      </c>
      <c r="O135" s="29">
        <v>7.0000000000000007E-2</v>
      </c>
      <c r="P135" s="2" t="s">
        <v>1807</v>
      </c>
      <c r="Q135" s="36">
        <v>496.97340000000003</v>
      </c>
    </row>
    <row r="136" spans="1:17" x14ac:dyDescent="0.3">
      <c r="A136" s="2" t="s">
        <v>1943</v>
      </c>
      <c r="B136" s="14">
        <v>45827</v>
      </c>
      <c r="C136" s="2">
        <f>YEAR(Sales_Details2[[#This Row],[Order_Date]])</f>
        <v>2025</v>
      </c>
      <c r="D136" s="2" t="s">
        <v>651</v>
      </c>
      <c r="E136" s="2" t="str">
        <f>VLOOKUP(Sales_Details2[[#This Row],[Customer_ID]],Customer_Details[#All],4,0)</f>
        <v>Adult</v>
      </c>
      <c r="F136" s="2" t="str">
        <f>VLOOKUP(Sales_Details2[[#This Row],[Customer_ID]],Customer_Details[#All],5,0)</f>
        <v>Female</v>
      </c>
      <c r="G136" s="2" t="str">
        <f>VLOOKUP(Sales_Details2[[#This Row],[Customer_ID]],Customer_Details[#All],9,0)</f>
        <v>Bronze</v>
      </c>
      <c r="H136" s="2" t="s">
        <v>1705</v>
      </c>
      <c r="I136" s="2" t="str">
        <f>VLOOKUP(Sales_Details2[[#This Row],[Product_ID]],Product_details[[#All],[Product_ID]:[Cost]],3,0)</f>
        <v>Home</v>
      </c>
      <c r="J136" s="2" t="str">
        <f>VLOOKUP(Sales_Details2[[#This Row],[Product_ID]],Product_details[[#All],[Product_ID]:[Cost]],4,0)</f>
        <v>Lighting</v>
      </c>
      <c r="K136" s="2" t="s">
        <v>1784</v>
      </c>
      <c r="L136" s="2" t="str">
        <f>_xlfn.XLOOKUP(Sales_Details2[[#This Row],[Store_ID]],Table2[Store_ID],Table2[Region],"Region not found")</f>
        <v>North</v>
      </c>
      <c r="M136" s="25">
        <v>4</v>
      </c>
      <c r="N136" s="36">
        <v>72.63</v>
      </c>
      <c r="O136" s="29">
        <v>0.06</v>
      </c>
      <c r="P136" s="2" t="s">
        <v>1809</v>
      </c>
      <c r="Q136" s="36">
        <v>273.08879999999999</v>
      </c>
    </row>
    <row r="137" spans="1:17" x14ac:dyDescent="0.3">
      <c r="A137" s="2" t="s">
        <v>1944</v>
      </c>
      <c r="B137" s="14">
        <v>45544</v>
      </c>
      <c r="C137" s="2">
        <f>YEAR(Sales_Details2[[#This Row],[Order_Date]])</f>
        <v>2024</v>
      </c>
      <c r="D137" s="2" t="s">
        <v>1309</v>
      </c>
      <c r="E137" s="2" t="str">
        <f>VLOOKUP(Sales_Details2[[#This Row],[Customer_ID]],Customer_Details[#All],4,0)</f>
        <v>Adult</v>
      </c>
      <c r="F137" s="2" t="str">
        <f>VLOOKUP(Sales_Details2[[#This Row],[Customer_ID]],Customer_Details[#All],5,0)</f>
        <v>Female</v>
      </c>
      <c r="G137" s="2" t="str">
        <f>VLOOKUP(Sales_Details2[[#This Row],[Customer_ID]],Customer_Details[#All],9,0)</f>
        <v>Gold</v>
      </c>
      <c r="H137" s="2" t="s">
        <v>1637</v>
      </c>
      <c r="I137" s="2" t="str">
        <f>VLOOKUP(Sales_Details2[[#This Row],[Product_ID]],Product_details[[#All],[Product_ID]:[Cost]],3,0)</f>
        <v>Clothing</v>
      </c>
      <c r="J137" s="2" t="str">
        <f>VLOOKUP(Sales_Details2[[#This Row],[Product_ID]],Product_details[[#All],[Product_ID]:[Cost]],4,0)</f>
        <v>Bottoms</v>
      </c>
      <c r="K137" s="2" t="s">
        <v>1756</v>
      </c>
      <c r="L137" s="2" t="str">
        <f>_xlfn.XLOOKUP(Sales_Details2[[#This Row],[Store_ID]],Table2[Store_ID],Table2[Region],"Region not found")</f>
        <v>North</v>
      </c>
      <c r="M137" s="25">
        <v>3</v>
      </c>
      <c r="N137" s="36">
        <v>576.52</v>
      </c>
      <c r="O137" s="29">
        <v>0.22</v>
      </c>
      <c r="P137" s="2" t="s">
        <v>1812</v>
      </c>
      <c r="Q137" s="36">
        <v>1349.0568000000001</v>
      </c>
    </row>
    <row r="138" spans="1:17" x14ac:dyDescent="0.3">
      <c r="A138" s="2" t="s">
        <v>1945</v>
      </c>
      <c r="B138" s="14">
        <v>45751</v>
      </c>
      <c r="C138" s="2">
        <f>YEAR(Sales_Details2[[#This Row],[Order_Date]])</f>
        <v>2025</v>
      </c>
      <c r="D138" s="2" t="s">
        <v>1083</v>
      </c>
      <c r="E138" s="2" t="str">
        <f>VLOOKUP(Sales_Details2[[#This Row],[Customer_ID]],Customer_Details[#All],4,0)</f>
        <v>Mid-Adult</v>
      </c>
      <c r="F138" s="2" t="str">
        <f>VLOOKUP(Sales_Details2[[#This Row],[Customer_ID]],Customer_Details[#All],5,0)</f>
        <v>Male</v>
      </c>
      <c r="G138" s="2" t="str">
        <f>VLOOKUP(Sales_Details2[[#This Row],[Customer_ID]],Customer_Details[#All],9,0)</f>
        <v>Bronze</v>
      </c>
      <c r="H138" s="2" t="s">
        <v>1673</v>
      </c>
      <c r="I138" s="2" t="str">
        <f>VLOOKUP(Sales_Details2[[#This Row],[Product_ID]],Product_details[[#All],[Product_ID]:[Cost]],3,0)</f>
        <v>Beauty</v>
      </c>
      <c r="J138" s="2" t="str">
        <f>VLOOKUP(Sales_Details2[[#This Row],[Product_ID]],Product_details[[#All],[Product_ID]:[Cost]],4,0)</f>
        <v>Haircare</v>
      </c>
      <c r="K138" s="2" t="s">
        <v>1769</v>
      </c>
      <c r="L138" s="2" t="str">
        <f>_xlfn.XLOOKUP(Sales_Details2[[#This Row],[Store_ID]],Table2[Store_ID],Table2[Region],"Region not found")</f>
        <v>South</v>
      </c>
      <c r="M138" s="25">
        <v>3</v>
      </c>
      <c r="N138" s="36">
        <v>849.36</v>
      </c>
      <c r="O138" s="29">
        <v>0.03</v>
      </c>
      <c r="P138" s="2" t="s">
        <v>1807</v>
      </c>
      <c r="Q138" s="36">
        <v>2471.6376</v>
      </c>
    </row>
    <row r="139" spans="1:17" x14ac:dyDescent="0.3">
      <c r="A139" s="2" t="s">
        <v>1946</v>
      </c>
      <c r="B139" s="14">
        <v>45392</v>
      </c>
      <c r="C139" s="2">
        <f>YEAR(Sales_Details2[[#This Row],[Order_Date]])</f>
        <v>2024</v>
      </c>
      <c r="D139" s="2" t="s">
        <v>1442</v>
      </c>
      <c r="E139" s="2" t="str">
        <f>VLOOKUP(Sales_Details2[[#This Row],[Customer_ID]],Customer_Details[#All],4,0)</f>
        <v>Senior</v>
      </c>
      <c r="F139" s="2" t="str">
        <f>VLOOKUP(Sales_Details2[[#This Row],[Customer_ID]],Customer_Details[#All],5,0)</f>
        <v>Male</v>
      </c>
      <c r="G139" s="2" t="str">
        <f>VLOOKUP(Sales_Details2[[#This Row],[Customer_ID]],Customer_Details[#All],9,0)</f>
        <v>Bronze</v>
      </c>
      <c r="H139" s="2" t="s">
        <v>1631</v>
      </c>
      <c r="I139" s="2" t="str">
        <f>VLOOKUP(Sales_Details2[[#This Row],[Product_ID]],Product_details[[#All],[Product_ID]:[Cost]],3,0)</f>
        <v>Sports</v>
      </c>
      <c r="J139" s="2" t="str">
        <f>VLOOKUP(Sales_Details2[[#This Row],[Product_ID]],Product_details[[#All],[Product_ID]:[Cost]],4,0)</f>
        <v>Fitness</v>
      </c>
      <c r="K139" s="2" t="s">
        <v>1759</v>
      </c>
      <c r="L139" s="2" t="str">
        <f>_xlfn.XLOOKUP(Sales_Details2[[#This Row],[Store_ID]],Table2[Store_ID],Table2[Region],"Region not found")</f>
        <v>East</v>
      </c>
      <c r="M139" s="25">
        <v>1</v>
      </c>
      <c r="N139" s="36">
        <v>245.85</v>
      </c>
      <c r="O139" s="29">
        <v>0.18</v>
      </c>
      <c r="P139" s="2" t="s">
        <v>1812</v>
      </c>
      <c r="Q139" s="36">
        <v>201.59700000000001</v>
      </c>
    </row>
    <row r="140" spans="1:17" x14ac:dyDescent="0.3">
      <c r="A140" s="2" t="s">
        <v>1947</v>
      </c>
      <c r="B140" s="14">
        <v>45589</v>
      </c>
      <c r="C140" s="2">
        <f>YEAR(Sales_Details2[[#This Row],[Order_Date]])</f>
        <v>2024</v>
      </c>
      <c r="D140" s="2" t="s">
        <v>583</v>
      </c>
      <c r="E140" s="2" t="str">
        <f>VLOOKUP(Sales_Details2[[#This Row],[Customer_ID]],Customer_Details[#All],4,0)</f>
        <v>Mid-Adult</v>
      </c>
      <c r="F140" s="2" t="str">
        <f>VLOOKUP(Sales_Details2[[#This Row],[Customer_ID]],Customer_Details[#All],5,0)</f>
        <v>Female</v>
      </c>
      <c r="G140" s="2" t="str">
        <f>VLOOKUP(Sales_Details2[[#This Row],[Customer_ID]],Customer_Details[#All],9,0)</f>
        <v>Bronze</v>
      </c>
      <c r="H140" s="2" t="s">
        <v>1725</v>
      </c>
      <c r="I140" s="2" t="str">
        <f>VLOOKUP(Sales_Details2[[#This Row],[Product_ID]],Product_details[[#All],[Product_ID]:[Cost]],3,0)</f>
        <v>Sports</v>
      </c>
      <c r="J140" s="2" t="str">
        <f>VLOOKUP(Sales_Details2[[#This Row],[Product_ID]],Product_details[[#All],[Product_ID]:[Cost]],4,0)</f>
        <v>Team Sports</v>
      </c>
      <c r="K140" s="2" t="s">
        <v>1772</v>
      </c>
      <c r="L140" s="2" t="str">
        <f>_xlfn.XLOOKUP(Sales_Details2[[#This Row],[Store_ID]],Table2[Store_ID],Table2[Region],"Region not found")</f>
        <v>East</v>
      </c>
      <c r="M140" s="25">
        <v>3</v>
      </c>
      <c r="N140" s="36">
        <v>237.68</v>
      </c>
      <c r="O140" s="29">
        <v>0.1</v>
      </c>
      <c r="P140" s="2" t="s">
        <v>1812</v>
      </c>
      <c r="Q140" s="36">
        <v>641.73599999999999</v>
      </c>
    </row>
    <row r="141" spans="1:17" x14ac:dyDescent="0.3">
      <c r="A141" s="2" t="s">
        <v>1948</v>
      </c>
      <c r="B141" s="14">
        <v>45756</v>
      </c>
      <c r="C141" s="2">
        <f>YEAR(Sales_Details2[[#This Row],[Order_Date]])</f>
        <v>2025</v>
      </c>
      <c r="D141" s="2" t="s">
        <v>1048</v>
      </c>
      <c r="E141" s="2" t="str">
        <f>VLOOKUP(Sales_Details2[[#This Row],[Customer_ID]],Customer_Details[#All],4,0)</f>
        <v>Mid-Adult</v>
      </c>
      <c r="F141" s="2" t="str">
        <f>VLOOKUP(Sales_Details2[[#This Row],[Customer_ID]],Customer_Details[#All],5,0)</f>
        <v>Female</v>
      </c>
      <c r="G141" s="2" t="str">
        <f>VLOOKUP(Sales_Details2[[#This Row],[Customer_ID]],Customer_Details[#All],9,0)</f>
        <v>Bronze</v>
      </c>
      <c r="H141" s="2" t="s">
        <v>1673</v>
      </c>
      <c r="I141" s="2" t="str">
        <f>VLOOKUP(Sales_Details2[[#This Row],[Product_ID]],Product_details[[#All],[Product_ID]:[Cost]],3,0)</f>
        <v>Beauty</v>
      </c>
      <c r="J141" s="2" t="str">
        <f>VLOOKUP(Sales_Details2[[#This Row],[Product_ID]],Product_details[[#All],[Product_ID]:[Cost]],4,0)</f>
        <v>Haircare</v>
      </c>
      <c r="K141" s="2" t="s">
        <v>1782</v>
      </c>
      <c r="L141" s="2" t="str">
        <f>_xlfn.XLOOKUP(Sales_Details2[[#This Row],[Store_ID]],Table2[Store_ID],Table2[Region],"Region not found")</f>
        <v>South</v>
      </c>
      <c r="M141" s="25">
        <v>4</v>
      </c>
      <c r="N141" s="36">
        <v>715.85</v>
      </c>
      <c r="O141" s="29">
        <v>0.25</v>
      </c>
      <c r="P141" s="2" t="s">
        <v>1809</v>
      </c>
      <c r="Q141" s="36">
        <v>2147.5500000000002</v>
      </c>
    </row>
    <row r="142" spans="1:17" x14ac:dyDescent="0.3">
      <c r="A142" s="2" t="s">
        <v>1949</v>
      </c>
      <c r="B142" s="14">
        <v>45255</v>
      </c>
      <c r="C142" s="2">
        <f>YEAR(Sales_Details2[[#This Row],[Order_Date]])</f>
        <v>2023</v>
      </c>
      <c r="D142" s="2" t="s">
        <v>562</v>
      </c>
      <c r="E142" s="2" t="str">
        <f>VLOOKUP(Sales_Details2[[#This Row],[Customer_ID]],Customer_Details[#All],4,0)</f>
        <v>Mid-Adult</v>
      </c>
      <c r="F142" s="2" t="str">
        <f>VLOOKUP(Sales_Details2[[#This Row],[Customer_ID]],Customer_Details[#All],5,0)</f>
        <v>Female</v>
      </c>
      <c r="G142" s="2" t="str">
        <f>VLOOKUP(Sales_Details2[[#This Row],[Customer_ID]],Customer_Details[#All],9,0)</f>
        <v>Platinum</v>
      </c>
      <c r="H142" s="2" t="s">
        <v>1711</v>
      </c>
      <c r="I142" s="2" t="str">
        <f>VLOOKUP(Sales_Details2[[#This Row],[Product_ID]],Product_details[[#All],[Product_ID]:[Cost]],3,0)</f>
        <v>Electronics</v>
      </c>
      <c r="J142" s="2" t="str">
        <f>VLOOKUP(Sales_Details2[[#This Row],[Product_ID]],Product_details[[#All],[Product_ID]:[Cost]],4,0)</f>
        <v>Accessories</v>
      </c>
      <c r="K142" s="2" t="s">
        <v>1756</v>
      </c>
      <c r="L142" s="2" t="str">
        <f>_xlfn.XLOOKUP(Sales_Details2[[#This Row],[Store_ID]],Table2[Store_ID],Table2[Region],"Region not found")</f>
        <v>North</v>
      </c>
      <c r="M142" s="25">
        <v>2</v>
      </c>
      <c r="N142" s="36">
        <v>478.85</v>
      </c>
      <c r="O142" s="29">
        <v>0.01</v>
      </c>
      <c r="P142" s="2" t="s">
        <v>1812</v>
      </c>
      <c r="Q142" s="36">
        <v>948.12300000000005</v>
      </c>
    </row>
    <row r="143" spans="1:17" x14ac:dyDescent="0.3">
      <c r="A143" s="2" t="s">
        <v>1950</v>
      </c>
      <c r="B143" s="14">
        <v>45718</v>
      </c>
      <c r="C143" s="2">
        <f>YEAR(Sales_Details2[[#This Row],[Order_Date]])</f>
        <v>2025</v>
      </c>
      <c r="D143" s="2" t="s">
        <v>391</v>
      </c>
      <c r="E143" s="2" t="str">
        <f>VLOOKUP(Sales_Details2[[#This Row],[Customer_ID]],Customer_Details[#All],4,0)</f>
        <v>Senior</v>
      </c>
      <c r="F143" s="2" t="str">
        <f>VLOOKUP(Sales_Details2[[#This Row],[Customer_ID]],Customer_Details[#All],5,0)</f>
        <v>Male</v>
      </c>
      <c r="G143" s="2" t="str">
        <f>VLOOKUP(Sales_Details2[[#This Row],[Customer_ID]],Customer_Details[#All],9,0)</f>
        <v>Gold</v>
      </c>
      <c r="H143" s="2" t="s">
        <v>1625</v>
      </c>
      <c r="I143" s="2" t="str">
        <f>VLOOKUP(Sales_Details2[[#This Row],[Product_ID]],Product_details[[#All],[Product_ID]:[Cost]],3,0)</f>
        <v>Beauty</v>
      </c>
      <c r="J143" s="2" t="str">
        <f>VLOOKUP(Sales_Details2[[#This Row],[Product_ID]],Product_details[[#All],[Product_ID]:[Cost]],4,0)</f>
        <v>Makeup</v>
      </c>
      <c r="K143" s="2" t="s">
        <v>1735</v>
      </c>
      <c r="L143" s="2" t="str">
        <f>_xlfn.XLOOKUP(Sales_Details2[[#This Row],[Store_ID]],Table2[Store_ID],Table2[Region],"Region not found")</f>
        <v>East</v>
      </c>
      <c r="M143" s="25">
        <v>1</v>
      </c>
      <c r="N143" s="36">
        <v>503.95</v>
      </c>
      <c r="O143" s="29">
        <v>0.26</v>
      </c>
      <c r="P143" s="2" t="s">
        <v>1812</v>
      </c>
      <c r="Q143" s="36">
        <v>372.923</v>
      </c>
    </row>
    <row r="144" spans="1:17" x14ac:dyDescent="0.3">
      <c r="A144" s="2" t="s">
        <v>1951</v>
      </c>
      <c r="B144" s="14">
        <v>45573</v>
      </c>
      <c r="C144" s="2">
        <f>YEAR(Sales_Details2[[#This Row],[Order_Date]])</f>
        <v>2024</v>
      </c>
      <c r="D144" s="2" t="s">
        <v>1229</v>
      </c>
      <c r="E144" s="2" t="str">
        <f>VLOOKUP(Sales_Details2[[#This Row],[Customer_ID]],Customer_Details[#All],4,0)</f>
        <v>Adult</v>
      </c>
      <c r="F144" s="2" t="str">
        <f>VLOOKUP(Sales_Details2[[#This Row],[Customer_ID]],Customer_Details[#All],5,0)</f>
        <v>Male</v>
      </c>
      <c r="G144" s="2" t="str">
        <f>VLOOKUP(Sales_Details2[[#This Row],[Customer_ID]],Customer_Details[#All],9,0)</f>
        <v>Bronze</v>
      </c>
      <c r="H144" s="2" t="s">
        <v>1663</v>
      </c>
      <c r="I144" s="2" t="str">
        <f>VLOOKUP(Sales_Details2[[#This Row],[Product_ID]],Product_details[[#All],[Product_ID]:[Cost]],3,0)</f>
        <v>Beauty</v>
      </c>
      <c r="J144" s="2" t="str">
        <f>VLOOKUP(Sales_Details2[[#This Row],[Product_ID]],Product_details[[#All],[Product_ID]:[Cost]],4,0)</f>
        <v>Haircare</v>
      </c>
      <c r="K144" s="2" t="s">
        <v>1777</v>
      </c>
      <c r="L144" s="2" t="str">
        <f>_xlfn.XLOOKUP(Sales_Details2[[#This Row],[Store_ID]],Table2[Store_ID],Table2[Region],"Region not found")</f>
        <v>North</v>
      </c>
      <c r="M144" s="25">
        <v>2</v>
      </c>
      <c r="N144" s="36">
        <v>975.48</v>
      </c>
      <c r="O144" s="29">
        <v>0.26</v>
      </c>
      <c r="P144" s="2" t="s">
        <v>1812</v>
      </c>
      <c r="Q144" s="36">
        <v>1443.7103999999999</v>
      </c>
    </row>
    <row r="145" spans="1:17" x14ac:dyDescent="0.3">
      <c r="A145" s="2" t="s">
        <v>1952</v>
      </c>
      <c r="B145" s="14">
        <v>45884</v>
      </c>
      <c r="C145" s="2">
        <f>YEAR(Sales_Details2[[#This Row],[Order_Date]])</f>
        <v>2025</v>
      </c>
      <c r="D145" s="2" t="s">
        <v>1235</v>
      </c>
      <c r="E145" s="2" t="str">
        <f>VLOOKUP(Sales_Details2[[#This Row],[Customer_ID]],Customer_Details[#All],4,0)</f>
        <v>Senior</v>
      </c>
      <c r="F145" s="2" t="str">
        <f>VLOOKUP(Sales_Details2[[#This Row],[Customer_ID]],Customer_Details[#All],5,0)</f>
        <v>Female</v>
      </c>
      <c r="G145" s="2" t="str">
        <f>VLOOKUP(Sales_Details2[[#This Row],[Customer_ID]],Customer_Details[#All],9,0)</f>
        <v>Platinum</v>
      </c>
      <c r="H145" s="2" t="s">
        <v>1599</v>
      </c>
      <c r="I145" s="2" t="str">
        <f>VLOOKUP(Sales_Details2[[#This Row],[Product_ID]],Product_details[[#All],[Product_ID]:[Cost]],3,0)</f>
        <v>Electronics</v>
      </c>
      <c r="J145" s="2" t="str">
        <f>VLOOKUP(Sales_Details2[[#This Row],[Product_ID]],Product_details[[#All],[Product_ID]:[Cost]],4,0)</f>
        <v>Computer</v>
      </c>
      <c r="K145" s="2" t="s">
        <v>1787</v>
      </c>
      <c r="L145" s="2" t="str">
        <f>_xlfn.XLOOKUP(Sales_Details2[[#This Row],[Store_ID]],Table2[Store_ID],Table2[Region],"Region not found")</f>
        <v>West</v>
      </c>
      <c r="M145" s="25">
        <v>4</v>
      </c>
      <c r="N145" s="36">
        <v>450.12</v>
      </c>
      <c r="O145" s="29">
        <v>0.28999999999999998</v>
      </c>
      <c r="P145" s="2" t="s">
        <v>1812</v>
      </c>
      <c r="Q145" s="36">
        <v>1278.3407999999999</v>
      </c>
    </row>
    <row r="146" spans="1:17" x14ac:dyDescent="0.3">
      <c r="A146" s="2" t="s">
        <v>1953</v>
      </c>
      <c r="B146" s="14">
        <v>45448</v>
      </c>
      <c r="C146" s="2">
        <f>YEAR(Sales_Details2[[#This Row],[Order_Date]])</f>
        <v>2024</v>
      </c>
      <c r="D146" s="2" t="s">
        <v>1333</v>
      </c>
      <c r="E146" s="2" t="str">
        <f>VLOOKUP(Sales_Details2[[#This Row],[Customer_ID]],Customer_Details[#All],4,0)</f>
        <v>Mid-Adult</v>
      </c>
      <c r="F146" s="2" t="str">
        <f>VLOOKUP(Sales_Details2[[#This Row],[Customer_ID]],Customer_Details[#All],5,0)</f>
        <v>Female</v>
      </c>
      <c r="G146" s="2" t="str">
        <f>VLOOKUP(Sales_Details2[[#This Row],[Customer_ID]],Customer_Details[#All],9,0)</f>
        <v>Silver</v>
      </c>
      <c r="H146" s="2" t="s">
        <v>1603</v>
      </c>
      <c r="I146" s="2" t="str">
        <f>VLOOKUP(Sales_Details2[[#This Row],[Product_ID]],Product_details[[#All],[Product_ID]:[Cost]],3,0)</f>
        <v>Clothing</v>
      </c>
      <c r="J146" s="2" t="str">
        <f>VLOOKUP(Sales_Details2[[#This Row],[Product_ID]],Product_details[[#All],[Product_ID]:[Cost]],4,0)</f>
        <v>Tops</v>
      </c>
      <c r="K146" s="2" t="s">
        <v>1765</v>
      </c>
      <c r="L146" s="2" t="str">
        <f>_xlfn.XLOOKUP(Sales_Details2[[#This Row],[Store_ID]],Table2[Store_ID],Table2[Region],"Region not found")</f>
        <v>West</v>
      </c>
      <c r="M146" s="25">
        <v>3</v>
      </c>
      <c r="N146" s="36">
        <v>237.24</v>
      </c>
      <c r="O146" s="29">
        <v>0.24</v>
      </c>
      <c r="P146" s="2" t="s">
        <v>1809</v>
      </c>
      <c r="Q146" s="36">
        <v>540.90719999999999</v>
      </c>
    </row>
    <row r="147" spans="1:17" x14ac:dyDescent="0.3">
      <c r="A147" s="2" t="s">
        <v>1954</v>
      </c>
      <c r="B147" s="14">
        <v>45522</v>
      </c>
      <c r="C147" s="2">
        <f>YEAR(Sales_Details2[[#This Row],[Order_Date]])</f>
        <v>2024</v>
      </c>
      <c r="D147" s="2" t="s">
        <v>1401</v>
      </c>
      <c r="E147" s="2" t="str">
        <f>VLOOKUP(Sales_Details2[[#This Row],[Customer_ID]],Customer_Details[#All],4,0)</f>
        <v>Adult</v>
      </c>
      <c r="F147" s="2" t="str">
        <f>VLOOKUP(Sales_Details2[[#This Row],[Customer_ID]],Customer_Details[#All],5,0)</f>
        <v>Female</v>
      </c>
      <c r="G147" s="2" t="str">
        <f>VLOOKUP(Sales_Details2[[#This Row],[Customer_ID]],Customer_Details[#All],9,0)</f>
        <v>Gold</v>
      </c>
      <c r="H147" s="2" t="s">
        <v>1639</v>
      </c>
      <c r="I147" s="2" t="str">
        <f>VLOOKUP(Sales_Details2[[#This Row],[Product_ID]],Product_details[[#All],[Product_ID]:[Cost]],3,0)</f>
        <v>Sports</v>
      </c>
      <c r="J147" s="2" t="str">
        <f>VLOOKUP(Sales_Details2[[#This Row],[Product_ID]],Product_details[[#All],[Product_ID]:[Cost]],4,0)</f>
        <v>Accessories</v>
      </c>
      <c r="K147" s="2" t="s">
        <v>1784</v>
      </c>
      <c r="L147" s="2" t="str">
        <f>_xlfn.XLOOKUP(Sales_Details2[[#This Row],[Store_ID]],Table2[Store_ID],Table2[Region],"Region not found")</f>
        <v>North</v>
      </c>
      <c r="M147" s="25">
        <v>2</v>
      </c>
      <c r="N147" s="36">
        <v>536.84</v>
      </c>
      <c r="O147" s="29">
        <v>0.09</v>
      </c>
      <c r="P147" s="2" t="s">
        <v>1812</v>
      </c>
      <c r="Q147" s="36">
        <v>977.04880000000014</v>
      </c>
    </row>
    <row r="148" spans="1:17" x14ac:dyDescent="0.3">
      <c r="A148" s="2" t="s">
        <v>1955</v>
      </c>
      <c r="B148" s="14">
        <v>45626</v>
      </c>
      <c r="C148" s="2">
        <f>YEAR(Sales_Details2[[#This Row],[Order_Date]])</f>
        <v>2024</v>
      </c>
      <c r="D148" s="2" t="s">
        <v>1355</v>
      </c>
      <c r="E148" s="2" t="str">
        <f>VLOOKUP(Sales_Details2[[#This Row],[Customer_ID]],Customer_Details[#All],4,0)</f>
        <v>Senior</v>
      </c>
      <c r="F148" s="2" t="str">
        <f>VLOOKUP(Sales_Details2[[#This Row],[Customer_ID]],Customer_Details[#All],5,0)</f>
        <v>Male</v>
      </c>
      <c r="G148" s="2" t="str">
        <f>VLOOKUP(Sales_Details2[[#This Row],[Customer_ID]],Customer_Details[#All],9,0)</f>
        <v>Silver</v>
      </c>
      <c r="H148" s="2" t="s">
        <v>1603</v>
      </c>
      <c r="I148" s="2" t="str">
        <f>VLOOKUP(Sales_Details2[[#This Row],[Product_ID]],Product_details[[#All],[Product_ID]:[Cost]],3,0)</f>
        <v>Clothing</v>
      </c>
      <c r="J148" s="2" t="str">
        <f>VLOOKUP(Sales_Details2[[#This Row],[Product_ID]],Product_details[[#All],[Product_ID]:[Cost]],4,0)</f>
        <v>Tops</v>
      </c>
      <c r="K148" s="2" t="s">
        <v>1796</v>
      </c>
      <c r="L148" s="2" t="str">
        <f>_xlfn.XLOOKUP(Sales_Details2[[#This Row],[Store_ID]],Table2[Store_ID],Table2[Region],"Region not found")</f>
        <v>East</v>
      </c>
      <c r="M148" s="25">
        <v>3</v>
      </c>
      <c r="N148" s="36">
        <v>584.41</v>
      </c>
      <c r="O148" s="29">
        <v>0</v>
      </c>
      <c r="P148" s="2" t="s">
        <v>1812</v>
      </c>
      <c r="Q148" s="36">
        <v>1753.23</v>
      </c>
    </row>
    <row r="149" spans="1:17" x14ac:dyDescent="0.3">
      <c r="A149" s="2" t="s">
        <v>1956</v>
      </c>
      <c r="B149" s="14">
        <v>45617</v>
      </c>
      <c r="C149" s="2">
        <f>YEAR(Sales_Details2[[#This Row],[Order_Date]])</f>
        <v>2024</v>
      </c>
      <c r="D149" s="2" t="s">
        <v>923</v>
      </c>
      <c r="E149" s="2" t="str">
        <f>VLOOKUP(Sales_Details2[[#This Row],[Customer_ID]],Customer_Details[#All],4,0)</f>
        <v>Adult</v>
      </c>
      <c r="F149" s="2" t="str">
        <f>VLOOKUP(Sales_Details2[[#This Row],[Customer_ID]],Customer_Details[#All],5,0)</f>
        <v>Male</v>
      </c>
      <c r="G149" s="2" t="str">
        <f>VLOOKUP(Sales_Details2[[#This Row],[Customer_ID]],Customer_Details[#All],9,0)</f>
        <v>Platinum</v>
      </c>
      <c r="H149" s="2" t="s">
        <v>1695</v>
      </c>
      <c r="I149" s="2" t="str">
        <f>VLOOKUP(Sales_Details2[[#This Row],[Product_ID]],Product_details[[#All],[Product_ID]:[Cost]],3,0)</f>
        <v>Sports</v>
      </c>
      <c r="J149" s="2" t="str">
        <f>VLOOKUP(Sales_Details2[[#This Row],[Product_ID]],Product_details[[#All],[Product_ID]:[Cost]],4,0)</f>
        <v>Fitness</v>
      </c>
      <c r="K149" s="2" t="s">
        <v>1796</v>
      </c>
      <c r="L149" s="2" t="str">
        <f>_xlfn.XLOOKUP(Sales_Details2[[#This Row],[Store_ID]],Table2[Store_ID],Table2[Region],"Region not found")</f>
        <v>East</v>
      </c>
      <c r="M149" s="25">
        <v>1</v>
      </c>
      <c r="N149" s="36">
        <v>653.87</v>
      </c>
      <c r="O149" s="29">
        <v>0.14000000000000001</v>
      </c>
      <c r="P149" s="2" t="s">
        <v>1809</v>
      </c>
      <c r="Q149" s="36">
        <v>562.32820000000004</v>
      </c>
    </row>
    <row r="150" spans="1:17" x14ac:dyDescent="0.3">
      <c r="A150" s="2" t="s">
        <v>1957</v>
      </c>
      <c r="B150" s="14">
        <v>45878</v>
      </c>
      <c r="C150" s="2">
        <f>YEAR(Sales_Details2[[#This Row],[Order_Date]])</f>
        <v>2025</v>
      </c>
      <c r="D150" s="2" t="s">
        <v>1499</v>
      </c>
      <c r="E150" s="2" t="str">
        <f>VLOOKUP(Sales_Details2[[#This Row],[Customer_ID]],Customer_Details[#All],4,0)</f>
        <v>Adult</v>
      </c>
      <c r="F150" s="2" t="str">
        <f>VLOOKUP(Sales_Details2[[#This Row],[Customer_ID]],Customer_Details[#All],5,0)</f>
        <v>Male</v>
      </c>
      <c r="G150" s="2" t="str">
        <f>VLOOKUP(Sales_Details2[[#This Row],[Customer_ID]],Customer_Details[#All],9,0)</f>
        <v>Silver</v>
      </c>
      <c r="H150" s="2" t="s">
        <v>1705</v>
      </c>
      <c r="I150" s="2" t="str">
        <f>VLOOKUP(Sales_Details2[[#This Row],[Product_ID]],Product_details[[#All],[Product_ID]:[Cost]],3,0)</f>
        <v>Home</v>
      </c>
      <c r="J150" s="2" t="str">
        <f>VLOOKUP(Sales_Details2[[#This Row],[Product_ID]],Product_details[[#All],[Product_ID]:[Cost]],4,0)</f>
        <v>Lighting</v>
      </c>
      <c r="K150" s="2" t="s">
        <v>1735</v>
      </c>
      <c r="L150" s="2" t="str">
        <f>_xlfn.XLOOKUP(Sales_Details2[[#This Row],[Store_ID]],Table2[Store_ID],Table2[Region],"Region not found")</f>
        <v>East</v>
      </c>
      <c r="M150" s="25">
        <v>1</v>
      </c>
      <c r="N150" s="36">
        <v>652.03</v>
      </c>
      <c r="O150" s="29">
        <v>0.27</v>
      </c>
      <c r="P150" s="2" t="s">
        <v>1807</v>
      </c>
      <c r="Q150" s="36">
        <v>475.9819</v>
      </c>
    </row>
    <row r="151" spans="1:17" x14ac:dyDescent="0.3">
      <c r="A151" s="2" t="s">
        <v>1958</v>
      </c>
      <c r="B151" s="14">
        <v>45502</v>
      </c>
      <c r="C151" s="2">
        <f>YEAR(Sales_Details2[[#This Row],[Order_Date]])</f>
        <v>2024</v>
      </c>
      <c r="D151" s="2" t="s">
        <v>330</v>
      </c>
      <c r="E151" s="2" t="str">
        <f>VLOOKUP(Sales_Details2[[#This Row],[Customer_ID]],Customer_Details[#All],4,0)</f>
        <v>Adult</v>
      </c>
      <c r="F151" s="2" t="str">
        <f>VLOOKUP(Sales_Details2[[#This Row],[Customer_ID]],Customer_Details[#All],5,0)</f>
        <v>Female</v>
      </c>
      <c r="G151" s="2" t="str">
        <f>VLOOKUP(Sales_Details2[[#This Row],[Customer_ID]],Customer_Details[#All],9,0)</f>
        <v>Gold</v>
      </c>
      <c r="H151" s="2" t="s">
        <v>1538</v>
      </c>
      <c r="I151" s="2" t="str">
        <f>VLOOKUP(Sales_Details2[[#This Row],[Product_ID]],Product_details[[#All],[Product_ID]:[Cost]],3,0)</f>
        <v>Clothing</v>
      </c>
      <c r="J151" s="2" t="str">
        <f>VLOOKUP(Sales_Details2[[#This Row],[Product_ID]],Product_details[[#All],[Product_ID]:[Cost]],4,0)</f>
        <v>Accessories</v>
      </c>
      <c r="K151" s="2" t="s">
        <v>1777</v>
      </c>
      <c r="L151" s="2" t="str">
        <f>_xlfn.XLOOKUP(Sales_Details2[[#This Row],[Store_ID]],Table2[Store_ID],Table2[Region],"Region not found")</f>
        <v>North</v>
      </c>
      <c r="M151" s="25">
        <v>3</v>
      </c>
      <c r="N151" s="36">
        <v>513.36</v>
      </c>
      <c r="O151" s="29">
        <v>7.0000000000000007E-2</v>
      </c>
      <c r="P151" s="2" t="s">
        <v>1812</v>
      </c>
      <c r="Q151" s="36">
        <v>1432.2744</v>
      </c>
    </row>
    <row r="152" spans="1:17" x14ac:dyDescent="0.3">
      <c r="A152" s="2" t="s">
        <v>1959</v>
      </c>
      <c r="B152" s="14">
        <v>45433</v>
      </c>
      <c r="C152" s="2">
        <f>YEAR(Sales_Details2[[#This Row],[Order_Date]])</f>
        <v>2024</v>
      </c>
      <c r="D152" s="2" t="s">
        <v>248</v>
      </c>
      <c r="E152" s="2" t="str">
        <f>VLOOKUP(Sales_Details2[[#This Row],[Customer_ID]],Customer_Details[#All],4,0)</f>
        <v>Adult</v>
      </c>
      <c r="F152" s="2" t="str">
        <f>VLOOKUP(Sales_Details2[[#This Row],[Customer_ID]],Customer_Details[#All],5,0)</f>
        <v>Female</v>
      </c>
      <c r="G152" s="2" t="str">
        <f>VLOOKUP(Sales_Details2[[#This Row],[Customer_ID]],Customer_Details[#All],9,0)</f>
        <v>Silver</v>
      </c>
      <c r="H152" s="2" t="s">
        <v>1635</v>
      </c>
      <c r="I152" s="2" t="str">
        <f>VLOOKUP(Sales_Details2[[#This Row],[Product_ID]],Product_details[[#All],[Product_ID]:[Cost]],3,0)</f>
        <v>Sports</v>
      </c>
      <c r="J152" s="2" t="str">
        <f>VLOOKUP(Sales_Details2[[#This Row],[Product_ID]],Product_details[[#All],[Product_ID]:[Cost]],4,0)</f>
        <v>Team Sports</v>
      </c>
      <c r="K152" s="2" t="s">
        <v>1756</v>
      </c>
      <c r="L152" s="2" t="str">
        <f>_xlfn.XLOOKUP(Sales_Details2[[#This Row],[Store_ID]],Table2[Store_ID],Table2[Region],"Region not found")</f>
        <v>North</v>
      </c>
      <c r="M152" s="25">
        <v>4</v>
      </c>
      <c r="N152" s="36">
        <v>355.64</v>
      </c>
      <c r="O152" s="29">
        <v>0.16</v>
      </c>
      <c r="P152" s="2" t="s">
        <v>1812</v>
      </c>
      <c r="Q152" s="36">
        <v>1194.9503999999999</v>
      </c>
    </row>
    <row r="153" spans="1:17" x14ac:dyDescent="0.3">
      <c r="A153" s="2" t="s">
        <v>1960</v>
      </c>
      <c r="B153" s="14">
        <v>45594</v>
      </c>
      <c r="C153" s="2">
        <f>YEAR(Sales_Details2[[#This Row],[Order_Date]])</f>
        <v>2024</v>
      </c>
      <c r="D153" s="2" t="s">
        <v>97</v>
      </c>
      <c r="E153" s="2" t="str">
        <f>VLOOKUP(Sales_Details2[[#This Row],[Customer_ID]],Customer_Details[#All],4,0)</f>
        <v>Mid-Adult</v>
      </c>
      <c r="F153" s="2" t="str">
        <f>VLOOKUP(Sales_Details2[[#This Row],[Customer_ID]],Customer_Details[#All],5,0)</f>
        <v>Female</v>
      </c>
      <c r="G153" s="2" t="str">
        <f>VLOOKUP(Sales_Details2[[#This Row],[Customer_ID]],Customer_Details[#All],9,0)</f>
        <v>Silver</v>
      </c>
      <c r="H153" s="2" t="s">
        <v>1557</v>
      </c>
      <c r="I153" s="2" t="str">
        <f>VLOOKUP(Sales_Details2[[#This Row],[Product_ID]],Product_details[[#All],[Product_ID]:[Cost]],3,0)</f>
        <v>Electronics</v>
      </c>
      <c r="J153" s="2" t="str">
        <f>VLOOKUP(Sales_Details2[[#This Row],[Product_ID]],Product_details[[#All],[Product_ID]:[Cost]],4,0)</f>
        <v>Accessories</v>
      </c>
      <c r="K153" s="2" t="s">
        <v>1765</v>
      </c>
      <c r="L153" s="2" t="str">
        <f>_xlfn.XLOOKUP(Sales_Details2[[#This Row],[Store_ID]],Table2[Store_ID],Table2[Region],"Region not found")</f>
        <v>West</v>
      </c>
      <c r="M153" s="25">
        <v>4</v>
      </c>
      <c r="N153" s="36">
        <v>535.4</v>
      </c>
      <c r="O153" s="29">
        <v>0.26</v>
      </c>
      <c r="P153" s="2" t="s">
        <v>1809</v>
      </c>
      <c r="Q153" s="36">
        <v>1584.7840000000001</v>
      </c>
    </row>
    <row r="154" spans="1:17" x14ac:dyDescent="0.3">
      <c r="A154" s="2" t="s">
        <v>1961</v>
      </c>
      <c r="B154" s="14">
        <v>45798</v>
      </c>
      <c r="C154" s="2">
        <f>YEAR(Sales_Details2[[#This Row],[Order_Date]])</f>
        <v>2025</v>
      </c>
      <c r="D154" s="2" t="s">
        <v>773</v>
      </c>
      <c r="E154" s="2" t="str">
        <f>VLOOKUP(Sales_Details2[[#This Row],[Customer_ID]],Customer_Details[#All],4,0)</f>
        <v>Senior</v>
      </c>
      <c r="F154" s="2" t="str">
        <f>VLOOKUP(Sales_Details2[[#This Row],[Customer_ID]],Customer_Details[#All],5,0)</f>
        <v>Female</v>
      </c>
      <c r="G154" s="2" t="str">
        <f>VLOOKUP(Sales_Details2[[#This Row],[Customer_ID]],Customer_Details[#All],9,0)</f>
        <v>Gold</v>
      </c>
      <c r="H154" s="2" t="s">
        <v>1669</v>
      </c>
      <c r="I154" s="2" t="str">
        <f>VLOOKUP(Sales_Details2[[#This Row],[Product_ID]],Product_details[[#All],[Product_ID]:[Cost]],3,0)</f>
        <v>Clothing</v>
      </c>
      <c r="J154" s="2" t="str">
        <f>VLOOKUP(Sales_Details2[[#This Row],[Product_ID]],Product_details[[#All],[Product_ID]:[Cost]],4,0)</f>
        <v>Bottoms</v>
      </c>
      <c r="K154" s="2" t="s">
        <v>1796</v>
      </c>
      <c r="L154" s="2" t="str">
        <f>_xlfn.XLOOKUP(Sales_Details2[[#This Row],[Store_ID]],Table2[Store_ID],Table2[Region],"Region not found")</f>
        <v>East</v>
      </c>
      <c r="M154" s="25">
        <v>2</v>
      </c>
      <c r="N154" s="36">
        <v>108.74</v>
      </c>
      <c r="O154" s="29">
        <v>0.11</v>
      </c>
      <c r="P154" s="2" t="s">
        <v>1809</v>
      </c>
      <c r="Q154" s="36">
        <v>193.55719999999999</v>
      </c>
    </row>
    <row r="155" spans="1:17" x14ac:dyDescent="0.3">
      <c r="A155" s="2" t="s">
        <v>1962</v>
      </c>
      <c r="B155" s="14">
        <v>45579</v>
      </c>
      <c r="C155" s="2">
        <f>YEAR(Sales_Details2[[#This Row],[Order_Date]])</f>
        <v>2024</v>
      </c>
      <c r="D155" s="2" t="s">
        <v>980</v>
      </c>
      <c r="E155" s="2" t="str">
        <f>VLOOKUP(Sales_Details2[[#This Row],[Customer_ID]],Customer_Details[#All],4,0)</f>
        <v>Senior</v>
      </c>
      <c r="F155" s="2" t="str">
        <f>VLOOKUP(Sales_Details2[[#This Row],[Customer_ID]],Customer_Details[#All],5,0)</f>
        <v>Female</v>
      </c>
      <c r="G155" s="2" t="str">
        <f>VLOOKUP(Sales_Details2[[#This Row],[Customer_ID]],Customer_Details[#All],9,0)</f>
        <v>Silver</v>
      </c>
      <c r="H155" s="2" t="s">
        <v>1553</v>
      </c>
      <c r="I155" s="2" t="str">
        <f>VLOOKUP(Sales_Details2[[#This Row],[Product_ID]],Product_details[[#All],[Product_ID]:[Cost]],3,0)</f>
        <v>Electronics</v>
      </c>
      <c r="J155" s="2" t="str">
        <f>VLOOKUP(Sales_Details2[[#This Row],[Product_ID]],Product_details[[#All],[Product_ID]:[Cost]],4,0)</f>
        <v>Accessories</v>
      </c>
      <c r="K155" s="2" t="s">
        <v>1796</v>
      </c>
      <c r="L155" s="2" t="str">
        <f>_xlfn.XLOOKUP(Sales_Details2[[#This Row],[Store_ID]],Table2[Store_ID],Table2[Region],"Region not found")</f>
        <v>East</v>
      </c>
      <c r="M155" s="25">
        <v>3</v>
      </c>
      <c r="N155" s="36">
        <v>591.98</v>
      </c>
      <c r="O155" s="29">
        <v>0.16</v>
      </c>
      <c r="P155" s="2" t="s">
        <v>1807</v>
      </c>
      <c r="Q155" s="36">
        <v>1491.7896000000001</v>
      </c>
    </row>
    <row r="156" spans="1:17" x14ac:dyDescent="0.3">
      <c r="A156" s="2" t="s">
        <v>1963</v>
      </c>
      <c r="B156" s="14">
        <v>45613</v>
      </c>
      <c r="C156" s="2">
        <f>YEAR(Sales_Details2[[#This Row],[Order_Date]])</f>
        <v>2024</v>
      </c>
      <c r="D156" s="2" t="s">
        <v>1246</v>
      </c>
      <c r="E156" s="2" t="str">
        <f>VLOOKUP(Sales_Details2[[#This Row],[Customer_ID]],Customer_Details[#All],4,0)</f>
        <v>Adult</v>
      </c>
      <c r="F156" s="2" t="str">
        <f>VLOOKUP(Sales_Details2[[#This Row],[Customer_ID]],Customer_Details[#All],5,0)</f>
        <v>Female</v>
      </c>
      <c r="G156" s="2" t="str">
        <f>VLOOKUP(Sales_Details2[[#This Row],[Customer_ID]],Customer_Details[#All],9,0)</f>
        <v>Gold</v>
      </c>
      <c r="H156" s="2" t="s">
        <v>1627</v>
      </c>
      <c r="I156" s="2" t="str">
        <f>VLOOKUP(Sales_Details2[[#This Row],[Product_ID]],Product_details[[#All],[Product_ID]:[Cost]],3,0)</f>
        <v>Electronics</v>
      </c>
      <c r="J156" s="2" t="str">
        <f>VLOOKUP(Sales_Details2[[#This Row],[Product_ID]],Product_details[[#All],[Product_ID]:[Cost]],4,0)</f>
        <v>Accessories</v>
      </c>
      <c r="K156" s="2" t="s">
        <v>1744</v>
      </c>
      <c r="L156" s="2" t="str">
        <f>_xlfn.XLOOKUP(Sales_Details2[[#This Row],[Store_ID]],Table2[Store_ID],Table2[Region],"Region not found")</f>
        <v>South</v>
      </c>
      <c r="M156" s="25">
        <v>1</v>
      </c>
      <c r="N156" s="36">
        <v>345.06</v>
      </c>
      <c r="O156" s="29">
        <v>0.13</v>
      </c>
      <c r="P156" s="2" t="s">
        <v>1812</v>
      </c>
      <c r="Q156" s="36">
        <v>300.2022</v>
      </c>
    </row>
    <row r="157" spans="1:17" x14ac:dyDescent="0.3">
      <c r="A157" s="2" t="s">
        <v>1964</v>
      </c>
      <c r="B157" s="14">
        <v>45745</v>
      </c>
      <c r="C157" s="2">
        <f>YEAR(Sales_Details2[[#This Row],[Order_Date]])</f>
        <v>2025</v>
      </c>
      <c r="D157" s="2" t="s">
        <v>959</v>
      </c>
      <c r="E157" s="2" t="str">
        <f>VLOOKUP(Sales_Details2[[#This Row],[Customer_ID]],Customer_Details[#All],4,0)</f>
        <v>Senior</v>
      </c>
      <c r="F157" s="2" t="str">
        <f>VLOOKUP(Sales_Details2[[#This Row],[Customer_ID]],Customer_Details[#All],5,0)</f>
        <v>Female</v>
      </c>
      <c r="G157" s="2" t="str">
        <f>VLOOKUP(Sales_Details2[[#This Row],[Customer_ID]],Customer_Details[#All],9,0)</f>
        <v>Bronze</v>
      </c>
      <c r="H157" s="2" t="s">
        <v>1717</v>
      </c>
      <c r="I157" s="2" t="str">
        <f>VLOOKUP(Sales_Details2[[#This Row],[Product_ID]],Product_details[[#All],[Product_ID]:[Cost]],3,0)</f>
        <v>Electronics</v>
      </c>
      <c r="J157" s="2" t="str">
        <f>VLOOKUP(Sales_Details2[[#This Row],[Product_ID]],Product_details[[#All],[Product_ID]:[Cost]],4,0)</f>
        <v>Computer</v>
      </c>
      <c r="K157" s="2" t="s">
        <v>1777</v>
      </c>
      <c r="L157" s="2" t="str">
        <f>_xlfn.XLOOKUP(Sales_Details2[[#This Row],[Store_ID]],Table2[Store_ID],Table2[Region],"Region not found")</f>
        <v>North</v>
      </c>
      <c r="M157" s="25">
        <v>4</v>
      </c>
      <c r="N157" s="36">
        <v>986.41</v>
      </c>
      <c r="O157" s="29">
        <v>0.22</v>
      </c>
      <c r="P157" s="2" t="s">
        <v>1807</v>
      </c>
      <c r="Q157" s="36">
        <v>3077.5992000000001</v>
      </c>
    </row>
    <row r="158" spans="1:17" x14ac:dyDescent="0.3">
      <c r="A158" s="2" t="s">
        <v>1965</v>
      </c>
      <c r="B158" s="14">
        <v>45494</v>
      </c>
      <c r="C158" s="2">
        <f>YEAR(Sales_Details2[[#This Row],[Order_Date]])</f>
        <v>2024</v>
      </c>
      <c r="D158" s="2" t="s">
        <v>995</v>
      </c>
      <c r="E158" s="2" t="str">
        <f>VLOOKUP(Sales_Details2[[#This Row],[Customer_ID]],Customer_Details[#All],4,0)</f>
        <v>Senior</v>
      </c>
      <c r="F158" s="2" t="str">
        <f>VLOOKUP(Sales_Details2[[#This Row],[Customer_ID]],Customer_Details[#All],5,0)</f>
        <v>Male</v>
      </c>
      <c r="G158" s="2" t="str">
        <f>VLOOKUP(Sales_Details2[[#This Row],[Customer_ID]],Customer_Details[#All],9,0)</f>
        <v>Platinum</v>
      </c>
      <c r="H158" s="2" t="s">
        <v>1629</v>
      </c>
      <c r="I158" s="2" t="str">
        <f>VLOOKUP(Sales_Details2[[#This Row],[Product_ID]],Product_details[[#All],[Product_ID]:[Cost]],3,0)</f>
        <v>Beauty</v>
      </c>
      <c r="J158" s="2" t="str">
        <f>VLOOKUP(Sales_Details2[[#This Row],[Product_ID]],Product_details[[#All],[Product_ID]:[Cost]],4,0)</f>
        <v>Fragrance</v>
      </c>
      <c r="K158" s="2" t="s">
        <v>1735</v>
      </c>
      <c r="L158" s="2" t="str">
        <f>_xlfn.XLOOKUP(Sales_Details2[[#This Row],[Store_ID]],Table2[Store_ID],Table2[Region],"Region not found")</f>
        <v>East</v>
      </c>
      <c r="M158" s="25">
        <v>2</v>
      </c>
      <c r="N158" s="36">
        <v>921.52</v>
      </c>
      <c r="O158" s="29">
        <v>0</v>
      </c>
      <c r="P158" s="2" t="s">
        <v>1809</v>
      </c>
      <c r="Q158" s="36">
        <v>1843.04</v>
      </c>
    </row>
    <row r="159" spans="1:17" x14ac:dyDescent="0.3">
      <c r="A159" s="2" t="s">
        <v>1966</v>
      </c>
      <c r="B159" s="14">
        <v>45883</v>
      </c>
      <c r="C159" s="2">
        <f>YEAR(Sales_Details2[[#This Row],[Order_Date]])</f>
        <v>2025</v>
      </c>
      <c r="D159" s="2" t="s">
        <v>342</v>
      </c>
      <c r="E159" s="2" t="str">
        <f>VLOOKUP(Sales_Details2[[#This Row],[Customer_ID]],Customer_Details[#All],4,0)</f>
        <v>Mid-Adult</v>
      </c>
      <c r="F159" s="2" t="str">
        <f>VLOOKUP(Sales_Details2[[#This Row],[Customer_ID]],Customer_Details[#All],5,0)</f>
        <v>Male</v>
      </c>
      <c r="G159" s="2" t="str">
        <f>VLOOKUP(Sales_Details2[[#This Row],[Customer_ID]],Customer_Details[#All],9,0)</f>
        <v>Silver</v>
      </c>
      <c r="H159" s="2" t="s">
        <v>1641</v>
      </c>
      <c r="I159" s="2" t="str">
        <f>VLOOKUP(Sales_Details2[[#This Row],[Product_ID]],Product_details[[#All],[Product_ID]:[Cost]],3,0)</f>
        <v>Home</v>
      </c>
      <c r="J159" s="2" t="str">
        <f>VLOOKUP(Sales_Details2[[#This Row],[Product_ID]],Product_details[[#All],[Product_ID]:[Cost]],4,0)</f>
        <v>Decor</v>
      </c>
      <c r="K159" s="2" t="s">
        <v>1756</v>
      </c>
      <c r="L159" s="2" t="str">
        <f>_xlfn.XLOOKUP(Sales_Details2[[#This Row],[Store_ID]],Table2[Store_ID],Table2[Region],"Region not found")</f>
        <v>North</v>
      </c>
      <c r="M159" s="25">
        <v>1</v>
      </c>
      <c r="N159" s="36">
        <v>83.1</v>
      </c>
      <c r="O159" s="29">
        <v>0.04</v>
      </c>
      <c r="P159" s="2" t="s">
        <v>1809</v>
      </c>
      <c r="Q159" s="36">
        <v>79.775999999999996</v>
      </c>
    </row>
    <row r="160" spans="1:17" x14ac:dyDescent="0.3">
      <c r="A160" s="2" t="s">
        <v>1967</v>
      </c>
      <c r="B160" s="14">
        <v>45601</v>
      </c>
      <c r="C160" s="2">
        <f>YEAR(Sales_Details2[[#This Row],[Order_Date]])</f>
        <v>2024</v>
      </c>
      <c r="D160" s="2" t="s">
        <v>1141</v>
      </c>
      <c r="E160" s="2" t="str">
        <f>VLOOKUP(Sales_Details2[[#This Row],[Customer_ID]],Customer_Details[#All],4,0)</f>
        <v>Adult</v>
      </c>
      <c r="F160" s="2" t="str">
        <f>VLOOKUP(Sales_Details2[[#This Row],[Customer_ID]],Customer_Details[#All],5,0)</f>
        <v>Female</v>
      </c>
      <c r="G160" s="2" t="str">
        <f>VLOOKUP(Sales_Details2[[#This Row],[Customer_ID]],Customer_Details[#All],9,0)</f>
        <v>Platinum</v>
      </c>
      <c r="H160" s="2" t="s">
        <v>1587</v>
      </c>
      <c r="I160" s="2" t="str">
        <f>VLOOKUP(Sales_Details2[[#This Row],[Product_ID]],Product_details[[#All],[Product_ID]:[Cost]],3,0)</f>
        <v>Sports</v>
      </c>
      <c r="J160" s="2" t="str">
        <f>VLOOKUP(Sales_Details2[[#This Row],[Product_ID]],Product_details[[#All],[Product_ID]:[Cost]],4,0)</f>
        <v>Accessories</v>
      </c>
      <c r="K160" s="2" t="s">
        <v>1775</v>
      </c>
      <c r="L160" s="2" t="str">
        <f>_xlfn.XLOOKUP(Sales_Details2[[#This Row],[Store_ID]],Table2[Store_ID],Table2[Region],"Region not found")</f>
        <v>South</v>
      </c>
      <c r="M160" s="25">
        <v>2</v>
      </c>
      <c r="N160" s="36">
        <v>60.98</v>
      </c>
      <c r="O160" s="29">
        <v>0.23</v>
      </c>
      <c r="P160" s="2" t="s">
        <v>1809</v>
      </c>
      <c r="Q160" s="36">
        <v>93.909199999999998</v>
      </c>
    </row>
    <row r="161" spans="1:17" x14ac:dyDescent="0.3">
      <c r="A161" s="2" t="s">
        <v>1968</v>
      </c>
      <c r="B161" s="14">
        <v>45454</v>
      </c>
      <c r="C161" s="2">
        <f>YEAR(Sales_Details2[[#This Row],[Order_Date]])</f>
        <v>2024</v>
      </c>
      <c r="D161" s="2" t="s">
        <v>1216</v>
      </c>
      <c r="E161" s="2" t="str">
        <f>VLOOKUP(Sales_Details2[[#This Row],[Customer_ID]],Customer_Details[#All],4,0)</f>
        <v>Mid-Adult</v>
      </c>
      <c r="F161" s="2" t="str">
        <f>VLOOKUP(Sales_Details2[[#This Row],[Customer_ID]],Customer_Details[#All],5,0)</f>
        <v>Female</v>
      </c>
      <c r="G161" s="2" t="str">
        <f>VLOOKUP(Sales_Details2[[#This Row],[Customer_ID]],Customer_Details[#All],9,0)</f>
        <v>Bronze</v>
      </c>
      <c r="H161" s="2" t="s">
        <v>1709</v>
      </c>
      <c r="I161" s="2" t="str">
        <f>VLOOKUP(Sales_Details2[[#This Row],[Product_ID]],Product_details[[#All],[Product_ID]:[Cost]],3,0)</f>
        <v>Beauty</v>
      </c>
      <c r="J161" s="2" t="str">
        <f>VLOOKUP(Sales_Details2[[#This Row],[Product_ID]],Product_details[[#All],[Product_ID]:[Cost]],4,0)</f>
        <v>Makeup</v>
      </c>
      <c r="K161" s="2" t="s">
        <v>1787</v>
      </c>
      <c r="L161" s="2" t="str">
        <f>_xlfn.XLOOKUP(Sales_Details2[[#This Row],[Store_ID]],Table2[Store_ID],Table2[Region],"Region not found")</f>
        <v>West</v>
      </c>
      <c r="M161" s="25">
        <v>2</v>
      </c>
      <c r="N161" s="36">
        <v>122.23</v>
      </c>
      <c r="O161" s="29">
        <v>0.21</v>
      </c>
      <c r="P161" s="2" t="s">
        <v>1812</v>
      </c>
      <c r="Q161" s="36">
        <v>193.1234</v>
      </c>
    </row>
    <row r="162" spans="1:17" x14ac:dyDescent="0.3">
      <c r="A162" s="2" t="s">
        <v>1969</v>
      </c>
      <c r="B162" s="14">
        <v>45918</v>
      </c>
      <c r="C162" s="2">
        <f>YEAR(Sales_Details2[[#This Row],[Order_Date]])</f>
        <v>2025</v>
      </c>
      <c r="D162" s="2" t="s">
        <v>89</v>
      </c>
      <c r="E162" s="2" t="str">
        <f>VLOOKUP(Sales_Details2[[#This Row],[Customer_ID]],Customer_Details[#All],4,0)</f>
        <v>Senior</v>
      </c>
      <c r="F162" s="2" t="str">
        <f>VLOOKUP(Sales_Details2[[#This Row],[Customer_ID]],Customer_Details[#All],5,0)</f>
        <v>Male</v>
      </c>
      <c r="G162" s="2" t="str">
        <f>VLOOKUP(Sales_Details2[[#This Row],[Customer_ID]],Customer_Details[#All],9,0)</f>
        <v>Silver</v>
      </c>
      <c r="H162" s="2" t="s">
        <v>1671</v>
      </c>
      <c r="I162" s="2" t="str">
        <f>VLOOKUP(Sales_Details2[[#This Row],[Product_ID]],Product_details[[#All],[Product_ID]:[Cost]],3,0)</f>
        <v>Home</v>
      </c>
      <c r="J162" s="2" t="str">
        <f>VLOOKUP(Sales_Details2[[#This Row],[Product_ID]],Product_details[[#All],[Product_ID]:[Cost]],4,0)</f>
        <v>Storage</v>
      </c>
      <c r="K162" s="2" t="s">
        <v>1793</v>
      </c>
      <c r="L162" s="2" t="str">
        <f>_xlfn.XLOOKUP(Sales_Details2[[#This Row],[Store_ID]],Table2[Store_ID],Table2[Region],"Region not found")</f>
        <v>East</v>
      </c>
      <c r="M162" s="25">
        <v>2</v>
      </c>
      <c r="N162" s="36">
        <v>623.38</v>
      </c>
      <c r="O162" s="29">
        <v>0.13</v>
      </c>
      <c r="P162" s="2" t="s">
        <v>1807</v>
      </c>
      <c r="Q162" s="36">
        <v>1084.6812</v>
      </c>
    </row>
    <row r="163" spans="1:17" x14ac:dyDescent="0.3">
      <c r="A163" s="2" t="s">
        <v>1970</v>
      </c>
      <c r="B163" s="14">
        <v>45729</v>
      </c>
      <c r="C163" s="2">
        <f>YEAR(Sales_Details2[[#This Row],[Order_Date]])</f>
        <v>2025</v>
      </c>
      <c r="D163" s="2" t="s">
        <v>215</v>
      </c>
      <c r="E163" s="2" t="str">
        <f>VLOOKUP(Sales_Details2[[#This Row],[Customer_ID]],Customer_Details[#All],4,0)</f>
        <v>Senior</v>
      </c>
      <c r="F163" s="2" t="str">
        <f>VLOOKUP(Sales_Details2[[#This Row],[Customer_ID]],Customer_Details[#All],5,0)</f>
        <v>Male</v>
      </c>
      <c r="G163" s="2" t="str">
        <f>VLOOKUP(Sales_Details2[[#This Row],[Customer_ID]],Customer_Details[#All],9,0)</f>
        <v>Platinum</v>
      </c>
      <c r="H163" s="2" t="s">
        <v>1671</v>
      </c>
      <c r="I163" s="2" t="str">
        <f>VLOOKUP(Sales_Details2[[#This Row],[Product_ID]],Product_details[[#All],[Product_ID]:[Cost]],3,0)</f>
        <v>Home</v>
      </c>
      <c r="J163" s="2" t="str">
        <f>VLOOKUP(Sales_Details2[[#This Row],[Product_ID]],Product_details[[#All],[Product_ID]:[Cost]],4,0)</f>
        <v>Storage</v>
      </c>
      <c r="K163" s="2" t="s">
        <v>1735</v>
      </c>
      <c r="L163" s="2" t="str">
        <f>_xlfn.XLOOKUP(Sales_Details2[[#This Row],[Store_ID]],Table2[Store_ID],Table2[Region],"Region not found")</f>
        <v>East</v>
      </c>
      <c r="M163" s="25">
        <v>1</v>
      </c>
      <c r="N163" s="36">
        <v>479.58</v>
      </c>
      <c r="O163" s="29">
        <v>0.05</v>
      </c>
      <c r="P163" s="2" t="s">
        <v>1809</v>
      </c>
      <c r="Q163" s="36">
        <v>455.60099999999989</v>
      </c>
    </row>
    <row r="164" spans="1:17" x14ac:dyDescent="0.3">
      <c r="A164" s="2" t="s">
        <v>1971</v>
      </c>
      <c r="B164" s="14">
        <v>45276</v>
      </c>
      <c r="C164" s="2">
        <f>YEAR(Sales_Details2[[#This Row],[Order_Date]])</f>
        <v>2023</v>
      </c>
      <c r="D164" s="2" t="s">
        <v>933</v>
      </c>
      <c r="E164" s="2" t="str">
        <f>VLOOKUP(Sales_Details2[[#This Row],[Customer_ID]],Customer_Details[#All],4,0)</f>
        <v>Senior</v>
      </c>
      <c r="F164" s="2" t="str">
        <f>VLOOKUP(Sales_Details2[[#This Row],[Customer_ID]],Customer_Details[#All],5,0)</f>
        <v>Male</v>
      </c>
      <c r="G164" s="2" t="str">
        <f>VLOOKUP(Sales_Details2[[#This Row],[Customer_ID]],Customer_Details[#All],9,0)</f>
        <v>Platinum</v>
      </c>
      <c r="H164" s="2" t="s">
        <v>1677</v>
      </c>
      <c r="I164" s="2" t="str">
        <f>VLOOKUP(Sales_Details2[[#This Row],[Product_ID]],Product_details[[#All],[Product_ID]:[Cost]],3,0)</f>
        <v>Sports</v>
      </c>
      <c r="J164" s="2" t="str">
        <f>VLOOKUP(Sales_Details2[[#This Row],[Product_ID]],Product_details[[#All],[Product_ID]:[Cost]],4,0)</f>
        <v>Team Sports</v>
      </c>
      <c r="K164" s="2" t="s">
        <v>1759</v>
      </c>
      <c r="L164" s="2" t="str">
        <f>_xlfn.XLOOKUP(Sales_Details2[[#This Row],[Store_ID]],Table2[Store_ID],Table2[Region],"Region not found")</f>
        <v>East</v>
      </c>
      <c r="M164" s="25">
        <v>3</v>
      </c>
      <c r="N164" s="36">
        <v>369.32</v>
      </c>
      <c r="O164" s="29">
        <v>0.14000000000000001</v>
      </c>
      <c r="P164" s="2" t="s">
        <v>1809</v>
      </c>
      <c r="Q164" s="36">
        <v>952.84559999999999</v>
      </c>
    </row>
    <row r="165" spans="1:17" x14ac:dyDescent="0.3">
      <c r="A165" s="2" t="s">
        <v>1972</v>
      </c>
      <c r="B165" s="14">
        <v>45851</v>
      </c>
      <c r="C165" s="2">
        <f>YEAR(Sales_Details2[[#This Row],[Order_Date]])</f>
        <v>2025</v>
      </c>
      <c r="D165" s="2" t="s">
        <v>275</v>
      </c>
      <c r="E165" s="2" t="str">
        <f>VLOOKUP(Sales_Details2[[#This Row],[Customer_ID]],Customer_Details[#All],4,0)</f>
        <v>Mid-Adult</v>
      </c>
      <c r="F165" s="2" t="str">
        <f>VLOOKUP(Sales_Details2[[#This Row],[Customer_ID]],Customer_Details[#All],5,0)</f>
        <v>Male</v>
      </c>
      <c r="G165" s="2" t="str">
        <f>VLOOKUP(Sales_Details2[[#This Row],[Customer_ID]],Customer_Details[#All],9,0)</f>
        <v>Gold</v>
      </c>
      <c r="H165" s="2" t="s">
        <v>1595</v>
      </c>
      <c r="I165" s="2" t="str">
        <f>VLOOKUP(Sales_Details2[[#This Row],[Product_ID]],Product_details[[#All],[Product_ID]:[Cost]],3,0)</f>
        <v>Beauty</v>
      </c>
      <c r="J165" s="2" t="str">
        <f>VLOOKUP(Sales_Details2[[#This Row],[Product_ID]],Product_details[[#All],[Product_ID]:[Cost]],4,0)</f>
        <v>Skincare</v>
      </c>
      <c r="K165" s="2" t="s">
        <v>1740</v>
      </c>
      <c r="L165" s="2" t="str">
        <f>_xlfn.XLOOKUP(Sales_Details2[[#This Row],[Store_ID]],Table2[Store_ID],Table2[Region],"Region not found")</f>
        <v>North</v>
      </c>
      <c r="M165" s="25">
        <v>1</v>
      </c>
      <c r="N165" s="36">
        <v>488.31</v>
      </c>
      <c r="O165" s="29">
        <v>0.03</v>
      </c>
      <c r="P165" s="2" t="s">
        <v>1809</v>
      </c>
      <c r="Q165" s="36">
        <v>473.66070000000002</v>
      </c>
    </row>
    <row r="166" spans="1:17" x14ac:dyDescent="0.3">
      <c r="A166" s="2" t="s">
        <v>1973</v>
      </c>
      <c r="B166" s="14">
        <v>45418</v>
      </c>
      <c r="C166" s="2">
        <f>YEAR(Sales_Details2[[#This Row],[Order_Date]])</f>
        <v>2024</v>
      </c>
      <c r="D166" s="2" t="s">
        <v>870</v>
      </c>
      <c r="E166" s="2" t="str">
        <f>VLOOKUP(Sales_Details2[[#This Row],[Customer_ID]],Customer_Details[#All],4,0)</f>
        <v>Mid-Adult</v>
      </c>
      <c r="F166" s="2" t="str">
        <f>VLOOKUP(Sales_Details2[[#This Row],[Customer_ID]],Customer_Details[#All],5,0)</f>
        <v>Male</v>
      </c>
      <c r="G166" s="2" t="str">
        <f>VLOOKUP(Sales_Details2[[#This Row],[Customer_ID]],Customer_Details[#All],9,0)</f>
        <v>Gold</v>
      </c>
      <c r="H166" s="2" t="s">
        <v>1639</v>
      </c>
      <c r="I166" s="2" t="str">
        <f>VLOOKUP(Sales_Details2[[#This Row],[Product_ID]],Product_details[[#All],[Product_ID]:[Cost]],3,0)</f>
        <v>Sports</v>
      </c>
      <c r="J166" s="2" t="str">
        <f>VLOOKUP(Sales_Details2[[#This Row],[Product_ID]],Product_details[[#All],[Product_ID]:[Cost]],4,0)</f>
        <v>Accessories</v>
      </c>
      <c r="K166" s="2" t="s">
        <v>1777</v>
      </c>
      <c r="L166" s="2" t="str">
        <f>_xlfn.XLOOKUP(Sales_Details2[[#This Row],[Store_ID]],Table2[Store_ID],Table2[Region],"Region not found")</f>
        <v>North</v>
      </c>
      <c r="M166" s="25">
        <v>4</v>
      </c>
      <c r="N166" s="36">
        <v>164.04</v>
      </c>
      <c r="O166" s="29">
        <v>0.26</v>
      </c>
      <c r="P166" s="2" t="s">
        <v>1807</v>
      </c>
      <c r="Q166" s="36">
        <v>485.55839999999989</v>
      </c>
    </row>
    <row r="167" spans="1:17" x14ac:dyDescent="0.3">
      <c r="A167" s="2" t="s">
        <v>1974</v>
      </c>
      <c r="B167" s="14">
        <v>45508</v>
      </c>
      <c r="C167" s="2">
        <f>YEAR(Sales_Details2[[#This Row],[Order_Date]])</f>
        <v>2024</v>
      </c>
      <c r="D167" s="2" t="s">
        <v>265</v>
      </c>
      <c r="E167" s="2" t="str">
        <f>VLOOKUP(Sales_Details2[[#This Row],[Customer_ID]],Customer_Details[#All],4,0)</f>
        <v>Senior</v>
      </c>
      <c r="F167" s="2" t="str">
        <f>VLOOKUP(Sales_Details2[[#This Row],[Customer_ID]],Customer_Details[#All],5,0)</f>
        <v>Female</v>
      </c>
      <c r="G167" s="2" t="str">
        <f>VLOOKUP(Sales_Details2[[#This Row],[Customer_ID]],Customer_Details[#All],9,0)</f>
        <v>Silver</v>
      </c>
      <c r="H167" s="2" t="s">
        <v>1551</v>
      </c>
      <c r="I167" s="2" t="str">
        <f>VLOOKUP(Sales_Details2[[#This Row],[Product_ID]],Product_details[[#All],[Product_ID]:[Cost]],3,0)</f>
        <v>Home</v>
      </c>
      <c r="J167" s="2" t="str">
        <f>VLOOKUP(Sales_Details2[[#This Row],[Product_ID]],Product_details[[#All],[Product_ID]:[Cost]],4,0)</f>
        <v>Kitchen</v>
      </c>
      <c r="K167" s="2" t="s">
        <v>1790</v>
      </c>
      <c r="L167" s="2" t="str">
        <f>_xlfn.XLOOKUP(Sales_Details2[[#This Row],[Store_ID]],Table2[Store_ID],Table2[Region],"Region not found")</f>
        <v>North</v>
      </c>
      <c r="M167" s="25">
        <v>3</v>
      </c>
      <c r="N167" s="36">
        <v>707.95</v>
      </c>
      <c r="O167" s="29">
        <v>0.18</v>
      </c>
      <c r="P167" s="2" t="s">
        <v>1809</v>
      </c>
      <c r="Q167" s="36">
        <v>1741.557</v>
      </c>
    </row>
    <row r="168" spans="1:17" x14ac:dyDescent="0.3">
      <c r="A168" s="2" t="s">
        <v>1975</v>
      </c>
      <c r="B168" s="14">
        <v>45269</v>
      </c>
      <c r="C168" s="2">
        <f>YEAR(Sales_Details2[[#This Row],[Order_Date]])</f>
        <v>2023</v>
      </c>
      <c r="D168" s="2" t="s">
        <v>925</v>
      </c>
      <c r="E168" s="2" t="str">
        <f>VLOOKUP(Sales_Details2[[#This Row],[Customer_ID]],Customer_Details[#All],4,0)</f>
        <v>Adult</v>
      </c>
      <c r="F168" s="2" t="str">
        <f>VLOOKUP(Sales_Details2[[#This Row],[Customer_ID]],Customer_Details[#All],5,0)</f>
        <v>Female</v>
      </c>
      <c r="G168" s="2" t="str">
        <f>VLOOKUP(Sales_Details2[[#This Row],[Customer_ID]],Customer_Details[#All],9,0)</f>
        <v>Bronze</v>
      </c>
      <c r="H168" s="2" t="s">
        <v>1669</v>
      </c>
      <c r="I168" s="2" t="str">
        <f>VLOOKUP(Sales_Details2[[#This Row],[Product_ID]],Product_details[[#All],[Product_ID]:[Cost]],3,0)</f>
        <v>Clothing</v>
      </c>
      <c r="J168" s="2" t="str">
        <f>VLOOKUP(Sales_Details2[[#This Row],[Product_ID]],Product_details[[#All],[Product_ID]:[Cost]],4,0)</f>
        <v>Bottoms</v>
      </c>
      <c r="K168" s="2" t="s">
        <v>1765</v>
      </c>
      <c r="L168" s="2" t="str">
        <f>_xlfn.XLOOKUP(Sales_Details2[[#This Row],[Store_ID]],Table2[Store_ID],Table2[Region],"Region not found")</f>
        <v>West</v>
      </c>
      <c r="M168" s="25">
        <v>4</v>
      </c>
      <c r="N168" s="36">
        <v>714.47</v>
      </c>
      <c r="O168" s="29">
        <v>0.18</v>
      </c>
      <c r="P168" s="2" t="s">
        <v>1812</v>
      </c>
      <c r="Q168" s="36">
        <v>2343.4616000000001</v>
      </c>
    </row>
    <row r="169" spans="1:17" x14ac:dyDescent="0.3">
      <c r="A169" s="2" t="s">
        <v>1976</v>
      </c>
      <c r="B169" s="14">
        <v>45866</v>
      </c>
      <c r="C169" s="2">
        <f>YEAR(Sales_Details2[[#This Row],[Order_Date]])</f>
        <v>2025</v>
      </c>
      <c r="D169" s="2" t="s">
        <v>1275</v>
      </c>
      <c r="E169" s="2" t="str">
        <f>VLOOKUP(Sales_Details2[[#This Row],[Customer_ID]],Customer_Details[#All],4,0)</f>
        <v>Adult</v>
      </c>
      <c r="F169" s="2" t="str">
        <f>VLOOKUP(Sales_Details2[[#This Row],[Customer_ID]],Customer_Details[#All],5,0)</f>
        <v>Female</v>
      </c>
      <c r="G169" s="2" t="str">
        <f>VLOOKUP(Sales_Details2[[#This Row],[Customer_ID]],Customer_Details[#All],9,0)</f>
        <v>Silver</v>
      </c>
      <c r="H169" s="2" t="s">
        <v>1689</v>
      </c>
      <c r="I169" s="2" t="str">
        <f>VLOOKUP(Sales_Details2[[#This Row],[Product_ID]],Product_details[[#All],[Product_ID]:[Cost]],3,0)</f>
        <v>Home</v>
      </c>
      <c r="J169" s="2" t="str">
        <f>VLOOKUP(Sales_Details2[[#This Row],[Product_ID]],Product_details[[#All],[Product_ID]:[Cost]],4,0)</f>
        <v>Lighting</v>
      </c>
      <c r="K169" s="2" t="s">
        <v>1762</v>
      </c>
      <c r="L169" s="2" t="str">
        <f>_xlfn.XLOOKUP(Sales_Details2[[#This Row],[Store_ID]],Table2[Store_ID],Table2[Region],"Region not found")</f>
        <v>South</v>
      </c>
      <c r="M169" s="25">
        <v>4</v>
      </c>
      <c r="N169" s="36">
        <v>422.09</v>
      </c>
      <c r="O169" s="29">
        <v>0.04</v>
      </c>
      <c r="P169" s="2" t="s">
        <v>1807</v>
      </c>
      <c r="Q169" s="36">
        <v>1620.8255999999999</v>
      </c>
    </row>
    <row r="170" spans="1:17" x14ac:dyDescent="0.3">
      <c r="A170" s="2" t="s">
        <v>1977</v>
      </c>
      <c r="B170" s="14">
        <v>45462</v>
      </c>
      <c r="C170" s="2">
        <f>YEAR(Sales_Details2[[#This Row],[Order_Date]])</f>
        <v>2024</v>
      </c>
      <c r="D170" s="2" t="s">
        <v>376</v>
      </c>
      <c r="E170" s="2" t="str">
        <f>VLOOKUP(Sales_Details2[[#This Row],[Customer_ID]],Customer_Details[#All],4,0)</f>
        <v>Mid-Adult</v>
      </c>
      <c r="F170" s="2" t="str">
        <f>VLOOKUP(Sales_Details2[[#This Row],[Customer_ID]],Customer_Details[#All],5,0)</f>
        <v>Male</v>
      </c>
      <c r="G170" s="2" t="str">
        <f>VLOOKUP(Sales_Details2[[#This Row],[Customer_ID]],Customer_Details[#All],9,0)</f>
        <v>Bronze</v>
      </c>
      <c r="H170" s="2" t="s">
        <v>1591</v>
      </c>
      <c r="I170" s="2" t="str">
        <f>VLOOKUP(Sales_Details2[[#This Row],[Product_ID]],Product_details[[#All],[Product_ID]:[Cost]],3,0)</f>
        <v>Home</v>
      </c>
      <c r="J170" s="2" t="str">
        <f>VLOOKUP(Sales_Details2[[#This Row],[Product_ID]],Product_details[[#All],[Product_ID]:[Cost]],4,0)</f>
        <v>Kitchen</v>
      </c>
      <c r="K170" s="2" t="s">
        <v>1769</v>
      </c>
      <c r="L170" s="2" t="str">
        <f>_xlfn.XLOOKUP(Sales_Details2[[#This Row],[Store_ID]],Table2[Store_ID],Table2[Region],"Region not found")</f>
        <v>South</v>
      </c>
      <c r="M170" s="25">
        <v>1</v>
      </c>
      <c r="N170" s="36">
        <v>998.19</v>
      </c>
      <c r="O170" s="29">
        <v>0.2</v>
      </c>
      <c r="P170" s="2" t="s">
        <v>1807</v>
      </c>
      <c r="Q170" s="36">
        <v>798.55200000000013</v>
      </c>
    </row>
    <row r="171" spans="1:17" x14ac:dyDescent="0.3">
      <c r="A171" s="2" t="s">
        <v>1978</v>
      </c>
      <c r="B171" s="14">
        <v>45313</v>
      </c>
      <c r="C171" s="2">
        <f>YEAR(Sales_Details2[[#This Row],[Order_Date]])</f>
        <v>2024</v>
      </c>
      <c r="D171" s="2" t="s">
        <v>1153</v>
      </c>
      <c r="E171" s="2" t="str">
        <f>VLOOKUP(Sales_Details2[[#This Row],[Customer_ID]],Customer_Details[#All],4,0)</f>
        <v>Mid-Adult</v>
      </c>
      <c r="F171" s="2" t="str">
        <f>VLOOKUP(Sales_Details2[[#This Row],[Customer_ID]],Customer_Details[#All],5,0)</f>
        <v>Female</v>
      </c>
      <c r="G171" s="2" t="str">
        <f>VLOOKUP(Sales_Details2[[#This Row],[Customer_ID]],Customer_Details[#All],9,0)</f>
        <v>Gold</v>
      </c>
      <c r="H171" s="2" t="s">
        <v>1675</v>
      </c>
      <c r="I171" s="2" t="str">
        <f>VLOOKUP(Sales_Details2[[#This Row],[Product_ID]],Product_details[[#All],[Product_ID]:[Cost]],3,0)</f>
        <v>Sports</v>
      </c>
      <c r="J171" s="2" t="str">
        <f>VLOOKUP(Sales_Details2[[#This Row],[Product_ID]],Product_details[[#All],[Product_ID]:[Cost]],4,0)</f>
        <v>Fitness</v>
      </c>
      <c r="K171" s="2" t="s">
        <v>1762</v>
      </c>
      <c r="L171" s="2" t="str">
        <f>_xlfn.XLOOKUP(Sales_Details2[[#This Row],[Store_ID]],Table2[Store_ID],Table2[Region],"Region not found")</f>
        <v>South</v>
      </c>
      <c r="M171" s="25">
        <v>2</v>
      </c>
      <c r="N171" s="36">
        <v>343.42</v>
      </c>
      <c r="O171" s="29">
        <v>0.12</v>
      </c>
      <c r="P171" s="2" t="s">
        <v>1812</v>
      </c>
      <c r="Q171" s="36">
        <v>604.41920000000005</v>
      </c>
    </row>
    <row r="172" spans="1:17" x14ac:dyDescent="0.3">
      <c r="A172" s="2" t="s">
        <v>1979</v>
      </c>
      <c r="B172" s="14">
        <v>45390</v>
      </c>
      <c r="C172" s="2">
        <f>YEAR(Sales_Details2[[#This Row],[Order_Date]])</f>
        <v>2024</v>
      </c>
      <c r="D172" s="2" t="s">
        <v>811</v>
      </c>
      <c r="E172" s="2" t="str">
        <f>VLOOKUP(Sales_Details2[[#This Row],[Customer_ID]],Customer_Details[#All],4,0)</f>
        <v>Senior</v>
      </c>
      <c r="F172" s="2" t="str">
        <f>VLOOKUP(Sales_Details2[[#This Row],[Customer_ID]],Customer_Details[#All],5,0)</f>
        <v>Male</v>
      </c>
      <c r="G172" s="2" t="str">
        <f>VLOOKUP(Sales_Details2[[#This Row],[Customer_ID]],Customer_Details[#All],9,0)</f>
        <v>Platinum</v>
      </c>
      <c r="H172" s="2" t="s">
        <v>1599</v>
      </c>
      <c r="I172" s="2" t="str">
        <f>VLOOKUP(Sales_Details2[[#This Row],[Product_ID]],Product_details[[#All],[Product_ID]:[Cost]],3,0)</f>
        <v>Electronics</v>
      </c>
      <c r="J172" s="2" t="str">
        <f>VLOOKUP(Sales_Details2[[#This Row],[Product_ID]],Product_details[[#All],[Product_ID]:[Cost]],4,0)</f>
        <v>Computer</v>
      </c>
      <c r="K172" s="2" t="s">
        <v>1759</v>
      </c>
      <c r="L172" s="2" t="str">
        <f>_xlfn.XLOOKUP(Sales_Details2[[#This Row],[Store_ID]],Table2[Store_ID],Table2[Region],"Region not found")</f>
        <v>East</v>
      </c>
      <c r="M172" s="25">
        <v>1</v>
      </c>
      <c r="N172" s="36">
        <v>152.16999999999999</v>
      </c>
      <c r="O172" s="29">
        <v>0.28000000000000003</v>
      </c>
      <c r="P172" s="2" t="s">
        <v>1812</v>
      </c>
      <c r="Q172" s="36">
        <v>109.5624</v>
      </c>
    </row>
    <row r="173" spans="1:17" x14ac:dyDescent="0.3">
      <c r="A173" s="2" t="s">
        <v>1980</v>
      </c>
      <c r="B173" s="14">
        <v>45795</v>
      </c>
      <c r="C173" s="2">
        <f>YEAR(Sales_Details2[[#This Row],[Order_Date]])</f>
        <v>2025</v>
      </c>
      <c r="D173" s="2" t="s">
        <v>573</v>
      </c>
      <c r="E173" s="2" t="str">
        <f>VLOOKUP(Sales_Details2[[#This Row],[Customer_ID]],Customer_Details[#All],4,0)</f>
        <v>Senior</v>
      </c>
      <c r="F173" s="2" t="str">
        <f>VLOOKUP(Sales_Details2[[#This Row],[Customer_ID]],Customer_Details[#All],5,0)</f>
        <v>Male</v>
      </c>
      <c r="G173" s="2" t="str">
        <f>VLOOKUP(Sales_Details2[[#This Row],[Customer_ID]],Customer_Details[#All],9,0)</f>
        <v>Platinum</v>
      </c>
      <c r="H173" s="2" t="s">
        <v>1629</v>
      </c>
      <c r="I173" s="2" t="str">
        <f>VLOOKUP(Sales_Details2[[#This Row],[Product_ID]],Product_details[[#All],[Product_ID]:[Cost]],3,0)</f>
        <v>Beauty</v>
      </c>
      <c r="J173" s="2" t="str">
        <f>VLOOKUP(Sales_Details2[[#This Row],[Product_ID]],Product_details[[#All],[Product_ID]:[Cost]],4,0)</f>
        <v>Fragrance</v>
      </c>
      <c r="K173" s="2" t="s">
        <v>1775</v>
      </c>
      <c r="L173" s="2" t="str">
        <f>_xlfn.XLOOKUP(Sales_Details2[[#This Row],[Store_ID]],Table2[Store_ID],Table2[Region],"Region not found")</f>
        <v>South</v>
      </c>
      <c r="M173" s="25">
        <v>1</v>
      </c>
      <c r="N173" s="36">
        <v>325.08</v>
      </c>
      <c r="O173" s="29">
        <v>0.26</v>
      </c>
      <c r="P173" s="2" t="s">
        <v>1809</v>
      </c>
      <c r="Q173" s="36">
        <v>240.5592</v>
      </c>
    </row>
    <row r="174" spans="1:17" x14ac:dyDescent="0.3">
      <c r="A174" s="2" t="s">
        <v>1981</v>
      </c>
      <c r="B174" s="14">
        <v>45267</v>
      </c>
      <c r="C174" s="2">
        <f>YEAR(Sales_Details2[[#This Row],[Order_Date]])</f>
        <v>2023</v>
      </c>
      <c r="D174" s="2" t="s">
        <v>1069</v>
      </c>
      <c r="E174" s="2" t="str">
        <f>VLOOKUP(Sales_Details2[[#This Row],[Customer_ID]],Customer_Details[#All],4,0)</f>
        <v>Mid-Adult</v>
      </c>
      <c r="F174" s="2" t="str">
        <f>VLOOKUP(Sales_Details2[[#This Row],[Customer_ID]],Customer_Details[#All],5,0)</f>
        <v>Male</v>
      </c>
      <c r="G174" s="2" t="str">
        <f>VLOOKUP(Sales_Details2[[#This Row],[Customer_ID]],Customer_Details[#All],9,0)</f>
        <v>Gold</v>
      </c>
      <c r="H174" s="2" t="s">
        <v>1709</v>
      </c>
      <c r="I174" s="2" t="str">
        <f>VLOOKUP(Sales_Details2[[#This Row],[Product_ID]],Product_details[[#All],[Product_ID]:[Cost]],3,0)</f>
        <v>Beauty</v>
      </c>
      <c r="J174" s="2" t="str">
        <f>VLOOKUP(Sales_Details2[[#This Row],[Product_ID]],Product_details[[#All],[Product_ID]:[Cost]],4,0)</f>
        <v>Makeup</v>
      </c>
      <c r="K174" s="2" t="s">
        <v>1772</v>
      </c>
      <c r="L174" s="2" t="str">
        <f>_xlfn.XLOOKUP(Sales_Details2[[#This Row],[Store_ID]],Table2[Store_ID],Table2[Region],"Region not found")</f>
        <v>East</v>
      </c>
      <c r="M174" s="25">
        <v>2</v>
      </c>
      <c r="N174" s="36">
        <v>827.92</v>
      </c>
      <c r="O174" s="29">
        <v>0.25</v>
      </c>
      <c r="P174" s="2" t="s">
        <v>1812</v>
      </c>
      <c r="Q174" s="36">
        <v>1241.8800000000001</v>
      </c>
    </row>
    <row r="175" spans="1:17" x14ac:dyDescent="0.3">
      <c r="A175" s="2" t="s">
        <v>1982</v>
      </c>
      <c r="B175" s="14">
        <v>45314</v>
      </c>
      <c r="C175" s="2">
        <f>YEAR(Sales_Details2[[#This Row],[Order_Date]])</f>
        <v>2024</v>
      </c>
      <c r="D175" s="2" t="s">
        <v>1475</v>
      </c>
      <c r="E175" s="2" t="str">
        <f>VLOOKUP(Sales_Details2[[#This Row],[Customer_ID]],Customer_Details[#All],4,0)</f>
        <v>Mid-Adult</v>
      </c>
      <c r="F175" s="2" t="str">
        <f>VLOOKUP(Sales_Details2[[#This Row],[Customer_ID]],Customer_Details[#All],5,0)</f>
        <v>Female</v>
      </c>
      <c r="G175" s="2" t="str">
        <f>VLOOKUP(Sales_Details2[[#This Row],[Customer_ID]],Customer_Details[#All],9,0)</f>
        <v>Bronze</v>
      </c>
      <c r="H175" s="2" t="s">
        <v>1583</v>
      </c>
      <c r="I175" s="2" t="str">
        <f>VLOOKUP(Sales_Details2[[#This Row],[Product_ID]],Product_details[[#All],[Product_ID]:[Cost]],3,0)</f>
        <v>Electronics</v>
      </c>
      <c r="J175" s="2" t="str">
        <f>VLOOKUP(Sales_Details2[[#This Row],[Product_ID]],Product_details[[#All],[Product_ID]:[Cost]],4,0)</f>
        <v>Audio</v>
      </c>
      <c r="K175" s="2" t="s">
        <v>1744</v>
      </c>
      <c r="L175" s="2" t="str">
        <f>_xlfn.XLOOKUP(Sales_Details2[[#This Row],[Store_ID]],Table2[Store_ID],Table2[Region],"Region not found")</f>
        <v>South</v>
      </c>
      <c r="M175" s="25">
        <v>2</v>
      </c>
      <c r="N175" s="36">
        <v>593.47</v>
      </c>
      <c r="O175" s="29">
        <v>0.1</v>
      </c>
      <c r="P175" s="2" t="s">
        <v>1812</v>
      </c>
      <c r="Q175" s="36">
        <v>1068.2460000000001</v>
      </c>
    </row>
    <row r="176" spans="1:17" x14ac:dyDescent="0.3">
      <c r="A176" s="2" t="s">
        <v>1983</v>
      </c>
      <c r="B176" s="14">
        <v>45267</v>
      </c>
      <c r="C176" s="2">
        <f>YEAR(Sales_Details2[[#This Row],[Order_Date]])</f>
        <v>2023</v>
      </c>
      <c r="D176" s="2" t="s">
        <v>920</v>
      </c>
      <c r="E176" s="2" t="str">
        <f>VLOOKUP(Sales_Details2[[#This Row],[Customer_ID]],Customer_Details[#All],4,0)</f>
        <v>Senior</v>
      </c>
      <c r="F176" s="2" t="str">
        <f>VLOOKUP(Sales_Details2[[#This Row],[Customer_ID]],Customer_Details[#All],5,0)</f>
        <v>Female</v>
      </c>
      <c r="G176" s="2" t="str">
        <f>VLOOKUP(Sales_Details2[[#This Row],[Customer_ID]],Customer_Details[#All],9,0)</f>
        <v>Platinum</v>
      </c>
      <c r="H176" s="2" t="s">
        <v>1571</v>
      </c>
      <c r="I176" s="2" t="str">
        <f>VLOOKUP(Sales_Details2[[#This Row],[Product_ID]],Product_details[[#All],[Product_ID]:[Cost]],3,0)</f>
        <v>Sports</v>
      </c>
      <c r="J176" s="2" t="str">
        <f>VLOOKUP(Sales_Details2[[#This Row],[Product_ID]],Product_details[[#All],[Product_ID]:[Cost]],4,0)</f>
        <v>Accessories</v>
      </c>
      <c r="K176" s="2" t="s">
        <v>1762</v>
      </c>
      <c r="L176" s="2" t="str">
        <f>_xlfn.XLOOKUP(Sales_Details2[[#This Row],[Store_ID]],Table2[Store_ID],Table2[Region],"Region not found")</f>
        <v>South</v>
      </c>
      <c r="M176" s="25">
        <v>4</v>
      </c>
      <c r="N176" s="36">
        <v>756.28</v>
      </c>
      <c r="O176" s="29">
        <v>0.05</v>
      </c>
      <c r="P176" s="2" t="s">
        <v>1812</v>
      </c>
      <c r="Q176" s="36">
        <v>2873.864</v>
      </c>
    </row>
    <row r="177" spans="1:17" x14ac:dyDescent="0.3">
      <c r="A177" s="2" t="s">
        <v>1984</v>
      </c>
      <c r="B177" s="14">
        <v>45641</v>
      </c>
      <c r="C177" s="2">
        <f>YEAR(Sales_Details2[[#This Row],[Order_Date]])</f>
        <v>2024</v>
      </c>
      <c r="D177" s="2" t="s">
        <v>1165</v>
      </c>
      <c r="E177" s="2" t="str">
        <f>VLOOKUP(Sales_Details2[[#This Row],[Customer_ID]],Customer_Details[#All],4,0)</f>
        <v>Mid-Adult</v>
      </c>
      <c r="F177" s="2" t="str">
        <f>VLOOKUP(Sales_Details2[[#This Row],[Customer_ID]],Customer_Details[#All],5,0)</f>
        <v>Female</v>
      </c>
      <c r="G177" s="2" t="str">
        <f>VLOOKUP(Sales_Details2[[#This Row],[Customer_ID]],Customer_Details[#All],9,0)</f>
        <v>Gold</v>
      </c>
      <c r="H177" s="2" t="s">
        <v>1715</v>
      </c>
      <c r="I177" s="2" t="str">
        <f>VLOOKUP(Sales_Details2[[#This Row],[Product_ID]],Product_details[[#All],[Product_ID]:[Cost]],3,0)</f>
        <v>Home</v>
      </c>
      <c r="J177" s="2" t="str">
        <f>VLOOKUP(Sales_Details2[[#This Row],[Product_ID]],Product_details[[#All],[Product_ID]:[Cost]],4,0)</f>
        <v>Appliances</v>
      </c>
      <c r="K177" s="2" t="s">
        <v>1740</v>
      </c>
      <c r="L177" s="2" t="str">
        <f>_xlfn.XLOOKUP(Sales_Details2[[#This Row],[Store_ID]],Table2[Store_ID],Table2[Region],"Region not found")</f>
        <v>North</v>
      </c>
      <c r="M177" s="25">
        <v>2</v>
      </c>
      <c r="N177" s="36">
        <v>707.65</v>
      </c>
      <c r="O177" s="29">
        <v>0.14000000000000001</v>
      </c>
      <c r="P177" s="2" t="s">
        <v>1807</v>
      </c>
      <c r="Q177" s="36">
        <v>1217.1579999999999</v>
      </c>
    </row>
    <row r="178" spans="1:17" x14ac:dyDescent="0.3">
      <c r="A178" s="2" t="s">
        <v>1985</v>
      </c>
      <c r="B178" s="14">
        <v>45371</v>
      </c>
      <c r="C178" s="2">
        <f>YEAR(Sales_Details2[[#This Row],[Order_Date]])</f>
        <v>2024</v>
      </c>
      <c r="D178" s="2" t="s">
        <v>436</v>
      </c>
      <c r="E178" s="2" t="str">
        <f>VLOOKUP(Sales_Details2[[#This Row],[Customer_ID]],Customer_Details[#All],4,0)</f>
        <v>Mid-Adult</v>
      </c>
      <c r="F178" s="2" t="str">
        <f>VLOOKUP(Sales_Details2[[#This Row],[Customer_ID]],Customer_Details[#All],5,0)</f>
        <v>Male</v>
      </c>
      <c r="G178" s="2" t="str">
        <f>VLOOKUP(Sales_Details2[[#This Row],[Customer_ID]],Customer_Details[#All],9,0)</f>
        <v>Silver</v>
      </c>
      <c r="H178" s="2" t="s">
        <v>1581</v>
      </c>
      <c r="I178" s="2" t="str">
        <f>VLOOKUP(Sales_Details2[[#This Row],[Product_ID]],Product_details[[#All],[Product_ID]:[Cost]],3,0)</f>
        <v>Clothing</v>
      </c>
      <c r="J178" s="2" t="str">
        <f>VLOOKUP(Sales_Details2[[#This Row],[Product_ID]],Product_details[[#All],[Product_ID]:[Cost]],4,0)</f>
        <v>Accessories</v>
      </c>
      <c r="K178" s="2" t="s">
        <v>1784</v>
      </c>
      <c r="L178" s="2" t="str">
        <f>_xlfn.XLOOKUP(Sales_Details2[[#This Row],[Store_ID]],Table2[Store_ID],Table2[Region],"Region not found")</f>
        <v>North</v>
      </c>
      <c r="M178" s="25">
        <v>1</v>
      </c>
      <c r="N178" s="36">
        <v>857.35</v>
      </c>
      <c r="O178" s="29">
        <v>0.28000000000000003</v>
      </c>
      <c r="P178" s="2" t="s">
        <v>1809</v>
      </c>
      <c r="Q178" s="36">
        <v>617.29200000000003</v>
      </c>
    </row>
    <row r="179" spans="1:17" x14ac:dyDescent="0.3">
      <c r="A179" s="2" t="s">
        <v>1986</v>
      </c>
      <c r="B179" s="14">
        <v>45670</v>
      </c>
      <c r="C179" s="2">
        <f>YEAR(Sales_Details2[[#This Row],[Order_Date]])</f>
        <v>2025</v>
      </c>
      <c r="D179" s="2" t="s">
        <v>1516</v>
      </c>
      <c r="E179" s="2" t="str">
        <f>VLOOKUP(Sales_Details2[[#This Row],[Customer_ID]],Customer_Details[#All],4,0)</f>
        <v>Adult</v>
      </c>
      <c r="F179" s="2" t="str">
        <f>VLOOKUP(Sales_Details2[[#This Row],[Customer_ID]],Customer_Details[#All],5,0)</f>
        <v>Female</v>
      </c>
      <c r="G179" s="2" t="str">
        <f>VLOOKUP(Sales_Details2[[#This Row],[Customer_ID]],Customer_Details[#All],9,0)</f>
        <v>Platinum</v>
      </c>
      <c r="H179" s="2" t="s">
        <v>1641</v>
      </c>
      <c r="I179" s="2" t="str">
        <f>VLOOKUP(Sales_Details2[[#This Row],[Product_ID]],Product_details[[#All],[Product_ID]:[Cost]],3,0)</f>
        <v>Home</v>
      </c>
      <c r="J179" s="2" t="str">
        <f>VLOOKUP(Sales_Details2[[#This Row],[Product_ID]],Product_details[[#All],[Product_ID]:[Cost]],4,0)</f>
        <v>Decor</v>
      </c>
      <c r="K179" s="2" t="s">
        <v>1765</v>
      </c>
      <c r="L179" s="2" t="str">
        <f>_xlfn.XLOOKUP(Sales_Details2[[#This Row],[Store_ID]],Table2[Store_ID],Table2[Region],"Region not found")</f>
        <v>West</v>
      </c>
      <c r="M179" s="25">
        <v>1</v>
      </c>
      <c r="N179" s="36">
        <v>79</v>
      </c>
      <c r="O179" s="29">
        <v>0.04</v>
      </c>
      <c r="P179" s="2" t="s">
        <v>1809</v>
      </c>
      <c r="Q179" s="36">
        <v>75.84</v>
      </c>
    </row>
    <row r="180" spans="1:17" x14ac:dyDescent="0.3">
      <c r="A180" s="2" t="s">
        <v>1987</v>
      </c>
      <c r="B180" s="14">
        <v>45885</v>
      </c>
      <c r="C180" s="2">
        <f>YEAR(Sales_Details2[[#This Row],[Order_Date]])</f>
        <v>2025</v>
      </c>
      <c r="D180" s="2" t="s">
        <v>241</v>
      </c>
      <c r="E180" s="2" t="str">
        <f>VLOOKUP(Sales_Details2[[#This Row],[Customer_ID]],Customer_Details[#All],4,0)</f>
        <v>Adult</v>
      </c>
      <c r="F180" s="2" t="str">
        <f>VLOOKUP(Sales_Details2[[#This Row],[Customer_ID]],Customer_Details[#All],5,0)</f>
        <v>Female</v>
      </c>
      <c r="G180" s="2" t="str">
        <f>VLOOKUP(Sales_Details2[[#This Row],[Customer_ID]],Customer_Details[#All],9,0)</f>
        <v>Silver</v>
      </c>
      <c r="H180" s="2" t="s">
        <v>1719</v>
      </c>
      <c r="I180" s="2" t="str">
        <f>VLOOKUP(Sales_Details2[[#This Row],[Product_ID]],Product_details[[#All],[Product_ID]:[Cost]],3,0)</f>
        <v>Beauty</v>
      </c>
      <c r="J180" s="2" t="str">
        <f>VLOOKUP(Sales_Details2[[#This Row],[Product_ID]],Product_details[[#All],[Product_ID]:[Cost]],4,0)</f>
        <v>Skincare</v>
      </c>
      <c r="K180" s="2" t="s">
        <v>1756</v>
      </c>
      <c r="L180" s="2" t="str">
        <f>_xlfn.XLOOKUP(Sales_Details2[[#This Row],[Store_ID]],Table2[Store_ID],Table2[Region],"Region not found")</f>
        <v>North</v>
      </c>
      <c r="M180" s="25">
        <v>4</v>
      </c>
      <c r="N180" s="36">
        <v>638.91</v>
      </c>
      <c r="O180" s="29">
        <v>0</v>
      </c>
      <c r="P180" s="2" t="s">
        <v>1812</v>
      </c>
      <c r="Q180" s="36">
        <v>2555.64</v>
      </c>
    </row>
    <row r="181" spans="1:17" x14ac:dyDescent="0.3">
      <c r="A181" s="2" t="s">
        <v>1988</v>
      </c>
      <c r="B181" s="14">
        <v>45812</v>
      </c>
      <c r="C181" s="2">
        <f>YEAR(Sales_Details2[[#This Row],[Order_Date]])</f>
        <v>2025</v>
      </c>
      <c r="D181" s="2" t="s">
        <v>292</v>
      </c>
      <c r="E181" s="2" t="str">
        <f>VLOOKUP(Sales_Details2[[#This Row],[Customer_ID]],Customer_Details[#All],4,0)</f>
        <v>Mid-Adult</v>
      </c>
      <c r="F181" s="2" t="str">
        <f>VLOOKUP(Sales_Details2[[#This Row],[Customer_ID]],Customer_Details[#All],5,0)</f>
        <v>Female</v>
      </c>
      <c r="G181" s="2" t="str">
        <f>VLOOKUP(Sales_Details2[[#This Row],[Customer_ID]],Customer_Details[#All],9,0)</f>
        <v>Platinum</v>
      </c>
      <c r="H181" s="2" t="s">
        <v>1621</v>
      </c>
      <c r="I181" s="2" t="str">
        <f>VLOOKUP(Sales_Details2[[#This Row],[Product_ID]],Product_details[[#All],[Product_ID]:[Cost]],3,0)</f>
        <v>Sports</v>
      </c>
      <c r="J181" s="2" t="str">
        <f>VLOOKUP(Sales_Details2[[#This Row],[Product_ID]],Product_details[[#All],[Product_ID]:[Cost]],4,0)</f>
        <v>Team Sports</v>
      </c>
      <c r="K181" s="2" t="s">
        <v>1735</v>
      </c>
      <c r="L181" s="2" t="str">
        <f>_xlfn.XLOOKUP(Sales_Details2[[#This Row],[Store_ID]],Table2[Store_ID],Table2[Region],"Region not found")</f>
        <v>East</v>
      </c>
      <c r="M181" s="25">
        <v>2</v>
      </c>
      <c r="N181" s="36">
        <v>522.16999999999996</v>
      </c>
      <c r="O181" s="29">
        <v>0.27</v>
      </c>
      <c r="P181" s="2" t="s">
        <v>1807</v>
      </c>
      <c r="Q181" s="36">
        <v>762.36819999999989</v>
      </c>
    </row>
    <row r="182" spans="1:17" x14ac:dyDescent="0.3">
      <c r="A182" s="2" t="s">
        <v>1989</v>
      </c>
      <c r="B182" s="14">
        <v>45235</v>
      </c>
      <c r="C182" s="2">
        <f>YEAR(Sales_Details2[[#This Row],[Order_Date]])</f>
        <v>2023</v>
      </c>
      <c r="D182" s="2" t="s">
        <v>1456</v>
      </c>
      <c r="E182" s="2" t="str">
        <f>VLOOKUP(Sales_Details2[[#This Row],[Customer_ID]],Customer_Details[#All],4,0)</f>
        <v>Senior</v>
      </c>
      <c r="F182" s="2" t="str">
        <f>VLOOKUP(Sales_Details2[[#This Row],[Customer_ID]],Customer_Details[#All],5,0)</f>
        <v>Male</v>
      </c>
      <c r="G182" s="2" t="str">
        <f>VLOOKUP(Sales_Details2[[#This Row],[Customer_ID]],Customer_Details[#All],9,0)</f>
        <v>Gold</v>
      </c>
      <c r="H182" s="2" t="s">
        <v>1609</v>
      </c>
      <c r="I182" s="2" t="str">
        <f>VLOOKUP(Sales_Details2[[#This Row],[Product_ID]],Product_details[[#All],[Product_ID]:[Cost]],3,0)</f>
        <v>Electronics</v>
      </c>
      <c r="J182" s="2" t="str">
        <f>VLOOKUP(Sales_Details2[[#This Row],[Product_ID]],Product_details[[#All],[Product_ID]:[Cost]],4,0)</f>
        <v>Mobile</v>
      </c>
      <c r="K182" s="2" t="s">
        <v>1777</v>
      </c>
      <c r="L182" s="2" t="str">
        <f>_xlfn.XLOOKUP(Sales_Details2[[#This Row],[Store_ID]],Table2[Store_ID],Table2[Region],"Region not found")</f>
        <v>North</v>
      </c>
      <c r="M182" s="25">
        <v>3</v>
      </c>
      <c r="N182" s="36">
        <v>954.29</v>
      </c>
      <c r="O182" s="29">
        <v>0.27</v>
      </c>
      <c r="P182" s="2" t="s">
        <v>1807</v>
      </c>
      <c r="Q182" s="36">
        <v>2089.8951000000002</v>
      </c>
    </row>
    <row r="183" spans="1:17" x14ac:dyDescent="0.3">
      <c r="A183" s="2" t="s">
        <v>1990</v>
      </c>
      <c r="B183" s="14">
        <v>45710</v>
      </c>
      <c r="C183" s="2">
        <f>YEAR(Sales_Details2[[#This Row],[Order_Date]])</f>
        <v>2025</v>
      </c>
      <c r="D183" s="2" t="s">
        <v>1409</v>
      </c>
      <c r="E183" s="2" t="str">
        <f>VLOOKUP(Sales_Details2[[#This Row],[Customer_ID]],Customer_Details[#All],4,0)</f>
        <v>Mid-Adult</v>
      </c>
      <c r="F183" s="2" t="str">
        <f>VLOOKUP(Sales_Details2[[#This Row],[Customer_ID]],Customer_Details[#All],5,0)</f>
        <v>Female</v>
      </c>
      <c r="G183" s="2" t="str">
        <f>VLOOKUP(Sales_Details2[[#This Row],[Customer_ID]],Customer_Details[#All],9,0)</f>
        <v>Silver</v>
      </c>
      <c r="H183" s="2" t="s">
        <v>1597</v>
      </c>
      <c r="I183" s="2" t="str">
        <f>VLOOKUP(Sales_Details2[[#This Row],[Product_ID]],Product_details[[#All],[Product_ID]:[Cost]],3,0)</f>
        <v>Home</v>
      </c>
      <c r="J183" s="2" t="str">
        <f>VLOOKUP(Sales_Details2[[#This Row],[Product_ID]],Product_details[[#All],[Product_ID]:[Cost]],4,0)</f>
        <v>Decor</v>
      </c>
      <c r="K183" s="2" t="s">
        <v>1780</v>
      </c>
      <c r="L183" s="2" t="str">
        <f>_xlfn.XLOOKUP(Sales_Details2[[#This Row],[Store_ID]],Table2[Store_ID],Table2[Region],"Region not found")</f>
        <v>East</v>
      </c>
      <c r="M183" s="25">
        <v>3</v>
      </c>
      <c r="N183" s="36">
        <v>53.92</v>
      </c>
      <c r="O183" s="29">
        <v>0.15</v>
      </c>
      <c r="P183" s="2" t="s">
        <v>1809</v>
      </c>
      <c r="Q183" s="36">
        <v>137.49600000000001</v>
      </c>
    </row>
    <row r="184" spans="1:17" x14ac:dyDescent="0.3">
      <c r="A184" s="2" t="s">
        <v>1991</v>
      </c>
      <c r="B184" s="14">
        <v>45753</v>
      </c>
      <c r="C184" s="2">
        <f>YEAR(Sales_Details2[[#This Row],[Order_Date]])</f>
        <v>2025</v>
      </c>
      <c r="D184" s="2" t="s">
        <v>1222</v>
      </c>
      <c r="E184" s="2" t="str">
        <f>VLOOKUP(Sales_Details2[[#This Row],[Customer_ID]],Customer_Details[#All],4,0)</f>
        <v>Adult</v>
      </c>
      <c r="F184" s="2" t="str">
        <f>VLOOKUP(Sales_Details2[[#This Row],[Customer_ID]],Customer_Details[#All],5,0)</f>
        <v>Female</v>
      </c>
      <c r="G184" s="2" t="str">
        <f>VLOOKUP(Sales_Details2[[#This Row],[Customer_ID]],Customer_Details[#All],9,0)</f>
        <v>Silver</v>
      </c>
      <c r="H184" s="2" t="s">
        <v>1599</v>
      </c>
      <c r="I184" s="2" t="str">
        <f>VLOOKUP(Sales_Details2[[#This Row],[Product_ID]],Product_details[[#All],[Product_ID]:[Cost]],3,0)</f>
        <v>Electronics</v>
      </c>
      <c r="J184" s="2" t="str">
        <f>VLOOKUP(Sales_Details2[[#This Row],[Product_ID]],Product_details[[#All],[Product_ID]:[Cost]],4,0)</f>
        <v>Computer</v>
      </c>
      <c r="K184" s="2" t="s">
        <v>1735</v>
      </c>
      <c r="L184" s="2" t="str">
        <f>_xlfn.XLOOKUP(Sales_Details2[[#This Row],[Store_ID]],Table2[Store_ID],Table2[Region],"Region not found")</f>
        <v>East</v>
      </c>
      <c r="M184" s="25">
        <v>4</v>
      </c>
      <c r="N184" s="36">
        <v>741.88</v>
      </c>
      <c r="O184" s="29">
        <v>0.02</v>
      </c>
      <c r="P184" s="2" t="s">
        <v>1812</v>
      </c>
      <c r="Q184" s="36">
        <v>2908.1696000000002</v>
      </c>
    </row>
    <row r="185" spans="1:17" x14ac:dyDescent="0.3">
      <c r="A185" s="2" t="s">
        <v>1992</v>
      </c>
      <c r="B185" s="14">
        <v>45594</v>
      </c>
      <c r="C185" s="2">
        <f>YEAR(Sales_Details2[[#This Row],[Order_Date]])</f>
        <v>2024</v>
      </c>
      <c r="D185" s="2" t="s">
        <v>134</v>
      </c>
      <c r="E185" s="2" t="str">
        <f>VLOOKUP(Sales_Details2[[#This Row],[Customer_ID]],Customer_Details[#All],4,0)</f>
        <v>Adult</v>
      </c>
      <c r="F185" s="2" t="str">
        <f>VLOOKUP(Sales_Details2[[#This Row],[Customer_ID]],Customer_Details[#All],5,0)</f>
        <v>Male</v>
      </c>
      <c r="G185" s="2" t="str">
        <f>VLOOKUP(Sales_Details2[[#This Row],[Customer_ID]],Customer_Details[#All],9,0)</f>
        <v>Platinum</v>
      </c>
      <c r="H185" s="2" t="s">
        <v>1623</v>
      </c>
      <c r="I185" s="2" t="str">
        <f>VLOOKUP(Sales_Details2[[#This Row],[Product_ID]],Product_details[[#All],[Product_ID]:[Cost]],3,0)</f>
        <v>Clothing</v>
      </c>
      <c r="J185" s="2" t="str">
        <f>VLOOKUP(Sales_Details2[[#This Row],[Product_ID]],Product_details[[#All],[Product_ID]:[Cost]],4,0)</f>
        <v>Outerwear</v>
      </c>
      <c r="K185" s="2" t="s">
        <v>1749</v>
      </c>
      <c r="L185" s="2" t="str">
        <f>_xlfn.XLOOKUP(Sales_Details2[[#This Row],[Store_ID]],Table2[Store_ID],Table2[Region],"Region not found")</f>
        <v>North</v>
      </c>
      <c r="M185" s="25">
        <v>1</v>
      </c>
      <c r="N185" s="36">
        <v>547.09</v>
      </c>
      <c r="O185" s="29">
        <v>0.01</v>
      </c>
      <c r="P185" s="2" t="s">
        <v>1809</v>
      </c>
      <c r="Q185" s="36">
        <v>541.6191</v>
      </c>
    </row>
    <row r="186" spans="1:17" x14ac:dyDescent="0.3">
      <c r="A186" s="2" t="s">
        <v>1993</v>
      </c>
      <c r="B186" s="14">
        <v>45686</v>
      </c>
      <c r="C186" s="2">
        <f>YEAR(Sales_Details2[[#This Row],[Order_Date]])</f>
        <v>2025</v>
      </c>
      <c r="D186" s="2" t="s">
        <v>1487</v>
      </c>
      <c r="E186" s="2" t="str">
        <f>VLOOKUP(Sales_Details2[[#This Row],[Customer_ID]],Customer_Details[#All],4,0)</f>
        <v>Mid-Adult</v>
      </c>
      <c r="F186" s="2" t="str">
        <f>VLOOKUP(Sales_Details2[[#This Row],[Customer_ID]],Customer_Details[#All],5,0)</f>
        <v>Female</v>
      </c>
      <c r="G186" s="2" t="str">
        <f>VLOOKUP(Sales_Details2[[#This Row],[Customer_ID]],Customer_Details[#All],9,0)</f>
        <v>Silver</v>
      </c>
      <c r="H186" s="2" t="s">
        <v>1709</v>
      </c>
      <c r="I186" s="2" t="str">
        <f>VLOOKUP(Sales_Details2[[#This Row],[Product_ID]],Product_details[[#All],[Product_ID]:[Cost]],3,0)</f>
        <v>Beauty</v>
      </c>
      <c r="J186" s="2" t="str">
        <f>VLOOKUP(Sales_Details2[[#This Row],[Product_ID]],Product_details[[#All],[Product_ID]:[Cost]],4,0)</f>
        <v>Makeup</v>
      </c>
      <c r="K186" s="2" t="s">
        <v>1749</v>
      </c>
      <c r="L186" s="2" t="str">
        <f>_xlfn.XLOOKUP(Sales_Details2[[#This Row],[Store_ID]],Table2[Store_ID],Table2[Region],"Region not found")</f>
        <v>North</v>
      </c>
      <c r="M186" s="25">
        <v>1</v>
      </c>
      <c r="N186" s="36">
        <v>789.35</v>
      </c>
      <c r="O186" s="29">
        <v>0.14000000000000001</v>
      </c>
      <c r="P186" s="2" t="s">
        <v>1809</v>
      </c>
      <c r="Q186" s="36">
        <v>678.84100000000001</v>
      </c>
    </row>
    <row r="187" spans="1:17" x14ac:dyDescent="0.3">
      <c r="A187" s="2" t="s">
        <v>1994</v>
      </c>
      <c r="B187" s="14">
        <v>45354</v>
      </c>
      <c r="C187" s="2">
        <f>YEAR(Sales_Details2[[#This Row],[Order_Date]])</f>
        <v>2024</v>
      </c>
      <c r="D187" s="2" t="s">
        <v>1312</v>
      </c>
      <c r="E187" s="2" t="str">
        <f>VLOOKUP(Sales_Details2[[#This Row],[Customer_ID]],Customer_Details[#All],4,0)</f>
        <v>Adult</v>
      </c>
      <c r="F187" s="2" t="str">
        <f>VLOOKUP(Sales_Details2[[#This Row],[Customer_ID]],Customer_Details[#All],5,0)</f>
        <v>Female</v>
      </c>
      <c r="G187" s="2" t="str">
        <f>VLOOKUP(Sales_Details2[[#This Row],[Customer_ID]],Customer_Details[#All],9,0)</f>
        <v>Bronze</v>
      </c>
      <c r="H187" s="2" t="s">
        <v>1657</v>
      </c>
      <c r="I187" s="2" t="str">
        <f>VLOOKUP(Sales_Details2[[#This Row],[Product_ID]],Product_details[[#All],[Product_ID]:[Cost]],3,0)</f>
        <v>Beauty</v>
      </c>
      <c r="J187" s="2" t="str">
        <f>VLOOKUP(Sales_Details2[[#This Row],[Product_ID]],Product_details[[#All],[Product_ID]:[Cost]],4,0)</f>
        <v>Skincare</v>
      </c>
      <c r="K187" s="2" t="s">
        <v>1749</v>
      </c>
      <c r="L187" s="2" t="str">
        <f>_xlfn.XLOOKUP(Sales_Details2[[#This Row],[Store_ID]],Table2[Store_ID],Table2[Region],"Region not found")</f>
        <v>North</v>
      </c>
      <c r="M187" s="25">
        <v>3</v>
      </c>
      <c r="N187" s="36">
        <v>476.78</v>
      </c>
      <c r="O187" s="29">
        <v>0.09</v>
      </c>
      <c r="P187" s="2" t="s">
        <v>1812</v>
      </c>
      <c r="Q187" s="36">
        <v>1301.6094000000001</v>
      </c>
    </row>
    <row r="188" spans="1:17" x14ac:dyDescent="0.3">
      <c r="A188" s="2" t="s">
        <v>1995</v>
      </c>
      <c r="B188" s="14">
        <v>45600</v>
      </c>
      <c r="C188" s="2">
        <f>YEAR(Sales_Details2[[#This Row],[Order_Date]])</f>
        <v>2024</v>
      </c>
      <c r="D188" s="2" t="s">
        <v>1384</v>
      </c>
      <c r="E188" s="2" t="str">
        <f>VLOOKUP(Sales_Details2[[#This Row],[Customer_ID]],Customer_Details[#All],4,0)</f>
        <v>Senior</v>
      </c>
      <c r="F188" s="2" t="str">
        <f>VLOOKUP(Sales_Details2[[#This Row],[Customer_ID]],Customer_Details[#All],5,0)</f>
        <v>Female</v>
      </c>
      <c r="G188" s="2" t="str">
        <f>VLOOKUP(Sales_Details2[[#This Row],[Customer_ID]],Customer_Details[#All],9,0)</f>
        <v>Platinum</v>
      </c>
      <c r="H188" s="2" t="s">
        <v>1689</v>
      </c>
      <c r="I188" s="2" t="str">
        <f>VLOOKUP(Sales_Details2[[#This Row],[Product_ID]],Product_details[[#All],[Product_ID]:[Cost]],3,0)</f>
        <v>Home</v>
      </c>
      <c r="J188" s="2" t="str">
        <f>VLOOKUP(Sales_Details2[[#This Row],[Product_ID]],Product_details[[#All],[Product_ID]:[Cost]],4,0)</f>
        <v>Lighting</v>
      </c>
      <c r="K188" s="2" t="s">
        <v>1793</v>
      </c>
      <c r="L188" s="2" t="str">
        <f>_xlfn.XLOOKUP(Sales_Details2[[#This Row],[Store_ID]],Table2[Store_ID],Table2[Region],"Region not found")</f>
        <v>East</v>
      </c>
      <c r="M188" s="25">
        <v>2</v>
      </c>
      <c r="N188" s="36">
        <v>504.26</v>
      </c>
      <c r="O188" s="29">
        <v>0.04</v>
      </c>
      <c r="P188" s="2" t="s">
        <v>1809</v>
      </c>
      <c r="Q188" s="36">
        <v>968.17919999999992</v>
      </c>
    </row>
    <row r="189" spans="1:17" x14ac:dyDescent="0.3">
      <c r="A189" s="2" t="s">
        <v>1996</v>
      </c>
      <c r="B189" s="14">
        <v>45538</v>
      </c>
      <c r="C189" s="2">
        <f>YEAR(Sales_Details2[[#This Row],[Order_Date]])</f>
        <v>2024</v>
      </c>
      <c r="D189" s="2" t="s">
        <v>858</v>
      </c>
      <c r="E189" s="2" t="str">
        <f>VLOOKUP(Sales_Details2[[#This Row],[Customer_ID]],Customer_Details[#All],4,0)</f>
        <v>Mid-Adult</v>
      </c>
      <c r="F189" s="2" t="str">
        <f>VLOOKUP(Sales_Details2[[#This Row],[Customer_ID]],Customer_Details[#All],5,0)</f>
        <v>Female</v>
      </c>
      <c r="G189" s="2" t="str">
        <f>VLOOKUP(Sales_Details2[[#This Row],[Customer_ID]],Customer_Details[#All],9,0)</f>
        <v>Gold</v>
      </c>
      <c r="H189" s="2" t="s">
        <v>1693</v>
      </c>
      <c r="I189" s="2" t="str">
        <f>VLOOKUP(Sales_Details2[[#This Row],[Product_ID]],Product_details[[#All],[Product_ID]:[Cost]],3,0)</f>
        <v>Sports</v>
      </c>
      <c r="J189" s="2" t="str">
        <f>VLOOKUP(Sales_Details2[[#This Row],[Product_ID]],Product_details[[#All],[Product_ID]:[Cost]],4,0)</f>
        <v>Equipment</v>
      </c>
      <c r="K189" s="2" t="s">
        <v>1759</v>
      </c>
      <c r="L189" s="2" t="str">
        <f>_xlfn.XLOOKUP(Sales_Details2[[#This Row],[Store_ID]],Table2[Store_ID],Table2[Region],"Region not found")</f>
        <v>East</v>
      </c>
      <c r="M189" s="25">
        <v>2</v>
      </c>
      <c r="N189" s="36">
        <v>549.33000000000004</v>
      </c>
      <c r="O189" s="29">
        <v>0.01</v>
      </c>
      <c r="P189" s="2" t="s">
        <v>1812</v>
      </c>
      <c r="Q189" s="36">
        <v>1087.6733999999999</v>
      </c>
    </row>
    <row r="190" spans="1:17" x14ac:dyDescent="0.3">
      <c r="A190" s="2" t="s">
        <v>1997</v>
      </c>
      <c r="B190" s="14">
        <v>45411</v>
      </c>
      <c r="C190" s="2">
        <f>YEAR(Sales_Details2[[#This Row],[Order_Date]])</f>
        <v>2024</v>
      </c>
      <c r="D190" s="2" t="s">
        <v>1180</v>
      </c>
      <c r="E190" s="2" t="str">
        <f>VLOOKUP(Sales_Details2[[#This Row],[Customer_ID]],Customer_Details[#All],4,0)</f>
        <v>Adult</v>
      </c>
      <c r="F190" s="2" t="str">
        <f>VLOOKUP(Sales_Details2[[#This Row],[Customer_ID]],Customer_Details[#All],5,0)</f>
        <v>Female</v>
      </c>
      <c r="G190" s="2" t="str">
        <f>VLOOKUP(Sales_Details2[[#This Row],[Customer_ID]],Customer_Details[#All],9,0)</f>
        <v>Gold</v>
      </c>
      <c r="H190" s="2" t="s">
        <v>1536</v>
      </c>
      <c r="I190" s="2" t="str">
        <f>VLOOKUP(Sales_Details2[[#This Row],[Product_ID]],Product_details[[#All],[Product_ID]:[Cost]],3,0)</f>
        <v>Clothing</v>
      </c>
      <c r="J190" s="2" t="str">
        <f>VLOOKUP(Sales_Details2[[#This Row],[Product_ID]],Product_details[[#All],[Product_ID]:[Cost]],4,0)</f>
        <v>Bottoms</v>
      </c>
      <c r="K190" s="2" t="s">
        <v>1749</v>
      </c>
      <c r="L190" s="2" t="str">
        <f>_xlfn.XLOOKUP(Sales_Details2[[#This Row],[Store_ID]],Table2[Store_ID],Table2[Region],"Region not found")</f>
        <v>North</v>
      </c>
      <c r="M190" s="25">
        <v>3</v>
      </c>
      <c r="N190" s="36">
        <v>620.22</v>
      </c>
      <c r="O190" s="29">
        <v>0.04</v>
      </c>
      <c r="P190" s="2" t="s">
        <v>1807</v>
      </c>
      <c r="Q190" s="36">
        <v>1786.2336</v>
      </c>
    </row>
    <row r="191" spans="1:17" x14ac:dyDescent="0.3">
      <c r="A191" s="2" t="s">
        <v>1998</v>
      </c>
      <c r="B191" s="14">
        <v>45411</v>
      </c>
      <c r="C191" s="2">
        <f>YEAR(Sales_Details2[[#This Row],[Order_Date]])</f>
        <v>2024</v>
      </c>
      <c r="D191" s="2" t="s">
        <v>324</v>
      </c>
      <c r="E191" s="2" t="str">
        <f>VLOOKUP(Sales_Details2[[#This Row],[Customer_ID]],Customer_Details[#All],4,0)</f>
        <v>Adult</v>
      </c>
      <c r="F191" s="2" t="str">
        <f>VLOOKUP(Sales_Details2[[#This Row],[Customer_ID]],Customer_Details[#All],5,0)</f>
        <v>Female</v>
      </c>
      <c r="G191" s="2" t="str">
        <f>VLOOKUP(Sales_Details2[[#This Row],[Customer_ID]],Customer_Details[#All],9,0)</f>
        <v>Silver</v>
      </c>
      <c r="H191" s="2" t="s">
        <v>1623</v>
      </c>
      <c r="I191" s="2" t="str">
        <f>VLOOKUP(Sales_Details2[[#This Row],[Product_ID]],Product_details[[#All],[Product_ID]:[Cost]],3,0)</f>
        <v>Clothing</v>
      </c>
      <c r="J191" s="2" t="str">
        <f>VLOOKUP(Sales_Details2[[#This Row],[Product_ID]],Product_details[[#All],[Product_ID]:[Cost]],4,0)</f>
        <v>Outerwear</v>
      </c>
      <c r="K191" s="2" t="s">
        <v>1749</v>
      </c>
      <c r="L191" s="2" t="str">
        <f>_xlfn.XLOOKUP(Sales_Details2[[#This Row],[Store_ID]],Table2[Store_ID],Table2[Region],"Region not found")</f>
        <v>North</v>
      </c>
      <c r="M191" s="25">
        <v>1</v>
      </c>
      <c r="N191" s="36">
        <v>580.76</v>
      </c>
      <c r="O191" s="29">
        <v>0.1</v>
      </c>
      <c r="P191" s="2" t="s">
        <v>1812</v>
      </c>
      <c r="Q191" s="36">
        <v>522.68399999999997</v>
      </c>
    </row>
    <row r="192" spans="1:17" x14ac:dyDescent="0.3">
      <c r="A192" s="2" t="s">
        <v>1999</v>
      </c>
      <c r="B192" s="14">
        <v>45775</v>
      </c>
      <c r="C192" s="2">
        <f>YEAR(Sales_Details2[[#This Row],[Order_Date]])</f>
        <v>2025</v>
      </c>
      <c r="D192" s="2" t="s">
        <v>1039</v>
      </c>
      <c r="E192" s="2" t="str">
        <f>VLOOKUP(Sales_Details2[[#This Row],[Customer_ID]],Customer_Details[#All],4,0)</f>
        <v>Mid-Adult</v>
      </c>
      <c r="F192" s="2" t="str">
        <f>VLOOKUP(Sales_Details2[[#This Row],[Customer_ID]],Customer_Details[#All],5,0)</f>
        <v>Female</v>
      </c>
      <c r="G192" s="2" t="str">
        <f>VLOOKUP(Sales_Details2[[#This Row],[Customer_ID]],Customer_Details[#All],9,0)</f>
        <v>Silver</v>
      </c>
      <c r="H192" s="2" t="s">
        <v>1673</v>
      </c>
      <c r="I192" s="2" t="str">
        <f>VLOOKUP(Sales_Details2[[#This Row],[Product_ID]],Product_details[[#All],[Product_ID]:[Cost]],3,0)</f>
        <v>Beauty</v>
      </c>
      <c r="J192" s="2" t="str">
        <f>VLOOKUP(Sales_Details2[[#This Row],[Product_ID]],Product_details[[#All],[Product_ID]:[Cost]],4,0)</f>
        <v>Haircare</v>
      </c>
      <c r="K192" s="2" t="s">
        <v>1769</v>
      </c>
      <c r="L192" s="2" t="str">
        <f>_xlfn.XLOOKUP(Sales_Details2[[#This Row],[Store_ID]],Table2[Store_ID],Table2[Region],"Region not found")</f>
        <v>South</v>
      </c>
      <c r="M192" s="25">
        <v>3</v>
      </c>
      <c r="N192" s="36">
        <v>444.55</v>
      </c>
      <c r="O192" s="29">
        <v>0.14000000000000001</v>
      </c>
      <c r="P192" s="2" t="s">
        <v>1809</v>
      </c>
      <c r="Q192" s="36">
        <v>1146.9390000000001</v>
      </c>
    </row>
    <row r="193" spans="1:17" x14ac:dyDescent="0.3">
      <c r="A193" s="2" t="s">
        <v>2000</v>
      </c>
      <c r="B193" s="14">
        <v>45459</v>
      </c>
      <c r="C193" s="2">
        <f>YEAR(Sales_Details2[[#This Row],[Order_Date]])</f>
        <v>2024</v>
      </c>
      <c r="D193" s="2" t="s">
        <v>465</v>
      </c>
      <c r="E193" s="2" t="str">
        <f>VLOOKUP(Sales_Details2[[#This Row],[Customer_ID]],Customer_Details[#All],4,0)</f>
        <v>Mid-Adult</v>
      </c>
      <c r="F193" s="2" t="str">
        <f>VLOOKUP(Sales_Details2[[#This Row],[Customer_ID]],Customer_Details[#All],5,0)</f>
        <v>Male</v>
      </c>
      <c r="G193" s="2" t="str">
        <f>VLOOKUP(Sales_Details2[[#This Row],[Customer_ID]],Customer_Details[#All],9,0)</f>
        <v>Gold</v>
      </c>
      <c r="H193" s="2" t="s">
        <v>1623</v>
      </c>
      <c r="I193" s="2" t="str">
        <f>VLOOKUP(Sales_Details2[[#This Row],[Product_ID]],Product_details[[#All],[Product_ID]:[Cost]],3,0)</f>
        <v>Clothing</v>
      </c>
      <c r="J193" s="2" t="str">
        <f>VLOOKUP(Sales_Details2[[#This Row],[Product_ID]],Product_details[[#All],[Product_ID]:[Cost]],4,0)</f>
        <v>Outerwear</v>
      </c>
      <c r="K193" s="2" t="s">
        <v>1793</v>
      </c>
      <c r="L193" s="2" t="str">
        <f>_xlfn.XLOOKUP(Sales_Details2[[#This Row],[Store_ID]],Table2[Store_ID],Table2[Region],"Region not found")</f>
        <v>East</v>
      </c>
      <c r="M193" s="25">
        <v>1</v>
      </c>
      <c r="N193" s="36">
        <v>804.9</v>
      </c>
      <c r="O193" s="29">
        <v>0.03</v>
      </c>
      <c r="P193" s="2" t="s">
        <v>1809</v>
      </c>
      <c r="Q193" s="36">
        <v>780.75299999999993</v>
      </c>
    </row>
    <row r="194" spans="1:17" x14ac:dyDescent="0.3">
      <c r="A194" s="2" t="s">
        <v>2001</v>
      </c>
      <c r="B194" s="14">
        <v>45617</v>
      </c>
      <c r="C194" s="2">
        <f>YEAR(Sales_Details2[[#This Row],[Order_Date]])</f>
        <v>2024</v>
      </c>
      <c r="D194" s="2" t="s">
        <v>1300</v>
      </c>
      <c r="E194" s="2" t="str">
        <f>VLOOKUP(Sales_Details2[[#This Row],[Customer_ID]],Customer_Details[#All],4,0)</f>
        <v>Senior</v>
      </c>
      <c r="F194" s="2" t="str">
        <f>VLOOKUP(Sales_Details2[[#This Row],[Customer_ID]],Customer_Details[#All],5,0)</f>
        <v>Male</v>
      </c>
      <c r="G194" s="2" t="str">
        <f>VLOOKUP(Sales_Details2[[#This Row],[Customer_ID]],Customer_Details[#All],9,0)</f>
        <v>Bronze</v>
      </c>
      <c r="H194" s="2" t="s">
        <v>1715</v>
      </c>
      <c r="I194" s="2" t="str">
        <f>VLOOKUP(Sales_Details2[[#This Row],[Product_ID]],Product_details[[#All],[Product_ID]:[Cost]],3,0)</f>
        <v>Home</v>
      </c>
      <c r="J194" s="2" t="str">
        <f>VLOOKUP(Sales_Details2[[#This Row],[Product_ID]],Product_details[[#All],[Product_ID]:[Cost]],4,0)</f>
        <v>Appliances</v>
      </c>
      <c r="K194" s="2" t="s">
        <v>1782</v>
      </c>
      <c r="L194" s="2" t="str">
        <f>_xlfn.XLOOKUP(Sales_Details2[[#This Row],[Store_ID]],Table2[Store_ID],Table2[Region],"Region not found")</f>
        <v>South</v>
      </c>
      <c r="M194" s="25">
        <v>3</v>
      </c>
      <c r="N194" s="36">
        <v>361.65</v>
      </c>
      <c r="O194" s="29">
        <v>0.15</v>
      </c>
      <c r="P194" s="2" t="s">
        <v>1812</v>
      </c>
      <c r="Q194" s="36">
        <v>922.20749999999987</v>
      </c>
    </row>
    <row r="195" spans="1:17" x14ac:dyDescent="0.3">
      <c r="A195" s="2" t="s">
        <v>2002</v>
      </c>
      <c r="B195" s="14">
        <v>45763</v>
      </c>
      <c r="C195" s="2">
        <f>YEAR(Sales_Details2[[#This Row],[Order_Date]])</f>
        <v>2025</v>
      </c>
      <c r="D195" s="2" t="s">
        <v>536</v>
      </c>
      <c r="E195" s="2" t="str">
        <f>VLOOKUP(Sales_Details2[[#This Row],[Customer_ID]],Customer_Details[#All],4,0)</f>
        <v>Mid-Adult</v>
      </c>
      <c r="F195" s="2" t="str">
        <f>VLOOKUP(Sales_Details2[[#This Row],[Customer_ID]],Customer_Details[#All],5,0)</f>
        <v>Male</v>
      </c>
      <c r="G195" s="2" t="str">
        <f>VLOOKUP(Sales_Details2[[#This Row],[Customer_ID]],Customer_Details[#All],9,0)</f>
        <v>Silver</v>
      </c>
      <c r="H195" s="2" t="s">
        <v>1543</v>
      </c>
      <c r="I195" s="2" t="str">
        <f>VLOOKUP(Sales_Details2[[#This Row],[Product_ID]],Product_details[[#All],[Product_ID]:[Cost]],3,0)</f>
        <v>Home</v>
      </c>
      <c r="J195" s="2" t="str">
        <f>VLOOKUP(Sales_Details2[[#This Row],[Product_ID]],Product_details[[#All],[Product_ID]:[Cost]],4,0)</f>
        <v>Lighting</v>
      </c>
      <c r="K195" s="2" t="s">
        <v>1752</v>
      </c>
      <c r="L195" s="2" t="str">
        <f>_xlfn.XLOOKUP(Sales_Details2[[#This Row],[Store_ID]],Table2[Store_ID],Table2[Region],"Region not found")</f>
        <v>South</v>
      </c>
      <c r="M195" s="25">
        <v>1</v>
      </c>
      <c r="N195" s="36">
        <v>271.76</v>
      </c>
      <c r="O195" s="29">
        <v>0.03</v>
      </c>
      <c r="P195" s="2" t="s">
        <v>1807</v>
      </c>
      <c r="Q195" s="36">
        <v>263.60719999999998</v>
      </c>
    </row>
    <row r="196" spans="1:17" x14ac:dyDescent="0.3">
      <c r="A196" s="2" t="s">
        <v>2003</v>
      </c>
      <c r="B196" s="14">
        <v>45618</v>
      </c>
      <c r="C196" s="2">
        <f>YEAR(Sales_Details2[[#This Row],[Order_Date]])</f>
        <v>2024</v>
      </c>
      <c r="D196" s="2" t="s">
        <v>1007</v>
      </c>
      <c r="E196" s="2" t="str">
        <f>VLOOKUP(Sales_Details2[[#This Row],[Customer_ID]],Customer_Details[#All],4,0)</f>
        <v>Senior</v>
      </c>
      <c r="F196" s="2" t="str">
        <f>VLOOKUP(Sales_Details2[[#This Row],[Customer_ID]],Customer_Details[#All],5,0)</f>
        <v>Female</v>
      </c>
      <c r="G196" s="2" t="str">
        <f>VLOOKUP(Sales_Details2[[#This Row],[Customer_ID]],Customer_Details[#All],9,0)</f>
        <v>Platinum</v>
      </c>
      <c r="H196" s="2" t="s">
        <v>1629</v>
      </c>
      <c r="I196" s="2" t="str">
        <f>VLOOKUP(Sales_Details2[[#This Row],[Product_ID]],Product_details[[#All],[Product_ID]:[Cost]],3,0)</f>
        <v>Beauty</v>
      </c>
      <c r="J196" s="2" t="str">
        <f>VLOOKUP(Sales_Details2[[#This Row],[Product_ID]],Product_details[[#All],[Product_ID]:[Cost]],4,0)</f>
        <v>Fragrance</v>
      </c>
      <c r="K196" s="2" t="s">
        <v>1772</v>
      </c>
      <c r="L196" s="2" t="str">
        <f>_xlfn.XLOOKUP(Sales_Details2[[#This Row],[Store_ID]],Table2[Store_ID],Table2[Region],"Region not found")</f>
        <v>East</v>
      </c>
      <c r="M196" s="25">
        <v>3</v>
      </c>
      <c r="N196" s="36">
        <v>958.15</v>
      </c>
      <c r="O196" s="29">
        <v>0.24</v>
      </c>
      <c r="P196" s="2" t="s">
        <v>1812</v>
      </c>
      <c r="Q196" s="36">
        <v>2184.5819999999999</v>
      </c>
    </row>
    <row r="197" spans="1:17" x14ac:dyDescent="0.3">
      <c r="A197" s="2" t="s">
        <v>2004</v>
      </c>
      <c r="B197" s="14">
        <v>45290</v>
      </c>
      <c r="C197" s="2">
        <f>YEAR(Sales_Details2[[#This Row],[Order_Date]])</f>
        <v>2023</v>
      </c>
      <c r="D197" s="2" t="s">
        <v>1309</v>
      </c>
      <c r="E197" s="2" t="str">
        <f>VLOOKUP(Sales_Details2[[#This Row],[Customer_ID]],Customer_Details[#All],4,0)</f>
        <v>Adult</v>
      </c>
      <c r="F197" s="2" t="str">
        <f>VLOOKUP(Sales_Details2[[#This Row],[Customer_ID]],Customer_Details[#All],5,0)</f>
        <v>Female</v>
      </c>
      <c r="G197" s="2" t="str">
        <f>VLOOKUP(Sales_Details2[[#This Row],[Customer_ID]],Customer_Details[#All],9,0)</f>
        <v>Gold</v>
      </c>
      <c r="H197" s="2" t="s">
        <v>1651</v>
      </c>
      <c r="I197" s="2" t="str">
        <f>VLOOKUP(Sales_Details2[[#This Row],[Product_ID]],Product_details[[#All],[Product_ID]:[Cost]],3,0)</f>
        <v>Beauty</v>
      </c>
      <c r="J197" s="2" t="str">
        <f>VLOOKUP(Sales_Details2[[#This Row],[Product_ID]],Product_details[[#All],[Product_ID]:[Cost]],4,0)</f>
        <v>Fragrance</v>
      </c>
      <c r="K197" s="2" t="s">
        <v>1790</v>
      </c>
      <c r="L197" s="2" t="str">
        <f>_xlfn.XLOOKUP(Sales_Details2[[#This Row],[Store_ID]],Table2[Store_ID],Table2[Region],"Region not found")</f>
        <v>North</v>
      </c>
      <c r="M197" s="25">
        <v>1</v>
      </c>
      <c r="N197" s="36">
        <v>889.19</v>
      </c>
      <c r="O197" s="29">
        <v>0.03</v>
      </c>
      <c r="P197" s="2" t="s">
        <v>1807</v>
      </c>
      <c r="Q197" s="36">
        <v>862.51430000000005</v>
      </c>
    </row>
    <row r="198" spans="1:17" x14ac:dyDescent="0.3">
      <c r="A198" s="2" t="s">
        <v>2005</v>
      </c>
      <c r="B198" s="14">
        <v>45904</v>
      </c>
      <c r="C198" s="2">
        <f>YEAR(Sales_Details2[[#This Row],[Order_Date]])</f>
        <v>2025</v>
      </c>
      <c r="D198" s="2" t="s">
        <v>1415</v>
      </c>
      <c r="E198" s="2" t="str">
        <f>VLOOKUP(Sales_Details2[[#This Row],[Customer_ID]],Customer_Details[#All],4,0)</f>
        <v>Mid-Adult</v>
      </c>
      <c r="F198" s="2" t="str">
        <f>VLOOKUP(Sales_Details2[[#This Row],[Customer_ID]],Customer_Details[#All],5,0)</f>
        <v>Female</v>
      </c>
      <c r="G198" s="2" t="str">
        <f>VLOOKUP(Sales_Details2[[#This Row],[Customer_ID]],Customer_Details[#All],9,0)</f>
        <v>Platinum</v>
      </c>
      <c r="H198" s="2" t="s">
        <v>1645</v>
      </c>
      <c r="I198" s="2" t="str">
        <f>VLOOKUP(Sales_Details2[[#This Row],[Product_ID]],Product_details[[#All],[Product_ID]:[Cost]],3,0)</f>
        <v>Sports</v>
      </c>
      <c r="J198" s="2" t="str">
        <f>VLOOKUP(Sales_Details2[[#This Row],[Product_ID]],Product_details[[#All],[Product_ID]:[Cost]],4,0)</f>
        <v>Fitness</v>
      </c>
      <c r="K198" s="2" t="s">
        <v>1787</v>
      </c>
      <c r="L198" s="2" t="str">
        <f>_xlfn.XLOOKUP(Sales_Details2[[#This Row],[Store_ID]],Table2[Store_ID],Table2[Region],"Region not found")</f>
        <v>West</v>
      </c>
      <c r="M198" s="25">
        <v>4</v>
      </c>
      <c r="N198" s="36">
        <v>689.67</v>
      </c>
      <c r="O198" s="29">
        <v>0.05</v>
      </c>
      <c r="P198" s="2" t="s">
        <v>1812</v>
      </c>
      <c r="Q198" s="36">
        <v>2620.7460000000001</v>
      </c>
    </row>
    <row r="199" spans="1:17" x14ac:dyDescent="0.3">
      <c r="A199" s="2" t="s">
        <v>2006</v>
      </c>
      <c r="B199" s="14">
        <v>45227</v>
      </c>
      <c r="C199" s="2">
        <f>YEAR(Sales_Details2[[#This Row],[Order_Date]])</f>
        <v>2023</v>
      </c>
      <c r="D199" s="2" t="s">
        <v>456</v>
      </c>
      <c r="E199" s="2" t="str">
        <f>VLOOKUP(Sales_Details2[[#This Row],[Customer_ID]],Customer_Details[#All],4,0)</f>
        <v>Mid-Adult</v>
      </c>
      <c r="F199" s="2" t="str">
        <f>VLOOKUP(Sales_Details2[[#This Row],[Customer_ID]],Customer_Details[#All],5,0)</f>
        <v>Female</v>
      </c>
      <c r="G199" s="2" t="str">
        <f>VLOOKUP(Sales_Details2[[#This Row],[Customer_ID]],Customer_Details[#All],9,0)</f>
        <v>Platinum</v>
      </c>
      <c r="H199" s="2" t="s">
        <v>1619</v>
      </c>
      <c r="I199" s="2" t="str">
        <f>VLOOKUP(Sales_Details2[[#This Row],[Product_ID]],Product_details[[#All],[Product_ID]:[Cost]],3,0)</f>
        <v>Sports</v>
      </c>
      <c r="J199" s="2" t="str">
        <f>VLOOKUP(Sales_Details2[[#This Row],[Product_ID]],Product_details[[#All],[Product_ID]:[Cost]],4,0)</f>
        <v>Fitness</v>
      </c>
      <c r="K199" s="2" t="s">
        <v>1775</v>
      </c>
      <c r="L199" s="2" t="str">
        <f>_xlfn.XLOOKUP(Sales_Details2[[#This Row],[Store_ID]],Table2[Store_ID],Table2[Region],"Region not found")</f>
        <v>South</v>
      </c>
      <c r="M199" s="25">
        <v>1</v>
      </c>
      <c r="N199" s="36">
        <v>541.24</v>
      </c>
      <c r="O199" s="29">
        <v>0.03</v>
      </c>
      <c r="P199" s="2" t="s">
        <v>1809</v>
      </c>
      <c r="Q199" s="36">
        <v>525.00279999999998</v>
      </c>
    </row>
    <row r="200" spans="1:17" x14ac:dyDescent="0.3">
      <c r="A200" s="2" t="s">
        <v>2007</v>
      </c>
      <c r="B200" s="14">
        <v>45600</v>
      </c>
      <c r="C200" s="2">
        <f>YEAR(Sales_Details2[[#This Row],[Order_Date]])</f>
        <v>2024</v>
      </c>
      <c r="D200" s="2" t="s">
        <v>1370</v>
      </c>
      <c r="E200" s="2" t="str">
        <f>VLOOKUP(Sales_Details2[[#This Row],[Customer_ID]],Customer_Details[#All],4,0)</f>
        <v>Senior</v>
      </c>
      <c r="F200" s="2" t="str">
        <f>VLOOKUP(Sales_Details2[[#This Row],[Customer_ID]],Customer_Details[#All],5,0)</f>
        <v>Female</v>
      </c>
      <c r="G200" s="2" t="str">
        <f>VLOOKUP(Sales_Details2[[#This Row],[Customer_ID]],Customer_Details[#All],9,0)</f>
        <v>Bronze</v>
      </c>
      <c r="H200" s="2" t="s">
        <v>1693</v>
      </c>
      <c r="I200" s="2" t="str">
        <f>VLOOKUP(Sales_Details2[[#This Row],[Product_ID]],Product_details[[#All],[Product_ID]:[Cost]],3,0)</f>
        <v>Sports</v>
      </c>
      <c r="J200" s="2" t="str">
        <f>VLOOKUP(Sales_Details2[[#This Row],[Product_ID]],Product_details[[#All],[Product_ID]:[Cost]],4,0)</f>
        <v>Equipment</v>
      </c>
      <c r="K200" s="2" t="s">
        <v>1759</v>
      </c>
      <c r="L200" s="2" t="str">
        <f>_xlfn.XLOOKUP(Sales_Details2[[#This Row],[Store_ID]],Table2[Store_ID],Table2[Region],"Region not found")</f>
        <v>East</v>
      </c>
      <c r="M200" s="25">
        <v>1</v>
      </c>
      <c r="N200" s="36">
        <v>454.71</v>
      </c>
      <c r="O200" s="29">
        <v>0.16</v>
      </c>
      <c r="P200" s="2" t="s">
        <v>1809</v>
      </c>
      <c r="Q200" s="36">
        <v>381.95639999999997</v>
      </c>
    </row>
    <row r="201" spans="1:17" x14ac:dyDescent="0.3">
      <c r="A201" s="2" t="s">
        <v>2008</v>
      </c>
      <c r="B201" s="14">
        <v>45646</v>
      </c>
      <c r="C201" s="2">
        <f>YEAR(Sales_Details2[[#This Row],[Order_Date]])</f>
        <v>2024</v>
      </c>
      <c r="D201" s="2" t="s">
        <v>149</v>
      </c>
      <c r="E201" s="2" t="str">
        <f>VLOOKUP(Sales_Details2[[#This Row],[Customer_ID]],Customer_Details[#All],4,0)</f>
        <v>Mid-Adult</v>
      </c>
      <c r="F201" s="2" t="str">
        <f>VLOOKUP(Sales_Details2[[#This Row],[Customer_ID]],Customer_Details[#All],5,0)</f>
        <v>Female</v>
      </c>
      <c r="G201" s="2" t="str">
        <f>VLOOKUP(Sales_Details2[[#This Row],[Customer_ID]],Customer_Details[#All],9,0)</f>
        <v>Bronze</v>
      </c>
      <c r="H201" s="2" t="s">
        <v>1663</v>
      </c>
      <c r="I201" s="2" t="str">
        <f>VLOOKUP(Sales_Details2[[#This Row],[Product_ID]],Product_details[[#All],[Product_ID]:[Cost]],3,0)</f>
        <v>Beauty</v>
      </c>
      <c r="J201" s="2" t="str">
        <f>VLOOKUP(Sales_Details2[[#This Row],[Product_ID]],Product_details[[#All],[Product_ID]:[Cost]],4,0)</f>
        <v>Haircare</v>
      </c>
      <c r="K201" s="2" t="s">
        <v>1756</v>
      </c>
      <c r="L201" s="2" t="str">
        <f>_xlfn.XLOOKUP(Sales_Details2[[#This Row],[Store_ID]],Table2[Store_ID],Table2[Region],"Region not found")</f>
        <v>North</v>
      </c>
      <c r="M201" s="25">
        <v>2</v>
      </c>
      <c r="N201" s="36">
        <v>397.63</v>
      </c>
      <c r="O201" s="29">
        <v>0.26</v>
      </c>
      <c r="P201" s="2" t="s">
        <v>1807</v>
      </c>
      <c r="Q201" s="36">
        <v>588.49239999999998</v>
      </c>
    </row>
    <row r="202" spans="1:17" x14ac:dyDescent="0.3">
      <c r="A202" s="2" t="s">
        <v>2009</v>
      </c>
      <c r="B202" s="14">
        <v>45725</v>
      </c>
      <c r="C202" s="2">
        <f>YEAR(Sales_Details2[[#This Row],[Order_Date]])</f>
        <v>2025</v>
      </c>
      <c r="D202" s="2" t="s">
        <v>560</v>
      </c>
      <c r="E202" s="2" t="str">
        <f>VLOOKUP(Sales_Details2[[#This Row],[Customer_ID]],Customer_Details[#All],4,0)</f>
        <v>Adult</v>
      </c>
      <c r="F202" s="2" t="str">
        <f>VLOOKUP(Sales_Details2[[#This Row],[Customer_ID]],Customer_Details[#All],5,0)</f>
        <v>Male</v>
      </c>
      <c r="G202" s="2" t="str">
        <f>VLOOKUP(Sales_Details2[[#This Row],[Customer_ID]],Customer_Details[#All],9,0)</f>
        <v>Gold</v>
      </c>
      <c r="H202" s="2" t="s">
        <v>1697</v>
      </c>
      <c r="I202" s="2" t="str">
        <f>VLOOKUP(Sales_Details2[[#This Row],[Product_ID]],Product_details[[#All],[Product_ID]:[Cost]],3,0)</f>
        <v>Beauty</v>
      </c>
      <c r="J202" s="2" t="str">
        <f>VLOOKUP(Sales_Details2[[#This Row],[Product_ID]],Product_details[[#All],[Product_ID]:[Cost]],4,0)</f>
        <v>Skincare</v>
      </c>
      <c r="K202" s="2" t="s">
        <v>1759</v>
      </c>
      <c r="L202" s="2" t="str">
        <f>_xlfn.XLOOKUP(Sales_Details2[[#This Row],[Store_ID]],Table2[Store_ID],Table2[Region],"Region not found")</f>
        <v>East</v>
      </c>
      <c r="M202" s="25">
        <v>3</v>
      </c>
      <c r="N202" s="36">
        <v>748.56</v>
      </c>
      <c r="O202" s="29">
        <v>0.26</v>
      </c>
      <c r="P202" s="2" t="s">
        <v>1809</v>
      </c>
      <c r="Q202" s="36">
        <v>1661.8032000000001</v>
      </c>
    </row>
    <row r="203" spans="1:17" x14ac:dyDescent="0.3">
      <c r="A203" s="2" t="s">
        <v>2010</v>
      </c>
      <c r="B203" s="14">
        <v>45742</v>
      </c>
      <c r="C203" s="2">
        <f>YEAR(Sales_Details2[[#This Row],[Order_Date]])</f>
        <v>2025</v>
      </c>
      <c r="D203" s="2" t="s">
        <v>482</v>
      </c>
      <c r="E203" s="2" t="str">
        <f>VLOOKUP(Sales_Details2[[#This Row],[Customer_ID]],Customer_Details[#All],4,0)</f>
        <v>Senior</v>
      </c>
      <c r="F203" s="2" t="str">
        <f>VLOOKUP(Sales_Details2[[#This Row],[Customer_ID]],Customer_Details[#All],5,0)</f>
        <v>Female</v>
      </c>
      <c r="G203" s="2" t="str">
        <f>VLOOKUP(Sales_Details2[[#This Row],[Customer_ID]],Customer_Details[#All],9,0)</f>
        <v>Bronze</v>
      </c>
      <c r="H203" s="2" t="s">
        <v>1597</v>
      </c>
      <c r="I203" s="2" t="str">
        <f>VLOOKUP(Sales_Details2[[#This Row],[Product_ID]],Product_details[[#All],[Product_ID]:[Cost]],3,0)</f>
        <v>Home</v>
      </c>
      <c r="J203" s="2" t="str">
        <f>VLOOKUP(Sales_Details2[[#This Row],[Product_ID]],Product_details[[#All],[Product_ID]:[Cost]],4,0)</f>
        <v>Decor</v>
      </c>
      <c r="K203" s="2" t="s">
        <v>1752</v>
      </c>
      <c r="L203" s="2" t="str">
        <f>_xlfn.XLOOKUP(Sales_Details2[[#This Row],[Store_ID]],Table2[Store_ID],Table2[Region],"Region not found")</f>
        <v>South</v>
      </c>
      <c r="M203" s="25">
        <v>1</v>
      </c>
      <c r="N203" s="36">
        <v>885.72</v>
      </c>
      <c r="O203" s="29">
        <v>0.15</v>
      </c>
      <c r="P203" s="2" t="s">
        <v>1807</v>
      </c>
      <c r="Q203" s="36">
        <v>752.86199999999997</v>
      </c>
    </row>
    <row r="204" spans="1:17" x14ac:dyDescent="0.3">
      <c r="A204" s="2" t="s">
        <v>2011</v>
      </c>
      <c r="B204" s="14">
        <v>45750</v>
      </c>
      <c r="C204" s="2">
        <f>YEAR(Sales_Details2[[#This Row],[Order_Date]])</f>
        <v>2025</v>
      </c>
      <c r="D204" s="2" t="s">
        <v>376</v>
      </c>
      <c r="E204" s="2" t="str">
        <f>VLOOKUP(Sales_Details2[[#This Row],[Customer_ID]],Customer_Details[#All],4,0)</f>
        <v>Mid-Adult</v>
      </c>
      <c r="F204" s="2" t="str">
        <f>VLOOKUP(Sales_Details2[[#This Row],[Customer_ID]],Customer_Details[#All],5,0)</f>
        <v>Male</v>
      </c>
      <c r="G204" s="2" t="str">
        <f>VLOOKUP(Sales_Details2[[#This Row],[Customer_ID]],Customer_Details[#All],9,0)</f>
        <v>Bronze</v>
      </c>
      <c r="H204" s="2" t="s">
        <v>1655</v>
      </c>
      <c r="I204" s="2" t="str">
        <f>VLOOKUP(Sales_Details2[[#This Row],[Product_ID]],Product_details[[#All],[Product_ID]:[Cost]],3,0)</f>
        <v>Electronics</v>
      </c>
      <c r="J204" s="2" t="str">
        <f>VLOOKUP(Sales_Details2[[#This Row],[Product_ID]],Product_details[[#All],[Product_ID]:[Cost]],4,0)</f>
        <v>Computer</v>
      </c>
      <c r="K204" s="2" t="s">
        <v>1740</v>
      </c>
      <c r="L204" s="2" t="str">
        <f>_xlfn.XLOOKUP(Sales_Details2[[#This Row],[Store_ID]],Table2[Store_ID],Table2[Region],"Region not found")</f>
        <v>North</v>
      </c>
      <c r="M204" s="25">
        <v>4</v>
      </c>
      <c r="N204" s="36">
        <v>408.07</v>
      </c>
      <c r="O204" s="29">
        <v>0.28000000000000003</v>
      </c>
      <c r="P204" s="2" t="s">
        <v>1812</v>
      </c>
      <c r="Q204" s="36">
        <v>1175.2416000000001</v>
      </c>
    </row>
    <row r="205" spans="1:17" x14ac:dyDescent="0.3">
      <c r="A205" s="2" t="s">
        <v>2012</v>
      </c>
      <c r="B205" s="14">
        <v>45327</v>
      </c>
      <c r="C205" s="2">
        <f>YEAR(Sales_Details2[[#This Row],[Order_Date]])</f>
        <v>2024</v>
      </c>
      <c r="D205" s="2" t="s">
        <v>1439</v>
      </c>
      <c r="E205" s="2" t="str">
        <f>VLOOKUP(Sales_Details2[[#This Row],[Customer_ID]],Customer_Details[#All],4,0)</f>
        <v>Mid-Adult</v>
      </c>
      <c r="F205" s="2" t="str">
        <f>VLOOKUP(Sales_Details2[[#This Row],[Customer_ID]],Customer_Details[#All],5,0)</f>
        <v>Male</v>
      </c>
      <c r="G205" s="2" t="str">
        <f>VLOOKUP(Sales_Details2[[#This Row],[Customer_ID]],Customer_Details[#All],9,0)</f>
        <v>Silver</v>
      </c>
      <c r="H205" s="2" t="s">
        <v>1599</v>
      </c>
      <c r="I205" s="2" t="str">
        <f>VLOOKUP(Sales_Details2[[#This Row],[Product_ID]],Product_details[[#All],[Product_ID]:[Cost]],3,0)</f>
        <v>Electronics</v>
      </c>
      <c r="J205" s="2" t="str">
        <f>VLOOKUP(Sales_Details2[[#This Row],[Product_ID]],Product_details[[#All],[Product_ID]:[Cost]],4,0)</f>
        <v>Computer</v>
      </c>
      <c r="K205" s="2" t="s">
        <v>1769</v>
      </c>
      <c r="L205" s="2" t="str">
        <f>_xlfn.XLOOKUP(Sales_Details2[[#This Row],[Store_ID]],Table2[Store_ID],Table2[Region],"Region not found")</f>
        <v>South</v>
      </c>
      <c r="M205" s="25">
        <v>2</v>
      </c>
      <c r="N205" s="36">
        <v>597.07000000000005</v>
      </c>
      <c r="O205" s="29">
        <v>0.28000000000000003</v>
      </c>
      <c r="P205" s="2" t="s">
        <v>1809</v>
      </c>
      <c r="Q205" s="36">
        <v>859.7808</v>
      </c>
    </row>
    <row r="206" spans="1:17" x14ac:dyDescent="0.3">
      <c r="A206" s="2" t="s">
        <v>2013</v>
      </c>
      <c r="B206" s="14">
        <v>45465</v>
      </c>
      <c r="C206" s="2">
        <f>YEAR(Sales_Details2[[#This Row],[Order_Date]])</f>
        <v>2024</v>
      </c>
      <c r="D206" s="2" t="s">
        <v>97</v>
      </c>
      <c r="E206" s="2" t="str">
        <f>VLOOKUP(Sales_Details2[[#This Row],[Customer_ID]],Customer_Details[#All],4,0)</f>
        <v>Mid-Adult</v>
      </c>
      <c r="F206" s="2" t="str">
        <f>VLOOKUP(Sales_Details2[[#This Row],[Customer_ID]],Customer_Details[#All],5,0)</f>
        <v>Female</v>
      </c>
      <c r="G206" s="2" t="str">
        <f>VLOOKUP(Sales_Details2[[#This Row],[Customer_ID]],Customer_Details[#All],9,0)</f>
        <v>Silver</v>
      </c>
      <c r="H206" s="2" t="s">
        <v>1665</v>
      </c>
      <c r="I206" s="2" t="str">
        <f>VLOOKUP(Sales_Details2[[#This Row],[Product_ID]],Product_details[[#All],[Product_ID]:[Cost]],3,0)</f>
        <v>Electronics</v>
      </c>
      <c r="J206" s="2" t="str">
        <f>VLOOKUP(Sales_Details2[[#This Row],[Product_ID]],Product_details[[#All],[Product_ID]:[Cost]],4,0)</f>
        <v>Accessories</v>
      </c>
      <c r="K206" s="2" t="s">
        <v>1769</v>
      </c>
      <c r="L206" s="2" t="str">
        <f>_xlfn.XLOOKUP(Sales_Details2[[#This Row],[Store_ID]],Table2[Store_ID],Table2[Region],"Region not found")</f>
        <v>South</v>
      </c>
      <c r="M206" s="25">
        <v>3</v>
      </c>
      <c r="N206" s="36">
        <v>723.47</v>
      </c>
      <c r="O206" s="29">
        <v>0.12</v>
      </c>
      <c r="P206" s="2" t="s">
        <v>1812</v>
      </c>
      <c r="Q206" s="36">
        <v>1909.9608000000001</v>
      </c>
    </row>
    <row r="207" spans="1:17" x14ac:dyDescent="0.3">
      <c r="A207" s="2" t="s">
        <v>2014</v>
      </c>
      <c r="B207" s="14">
        <v>45883</v>
      </c>
      <c r="C207" s="2">
        <f>YEAR(Sales_Details2[[#This Row],[Order_Date]])</f>
        <v>2025</v>
      </c>
      <c r="D207" s="2" t="s">
        <v>1339</v>
      </c>
      <c r="E207" s="2" t="str">
        <f>VLOOKUP(Sales_Details2[[#This Row],[Customer_ID]],Customer_Details[#All],4,0)</f>
        <v>Mid-Adult</v>
      </c>
      <c r="F207" s="2" t="str">
        <f>VLOOKUP(Sales_Details2[[#This Row],[Customer_ID]],Customer_Details[#All],5,0)</f>
        <v>Female</v>
      </c>
      <c r="G207" s="2" t="str">
        <f>VLOOKUP(Sales_Details2[[#This Row],[Customer_ID]],Customer_Details[#All],9,0)</f>
        <v>Platinum</v>
      </c>
      <c r="H207" s="2" t="s">
        <v>1707</v>
      </c>
      <c r="I207" s="2" t="str">
        <f>VLOOKUP(Sales_Details2[[#This Row],[Product_ID]],Product_details[[#All],[Product_ID]:[Cost]],3,0)</f>
        <v>Sports</v>
      </c>
      <c r="J207" s="2" t="str">
        <f>VLOOKUP(Sales_Details2[[#This Row],[Product_ID]],Product_details[[#All],[Product_ID]:[Cost]],4,0)</f>
        <v>Accessories</v>
      </c>
      <c r="K207" s="2" t="s">
        <v>1756</v>
      </c>
      <c r="L207" s="2" t="str">
        <f>_xlfn.XLOOKUP(Sales_Details2[[#This Row],[Store_ID]],Table2[Store_ID],Table2[Region],"Region not found")</f>
        <v>North</v>
      </c>
      <c r="M207" s="25">
        <v>1</v>
      </c>
      <c r="N207" s="36">
        <v>479.93</v>
      </c>
      <c r="O207" s="29">
        <v>0.22</v>
      </c>
      <c r="P207" s="2" t="s">
        <v>1807</v>
      </c>
      <c r="Q207" s="36">
        <v>374.34539999999998</v>
      </c>
    </row>
    <row r="208" spans="1:17" x14ac:dyDescent="0.3">
      <c r="A208" s="2" t="s">
        <v>2015</v>
      </c>
      <c r="B208" s="14">
        <v>45445</v>
      </c>
      <c r="C208" s="2">
        <f>YEAR(Sales_Details2[[#This Row],[Order_Date]])</f>
        <v>2024</v>
      </c>
      <c r="D208" s="2" t="s">
        <v>773</v>
      </c>
      <c r="E208" s="2" t="str">
        <f>VLOOKUP(Sales_Details2[[#This Row],[Customer_ID]],Customer_Details[#All],4,0)</f>
        <v>Senior</v>
      </c>
      <c r="F208" s="2" t="str">
        <f>VLOOKUP(Sales_Details2[[#This Row],[Customer_ID]],Customer_Details[#All],5,0)</f>
        <v>Female</v>
      </c>
      <c r="G208" s="2" t="str">
        <f>VLOOKUP(Sales_Details2[[#This Row],[Customer_ID]],Customer_Details[#All],9,0)</f>
        <v>Gold</v>
      </c>
      <c r="H208" s="2" t="s">
        <v>1599</v>
      </c>
      <c r="I208" s="2" t="str">
        <f>VLOOKUP(Sales_Details2[[#This Row],[Product_ID]],Product_details[[#All],[Product_ID]:[Cost]],3,0)</f>
        <v>Electronics</v>
      </c>
      <c r="J208" s="2" t="str">
        <f>VLOOKUP(Sales_Details2[[#This Row],[Product_ID]],Product_details[[#All],[Product_ID]:[Cost]],4,0)</f>
        <v>Computer</v>
      </c>
      <c r="K208" s="2" t="s">
        <v>1787</v>
      </c>
      <c r="L208" s="2" t="str">
        <f>_xlfn.XLOOKUP(Sales_Details2[[#This Row],[Store_ID]],Table2[Store_ID],Table2[Region],"Region not found")</f>
        <v>West</v>
      </c>
      <c r="M208" s="25">
        <v>4</v>
      </c>
      <c r="N208" s="36">
        <v>362.81</v>
      </c>
      <c r="O208" s="29">
        <v>0.21</v>
      </c>
      <c r="P208" s="2" t="s">
        <v>1812</v>
      </c>
      <c r="Q208" s="36">
        <v>1146.4795999999999</v>
      </c>
    </row>
    <row r="209" spans="1:17" x14ac:dyDescent="0.3">
      <c r="A209" s="2" t="s">
        <v>2016</v>
      </c>
      <c r="B209" s="14">
        <v>45640</v>
      </c>
      <c r="C209" s="2">
        <f>YEAR(Sales_Details2[[#This Row],[Order_Date]])</f>
        <v>2024</v>
      </c>
      <c r="D209" s="2" t="s">
        <v>604</v>
      </c>
      <c r="E209" s="2" t="str">
        <f>VLOOKUP(Sales_Details2[[#This Row],[Customer_ID]],Customer_Details[#All],4,0)</f>
        <v>Senior</v>
      </c>
      <c r="F209" s="2" t="str">
        <f>VLOOKUP(Sales_Details2[[#This Row],[Customer_ID]],Customer_Details[#All],5,0)</f>
        <v>Female</v>
      </c>
      <c r="G209" s="2" t="str">
        <f>VLOOKUP(Sales_Details2[[#This Row],[Customer_ID]],Customer_Details[#All],9,0)</f>
        <v>Platinum</v>
      </c>
      <c r="H209" s="2" t="s">
        <v>1689</v>
      </c>
      <c r="I209" s="2" t="str">
        <f>VLOOKUP(Sales_Details2[[#This Row],[Product_ID]],Product_details[[#All],[Product_ID]:[Cost]],3,0)</f>
        <v>Home</v>
      </c>
      <c r="J209" s="2" t="str">
        <f>VLOOKUP(Sales_Details2[[#This Row],[Product_ID]],Product_details[[#All],[Product_ID]:[Cost]],4,0)</f>
        <v>Lighting</v>
      </c>
      <c r="K209" s="2" t="s">
        <v>1749</v>
      </c>
      <c r="L209" s="2" t="str">
        <f>_xlfn.XLOOKUP(Sales_Details2[[#This Row],[Store_ID]],Table2[Store_ID],Table2[Region],"Region not found")</f>
        <v>North</v>
      </c>
      <c r="M209" s="25">
        <v>1</v>
      </c>
      <c r="N209" s="36">
        <v>127.11</v>
      </c>
      <c r="O209" s="29">
        <v>0.01</v>
      </c>
      <c r="P209" s="2" t="s">
        <v>1809</v>
      </c>
      <c r="Q209" s="36">
        <v>125.8389</v>
      </c>
    </row>
    <row r="210" spans="1:17" x14ac:dyDescent="0.3">
      <c r="A210" s="2" t="s">
        <v>2017</v>
      </c>
      <c r="B210" s="14">
        <v>45411</v>
      </c>
      <c r="C210" s="2">
        <f>YEAR(Sales_Details2[[#This Row],[Order_Date]])</f>
        <v>2024</v>
      </c>
      <c r="D210" s="2" t="s">
        <v>601</v>
      </c>
      <c r="E210" s="2" t="str">
        <f>VLOOKUP(Sales_Details2[[#This Row],[Customer_ID]],Customer_Details[#All],4,0)</f>
        <v>Mid-Adult</v>
      </c>
      <c r="F210" s="2" t="str">
        <f>VLOOKUP(Sales_Details2[[#This Row],[Customer_ID]],Customer_Details[#All],5,0)</f>
        <v>Female</v>
      </c>
      <c r="G210" s="2" t="str">
        <f>VLOOKUP(Sales_Details2[[#This Row],[Customer_ID]],Customer_Details[#All],9,0)</f>
        <v>Silver</v>
      </c>
      <c r="H210" s="2" t="s">
        <v>1599</v>
      </c>
      <c r="I210" s="2" t="str">
        <f>VLOOKUP(Sales_Details2[[#This Row],[Product_ID]],Product_details[[#All],[Product_ID]:[Cost]],3,0)</f>
        <v>Electronics</v>
      </c>
      <c r="J210" s="2" t="str">
        <f>VLOOKUP(Sales_Details2[[#This Row],[Product_ID]],Product_details[[#All],[Product_ID]:[Cost]],4,0)</f>
        <v>Computer</v>
      </c>
      <c r="K210" s="2" t="s">
        <v>1790</v>
      </c>
      <c r="L210" s="2" t="str">
        <f>_xlfn.XLOOKUP(Sales_Details2[[#This Row],[Store_ID]],Table2[Store_ID],Table2[Region],"Region not found")</f>
        <v>North</v>
      </c>
      <c r="M210" s="25">
        <v>4</v>
      </c>
      <c r="N210" s="36">
        <v>931.26</v>
      </c>
      <c r="O210" s="29">
        <v>0.04</v>
      </c>
      <c r="P210" s="2" t="s">
        <v>1807</v>
      </c>
      <c r="Q210" s="36">
        <v>3576.0383999999999</v>
      </c>
    </row>
    <row r="211" spans="1:17" x14ac:dyDescent="0.3">
      <c r="A211" s="2" t="s">
        <v>2018</v>
      </c>
      <c r="B211" s="14">
        <v>45224</v>
      </c>
      <c r="C211" s="2">
        <f>YEAR(Sales_Details2[[#This Row],[Order_Date]])</f>
        <v>2023</v>
      </c>
      <c r="D211" s="2" t="s">
        <v>1147</v>
      </c>
      <c r="E211" s="2" t="str">
        <f>VLOOKUP(Sales_Details2[[#This Row],[Customer_ID]],Customer_Details[#All],4,0)</f>
        <v>Adult</v>
      </c>
      <c r="F211" s="2" t="str">
        <f>VLOOKUP(Sales_Details2[[#This Row],[Customer_ID]],Customer_Details[#All],5,0)</f>
        <v>Female</v>
      </c>
      <c r="G211" s="2" t="str">
        <f>VLOOKUP(Sales_Details2[[#This Row],[Customer_ID]],Customer_Details[#All],9,0)</f>
        <v>Platinum</v>
      </c>
      <c r="H211" s="2" t="s">
        <v>1665</v>
      </c>
      <c r="I211" s="2" t="str">
        <f>VLOOKUP(Sales_Details2[[#This Row],[Product_ID]],Product_details[[#All],[Product_ID]:[Cost]],3,0)</f>
        <v>Electronics</v>
      </c>
      <c r="J211" s="2" t="str">
        <f>VLOOKUP(Sales_Details2[[#This Row],[Product_ID]],Product_details[[#All],[Product_ID]:[Cost]],4,0)</f>
        <v>Accessories</v>
      </c>
      <c r="K211" s="2" t="s">
        <v>1765</v>
      </c>
      <c r="L211" s="2" t="str">
        <f>_xlfn.XLOOKUP(Sales_Details2[[#This Row],[Store_ID]],Table2[Store_ID],Table2[Region],"Region not found")</f>
        <v>West</v>
      </c>
      <c r="M211" s="25">
        <v>1</v>
      </c>
      <c r="N211" s="36">
        <v>620.80999999999995</v>
      </c>
      <c r="O211" s="29">
        <v>0.04</v>
      </c>
      <c r="P211" s="2" t="s">
        <v>1809</v>
      </c>
      <c r="Q211" s="36">
        <v>595.97759999999994</v>
      </c>
    </row>
    <row r="212" spans="1:17" x14ac:dyDescent="0.3">
      <c r="A212" s="2" t="s">
        <v>2019</v>
      </c>
      <c r="B212" s="14">
        <v>45497</v>
      </c>
      <c r="C212" s="2">
        <f>YEAR(Sales_Details2[[#This Row],[Order_Date]])</f>
        <v>2024</v>
      </c>
      <c r="D212" s="2" t="s">
        <v>333</v>
      </c>
      <c r="E212" s="2" t="str">
        <f>VLOOKUP(Sales_Details2[[#This Row],[Customer_ID]],Customer_Details[#All],4,0)</f>
        <v>Mid-Adult</v>
      </c>
      <c r="F212" s="2" t="str">
        <f>VLOOKUP(Sales_Details2[[#This Row],[Customer_ID]],Customer_Details[#All],5,0)</f>
        <v>Female</v>
      </c>
      <c r="G212" s="2" t="str">
        <f>VLOOKUP(Sales_Details2[[#This Row],[Customer_ID]],Customer_Details[#All],9,0)</f>
        <v>Gold</v>
      </c>
      <c r="H212" s="2" t="s">
        <v>1631</v>
      </c>
      <c r="I212" s="2" t="str">
        <f>VLOOKUP(Sales_Details2[[#This Row],[Product_ID]],Product_details[[#All],[Product_ID]:[Cost]],3,0)</f>
        <v>Sports</v>
      </c>
      <c r="J212" s="2" t="str">
        <f>VLOOKUP(Sales_Details2[[#This Row],[Product_ID]],Product_details[[#All],[Product_ID]:[Cost]],4,0)</f>
        <v>Fitness</v>
      </c>
      <c r="K212" s="2" t="s">
        <v>1744</v>
      </c>
      <c r="L212" s="2" t="str">
        <f>_xlfn.XLOOKUP(Sales_Details2[[#This Row],[Store_ID]],Table2[Store_ID],Table2[Region],"Region not found")</f>
        <v>South</v>
      </c>
      <c r="M212" s="25">
        <v>1</v>
      </c>
      <c r="N212" s="36">
        <v>823.26</v>
      </c>
      <c r="O212" s="29">
        <v>0.27</v>
      </c>
      <c r="P212" s="2" t="s">
        <v>1812</v>
      </c>
      <c r="Q212" s="36">
        <v>600.97979999999995</v>
      </c>
    </row>
    <row r="213" spans="1:17" x14ac:dyDescent="0.3">
      <c r="A213" s="2" t="s">
        <v>2020</v>
      </c>
      <c r="B213" s="14">
        <v>45807</v>
      </c>
      <c r="C213" s="2">
        <f>YEAR(Sales_Details2[[#This Row],[Order_Date]])</f>
        <v>2025</v>
      </c>
      <c r="D213" s="2" t="s">
        <v>59</v>
      </c>
      <c r="E213" s="2" t="str">
        <f>VLOOKUP(Sales_Details2[[#This Row],[Customer_ID]],Customer_Details[#All],4,0)</f>
        <v>Senior</v>
      </c>
      <c r="F213" s="2" t="str">
        <f>VLOOKUP(Sales_Details2[[#This Row],[Customer_ID]],Customer_Details[#All],5,0)</f>
        <v>Female</v>
      </c>
      <c r="G213" s="2" t="str">
        <f>VLOOKUP(Sales_Details2[[#This Row],[Customer_ID]],Customer_Details[#All],9,0)</f>
        <v>Platinum</v>
      </c>
      <c r="H213" s="2" t="s">
        <v>1585</v>
      </c>
      <c r="I213" s="2" t="str">
        <f>VLOOKUP(Sales_Details2[[#This Row],[Product_ID]],Product_details[[#All],[Product_ID]:[Cost]],3,0)</f>
        <v>Home</v>
      </c>
      <c r="J213" s="2" t="str">
        <f>VLOOKUP(Sales_Details2[[#This Row],[Product_ID]],Product_details[[#All],[Product_ID]:[Cost]],4,0)</f>
        <v>Decor</v>
      </c>
      <c r="K213" s="2" t="s">
        <v>1765</v>
      </c>
      <c r="L213" s="2" t="str">
        <f>_xlfn.XLOOKUP(Sales_Details2[[#This Row],[Store_ID]],Table2[Store_ID],Table2[Region],"Region not found")</f>
        <v>West</v>
      </c>
      <c r="M213" s="25">
        <v>3</v>
      </c>
      <c r="N213" s="36">
        <v>681.01</v>
      </c>
      <c r="O213" s="29">
        <v>0.27</v>
      </c>
      <c r="P213" s="2" t="s">
        <v>1812</v>
      </c>
      <c r="Q213" s="36">
        <v>1491.4119000000001</v>
      </c>
    </row>
    <row r="214" spans="1:17" x14ac:dyDescent="0.3">
      <c r="A214" s="2" t="s">
        <v>2021</v>
      </c>
      <c r="B214" s="14">
        <v>45942</v>
      </c>
      <c r="C214" s="2">
        <f>YEAR(Sales_Details2[[#This Row],[Order_Date]])</f>
        <v>2025</v>
      </c>
      <c r="D214" s="2" t="s">
        <v>1352</v>
      </c>
      <c r="E214" s="2" t="str">
        <f>VLOOKUP(Sales_Details2[[#This Row],[Customer_ID]],Customer_Details[#All],4,0)</f>
        <v>Mid-Adult</v>
      </c>
      <c r="F214" s="2" t="str">
        <f>VLOOKUP(Sales_Details2[[#This Row],[Customer_ID]],Customer_Details[#All],5,0)</f>
        <v>Female</v>
      </c>
      <c r="G214" s="2" t="str">
        <f>VLOOKUP(Sales_Details2[[#This Row],[Customer_ID]],Customer_Details[#All],9,0)</f>
        <v>Bronze</v>
      </c>
      <c r="H214" s="2" t="s">
        <v>1643</v>
      </c>
      <c r="I214" s="2" t="str">
        <f>VLOOKUP(Sales_Details2[[#This Row],[Product_ID]],Product_details[[#All],[Product_ID]:[Cost]],3,0)</f>
        <v>Home</v>
      </c>
      <c r="J214" s="2" t="str">
        <f>VLOOKUP(Sales_Details2[[#This Row],[Product_ID]],Product_details[[#All],[Product_ID]:[Cost]],4,0)</f>
        <v>Decor</v>
      </c>
      <c r="K214" s="2" t="s">
        <v>1796</v>
      </c>
      <c r="L214" s="2" t="str">
        <f>_xlfn.XLOOKUP(Sales_Details2[[#This Row],[Store_ID]],Table2[Store_ID],Table2[Region],"Region not found")</f>
        <v>East</v>
      </c>
      <c r="M214" s="25">
        <v>4</v>
      </c>
      <c r="N214" s="36">
        <v>119.83</v>
      </c>
      <c r="O214" s="29">
        <v>0.13</v>
      </c>
      <c r="P214" s="2" t="s">
        <v>1807</v>
      </c>
      <c r="Q214" s="36">
        <v>417.00839999999999</v>
      </c>
    </row>
    <row r="215" spans="1:17" x14ac:dyDescent="0.3">
      <c r="A215" s="2" t="s">
        <v>2022</v>
      </c>
      <c r="B215" s="14">
        <v>45314</v>
      </c>
      <c r="C215" s="2">
        <f>YEAR(Sales_Details2[[#This Row],[Order_Date]])</f>
        <v>2024</v>
      </c>
      <c r="D215" s="2" t="s">
        <v>959</v>
      </c>
      <c r="E215" s="2" t="str">
        <f>VLOOKUP(Sales_Details2[[#This Row],[Customer_ID]],Customer_Details[#All],4,0)</f>
        <v>Senior</v>
      </c>
      <c r="F215" s="2" t="str">
        <f>VLOOKUP(Sales_Details2[[#This Row],[Customer_ID]],Customer_Details[#All],5,0)</f>
        <v>Female</v>
      </c>
      <c r="G215" s="2" t="str">
        <f>VLOOKUP(Sales_Details2[[#This Row],[Customer_ID]],Customer_Details[#All],9,0)</f>
        <v>Bronze</v>
      </c>
      <c r="H215" s="2" t="s">
        <v>1687</v>
      </c>
      <c r="I215" s="2" t="str">
        <f>VLOOKUP(Sales_Details2[[#This Row],[Product_ID]],Product_details[[#All],[Product_ID]:[Cost]],3,0)</f>
        <v>Home</v>
      </c>
      <c r="J215" s="2" t="str">
        <f>VLOOKUP(Sales_Details2[[#This Row],[Product_ID]],Product_details[[#All],[Product_ID]:[Cost]],4,0)</f>
        <v>Decor</v>
      </c>
      <c r="K215" s="2" t="s">
        <v>1744</v>
      </c>
      <c r="L215" s="2" t="str">
        <f>_xlfn.XLOOKUP(Sales_Details2[[#This Row],[Store_ID]],Table2[Store_ID],Table2[Region],"Region not found")</f>
        <v>South</v>
      </c>
      <c r="M215" s="25">
        <v>1</v>
      </c>
      <c r="N215" s="36">
        <v>575.66</v>
      </c>
      <c r="O215" s="29">
        <v>0.03</v>
      </c>
      <c r="P215" s="2" t="s">
        <v>1809</v>
      </c>
      <c r="Q215" s="36">
        <v>558.39019999999994</v>
      </c>
    </row>
    <row r="216" spans="1:17" x14ac:dyDescent="0.3">
      <c r="A216" s="2" t="s">
        <v>2023</v>
      </c>
      <c r="B216" s="14">
        <v>45943</v>
      </c>
      <c r="C216" s="2">
        <f>YEAR(Sales_Details2[[#This Row],[Order_Date]])</f>
        <v>2025</v>
      </c>
      <c r="D216" s="2" t="s">
        <v>645</v>
      </c>
      <c r="E216" s="2" t="str">
        <f>VLOOKUP(Sales_Details2[[#This Row],[Customer_ID]],Customer_Details[#All],4,0)</f>
        <v>Mid-Adult</v>
      </c>
      <c r="F216" s="2" t="str">
        <f>VLOOKUP(Sales_Details2[[#This Row],[Customer_ID]],Customer_Details[#All],5,0)</f>
        <v>Male</v>
      </c>
      <c r="G216" s="2" t="str">
        <f>VLOOKUP(Sales_Details2[[#This Row],[Customer_ID]],Customer_Details[#All],9,0)</f>
        <v>Bronze</v>
      </c>
      <c r="H216" s="2" t="s">
        <v>1627</v>
      </c>
      <c r="I216" s="2" t="str">
        <f>VLOOKUP(Sales_Details2[[#This Row],[Product_ID]],Product_details[[#All],[Product_ID]:[Cost]],3,0)</f>
        <v>Electronics</v>
      </c>
      <c r="J216" s="2" t="str">
        <f>VLOOKUP(Sales_Details2[[#This Row],[Product_ID]],Product_details[[#All],[Product_ID]:[Cost]],4,0)</f>
        <v>Accessories</v>
      </c>
      <c r="K216" s="2" t="s">
        <v>1787</v>
      </c>
      <c r="L216" s="2" t="str">
        <f>_xlfn.XLOOKUP(Sales_Details2[[#This Row],[Store_ID]],Table2[Store_ID],Table2[Region],"Region not found")</f>
        <v>West</v>
      </c>
      <c r="M216" s="25">
        <v>1</v>
      </c>
      <c r="N216" s="36">
        <v>775.84</v>
      </c>
      <c r="O216" s="29">
        <v>0.26</v>
      </c>
      <c r="P216" s="2" t="s">
        <v>1807</v>
      </c>
      <c r="Q216" s="36">
        <v>574.12160000000006</v>
      </c>
    </row>
    <row r="217" spans="1:17" x14ac:dyDescent="0.3">
      <c r="A217" s="2" t="s">
        <v>2024</v>
      </c>
      <c r="B217" s="14">
        <v>45356</v>
      </c>
      <c r="C217" s="2">
        <f>YEAR(Sales_Details2[[#This Row],[Order_Date]])</f>
        <v>2024</v>
      </c>
      <c r="D217" s="2" t="s">
        <v>1355</v>
      </c>
      <c r="E217" s="2" t="str">
        <f>VLOOKUP(Sales_Details2[[#This Row],[Customer_ID]],Customer_Details[#All],4,0)</f>
        <v>Senior</v>
      </c>
      <c r="F217" s="2" t="str">
        <f>VLOOKUP(Sales_Details2[[#This Row],[Customer_ID]],Customer_Details[#All],5,0)</f>
        <v>Male</v>
      </c>
      <c r="G217" s="2" t="str">
        <f>VLOOKUP(Sales_Details2[[#This Row],[Customer_ID]],Customer_Details[#All],9,0)</f>
        <v>Silver</v>
      </c>
      <c r="H217" s="2" t="s">
        <v>1559</v>
      </c>
      <c r="I217" s="2" t="str">
        <f>VLOOKUP(Sales_Details2[[#This Row],[Product_ID]],Product_details[[#All],[Product_ID]:[Cost]],3,0)</f>
        <v>Home</v>
      </c>
      <c r="J217" s="2" t="str">
        <f>VLOOKUP(Sales_Details2[[#This Row],[Product_ID]],Product_details[[#All],[Product_ID]:[Cost]],4,0)</f>
        <v>Decor</v>
      </c>
      <c r="K217" s="2" t="s">
        <v>1769</v>
      </c>
      <c r="L217" s="2" t="str">
        <f>_xlfn.XLOOKUP(Sales_Details2[[#This Row],[Store_ID]],Table2[Store_ID],Table2[Region],"Region not found")</f>
        <v>South</v>
      </c>
      <c r="M217" s="25">
        <v>3</v>
      </c>
      <c r="N217" s="36">
        <v>318.43</v>
      </c>
      <c r="O217" s="29">
        <v>0.05</v>
      </c>
      <c r="P217" s="2" t="s">
        <v>1807</v>
      </c>
      <c r="Q217" s="36">
        <v>907.52549999999997</v>
      </c>
    </row>
    <row r="218" spans="1:17" x14ac:dyDescent="0.3">
      <c r="A218" s="2" t="s">
        <v>2025</v>
      </c>
      <c r="B218" s="14">
        <v>45854</v>
      </c>
      <c r="C218" s="2">
        <f>YEAR(Sales_Details2[[#This Row],[Order_Date]])</f>
        <v>2025</v>
      </c>
      <c r="D218" s="2" t="s">
        <v>509</v>
      </c>
      <c r="E218" s="2" t="str">
        <f>VLOOKUP(Sales_Details2[[#This Row],[Customer_ID]],Customer_Details[#All],4,0)</f>
        <v>Mid-Adult</v>
      </c>
      <c r="F218" s="2" t="str">
        <f>VLOOKUP(Sales_Details2[[#This Row],[Customer_ID]],Customer_Details[#All],5,0)</f>
        <v>Male</v>
      </c>
      <c r="G218" s="2" t="str">
        <f>VLOOKUP(Sales_Details2[[#This Row],[Customer_ID]],Customer_Details[#All],9,0)</f>
        <v>Bronze</v>
      </c>
      <c r="H218" s="2" t="s">
        <v>1675</v>
      </c>
      <c r="I218" s="2" t="str">
        <f>VLOOKUP(Sales_Details2[[#This Row],[Product_ID]],Product_details[[#All],[Product_ID]:[Cost]],3,0)</f>
        <v>Sports</v>
      </c>
      <c r="J218" s="2" t="str">
        <f>VLOOKUP(Sales_Details2[[#This Row],[Product_ID]],Product_details[[#All],[Product_ID]:[Cost]],4,0)</f>
        <v>Fitness</v>
      </c>
      <c r="K218" s="2" t="s">
        <v>1765</v>
      </c>
      <c r="L218" s="2" t="str">
        <f>_xlfn.XLOOKUP(Sales_Details2[[#This Row],[Store_ID]],Table2[Store_ID],Table2[Region],"Region not found")</f>
        <v>West</v>
      </c>
      <c r="M218" s="25">
        <v>3</v>
      </c>
      <c r="N218" s="36">
        <v>141.6</v>
      </c>
      <c r="O218" s="29">
        <v>0.08</v>
      </c>
      <c r="P218" s="2" t="s">
        <v>1812</v>
      </c>
      <c r="Q218" s="36">
        <v>390.81599999999997</v>
      </c>
    </row>
    <row r="219" spans="1:17" x14ac:dyDescent="0.3">
      <c r="A219" s="2" t="s">
        <v>2026</v>
      </c>
      <c r="B219" s="14">
        <v>45219</v>
      </c>
      <c r="C219" s="2">
        <f>YEAR(Sales_Details2[[#This Row],[Order_Date]])</f>
        <v>2023</v>
      </c>
      <c r="D219" s="2" t="s">
        <v>842</v>
      </c>
      <c r="E219" s="2" t="str">
        <f>VLOOKUP(Sales_Details2[[#This Row],[Customer_ID]],Customer_Details[#All],4,0)</f>
        <v>Mid-Adult</v>
      </c>
      <c r="F219" s="2" t="str">
        <f>VLOOKUP(Sales_Details2[[#This Row],[Customer_ID]],Customer_Details[#All],5,0)</f>
        <v>Female</v>
      </c>
      <c r="G219" s="2" t="str">
        <f>VLOOKUP(Sales_Details2[[#This Row],[Customer_ID]],Customer_Details[#All],9,0)</f>
        <v>Bronze</v>
      </c>
      <c r="H219" s="2" t="s">
        <v>1561</v>
      </c>
      <c r="I219" s="2" t="str">
        <f>VLOOKUP(Sales_Details2[[#This Row],[Product_ID]],Product_details[[#All],[Product_ID]:[Cost]],3,0)</f>
        <v>Electronics</v>
      </c>
      <c r="J219" s="2" t="str">
        <f>VLOOKUP(Sales_Details2[[#This Row],[Product_ID]],Product_details[[#All],[Product_ID]:[Cost]],4,0)</f>
        <v>Appliances</v>
      </c>
      <c r="K219" s="2" t="s">
        <v>1796</v>
      </c>
      <c r="L219" s="2" t="str">
        <f>_xlfn.XLOOKUP(Sales_Details2[[#This Row],[Store_ID]],Table2[Store_ID],Table2[Region],"Region not found")</f>
        <v>East</v>
      </c>
      <c r="M219" s="25">
        <v>1</v>
      </c>
      <c r="N219" s="36">
        <v>332.82</v>
      </c>
      <c r="O219" s="29">
        <v>0.14000000000000001</v>
      </c>
      <c r="P219" s="2" t="s">
        <v>1809</v>
      </c>
      <c r="Q219" s="36">
        <v>286.22519999999997</v>
      </c>
    </row>
    <row r="220" spans="1:17" x14ac:dyDescent="0.3">
      <c r="A220" s="2" t="s">
        <v>2027</v>
      </c>
      <c r="B220" s="14">
        <v>45447</v>
      </c>
      <c r="C220" s="2">
        <f>YEAR(Sales_Details2[[#This Row],[Order_Date]])</f>
        <v>2024</v>
      </c>
      <c r="D220" s="2" t="s">
        <v>782</v>
      </c>
      <c r="E220" s="2" t="str">
        <f>VLOOKUP(Sales_Details2[[#This Row],[Customer_ID]],Customer_Details[#All],4,0)</f>
        <v>Senior</v>
      </c>
      <c r="F220" s="2" t="str">
        <f>VLOOKUP(Sales_Details2[[#This Row],[Customer_ID]],Customer_Details[#All],5,0)</f>
        <v>Male</v>
      </c>
      <c r="G220" s="2" t="str">
        <f>VLOOKUP(Sales_Details2[[#This Row],[Customer_ID]],Customer_Details[#All],9,0)</f>
        <v>Bronze</v>
      </c>
      <c r="H220" s="2" t="s">
        <v>1675</v>
      </c>
      <c r="I220" s="2" t="str">
        <f>VLOOKUP(Sales_Details2[[#This Row],[Product_ID]],Product_details[[#All],[Product_ID]:[Cost]],3,0)</f>
        <v>Sports</v>
      </c>
      <c r="J220" s="2" t="str">
        <f>VLOOKUP(Sales_Details2[[#This Row],[Product_ID]],Product_details[[#All],[Product_ID]:[Cost]],4,0)</f>
        <v>Fitness</v>
      </c>
      <c r="K220" s="2" t="s">
        <v>1740</v>
      </c>
      <c r="L220" s="2" t="str">
        <f>_xlfn.XLOOKUP(Sales_Details2[[#This Row],[Store_ID]],Table2[Store_ID],Table2[Region],"Region not found")</f>
        <v>North</v>
      </c>
      <c r="M220" s="25">
        <v>4</v>
      </c>
      <c r="N220" s="36">
        <v>640.97</v>
      </c>
      <c r="O220" s="29">
        <v>0.11</v>
      </c>
      <c r="P220" s="2" t="s">
        <v>1812</v>
      </c>
      <c r="Q220" s="36">
        <v>2281.8532</v>
      </c>
    </row>
    <row r="221" spans="1:17" x14ac:dyDescent="0.3">
      <c r="A221" s="2" t="s">
        <v>2028</v>
      </c>
      <c r="B221" s="14">
        <v>45225</v>
      </c>
      <c r="C221" s="2">
        <f>YEAR(Sales_Details2[[#This Row],[Order_Date]])</f>
        <v>2023</v>
      </c>
      <c r="D221" s="2" t="s">
        <v>657</v>
      </c>
      <c r="E221" s="2" t="str">
        <f>VLOOKUP(Sales_Details2[[#This Row],[Customer_ID]],Customer_Details[#All],4,0)</f>
        <v>Mid-Adult</v>
      </c>
      <c r="F221" s="2" t="str">
        <f>VLOOKUP(Sales_Details2[[#This Row],[Customer_ID]],Customer_Details[#All],5,0)</f>
        <v>Male</v>
      </c>
      <c r="G221" s="2" t="str">
        <f>VLOOKUP(Sales_Details2[[#This Row],[Customer_ID]],Customer_Details[#All],9,0)</f>
        <v>Platinum</v>
      </c>
      <c r="H221" s="2" t="s">
        <v>1711</v>
      </c>
      <c r="I221" s="2" t="str">
        <f>VLOOKUP(Sales_Details2[[#This Row],[Product_ID]],Product_details[[#All],[Product_ID]:[Cost]],3,0)</f>
        <v>Electronics</v>
      </c>
      <c r="J221" s="2" t="str">
        <f>VLOOKUP(Sales_Details2[[#This Row],[Product_ID]],Product_details[[#All],[Product_ID]:[Cost]],4,0)</f>
        <v>Accessories</v>
      </c>
      <c r="K221" s="2" t="s">
        <v>1784</v>
      </c>
      <c r="L221" s="2" t="str">
        <f>_xlfn.XLOOKUP(Sales_Details2[[#This Row],[Store_ID]],Table2[Store_ID],Table2[Region],"Region not found")</f>
        <v>North</v>
      </c>
      <c r="M221" s="25">
        <v>4</v>
      </c>
      <c r="N221" s="36">
        <v>75.37</v>
      </c>
      <c r="O221" s="29">
        <v>0.02</v>
      </c>
      <c r="P221" s="2" t="s">
        <v>1812</v>
      </c>
      <c r="Q221" s="36">
        <v>295.4504</v>
      </c>
    </row>
    <row r="222" spans="1:17" x14ac:dyDescent="0.3">
      <c r="A222" s="2" t="s">
        <v>2029</v>
      </c>
      <c r="B222" s="14">
        <v>45754</v>
      </c>
      <c r="C222" s="2">
        <f>YEAR(Sales_Details2[[#This Row],[Order_Date]])</f>
        <v>2025</v>
      </c>
      <c r="D222" s="2" t="s">
        <v>272</v>
      </c>
      <c r="E222" s="2" t="str">
        <f>VLOOKUP(Sales_Details2[[#This Row],[Customer_ID]],Customer_Details[#All],4,0)</f>
        <v>Senior</v>
      </c>
      <c r="F222" s="2" t="str">
        <f>VLOOKUP(Sales_Details2[[#This Row],[Customer_ID]],Customer_Details[#All],5,0)</f>
        <v>Female</v>
      </c>
      <c r="G222" s="2" t="str">
        <f>VLOOKUP(Sales_Details2[[#This Row],[Customer_ID]],Customer_Details[#All],9,0)</f>
        <v>Gold</v>
      </c>
      <c r="H222" s="2" t="s">
        <v>1563</v>
      </c>
      <c r="I222" s="2" t="str">
        <f>VLOOKUP(Sales_Details2[[#This Row],[Product_ID]],Product_details[[#All],[Product_ID]:[Cost]],3,0)</f>
        <v>Beauty</v>
      </c>
      <c r="J222" s="2" t="str">
        <f>VLOOKUP(Sales_Details2[[#This Row],[Product_ID]],Product_details[[#All],[Product_ID]:[Cost]],4,0)</f>
        <v>Grooming</v>
      </c>
      <c r="K222" s="2" t="s">
        <v>1793</v>
      </c>
      <c r="L222" s="2" t="str">
        <f>_xlfn.XLOOKUP(Sales_Details2[[#This Row],[Store_ID]],Table2[Store_ID],Table2[Region],"Region not found")</f>
        <v>East</v>
      </c>
      <c r="M222" s="25">
        <v>3</v>
      </c>
      <c r="N222" s="36">
        <v>434.55</v>
      </c>
      <c r="O222" s="29">
        <v>0.08</v>
      </c>
      <c r="P222" s="2" t="s">
        <v>1812</v>
      </c>
      <c r="Q222" s="36">
        <v>1199.3579999999999</v>
      </c>
    </row>
    <row r="223" spans="1:17" x14ac:dyDescent="0.3">
      <c r="A223" s="2" t="s">
        <v>2030</v>
      </c>
      <c r="B223" s="14">
        <v>45729</v>
      </c>
      <c r="C223" s="2">
        <f>YEAR(Sales_Details2[[#This Row],[Order_Date]])</f>
        <v>2025</v>
      </c>
      <c r="D223" s="2" t="s">
        <v>348</v>
      </c>
      <c r="E223" s="2" t="str">
        <f>VLOOKUP(Sales_Details2[[#This Row],[Customer_ID]],Customer_Details[#All],4,0)</f>
        <v>Mid-Adult</v>
      </c>
      <c r="F223" s="2" t="str">
        <f>VLOOKUP(Sales_Details2[[#This Row],[Customer_ID]],Customer_Details[#All],5,0)</f>
        <v>Male</v>
      </c>
      <c r="G223" s="2" t="str">
        <f>VLOOKUP(Sales_Details2[[#This Row],[Customer_ID]],Customer_Details[#All],9,0)</f>
        <v>Silver</v>
      </c>
      <c r="H223" s="2" t="s">
        <v>1583</v>
      </c>
      <c r="I223" s="2" t="str">
        <f>VLOOKUP(Sales_Details2[[#This Row],[Product_ID]],Product_details[[#All],[Product_ID]:[Cost]],3,0)</f>
        <v>Electronics</v>
      </c>
      <c r="J223" s="2" t="str">
        <f>VLOOKUP(Sales_Details2[[#This Row],[Product_ID]],Product_details[[#All],[Product_ID]:[Cost]],4,0)</f>
        <v>Audio</v>
      </c>
      <c r="K223" s="2" t="s">
        <v>1782</v>
      </c>
      <c r="L223" s="2" t="str">
        <f>_xlfn.XLOOKUP(Sales_Details2[[#This Row],[Store_ID]],Table2[Store_ID],Table2[Region],"Region not found")</f>
        <v>South</v>
      </c>
      <c r="M223" s="25">
        <v>4</v>
      </c>
      <c r="N223" s="36">
        <v>652.28</v>
      </c>
      <c r="O223" s="29">
        <v>0.15</v>
      </c>
      <c r="P223" s="2" t="s">
        <v>1807</v>
      </c>
      <c r="Q223" s="36">
        <v>2217.752</v>
      </c>
    </row>
    <row r="224" spans="1:17" x14ac:dyDescent="0.3">
      <c r="A224" s="2" t="s">
        <v>2031</v>
      </c>
      <c r="B224" s="14">
        <v>45480</v>
      </c>
      <c r="C224" s="2">
        <f>YEAR(Sales_Details2[[#This Row],[Order_Date]])</f>
        <v>2024</v>
      </c>
      <c r="D224" s="2" t="s">
        <v>850</v>
      </c>
      <c r="E224" s="2" t="str">
        <f>VLOOKUP(Sales_Details2[[#This Row],[Customer_ID]],Customer_Details[#All],4,0)</f>
        <v>Mid-Adult</v>
      </c>
      <c r="F224" s="2" t="str">
        <f>VLOOKUP(Sales_Details2[[#This Row],[Customer_ID]],Customer_Details[#All],5,0)</f>
        <v>Female</v>
      </c>
      <c r="G224" s="2" t="str">
        <f>VLOOKUP(Sales_Details2[[#This Row],[Customer_ID]],Customer_Details[#All],9,0)</f>
        <v>Silver</v>
      </c>
      <c r="H224" s="2" t="s">
        <v>1683</v>
      </c>
      <c r="I224" s="2" t="str">
        <f>VLOOKUP(Sales_Details2[[#This Row],[Product_ID]],Product_details[[#All],[Product_ID]:[Cost]],3,0)</f>
        <v>Electronics</v>
      </c>
      <c r="J224" s="2" t="str">
        <f>VLOOKUP(Sales_Details2[[#This Row],[Product_ID]],Product_details[[#All],[Product_ID]:[Cost]],4,0)</f>
        <v>Computer</v>
      </c>
      <c r="K224" s="2" t="s">
        <v>1790</v>
      </c>
      <c r="L224" s="2" t="str">
        <f>_xlfn.XLOOKUP(Sales_Details2[[#This Row],[Store_ID]],Table2[Store_ID],Table2[Region],"Region not found")</f>
        <v>North</v>
      </c>
      <c r="M224" s="25">
        <v>3</v>
      </c>
      <c r="N224" s="36">
        <v>207.8</v>
      </c>
      <c r="O224" s="29">
        <v>0.15</v>
      </c>
      <c r="P224" s="2" t="s">
        <v>1807</v>
      </c>
      <c r="Q224" s="36">
        <v>529.8900000000001</v>
      </c>
    </row>
    <row r="225" spans="1:17" x14ac:dyDescent="0.3">
      <c r="A225" s="2" t="s">
        <v>2032</v>
      </c>
      <c r="B225" s="14">
        <v>45361</v>
      </c>
      <c r="C225" s="2">
        <f>YEAR(Sales_Details2[[#This Row],[Order_Date]])</f>
        <v>2024</v>
      </c>
      <c r="D225" s="2" t="s">
        <v>1504</v>
      </c>
      <c r="E225" s="2" t="str">
        <f>VLOOKUP(Sales_Details2[[#This Row],[Customer_ID]],Customer_Details[#All],4,0)</f>
        <v>Adult</v>
      </c>
      <c r="F225" s="2" t="str">
        <f>VLOOKUP(Sales_Details2[[#This Row],[Customer_ID]],Customer_Details[#All],5,0)</f>
        <v>Female</v>
      </c>
      <c r="G225" s="2" t="str">
        <f>VLOOKUP(Sales_Details2[[#This Row],[Customer_ID]],Customer_Details[#All],9,0)</f>
        <v>Bronze</v>
      </c>
      <c r="H225" s="2" t="s">
        <v>1653</v>
      </c>
      <c r="I225" s="2" t="str">
        <f>VLOOKUP(Sales_Details2[[#This Row],[Product_ID]],Product_details[[#All],[Product_ID]:[Cost]],3,0)</f>
        <v>Sports</v>
      </c>
      <c r="J225" s="2" t="str">
        <f>VLOOKUP(Sales_Details2[[#This Row],[Product_ID]],Product_details[[#All],[Product_ID]:[Cost]],4,0)</f>
        <v>Equipment</v>
      </c>
      <c r="K225" s="2" t="s">
        <v>1784</v>
      </c>
      <c r="L225" s="2" t="str">
        <f>_xlfn.XLOOKUP(Sales_Details2[[#This Row],[Store_ID]],Table2[Store_ID],Table2[Region],"Region not found")</f>
        <v>North</v>
      </c>
      <c r="M225" s="25">
        <v>4</v>
      </c>
      <c r="N225" s="36">
        <v>385.5</v>
      </c>
      <c r="O225" s="29">
        <v>0.03</v>
      </c>
      <c r="P225" s="2" t="s">
        <v>1809</v>
      </c>
      <c r="Q225" s="36">
        <v>1495.74</v>
      </c>
    </row>
    <row r="226" spans="1:17" x14ac:dyDescent="0.3">
      <c r="A226" s="2" t="s">
        <v>2033</v>
      </c>
      <c r="B226" s="14">
        <v>45915</v>
      </c>
      <c r="C226" s="2">
        <f>YEAR(Sales_Details2[[#This Row],[Order_Date]])</f>
        <v>2025</v>
      </c>
      <c r="D226" s="2" t="s">
        <v>339</v>
      </c>
      <c r="E226" s="2" t="str">
        <f>VLOOKUP(Sales_Details2[[#This Row],[Customer_ID]],Customer_Details[#All],4,0)</f>
        <v>Adult</v>
      </c>
      <c r="F226" s="2" t="str">
        <f>VLOOKUP(Sales_Details2[[#This Row],[Customer_ID]],Customer_Details[#All],5,0)</f>
        <v>Female</v>
      </c>
      <c r="G226" s="2" t="str">
        <f>VLOOKUP(Sales_Details2[[#This Row],[Customer_ID]],Customer_Details[#All],9,0)</f>
        <v>Platinum</v>
      </c>
      <c r="H226" s="2" t="s">
        <v>1661</v>
      </c>
      <c r="I226" s="2" t="str">
        <f>VLOOKUP(Sales_Details2[[#This Row],[Product_ID]],Product_details[[#All],[Product_ID]:[Cost]],3,0)</f>
        <v>Sports</v>
      </c>
      <c r="J226" s="2" t="str">
        <f>VLOOKUP(Sales_Details2[[#This Row],[Product_ID]],Product_details[[#All],[Product_ID]:[Cost]],4,0)</f>
        <v>Fitness</v>
      </c>
      <c r="K226" s="2" t="s">
        <v>1759</v>
      </c>
      <c r="L226" s="2" t="str">
        <f>_xlfn.XLOOKUP(Sales_Details2[[#This Row],[Store_ID]],Table2[Store_ID],Table2[Region],"Region not found")</f>
        <v>East</v>
      </c>
      <c r="M226" s="25">
        <v>3</v>
      </c>
      <c r="N226" s="36">
        <v>548.19000000000005</v>
      </c>
      <c r="O226" s="29">
        <v>0.12</v>
      </c>
      <c r="P226" s="2" t="s">
        <v>1807</v>
      </c>
      <c r="Q226" s="36">
        <v>1447.2216000000001</v>
      </c>
    </row>
    <row r="227" spans="1:17" x14ac:dyDescent="0.3">
      <c r="A227" s="2" t="s">
        <v>2034</v>
      </c>
      <c r="B227" s="14">
        <v>45607</v>
      </c>
      <c r="C227" s="2">
        <f>YEAR(Sales_Details2[[#This Row],[Order_Date]])</f>
        <v>2024</v>
      </c>
      <c r="D227" s="2" t="s">
        <v>252</v>
      </c>
      <c r="E227" s="2" t="str">
        <f>VLOOKUP(Sales_Details2[[#This Row],[Customer_ID]],Customer_Details[#All],4,0)</f>
        <v>Adult</v>
      </c>
      <c r="F227" s="2" t="str">
        <f>VLOOKUP(Sales_Details2[[#This Row],[Customer_ID]],Customer_Details[#All],5,0)</f>
        <v>Female</v>
      </c>
      <c r="G227" s="2" t="str">
        <f>VLOOKUP(Sales_Details2[[#This Row],[Customer_ID]],Customer_Details[#All],9,0)</f>
        <v>Platinum</v>
      </c>
      <c r="H227" s="2" t="s">
        <v>1677</v>
      </c>
      <c r="I227" s="2" t="str">
        <f>VLOOKUP(Sales_Details2[[#This Row],[Product_ID]],Product_details[[#All],[Product_ID]:[Cost]],3,0)</f>
        <v>Sports</v>
      </c>
      <c r="J227" s="2" t="str">
        <f>VLOOKUP(Sales_Details2[[#This Row],[Product_ID]],Product_details[[#All],[Product_ID]:[Cost]],4,0)</f>
        <v>Team Sports</v>
      </c>
      <c r="K227" s="2" t="s">
        <v>1769</v>
      </c>
      <c r="L227" s="2" t="str">
        <f>_xlfn.XLOOKUP(Sales_Details2[[#This Row],[Store_ID]],Table2[Store_ID],Table2[Region],"Region not found")</f>
        <v>South</v>
      </c>
      <c r="M227" s="25">
        <v>3</v>
      </c>
      <c r="N227" s="36">
        <v>927.6</v>
      </c>
      <c r="O227" s="29">
        <v>0.09</v>
      </c>
      <c r="P227" s="2" t="s">
        <v>1807</v>
      </c>
      <c r="Q227" s="36">
        <v>2532.348</v>
      </c>
    </row>
    <row r="228" spans="1:17" x14ac:dyDescent="0.3">
      <c r="A228" s="2" t="s">
        <v>2035</v>
      </c>
      <c r="B228" s="14">
        <v>45666</v>
      </c>
      <c r="C228" s="2">
        <f>YEAR(Sales_Details2[[#This Row],[Order_Date]])</f>
        <v>2025</v>
      </c>
      <c r="D228" s="2" t="s">
        <v>842</v>
      </c>
      <c r="E228" s="2" t="str">
        <f>VLOOKUP(Sales_Details2[[#This Row],[Customer_ID]],Customer_Details[#All],4,0)</f>
        <v>Mid-Adult</v>
      </c>
      <c r="F228" s="2" t="str">
        <f>VLOOKUP(Sales_Details2[[#This Row],[Customer_ID]],Customer_Details[#All],5,0)</f>
        <v>Female</v>
      </c>
      <c r="G228" s="2" t="str">
        <f>VLOOKUP(Sales_Details2[[#This Row],[Customer_ID]],Customer_Details[#All],9,0)</f>
        <v>Bronze</v>
      </c>
      <c r="H228" s="2" t="s">
        <v>1653</v>
      </c>
      <c r="I228" s="2" t="str">
        <f>VLOOKUP(Sales_Details2[[#This Row],[Product_ID]],Product_details[[#All],[Product_ID]:[Cost]],3,0)</f>
        <v>Sports</v>
      </c>
      <c r="J228" s="2" t="str">
        <f>VLOOKUP(Sales_Details2[[#This Row],[Product_ID]],Product_details[[#All],[Product_ID]:[Cost]],4,0)</f>
        <v>Equipment</v>
      </c>
      <c r="K228" s="2" t="s">
        <v>1749</v>
      </c>
      <c r="L228" s="2" t="str">
        <f>_xlfn.XLOOKUP(Sales_Details2[[#This Row],[Store_ID]],Table2[Store_ID],Table2[Region],"Region not found")</f>
        <v>North</v>
      </c>
      <c r="M228" s="25">
        <v>4</v>
      </c>
      <c r="N228" s="36">
        <v>585.04</v>
      </c>
      <c r="O228" s="29">
        <v>0.22</v>
      </c>
      <c r="P228" s="2" t="s">
        <v>1809</v>
      </c>
      <c r="Q228" s="36">
        <v>1825.3248000000001</v>
      </c>
    </row>
    <row r="229" spans="1:17" x14ac:dyDescent="0.3">
      <c r="A229" s="2" t="s">
        <v>2036</v>
      </c>
      <c r="B229" s="14">
        <v>45406</v>
      </c>
      <c r="C229" s="2">
        <f>YEAR(Sales_Details2[[#This Row],[Order_Date]])</f>
        <v>2024</v>
      </c>
      <c r="D229" s="2" t="s">
        <v>1516</v>
      </c>
      <c r="E229" s="2" t="str">
        <f>VLOOKUP(Sales_Details2[[#This Row],[Customer_ID]],Customer_Details[#All],4,0)</f>
        <v>Adult</v>
      </c>
      <c r="F229" s="2" t="str">
        <f>VLOOKUP(Sales_Details2[[#This Row],[Customer_ID]],Customer_Details[#All],5,0)</f>
        <v>Female</v>
      </c>
      <c r="G229" s="2" t="str">
        <f>VLOOKUP(Sales_Details2[[#This Row],[Customer_ID]],Customer_Details[#All],9,0)</f>
        <v>Platinum</v>
      </c>
      <c r="H229" s="2" t="s">
        <v>1609</v>
      </c>
      <c r="I229" s="2" t="str">
        <f>VLOOKUP(Sales_Details2[[#This Row],[Product_ID]],Product_details[[#All],[Product_ID]:[Cost]],3,0)</f>
        <v>Electronics</v>
      </c>
      <c r="J229" s="2" t="str">
        <f>VLOOKUP(Sales_Details2[[#This Row],[Product_ID]],Product_details[[#All],[Product_ID]:[Cost]],4,0)</f>
        <v>Mobile</v>
      </c>
      <c r="K229" s="2" t="s">
        <v>1744</v>
      </c>
      <c r="L229" s="2" t="str">
        <f>_xlfn.XLOOKUP(Sales_Details2[[#This Row],[Store_ID]],Table2[Store_ID],Table2[Region],"Region not found")</f>
        <v>South</v>
      </c>
      <c r="M229" s="25">
        <v>2</v>
      </c>
      <c r="N229" s="36">
        <v>999.89</v>
      </c>
      <c r="O229" s="29">
        <v>0.09</v>
      </c>
      <c r="P229" s="2" t="s">
        <v>1807</v>
      </c>
      <c r="Q229" s="36">
        <v>1819.7998</v>
      </c>
    </row>
    <row r="230" spans="1:17" x14ac:dyDescent="0.3">
      <c r="A230" s="2" t="s">
        <v>2037</v>
      </c>
      <c r="B230" s="14">
        <v>45284</v>
      </c>
      <c r="C230" s="2">
        <f>YEAR(Sales_Details2[[#This Row],[Order_Date]])</f>
        <v>2023</v>
      </c>
      <c r="D230" s="2" t="s">
        <v>373</v>
      </c>
      <c r="E230" s="2" t="str">
        <f>VLOOKUP(Sales_Details2[[#This Row],[Customer_ID]],Customer_Details[#All],4,0)</f>
        <v>Senior</v>
      </c>
      <c r="F230" s="2" t="str">
        <f>VLOOKUP(Sales_Details2[[#This Row],[Customer_ID]],Customer_Details[#All],5,0)</f>
        <v>Female</v>
      </c>
      <c r="G230" s="2" t="str">
        <f>VLOOKUP(Sales_Details2[[#This Row],[Customer_ID]],Customer_Details[#All],9,0)</f>
        <v>Platinum</v>
      </c>
      <c r="H230" s="2" t="s">
        <v>1681</v>
      </c>
      <c r="I230" s="2" t="str">
        <f>VLOOKUP(Sales_Details2[[#This Row],[Product_ID]],Product_details[[#All],[Product_ID]:[Cost]],3,0)</f>
        <v>Clothing</v>
      </c>
      <c r="J230" s="2" t="str">
        <f>VLOOKUP(Sales_Details2[[#This Row],[Product_ID]],Product_details[[#All],[Product_ID]:[Cost]],4,0)</f>
        <v>Footwear</v>
      </c>
      <c r="K230" s="2" t="s">
        <v>1749</v>
      </c>
      <c r="L230" s="2" t="str">
        <f>_xlfn.XLOOKUP(Sales_Details2[[#This Row],[Store_ID]],Table2[Store_ID],Table2[Region],"Region not found")</f>
        <v>North</v>
      </c>
      <c r="M230" s="25">
        <v>2</v>
      </c>
      <c r="N230" s="36">
        <v>848.98</v>
      </c>
      <c r="O230" s="29">
        <v>0.04</v>
      </c>
      <c r="P230" s="2" t="s">
        <v>1809</v>
      </c>
      <c r="Q230" s="36">
        <v>1630.0416</v>
      </c>
    </row>
    <row r="231" spans="1:17" x14ac:dyDescent="0.3">
      <c r="A231" s="2" t="s">
        <v>2038</v>
      </c>
      <c r="B231" s="14">
        <v>45348</v>
      </c>
      <c r="C231" s="2">
        <f>YEAR(Sales_Details2[[#This Row],[Order_Date]])</f>
        <v>2024</v>
      </c>
      <c r="D231" s="2" t="s">
        <v>476</v>
      </c>
      <c r="E231" s="2" t="str">
        <f>VLOOKUP(Sales_Details2[[#This Row],[Customer_ID]],Customer_Details[#All],4,0)</f>
        <v>Mid-Adult</v>
      </c>
      <c r="F231" s="2" t="str">
        <f>VLOOKUP(Sales_Details2[[#This Row],[Customer_ID]],Customer_Details[#All],5,0)</f>
        <v>Male</v>
      </c>
      <c r="G231" s="2" t="str">
        <f>VLOOKUP(Sales_Details2[[#This Row],[Customer_ID]],Customer_Details[#All],9,0)</f>
        <v>Bronze</v>
      </c>
      <c r="H231" s="2" t="s">
        <v>1651</v>
      </c>
      <c r="I231" s="2" t="str">
        <f>VLOOKUP(Sales_Details2[[#This Row],[Product_ID]],Product_details[[#All],[Product_ID]:[Cost]],3,0)</f>
        <v>Beauty</v>
      </c>
      <c r="J231" s="2" t="str">
        <f>VLOOKUP(Sales_Details2[[#This Row],[Product_ID]],Product_details[[#All],[Product_ID]:[Cost]],4,0)</f>
        <v>Fragrance</v>
      </c>
      <c r="K231" s="2" t="s">
        <v>1782</v>
      </c>
      <c r="L231" s="2" t="str">
        <f>_xlfn.XLOOKUP(Sales_Details2[[#This Row],[Store_ID]],Table2[Store_ID],Table2[Region],"Region not found")</f>
        <v>South</v>
      </c>
      <c r="M231" s="25">
        <v>3</v>
      </c>
      <c r="N231" s="36">
        <v>769.56</v>
      </c>
      <c r="O231" s="29">
        <v>0.08</v>
      </c>
      <c r="P231" s="2" t="s">
        <v>1807</v>
      </c>
      <c r="Q231" s="36">
        <v>2123.9856</v>
      </c>
    </row>
    <row r="232" spans="1:17" x14ac:dyDescent="0.3">
      <c r="A232" s="2" t="s">
        <v>2039</v>
      </c>
      <c r="B232" s="14">
        <v>45676</v>
      </c>
      <c r="C232" s="2">
        <f>YEAR(Sales_Details2[[#This Row],[Order_Date]])</f>
        <v>2025</v>
      </c>
      <c r="D232" s="2" t="s">
        <v>185</v>
      </c>
      <c r="E232" s="2" t="str">
        <f>VLOOKUP(Sales_Details2[[#This Row],[Customer_ID]],Customer_Details[#All],4,0)</f>
        <v>Mid-Adult</v>
      </c>
      <c r="F232" s="2" t="str">
        <f>VLOOKUP(Sales_Details2[[#This Row],[Customer_ID]],Customer_Details[#All],5,0)</f>
        <v>Female</v>
      </c>
      <c r="G232" s="2" t="str">
        <f>VLOOKUP(Sales_Details2[[#This Row],[Customer_ID]],Customer_Details[#All],9,0)</f>
        <v>Gold</v>
      </c>
      <c r="H232" s="2" t="s">
        <v>1627</v>
      </c>
      <c r="I232" s="2" t="str">
        <f>VLOOKUP(Sales_Details2[[#This Row],[Product_ID]],Product_details[[#All],[Product_ID]:[Cost]],3,0)</f>
        <v>Electronics</v>
      </c>
      <c r="J232" s="2" t="str">
        <f>VLOOKUP(Sales_Details2[[#This Row],[Product_ID]],Product_details[[#All],[Product_ID]:[Cost]],4,0)</f>
        <v>Accessories</v>
      </c>
      <c r="K232" s="2" t="s">
        <v>1780</v>
      </c>
      <c r="L232" s="2" t="str">
        <f>_xlfn.XLOOKUP(Sales_Details2[[#This Row],[Store_ID]],Table2[Store_ID],Table2[Region],"Region not found")</f>
        <v>East</v>
      </c>
      <c r="M232" s="25">
        <v>3</v>
      </c>
      <c r="N232" s="36">
        <v>449.88</v>
      </c>
      <c r="O232" s="29">
        <v>0.1</v>
      </c>
      <c r="P232" s="2" t="s">
        <v>1809</v>
      </c>
      <c r="Q232" s="36">
        <v>1214.6759999999999</v>
      </c>
    </row>
    <row r="233" spans="1:17" x14ac:dyDescent="0.3">
      <c r="A233" s="2" t="s">
        <v>2040</v>
      </c>
      <c r="B233" s="14">
        <v>45863</v>
      </c>
      <c r="C233" s="2">
        <f>YEAR(Sales_Details2[[#This Row],[Order_Date]])</f>
        <v>2025</v>
      </c>
      <c r="D233" s="2" t="s">
        <v>867</v>
      </c>
      <c r="E233" s="2" t="str">
        <f>VLOOKUP(Sales_Details2[[#This Row],[Customer_ID]],Customer_Details[#All],4,0)</f>
        <v>Adult</v>
      </c>
      <c r="F233" s="2" t="str">
        <f>VLOOKUP(Sales_Details2[[#This Row],[Customer_ID]],Customer_Details[#All],5,0)</f>
        <v>Male</v>
      </c>
      <c r="G233" s="2" t="str">
        <f>VLOOKUP(Sales_Details2[[#This Row],[Customer_ID]],Customer_Details[#All],9,0)</f>
        <v>Gold</v>
      </c>
      <c r="H233" s="2" t="s">
        <v>1669</v>
      </c>
      <c r="I233" s="2" t="str">
        <f>VLOOKUP(Sales_Details2[[#This Row],[Product_ID]],Product_details[[#All],[Product_ID]:[Cost]],3,0)</f>
        <v>Clothing</v>
      </c>
      <c r="J233" s="2" t="str">
        <f>VLOOKUP(Sales_Details2[[#This Row],[Product_ID]],Product_details[[#All],[Product_ID]:[Cost]],4,0)</f>
        <v>Bottoms</v>
      </c>
      <c r="K233" s="2" t="s">
        <v>1777</v>
      </c>
      <c r="L233" s="2" t="str">
        <f>_xlfn.XLOOKUP(Sales_Details2[[#This Row],[Store_ID]],Table2[Store_ID],Table2[Region],"Region not found")</f>
        <v>North</v>
      </c>
      <c r="M233" s="25">
        <v>4</v>
      </c>
      <c r="N233" s="36">
        <v>383.74</v>
      </c>
      <c r="O233" s="29">
        <v>0.01</v>
      </c>
      <c r="P233" s="2" t="s">
        <v>1807</v>
      </c>
      <c r="Q233" s="36">
        <v>1519.6104</v>
      </c>
    </row>
    <row r="234" spans="1:17" x14ac:dyDescent="0.3">
      <c r="A234" s="2" t="s">
        <v>2041</v>
      </c>
      <c r="B234" s="14">
        <v>45409</v>
      </c>
      <c r="C234" s="2">
        <f>YEAR(Sales_Details2[[#This Row],[Order_Date]])</f>
        <v>2024</v>
      </c>
      <c r="D234" s="2" t="s">
        <v>494</v>
      </c>
      <c r="E234" s="2" t="str">
        <f>VLOOKUP(Sales_Details2[[#This Row],[Customer_ID]],Customer_Details[#All],4,0)</f>
        <v>Mid-Adult</v>
      </c>
      <c r="F234" s="2" t="str">
        <f>VLOOKUP(Sales_Details2[[#This Row],[Customer_ID]],Customer_Details[#All],5,0)</f>
        <v>Female</v>
      </c>
      <c r="G234" s="2" t="str">
        <f>VLOOKUP(Sales_Details2[[#This Row],[Customer_ID]],Customer_Details[#All],9,0)</f>
        <v>Bronze</v>
      </c>
      <c r="H234" s="2" t="s">
        <v>1647</v>
      </c>
      <c r="I234" s="2" t="str">
        <f>VLOOKUP(Sales_Details2[[#This Row],[Product_ID]],Product_details[[#All],[Product_ID]:[Cost]],3,0)</f>
        <v>Clothing</v>
      </c>
      <c r="J234" s="2" t="str">
        <f>VLOOKUP(Sales_Details2[[#This Row],[Product_ID]],Product_details[[#All],[Product_ID]:[Cost]],4,0)</f>
        <v>Accessories</v>
      </c>
      <c r="K234" s="2" t="s">
        <v>1772</v>
      </c>
      <c r="L234" s="2" t="str">
        <f>_xlfn.XLOOKUP(Sales_Details2[[#This Row],[Store_ID]],Table2[Store_ID],Table2[Region],"Region not found")</f>
        <v>East</v>
      </c>
      <c r="M234" s="25">
        <v>4</v>
      </c>
      <c r="N234" s="36">
        <v>794.97</v>
      </c>
      <c r="O234" s="29">
        <v>0.24</v>
      </c>
      <c r="P234" s="2" t="s">
        <v>1809</v>
      </c>
      <c r="Q234" s="36">
        <v>2416.7087999999999</v>
      </c>
    </row>
    <row r="235" spans="1:17" x14ac:dyDescent="0.3">
      <c r="A235" s="2" t="s">
        <v>2042</v>
      </c>
      <c r="B235" s="14">
        <v>45880</v>
      </c>
      <c r="C235" s="2">
        <f>YEAR(Sales_Details2[[#This Row],[Order_Date]])</f>
        <v>2025</v>
      </c>
      <c r="D235" s="2" t="s">
        <v>52</v>
      </c>
      <c r="E235" s="2" t="str">
        <f>VLOOKUP(Sales_Details2[[#This Row],[Customer_ID]],Customer_Details[#All],4,0)</f>
        <v>Senior</v>
      </c>
      <c r="F235" s="2" t="str">
        <f>VLOOKUP(Sales_Details2[[#This Row],[Customer_ID]],Customer_Details[#All],5,0)</f>
        <v>Male</v>
      </c>
      <c r="G235" s="2" t="str">
        <f>VLOOKUP(Sales_Details2[[#This Row],[Customer_ID]],Customer_Details[#All],9,0)</f>
        <v>Bronze</v>
      </c>
      <c r="H235" s="2" t="s">
        <v>1689</v>
      </c>
      <c r="I235" s="2" t="str">
        <f>VLOOKUP(Sales_Details2[[#This Row],[Product_ID]],Product_details[[#All],[Product_ID]:[Cost]],3,0)</f>
        <v>Home</v>
      </c>
      <c r="J235" s="2" t="str">
        <f>VLOOKUP(Sales_Details2[[#This Row],[Product_ID]],Product_details[[#All],[Product_ID]:[Cost]],4,0)</f>
        <v>Lighting</v>
      </c>
      <c r="K235" s="2" t="s">
        <v>1756</v>
      </c>
      <c r="L235" s="2" t="str">
        <f>_xlfn.XLOOKUP(Sales_Details2[[#This Row],[Store_ID]],Table2[Store_ID],Table2[Region],"Region not found")</f>
        <v>North</v>
      </c>
      <c r="M235" s="25">
        <v>1</v>
      </c>
      <c r="N235" s="36">
        <v>989.63</v>
      </c>
      <c r="O235" s="29">
        <v>0.05</v>
      </c>
      <c r="P235" s="2" t="s">
        <v>1809</v>
      </c>
      <c r="Q235" s="36">
        <v>940.1484999999999</v>
      </c>
    </row>
    <row r="236" spans="1:17" x14ac:dyDescent="0.3">
      <c r="A236" s="2" t="s">
        <v>2043</v>
      </c>
      <c r="B236" s="14">
        <v>45731</v>
      </c>
      <c r="C236" s="2">
        <f>YEAR(Sales_Details2[[#This Row],[Order_Date]])</f>
        <v>2025</v>
      </c>
      <c r="D236" s="2" t="s">
        <v>1042</v>
      </c>
      <c r="E236" s="2" t="str">
        <f>VLOOKUP(Sales_Details2[[#This Row],[Customer_ID]],Customer_Details[#All],4,0)</f>
        <v>Mid-Adult</v>
      </c>
      <c r="F236" s="2" t="str">
        <f>VLOOKUP(Sales_Details2[[#This Row],[Customer_ID]],Customer_Details[#All],5,0)</f>
        <v>Male</v>
      </c>
      <c r="G236" s="2" t="str">
        <f>VLOOKUP(Sales_Details2[[#This Row],[Customer_ID]],Customer_Details[#All],9,0)</f>
        <v>Platinum</v>
      </c>
      <c r="H236" s="2" t="s">
        <v>1639</v>
      </c>
      <c r="I236" s="2" t="str">
        <f>VLOOKUP(Sales_Details2[[#This Row],[Product_ID]],Product_details[[#All],[Product_ID]:[Cost]],3,0)</f>
        <v>Sports</v>
      </c>
      <c r="J236" s="2" t="str">
        <f>VLOOKUP(Sales_Details2[[#This Row],[Product_ID]],Product_details[[#All],[Product_ID]:[Cost]],4,0)</f>
        <v>Accessories</v>
      </c>
      <c r="K236" s="2" t="s">
        <v>1735</v>
      </c>
      <c r="L236" s="2" t="str">
        <f>_xlfn.XLOOKUP(Sales_Details2[[#This Row],[Store_ID]],Table2[Store_ID],Table2[Region],"Region not found")</f>
        <v>East</v>
      </c>
      <c r="M236" s="25">
        <v>1</v>
      </c>
      <c r="N236" s="36">
        <v>447.16</v>
      </c>
      <c r="O236" s="29">
        <v>0.22</v>
      </c>
      <c r="P236" s="2" t="s">
        <v>1812</v>
      </c>
      <c r="Q236" s="36">
        <v>348.78480000000002</v>
      </c>
    </row>
    <row r="237" spans="1:17" x14ac:dyDescent="0.3">
      <c r="A237" s="2" t="s">
        <v>2044</v>
      </c>
      <c r="B237" s="14">
        <v>45671</v>
      </c>
      <c r="C237" s="2">
        <f>YEAR(Sales_Details2[[#This Row],[Order_Date]])</f>
        <v>2025</v>
      </c>
      <c r="D237" s="2" t="s">
        <v>44</v>
      </c>
      <c r="E237" s="2" t="str">
        <f>VLOOKUP(Sales_Details2[[#This Row],[Customer_ID]],Customer_Details[#All],4,0)</f>
        <v>Senior</v>
      </c>
      <c r="F237" s="2" t="str">
        <f>VLOOKUP(Sales_Details2[[#This Row],[Customer_ID]],Customer_Details[#All],5,0)</f>
        <v>Female</v>
      </c>
      <c r="G237" s="2" t="str">
        <f>VLOOKUP(Sales_Details2[[#This Row],[Customer_ID]],Customer_Details[#All],9,0)</f>
        <v>Gold</v>
      </c>
      <c r="H237" s="2" t="s">
        <v>1719</v>
      </c>
      <c r="I237" s="2" t="str">
        <f>VLOOKUP(Sales_Details2[[#This Row],[Product_ID]],Product_details[[#All],[Product_ID]:[Cost]],3,0)</f>
        <v>Beauty</v>
      </c>
      <c r="J237" s="2" t="str">
        <f>VLOOKUP(Sales_Details2[[#This Row],[Product_ID]],Product_details[[#All],[Product_ID]:[Cost]],4,0)</f>
        <v>Skincare</v>
      </c>
      <c r="K237" s="2" t="s">
        <v>1759</v>
      </c>
      <c r="L237" s="2" t="str">
        <f>_xlfn.XLOOKUP(Sales_Details2[[#This Row],[Store_ID]],Table2[Store_ID],Table2[Region],"Region not found")</f>
        <v>East</v>
      </c>
      <c r="M237" s="25">
        <v>1</v>
      </c>
      <c r="N237" s="36">
        <v>946.9</v>
      </c>
      <c r="O237" s="29">
        <v>0.28999999999999998</v>
      </c>
      <c r="P237" s="2" t="s">
        <v>1812</v>
      </c>
      <c r="Q237" s="36">
        <v>672.29899999999998</v>
      </c>
    </row>
    <row r="238" spans="1:17" x14ac:dyDescent="0.3">
      <c r="A238" s="2" t="s">
        <v>2045</v>
      </c>
      <c r="B238" s="14">
        <v>45809</v>
      </c>
      <c r="C238" s="2">
        <f>YEAR(Sales_Details2[[#This Row],[Order_Date]])</f>
        <v>2025</v>
      </c>
      <c r="D238" s="2" t="s">
        <v>557</v>
      </c>
      <c r="E238" s="2" t="str">
        <f>VLOOKUP(Sales_Details2[[#This Row],[Customer_ID]],Customer_Details[#All],4,0)</f>
        <v>Senior</v>
      </c>
      <c r="F238" s="2" t="str">
        <f>VLOOKUP(Sales_Details2[[#This Row],[Customer_ID]],Customer_Details[#All],5,0)</f>
        <v>Male</v>
      </c>
      <c r="G238" s="2" t="str">
        <f>VLOOKUP(Sales_Details2[[#This Row],[Customer_ID]],Customer_Details[#All],9,0)</f>
        <v>Bronze</v>
      </c>
      <c r="H238" s="2" t="s">
        <v>1565</v>
      </c>
      <c r="I238" s="2" t="str">
        <f>VLOOKUP(Sales_Details2[[#This Row],[Product_ID]],Product_details[[#All],[Product_ID]:[Cost]],3,0)</f>
        <v>Sports</v>
      </c>
      <c r="J238" s="2" t="str">
        <f>VLOOKUP(Sales_Details2[[#This Row],[Product_ID]],Product_details[[#All],[Product_ID]:[Cost]],4,0)</f>
        <v>Accessories</v>
      </c>
      <c r="K238" s="2" t="s">
        <v>1735</v>
      </c>
      <c r="L238" s="2" t="str">
        <f>_xlfn.XLOOKUP(Sales_Details2[[#This Row],[Store_ID]],Table2[Store_ID],Table2[Region],"Region not found")</f>
        <v>East</v>
      </c>
      <c r="M238" s="25">
        <v>4</v>
      </c>
      <c r="N238" s="36">
        <v>469.68</v>
      </c>
      <c r="O238" s="29">
        <v>0.19</v>
      </c>
      <c r="P238" s="2" t="s">
        <v>1807</v>
      </c>
      <c r="Q238" s="36">
        <v>1521.7632000000001</v>
      </c>
    </row>
    <row r="239" spans="1:17" x14ac:dyDescent="0.3">
      <c r="A239" s="2" t="s">
        <v>2046</v>
      </c>
      <c r="B239" s="14">
        <v>45559</v>
      </c>
      <c r="C239" s="2">
        <f>YEAR(Sales_Details2[[#This Row],[Order_Date]])</f>
        <v>2024</v>
      </c>
      <c r="D239" s="2" t="s">
        <v>1501</v>
      </c>
      <c r="E239" s="2" t="str">
        <f>VLOOKUP(Sales_Details2[[#This Row],[Customer_ID]],Customer_Details[#All],4,0)</f>
        <v>Adult</v>
      </c>
      <c r="F239" s="2" t="str">
        <f>VLOOKUP(Sales_Details2[[#This Row],[Customer_ID]],Customer_Details[#All],5,0)</f>
        <v>Male</v>
      </c>
      <c r="G239" s="2" t="str">
        <f>VLOOKUP(Sales_Details2[[#This Row],[Customer_ID]],Customer_Details[#All],9,0)</f>
        <v>Gold</v>
      </c>
      <c r="H239" s="2" t="s">
        <v>1587</v>
      </c>
      <c r="I239" s="2" t="str">
        <f>VLOOKUP(Sales_Details2[[#This Row],[Product_ID]],Product_details[[#All],[Product_ID]:[Cost]],3,0)</f>
        <v>Sports</v>
      </c>
      <c r="J239" s="2" t="str">
        <f>VLOOKUP(Sales_Details2[[#This Row],[Product_ID]],Product_details[[#All],[Product_ID]:[Cost]],4,0)</f>
        <v>Accessories</v>
      </c>
      <c r="K239" s="2" t="s">
        <v>1790</v>
      </c>
      <c r="L239" s="2" t="str">
        <f>_xlfn.XLOOKUP(Sales_Details2[[#This Row],[Store_ID]],Table2[Store_ID],Table2[Region],"Region not found")</f>
        <v>North</v>
      </c>
      <c r="M239" s="25">
        <v>4</v>
      </c>
      <c r="N239" s="36">
        <v>320.64</v>
      </c>
      <c r="O239" s="29">
        <v>0.2</v>
      </c>
      <c r="P239" s="2" t="s">
        <v>1812</v>
      </c>
      <c r="Q239" s="36">
        <v>1026.048</v>
      </c>
    </row>
    <row r="240" spans="1:17" x14ac:dyDescent="0.3">
      <c r="A240" s="2" t="s">
        <v>2047</v>
      </c>
      <c r="B240" s="14">
        <v>45253</v>
      </c>
      <c r="C240" s="2">
        <f>YEAR(Sales_Details2[[#This Row],[Order_Date]])</f>
        <v>2023</v>
      </c>
      <c r="D240" s="2" t="s">
        <v>456</v>
      </c>
      <c r="E240" s="2" t="str">
        <f>VLOOKUP(Sales_Details2[[#This Row],[Customer_ID]],Customer_Details[#All],4,0)</f>
        <v>Mid-Adult</v>
      </c>
      <c r="F240" s="2" t="str">
        <f>VLOOKUP(Sales_Details2[[#This Row],[Customer_ID]],Customer_Details[#All],5,0)</f>
        <v>Female</v>
      </c>
      <c r="G240" s="2" t="str">
        <f>VLOOKUP(Sales_Details2[[#This Row],[Customer_ID]],Customer_Details[#All],9,0)</f>
        <v>Platinum</v>
      </c>
      <c r="H240" s="2" t="s">
        <v>1561</v>
      </c>
      <c r="I240" s="2" t="str">
        <f>VLOOKUP(Sales_Details2[[#This Row],[Product_ID]],Product_details[[#All],[Product_ID]:[Cost]],3,0)</f>
        <v>Electronics</v>
      </c>
      <c r="J240" s="2" t="str">
        <f>VLOOKUP(Sales_Details2[[#This Row],[Product_ID]],Product_details[[#All],[Product_ID]:[Cost]],4,0)</f>
        <v>Appliances</v>
      </c>
      <c r="K240" s="2" t="s">
        <v>1756</v>
      </c>
      <c r="L240" s="2" t="str">
        <f>_xlfn.XLOOKUP(Sales_Details2[[#This Row],[Store_ID]],Table2[Store_ID],Table2[Region],"Region not found")</f>
        <v>North</v>
      </c>
      <c r="M240" s="25">
        <v>1</v>
      </c>
      <c r="N240" s="36">
        <v>594.44000000000005</v>
      </c>
      <c r="O240" s="29">
        <v>0.21</v>
      </c>
      <c r="P240" s="2" t="s">
        <v>1807</v>
      </c>
      <c r="Q240" s="36">
        <v>469.60759999999999</v>
      </c>
    </row>
    <row r="241" spans="1:17" x14ac:dyDescent="0.3">
      <c r="A241" s="2" t="s">
        <v>2048</v>
      </c>
      <c r="B241" s="14">
        <v>45861</v>
      </c>
      <c r="C241" s="2">
        <f>YEAR(Sales_Details2[[#This Row],[Order_Date]])</f>
        <v>2025</v>
      </c>
      <c r="D241" s="2" t="s">
        <v>696</v>
      </c>
      <c r="E241" s="2" t="str">
        <f>VLOOKUP(Sales_Details2[[#This Row],[Customer_ID]],Customer_Details[#All],4,0)</f>
        <v>Mid-Adult</v>
      </c>
      <c r="F241" s="2" t="str">
        <f>VLOOKUP(Sales_Details2[[#This Row],[Customer_ID]],Customer_Details[#All],5,0)</f>
        <v>Male</v>
      </c>
      <c r="G241" s="2" t="str">
        <f>VLOOKUP(Sales_Details2[[#This Row],[Customer_ID]],Customer_Details[#All],9,0)</f>
        <v>Platinum</v>
      </c>
      <c r="H241" s="2" t="s">
        <v>1703</v>
      </c>
      <c r="I241" s="2" t="str">
        <f>VLOOKUP(Sales_Details2[[#This Row],[Product_ID]],Product_details[[#All],[Product_ID]:[Cost]],3,0)</f>
        <v>Home</v>
      </c>
      <c r="J241" s="2" t="str">
        <f>VLOOKUP(Sales_Details2[[#This Row],[Product_ID]],Product_details[[#All],[Product_ID]:[Cost]],4,0)</f>
        <v>Kitchen</v>
      </c>
      <c r="K241" s="2" t="s">
        <v>1765</v>
      </c>
      <c r="L241" s="2" t="str">
        <f>_xlfn.XLOOKUP(Sales_Details2[[#This Row],[Store_ID]],Table2[Store_ID],Table2[Region],"Region not found")</f>
        <v>West</v>
      </c>
      <c r="M241" s="25">
        <v>3</v>
      </c>
      <c r="N241" s="36">
        <v>91.7</v>
      </c>
      <c r="O241" s="29">
        <v>0.08</v>
      </c>
      <c r="P241" s="2" t="s">
        <v>1812</v>
      </c>
      <c r="Q241" s="36">
        <v>253.09200000000001</v>
      </c>
    </row>
    <row r="242" spans="1:17" x14ac:dyDescent="0.3">
      <c r="A242" s="2" t="s">
        <v>2049</v>
      </c>
      <c r="B242" s="14">
        <v>45917</v>
      </c>
      <c r="C242" s="2">
        <f>YEAR(Sales_Details2[[#This Row],[Order_Date]])</f>
        <v>2025</v>
      </c>
      <c r="D242" s="2" t="s">
        <v>127</v>
      </c>
      <c r="E242" s="2" t="str">
        <f>VLOOKUP(Sales_Details2[[#This Row],[Customer_ID]],Customer_Details[#All],4,0)</f>
        <v>Mid-Adult</v>
      </c>
      <c r="F242" s="2" t="str">
        <f>VLOOKUP(Sales_Details2[[#This Row],[Customer_ID]],Customer_Details[#All],5,0)</f>
        <v>Male</v>
      </c>
      <c r="G242" s="2" t="str">
        <f>VLOOKUP(Sales_Details2[[#This Row],[Customer_ID]],Customer_Details[#All],9,0)</f>
        <v>Silver</v>
      </c>
      <c r="H242" s="2" t="s">
        <v>1655</v>
      </c>
      <c r="I242" s="2" t="str">
        <f>VLOOKUP(Sales_Details2[[#This Row],[Product_ID]],Product_details[[#All],[Product_ID]:[Cost]],3,0)</f>
        <v>Electronics</v>
      </c>
      <c r="J242" s="2" t="str">
        <f>VLOOKUP(Sales_Details2[[#This Row],[Product_ID]],Product_details[[#All],[Product_ID]:[Cost]],4,0)</f>
        <v>Computer</v>
      </c>
      <c r="K242" s="2" t="s">
        <v>1777</v>
      </c>
      <c r="L242" s="2" t="str">
        <f>_xlfn.XLOOKUP(Sales_Details2[[#This Row],[Store_ID]],Table2[Store_ID],Table2[Region],"Region not found")</f>
        <v>North</v>
      </c>
      <c r="M242" s="25">
        <v>3</v>
      </c>
      <c r="N242" s="36">
        <v>741.33</v>
      </c>
      <c r="O242" s="29">
        <v>0.03</v>
      </c>
      <c r="P242" s="2" t="s">
        <v>1807</v>
      </c>
      <c r="Q242" s="36">
        <v>2157.2703000000001</v>
      </c>
    </row>
    <row r="243" spans="1:17" x14ac:dyDescent="0.3">
      <c r="A243" s="2" t="s">
        <v>2050</v>
      </c>
      <c r="B243" s="14">
        <v>45754</v>
      </c>
      <c r="C243" s="2">
        <f>YEAR(Sales_Details2[[#This Row],[Order_Date]])</f>
        <v>2025</v>
      </c>
      <c r="D243" s="2" t="s">
        <v>1450</v>
      </c>
      <c r="E243" s="2" t="str">
        <f>VLOOKUP(Sales_Details2[[#This Row],[Customer_ID]],Customer_Details[#All],4,0)</f>
        <v>Mid-Adult</v>
      </c>
      <c r="F243" s="2" t="str">
        <f>VLOOKUP(Sales_Details2[[#This Row],[Customer_ID]],Customer_Details[#All],5,0)</f>
        <v>Female</v>
      </c>
      <c r="G243" s="2" t="str">
        <f>VLOOKUP(Sales_Details2[[#This Row],[Customer_ID]],Customer_Details[#All],9,0)</f>
        <v>Gold</v>
      </c>
      <c r="H243" s="2" t="s">
        <v>1563</v>
      </c>
      <c r="I243" s="2" t="str">
        <f>VLOOKUP(Sales_Details2[[#This Row],[Product_ID]],Product_details[[#All],[Product_ID]:[Cost]],3,0)</f>
        <v>Beauty</v>
      </c>
      <c r="J243" s="2" t="str">
        <f>VLOOKUP(Sales_Details2[[#This Row],[Product_ID]],Product_details[[#All],[Product_ID]:[Cost]],4,0)</f>
        <v>Grooming</v>
      </c>
      <c r="K243" s="2" t="s">
        <v>1796</v>
      </c>
      <c r="L243" s="2" t="str">
        <f>_xlfn.XLOOKUP(Sales_Details2[[#This Row],[Store_ID]],Table2[Store_ID],Table2[Region],"Region not found")</f>
        <v>East</v>
      </c>
      <c r="M243" s="25">
        <v>1</v>
      </c>
      <c r="N243" s="36">
        <v>922.78</v>
      </c>
      <c r="O243" s="29">
        <v>0.28999999999999998</v>
      </c>
      <c r="P243" s="2" t="s">
        <v>1812</v>
      </c>
      <c r="Q243" s="36">
        <v>655.17379999999991</v>
      </c>
    </row>
    <row r="244" spans="1:17" x14ac:dyDescent="0.3">
      <c r="A244" s="2" t="s">
        <v>2051</v>
      </c>
      <c r="B244" s="14">
        <v>45312</v>
      </c>
      <c r="C244" s="2">
        <f>YEAR(Sales_Details2[[#This Row],[Order_Date]])</f>
        <v>2024</v>
      </c>
      <c r="D244" s="2" t="s">
        <v>1012</v>
      </c>
      <c r="E244" s="2" t="str">
        <f>VLOOKUP(Sales_Details2[[#This Row],[Customer_ID]],Customer_Details[#All],4,0)</f>
        <v>Senior</v>
      </c>
      <c r="F244" s="2" t="str">
        <f>VLOOKUP(Sales_Details2[[#This Row],[Customer_ID]],Customer_Details[#All],5,0)</f>
        <v>Male</v>
      </c>
      <c r="G244" s="2" t="str">
        <f>VLOOKUP(Sales_Details2[[#This Row],[Customer_ID]],Customer_Details[#All],9,0)</f>
        <v>Bronze</v>
      </c>
      <c r="H244" s="2" t="s">
        <v>1545</v>
      </c>
      <c r="I244" s="2" t="str">
        <f>VLOOKUP(Sales_Details2[[#This Row],[Product_ID]],Product_details[[#All],[Product_ID]:[Cost]],3,0)</f>
        <v>Electronics</v>
      </c>
      <c r="J244" s="2" t="str">
        <f>VLOOKUP(Sales_Details2[[#This Row],[Product_ID]],Product_details[[#All],[Product_ID]:[Cost]],4,0)</f>
        <v>Audio</v>
      </c>
      <c r="K244" s="2" t="s">
        <v>1787</v>
      </c>
      <c r="L244" s="2" t="str">
        <f>_xlfn.XLOOKUP(Sales_Details2[[#This Row],[Store_ID]],Table2[Store_ID],Table2[Region],"Region not found")</f>
        <v>West</v>
      </c>
      <c r="M244" s="25">
        <v>1</v>
      </c>
      <c r="N244" s="36">
        <v>394.35</v>
      </c>
      <c r="O244" s="29">
        <v>0.09</v>
      </c>
      <c r="P244" s="2" t="s">
        <v>1809</v>
      </c>
      <c r="Q244" s="36">
        <v>358.85849999999999</v>
      </c>
    </row>
    <row r="245" spans="1:17" x14ac:dyDescent="0.3">
      <c r="A245" s="2" t="s">
        <v>2052</v>
      </c>
      <c r="B245" s="14">
        <v>45480</v>
      </c>
      <c r="C245" s="2">
        <f>YEAR(Sales_Details2[[#This Row],[Order_Date]])</f>
        <v>2024</v>
      </c>
      <c r="D245" s="2" t="s">
        <v>1126</v>
      </c>
      <c r="E245" s="2" t="str">
        <f>VLOOKUP(Sales_Details2[[#This Row],[Customer_ID]],Customer_Details[#All],4,0)</f>
        <v>Senior</v>
      </c>
      <c r="F245" s="2" t="str">
        <f>VLOOKUP(Sales_Details2[[#This Row],[Customer_ID]],Customer_Details[#All],5,0)</f>
        <v>Male</v>
      </c>
      <c r="G245" s="2" t="str">
        <f>VLOOKUP(Sales_Details2[[#This Row],[Customer_ID]],Customer_Details[#All],9,0)</f>
        <v>Bronze</v>
      </c>
      <c r="H245" s="2" t="s">
        <v>1661</v>
      </c>
      <c r="I245" s="2" t="str">
        <f>VLOOKUP(Sales_Details2[[#This Row],[Product_ID]],Product_details[[#All],[Product_ID]:[Cost]],3,0)</f>
        <v>Sports</v>
      </c>
      <c r="J245" s="2" t="str">
        <f>VLOOKUP(Sales_Details2[[#This Row],[Product_ID]],Product_details[[#All],[Product_ID]:[Cost]],4,0)</f>
        <v>Fitness</v>
      </c>
      <c r="K245" s="2" t="s">
        <v>1775</v>
      </c>
      <c r="L245" s="2" t="str">
        <f>_xlfn.XLOOKUP(Sales_Details2[[#This Row],[Store_ID]],Table2[Store_ID],Table2[Region],"Region not found")</f>
        <v>South</v>
      </c>
      <c r="M245" s="25">
        <v>2</v>
      </c>
      <c r="N245" s="36">
        <v>703.95</v>
      </c>
      <c r="O245" s="29">
        <v>0.03</v>
      </c>
      <c r="P245" s="2" t="s">
        <v>1807</v>
      </c>
      <c r="Q245" s="36">
        <v>1365.663</v>
      </c>
    </row>
    <row r="246" spans="1:17" x14ac:dyDescent="0.3">
      <c r="A246" s="2" t="s">
        <v>2053</v>
      </c>
      <c r="B246" s="14">
        <v>45780</v>
      </c>
      <c r="C246" s="2">
        <f>YEAR(Sales_Details2[[#This Row],[Order_Date]])</f>
        <v>2025</v>
      </c>
      <c r="D246" s="2" t="s">
        <v>648</v>
      </c>
      <c r="E246" s="2" t="str">
        <f>VLOOKUP(Sales_Details2[[#This Row],[Customer_ID]],Customer_Details[#All],4,0)</f>
        <v>Adult</v>
      </c>
      <c r="F246" s="2" t="str">
        <f>VLOOKUP(Sales_Details2[[#This Row],[Customer_ID]],Customer_Details[#All],5,0)</f>
        <v>Male</v>
      </c>
      <c r="G246" s="2" t="str">
        <f>VLOOKUP(Sales_Details2[[#This Row],[Customer_ID]],Customer_Details[#All],9,0)</f>
        <v>Platinum</v>
      </c>
      <c r="H246" s="2" t="s">
        <v>1559</v>
      </c>
      <c r="I246" s="2" t="str">
        <f>VLOOKUP(Sales_Details2[[#This Row],[Product_ID]],Product_details[[#All],[Product_ID]:[Cost]],3,0)</f>
        <v>Home</v>
      </c>
      <c r="J246" s="2" t="str">
        <f>VLOOKUP(Sales_Details2[[#This Row],[Product_ID]],Product_details[[#All],[Product_ID]:[Cost]],4,0)</f>
        <v>Decor</v>
      </c>
      <c r="K246" s="2" t="s">
        <v>1735</v>
      </c>
      <c r="L246" s="2" t="str">
        <f>_xlfn.XLOOKUP(Sales_Details2[[#This Row],[Store_ID]],Table2[Store_ID],Table2[Region],"Region not found")</f>
        <v>East</v>
      </c>
      <c r="M246" s="25">
        <v>4</v>
      </c>
      <c r="N246" s="36">
        <v>452.67</v>
      </c>
      <c r="O246" s="29">
        <v>0.28000000000000003</v>
      </c>
      <c r="P246" s="2" t="s">
        <v>1809</v>
      </c>
      <c r="Q246" s="36">
        <v>1303.6895999999999</v>
      </c>
    </row>
    <row r="247" spans="1:17" x14ac:dyDescent="0.3">
      <c r="A247" s="2" t="s">
        <v>2054</v>
      </c>
      <c r="B247" s="14">
        <v>45349</v>
      </c>
      <c r="C247" s="2">
        <f>YEAR(Sales_Details2[[#This Row],[Order_Date]])</f>
        <v>2024</v>
      </c>
      <c r="D247" s="2" t="s">
        <v>1412</v>
      </c>
      <c r="E247" s="2" t="str">
        <f>VLOOKUP(Sales_Details2[[#This Row],[Customer_ID]],Customer_Details[#All],4,0)</f>
        <v>Mid-Adult</v>
      </c>
      <c r="F247" s="2" t="str">
        <f>VLOOKUP(Sales_Details2[[#This Row],[Customer_ID]],Customer_Details[#All],5,0)</f>
        <v>Female</v>
      </c>
      <c r="G247" s="2" t="str">
        <f>VLOOKUP(Sales_Details2[[#This Row],[Customer_ID]],Customer_Details[#All],9,0)</f>
        <v>Bronze</v>
      </c>
      <c r="H247" s="2" t="s">
        <v>1545</v>
      </c>
      <c r="I247" s="2" t="str">
        <f>VLOOKUP(Sales_Details2[[#This Row],[Product_ID]],Product_details[[#All],[Product_ID]:[Cost]],3,0)</f>
        <v>Electronics</v>
      </c>
      <c r="J247" s="2" t="str">
        <f>VLOOKUP(Sales_Details2[[#This Row],[Product_ID]],Product_details[[#All],[Product_ID]:[Cost]],4,0)</f>
        <v>Audio</v>
      </c>
      <c r="K247" s="2" t="s">
        <v>1762</v>
      </c>
      <c r="L247" s="2" t="str">
        <f>_xlfn.XLOOKUP(Sales_Details2[[#This Row],[Store_ID]],Table2[Store_ID],Table2[Region],"Region not found")</f>
        <v>South</v>
      </c>
      <c r="M247" s="25">
        <v>2</v>
      </c>
      <c r="N247" s="36">
        <v>377.3</v>
      </c>
      <c r="O247" s="29">
        <v>0.15</v>
      </c>
      <c r="P247" s="2" t="s">
        <v>1809</v>
      </c>
      <c r="Q247" s="36">
        <v>641.41</v>
      </c>
    </row>
    <row r="248" spans="1:17" x14ac:dyDescent="0.3">
      <c r="A248" s="2" t="s">
        <v>2055</v>
      </c>
      <c r="B248" s="14">
        <v>45846</v>
      </c>
      <c r="C248" s="2">
        <f>YEAR(Sales_Details2[[#This Row],[Order_Date]])</f>
        <v>2025</v>
      </c>
      <c r="D248" s="2" t="s">
        <v>1069</v>
      </c>
      <c r="E248" s="2" t="str">
        <f>VLOOKUP(Sales_Details2[[#This Row],[Customer_ID]],Customer_Details[#All],4,0)</f>
        <v>Mid-Adult</v>
      </c>
      <c r="F248" s="2" t="str">
        <f>VLOOKUP(Sales_Details2[[#This Row],[Customer_ID]],Customer_Details[#All],5,0)</f>
        <v>Male</v>
      </c>
      <c r="G248" s="2" t="str">
        <f>VLOOKUP(Sales_Details2[[#This Row],[Customer_ID]],Customer_Details[#All],9,0)</f>
        <v>Gold</v>
      </c>
      <c r="H248" s="2" t="s">
        <v>1679</v>
      </c>
      <c r="I248" s="2" t="str">
        <f>VLOOKUP(Sales_Details2[[#This Row],[Product_ID]],Product_details[[#All],[Product_ID]:[Cost]],3,0)</f>
        <v>Electronics</v>
      </c>
      <c r="J248" s="2" t="str">
        <f>VLOOKUP(Sales_Details2[[#This Row],[Product_ID]],Product_details[[#All],[Product_ID]:[Cost]],4,0)</f>
        <v>Audio</v>
      </c>
      <c r="K248" s="2" t="s">
        <v>1762</v>
      </c>
      <c r="L248" s="2" t="str">
        <f>_xlfn.XLOOKUP(Sales_Details2[[#This Row],[Store_ID]],Table2[Store_ID],Table2[Region],"Region not found")</f>
        <v>South</v>
      </c>
      <c r="M248" s="25">
        <v>2</v>
      </c>
      <c r="N248" s="36">
        <v>130.47999999999999</v>
      </c>
      <c r="O248" s="29">
        <v>0.23</v>
      </c>
      <c r="P248" s="2" t="s">
        <v>1809</v>
      </c>
      <c r="Q248" s="36">
        <v>200.9392</v>
      </c>
    </row>
    <row r="249" spans="1:17" x14ac:dyDescent="0.3">
      <c r="A249" s="2" t="s">
        <v>2056</v>
      </c>
      <c r="B249" s="14">
        <v>45729</v>
      </c>
      <c r="C249" s="2">
        <f>YEAR(Sales_Details2[[#This Row],[Order_Date]])</f>
        <v>2025</v>
      </c>
      <c r="D249" s="2" t="s">
        <v>1333</v>
      </c>
      <c r="E249" s="2" t="str">
        <f>VLOOKUP(Sales_Details2[[#This Row],[Customer_ID]],Customer_Details[#All],4,0)</f>
        <v>Mid-Adult</v>
      </c>
      <c r="F249" s="2" t="str">
        <f>VLOOKUP(Sales_Details2[[#This Row],[Customer_ID]],Customer_Details[#All],5,0)</f>
        <v>Female</v>
      </c>
      <c r="G249" s="2" t="str">
        <f>VLOOKUP(Sales_Details2[[#This Row],[Customer_ID]],Customer_Details[#All],9,0)</f>
        <v>Silver</v>
      </c>
      <c r="H249" s="2" t="s">
        <v>1719</v>
      </c>
      <c r="I249" s="2" t="str">
        <f>VLOOKUP(Sales_Details2[[#This Row],[Product_ID]],Product_details[[#All],[Product_ID]:[Cost]],3,0)</f>
        <v>Beauty</v>
      </c>
      <c r="J249" s="2" t="str">
        <f>VLOOKUP(Sales_Details2[[#This Row],[Product_ID]],Product_details[[#All],[Product_ID]:[Cost]],4,0)</f>
        <v>Skincare</v>
      </c>
      <c r="K249" s="2" t="s">
        <v>1777</v>
      </c>
      <c r="L249" s="2" t="str">
        <f>_xlfn.XLOOKUP(Sales_Details2[[#This Row],[Store_ID]],Table2[Store_ID],Table2[Region],"Region not found")</f>
        <v>North</v>
      </c>
      <c r="M249" s="25">
        <v>1</v>
      </c>
      <c r="N249" s="36">
        <v>809.45</v>
      </c>
      <c r="O249" s="29">
        <v>0.09</v>
      </c>
      <c r="P249" s="2" t="s">
        <v>1812</v>
      </c>
      <c r="Q249" s="36">
        <v>736.59950000000003</v>
      </c>
    </row>
    <row r="250" spans="1:17" x14ac:dyDescent="0.3">
      <c r="A250" s="2" t="s">
        <v>2057</v>
      </c>
      <c r="B250" s="14">
        <v>45768</v>
      </c>
      <c r="C250" s="2">
        <f>YEAR(Sales_Details2[[#This Row],[Order_Date]])</f>
        <v>2025</v>
      </c>
      <c r="D250" s="2" t="s">
        <v>298</v>
      </c>
      <c r="E250" s="2" t="str">
        <f>VLOOKUP(Sales_Details2[[#This Row],[Customer_ID]],Customer_Details[#All],4,0)</f>
        <v>Mid-Adult</v>
      </c>
      <c r="F250" s="2" t="str">
        <f>VLOOKUP(Sales_Details2[[#This Row],[Customer_ID]],Customer_Details[#All],5,0)</f>
        <v>Female</v>
      </c>
      <c r="G250" s="2" t="str">
        <f>VLOOKUP(Sales_Details2[[#This Row],[Customer_ID]],Customer_Details[#All],9,0)</f>
        <v>Bronze</v>
      </c>
      <c r="H250" s="2" t="s">
        <v>1621</v>
      </c>
      <c r="I250" s="2" t="str">
        <f>VLOOKUP(Sales_Details2[[#This Row],[Product_ID]],Product_details[[#All],[Product_ID]:[Cost]],3,0)</f>
        <v>Sports</v>
      </c>
      <c r="J250" s="2" t="str">
        <f>VLOOKUP(Sales_Details2[[#This Row],[Product_ID]],Product_details[[#All],[Product_ID]:[Cost]],4,0)</f>
        <v>Team Sports</v>
      </c>
      <c r="K250" s="2" t="s">
        <v>1769</v>
      </c>
      <c r="L250" s="2" t="str">
        <f>_xlfn.XLOOKUP(Sales_Details2[[#This Row],[Store_ID]],Table2[Store_ID],Table2[Region],"Region not found")</f>
        <v>South</v>
      </c>
      <c r="M250" s="25">
        <v>3</v>
      </c>
      <c r="N250" s="36">
        <v>499.12</v>
      </c>
      <c r="O250" s="29">
        <v>0.05</v>
      </c>
      <c r="P250" s="2" t="s">
        <v>1809</v>
      </c>
      <c r="Q250" s="36">
        <v>1422.492</v>
      </c>
    </row>
    <row r="251" spans="1:17" x14ac:dyDescent="0.3">
      <c r="A251" s="2" t="s">
        <v>2058</v>
      </c>
      <c r="B251" s="14">
        <v>45606</v>
      </c>
      <c r="C251" s="2">
        <f>YEAR(Sales_Details2[[#This Row],[Order_Date]])</f>
        <v>2024</v>
      </c>
      <c r="D251" s="2" t="s">
        <v>100</v>
      </c>
      <c r="E251" s="2" t="str">
        <f>VLOOKUP(Sales_Details2[[#This Row],[Customer_ID]],Customer_Details[#All],4,0)</f>
        <v>Senior</v>
      </c>
      <c r="F251" s="2" t="str">
        <f>VLOOKUP(Sales_Details2[[#This Row],[Customer_ID]],Customer_Details[#All],5,0)</f>
        <v>Female</v>
      </c>
      <c r="G251" s="2" t="str">
        <f>VLOOKUP(Sales_Details2[[#This Row],[Customer_ID]],Customer_Details[#All],9,0)</f>
        <v>Silver</v>
      </c>
      <c r="H251" s="2" t="s">
        <v>1667</v>
      </c>
      <c r="I251" s="2" t="str">
        <f>VLOOKUP(Sales_Details2[[#This Row],[Product_ID]],Product_details[[#All],[Product_ID]:[Cost]],3,0)</f>
        <v>Home</v>
      </c>
      <c r="J251" s="2" t="str">
        <f>VLOOKUP(Sales_Details2[[#This Row],[Product_ID]],Product_details[[#All],[Product_ID]:[Cost]],4,0)</f>
        <v>Furniture</v>
      </c>
      <c r="K251" s="2" t="s">
        <v>1749</v>
      </c>
      <c r="L251" s="2" t="str">
        <f>_xlfn.XLOOKUP(Sales_Details2[[#This Row],[Store_ID]],Table2[Store_ID],Table2[Region],"Region not found")</f>
        <v>North</v>
      </c>
      <c r="M251" s="25">
        <v>2</v>
      </c>
      <c r="N251" s="36">
        <v>894.58</v>
      </c>
      <c r="O251" s="29">
        <v>0.25</v>
      </c>
      <c r="P251" s="2" t="s">
        <v>1807</v>
      </c>
      <c r="Q251" s="36">
        <v>1341.87</v>
      </c>
    </row>
    <row r="252" spans="1:17" x14ac:dyDescent="0.3">
      <c r="A252" s="2" t="s">
        <v>2059</v>
      </c>
      <c r="B252" s="14">
        <v>45513</v>
      </c>
      <c r="C252" s="2">
        <f>YEAR(Sales_Details2[[#This Row],[Order_Date]])</f>
        <v>2024</v>
      </c>
      <c r="D252" s="2" t="s">
        <v>444</v>
      </c>
      <c r="E252" s="2" t="str">
        <f>VLOOKUP(Sales_Details2[[#This Row],[Customer_ID]],Customer_Details[#All],4,0)</f>
        <v>Mid-Adult</v>
      </c>
      <c r="F252" s="2" t="str">
        <f>VLOOKUP(Sales_Details2[[#This Row],[Customer_ID]],Customer_Details[#All],5,0)</f>
        <v>Female</v>
      </c>
      <c r="G252" s="2" t="str">
        <f>VLOOKUP(Sales_Details2[[#This Row],[Customer_ID]],Customer_Details[#All],9,0)</f>
        <v>Bronze</v>
      </c>
      <c r="H252" s="2" t="s">
        <v>1681</v>
      </c>
      <c r="I252" s="2" t="str">
        <f>VLOOKUP(Sales_Details2[[#This Row],[Product_ID]],Product_details[[#All],[Product_ID]:[Cost]],3,0)</f>
        <v>Clothing</v>
      </c>
      <c r="J252" s="2" t="str">
        <f>VLOOKUP(Sales_Details2[[#This Row],[Product_ID]],Product_details[[#All],[Product_ID]:[Cost]],4,0)</f>
        <v>Footwear</v>
      </c>
      <c r="K252" s="2" t="s">
        <v>1769</v>
      </c>
      <c r="L252" s="2" t="str">
        <f>_xlfn.XLOOKUP(Sales_Details2[[#This Row],[Store_ID]],Table2[Store_ID],Table2[Region],"Region not found")</f>
        <v>South</v>
      </c>
      <c r="M252" s="25">
        <v>4</v>
      </c>
      <c r="N252" s="36">
        <v>578.39</v>
      </c>
      <c r="O252" s="29">
        <v>0.01</v>
      </c>
      <c r="P252" s="2" t="s">
        <v>1807</v>
      </c>
      <c r="Q252" s="36">
        <v>2290.4243999999999</v>
      </c>
    </row>
    <row r="253" spans="1:17" x14ac:dyDescent="0.3">
      <c r="A253" s="2" t="s">
        <v>2060</v>
      </c>
      <c r="B253" s="14">
        <v>45356</v>
      </c>
      <c r="C253" s="2">
        <f>YEAR(Sales_Details2[[#This Row],[Order_Date]])</f>
        <v>2024</v>
      </c>
      <c r="D253" s="2" t="s">
        <v>1475</v>
      </c>
      <c r="E253" s="2" t="str">
        <f>VLOOKUP(Sales_Details2[[#This Row],[Customer_ID]],Customer_Details[#All],4,0)</f>
        <v>Mid-Adult</v>
      </c>
      <c r="F253" s="2" t="str">
        <f>VLOOKUP(Sales_Details2[[#This Row],[Customer_ID]],Customer_Details[#All],5,0)</f>
        <v>Female</v>
      </c>
      <c r="G253" s="2" t="str">
        <f>VLOOKUP(Sales_Details2[[#This Row],[Customer_ID]],Customer_Details[#All],9,0)</f>
        <v>Bronze</v>
      </c>
      <c r="H253" s="2" t="s">
        <v>1613</v>
      </c>
      <c r="I253" s="2" t="str">
        <f>VLOOKUP(Sales_Details2[[#This Row],[Product_ID]],Product_details[[#All],[Product_ID]:[Cost]],3,0)</f>
        <v>Sports</v>
      </c>
      <c r="J253" s="2" t="str">
        <f>VLOOKUP(Sales_Details2[[#This Row],[Product_ID]],Product_details[[#All],[Product_ID]:[Cost]],4,0)</f>
        <v>Fitness</v>
      </c>
      <c r="K253" s="2" t="s">
        <v>1790</v>
      </c>
      <c r="L253" s="2" t="str">
        <f>_xlfn.XLOOKUP(Sales_Details2[[#This Row],[Store_ID]],Table2[Store_ID],Table2[Region],"Region not found")</f>
        <v>North</v>
      </c>
      <c r="M253" s="25">
        <v>4</v>
      </c>
      <c r="N253" s="36">
        <v>982.45</v>
      </c>
      <c r="O253" s="29">
        <v>0.2</v>
      </c>
      <c r="P253" s="2" t="s">
        <v>1809</v>
      </c>
      <c r="Q253" s="36">
        <v>3143.84</v>
      </c>
    </row>
    <row r="254" spans="1:17" x14ac:dyDescent="0.3">
      <c r="A254" s="2" t="s">
        <v>2061</v>
      </c>
      <c r="B254" s="14">
        <v>45925</v>
      </c>
      <c r="C254" s="2">
        <f>YEAR(Sales_Details2[[#This Row],[Order_Date]])</f>
        <v>2025</v>
      </c>
      <c r="D254" s="2" t="s">
        <v>1373</v>
      </c>
      <c r="E254" s="2" t="str">
        <f>VLOOKUP(Sales_Details2[[#This Row],[Customer_ID]],Customer_Details[#All],4,0)</f>
        <v>Adult</v>
      </c>
      <c r="F254" s="2" t="str">
        <f>VLOOKUP(Sales_Details2[[#This Row],[Customer_ID]],Customer_Details[#All],5,0)</f>
        <v>Male</v>
      </c>
      <c r="G254" s="2" t="str">
        <f>VLOOKUP(Sales_Details2[[#This Row],[Customer_ID]],Customer_Details[#All],9,0)</f>
        <v>Bronze</v>
      </c>
      <c r="H254" s="2" t="s">
        <v>1727</v>
      </c>
      <c r="I254" s="2" t="str">
        <f>VLOOKUP(Sales_Details2[[#This Row],[Product_ID]],Product_details[[#All],[Product_ID]:[Cost]],3,0)</f>
        <v>Electronics</v>
      </c>
      <c r="J254" s="2" t="str">
        <f>VLOOKUP(Sales_Details2[[#This Row],[Product_ID]],Product_details[[#All],[Product_ID]:[Cost]],4,0)</f>
        <v>Audio</v>
      </c>
      <c r="K254" s="2" t="s">
        <v>1796</v>
      </c>
      <c r="L254" s="2" t="str">
        <f>_xlfn.XLOOKUP(Sales_Details2[[#This Row],[Store_ID]],Table2[Store_ID],Table2[Region],"Region not found")</f>
        <v>East</v>
      </c>
      <c r="M254" s="25">
        <v>1</v>
      </c>
      <c r="N254" s="36">
        <v>549.52</v>
      </c>
      <c r="O254" s="29">
        <v>0.1</v>
      </c>
      <c r="P254" s="2" t="s">
        <v>1809</v>
      </c>
      <c r="Q254" s="36">
        <v>494.56799999999998</v>
      </c>
    </row>
    <row r="255" spans="1:17" x14ac:dyDescent="0.3">
      <c r="A255" s="2" t="s">
        <v>2062</v>
      </c>
      <c r="B255" s="14">
        <v>45876</v>
      </c>
      <c r="C255" s="2">
        <f>YEAR(Sales_Details2[[#This Row],[Order_Date]])</f>
        <v>2025</v>
      </c>
      <c r="D255" s="2" t="s">
        <v>764</v>
      </c>
      <c r="E255" s="2" t="str">
        <f>VLOOKUP(Sales_Details2[[#This Row],[Customer_ID]],Customer_Details[#All],4,0)</f>
        <v>Senior</v>
      </c>
      <c r="F255" s="2" t="str">
        <f>VLOOKUP(Sales_Details2[[#This Row],[Customer_ID]],Customer_Details[#All],5,0)</f>
        <v>Female</v>
      </c>
      <c r="G255" s="2" t="str">
        <f>VLOOKUP(Sales_Details2[[#This Row],[Customer_ID]],Customer_Details[#All],9,0)</f>
        <v>Platinum</v>
      </c>
      <c r="H255" s="2" t="s">
        <v>1715</v>
      </c>
      <c r="I255" s="2" t="str">
        <f>VLOOKUP(Sales_Details2[[#This Row],[Product_ID]],Product_details[[#All],[Product_ID]:[Cost]],3,0)</f>
        <v>Home</v>
      </c>
      <c r="J255" s="2" t="str">
        <f>VLOOKUP(Sales_Details2[[#This Row],[Product_ID]],Product_details[[#All],[Product_ID]:[Cost]],4,0)</f>
        <v>Appliances</v>
      </c>
      <c r="K255" s="2" t="s">
        <v>1793</v>
      </c>
      <c r="L255" s="2" t="str">
        <f>_xlfn.XLOOKUP(Sales_Details2[[#This Row],[Store_ID]],Table2[Store_ID],Table2[Region],"Region not found")</f>
        <v>East</v>
      </c>
      <c r="M255" s="25">
        <v>2</v>
      </c>
      <c r="N255" s="36">
        <v>239.92</v>
      </c>
      <c r="O255" s="29">
        <v>0.16</v>
      </c>
      <c r="P255" s="2" t="s">
        <v>1807</v>
      </c>
      <c r="Q255" s="36">
        <v>403.06560000000002</v>
      </c>
    </row>
    <row r="256" spans="1:17" x14ac:dyDescent="0.3">
      <c r="A256" s="2" t="s">
        <v>2063</v>
      </c>
      <c r="B256" s="14">
        <v>45338</v>
      </c>
      <c r="C256" s="2">
        <f>YEAR(Sales_Details2[[#This Row],[Order_Date]])</f>
        <v>2024</v>
      </c>
      <c r="D256" s="2" t="s">
        <v>295</v>
      </c>
      <c r="E256" s="2" t="str">
        <f>VLOOKUP(Sales_Details2[[#This Row],[Customer_ID]],Customer_Details[#All],4,0)</f>
        <v>Senior</v>
      </c>
      <c r="F256" s="2" t="str">
        <f>VLOOKUP(Sales_Details2[[#This Row],[Customer_ID]],Customer_Details[#All],5,0)</f>
        <v>Male</v>
      </c>
      <c r="G256" s="2" t="str">
        <f>VLOOKUP(Sales_Details2[[#This Row],[Customer_ID]],Customer_Details[#All],9,0)</f>
        <v>Bronze</v>
      </c>
      <c r="H256" s="2" t="s">
        <v>1715</v>
      </c>
      <c r="I256" s="2" t="str">
        <f>VLOOKUP(Sales_Details2[[#This Row],[Product_ID]],Product_details[[#All],[Product_ID]:[Cost]],3,0)</f>
        <v>Home</v>
      </c>
      <c r="J256" s="2" t="str">
        <f>VLOOKUP(Sales_Details2[[#This Row],[Product_ID]],Product_details[[#All],[Product_ID]:[Cost]],4,0)</f>
        <v>Appliances</v>
      </c>
      <c r="K256" s="2" t="s">
        <v>1759</v>
      </c>
      <c r="L256" s="2" t="str">
        <f>_xlfn.XLOOKUP(Sales_Details2[[#This Row],[Store_ID]],Table2[Store_ID],Table2[Region],"Region not found")</f>
        <v>East</v>
      </c>
      <c r="M256" s="25">
        <v>2</v>
      </c>
      <c r="N256" s="36">
        <v>878.05</v>
      </c>
      <c r="O256" s="29">
        <v>0.11</v>
      </c>
      <c r="P256" s="2" t="s">
        <v>1809</v>
      </c>
      <c r="Q256" s="36">
        <v>1562.9290000000001</v>
      </c>
    </row>
    <row r="257" spans="1:17" x14ac:dyDescent="0.3">
      <c r="A257" s="2" t="s">
        <v>2064</v>
      </c>
      <c r="B257" s="14">
        <v>45746</v>
      </c>
      <c r="C257" s="2">
        <f>YEAR(Sales_Details2[[#This Row],[Order_Date]])</f>
        <v>2025</v>
      </c>
      <c r="D257" s="2" t="s">
        <v>171</v>
      </c>
      <c r="E257" s="2" t="str">
        <f>VLOOKUP(Sales_Details2[[#This Row],[Customer_ID]],Customer_Details[#All],4,0)</f>
        <v>Mid-Adult</v>
      </c>
      <c r="F257" s="2" t="str">
        <f>VLOOKUP(Sales_Details2[[#This Row],[Customer_ID]],Customer_Details[#All],5,0)</f>
        <v>Male</v>
      </c>
      <c r="G257" s="2" t="str">
        <f>VLOOKUP(Sales_Details2[[#This Row],[Customer_ID]],Customer_Details[#All],9,0)</f>
        <v>Bronze</v>
      </c>
      <c r="H257" s="2" t="s">
        <v>1529</v>
      </c>
      <c r="I257" s="2" t="str">
        <f>VLOOKUP(Sales_Details2[[#This Row],[Product_ID]],Product_details[[#All],[Product_ID]:[Cost]],3,0)</f>
        <v>Clothing</v>
      </c>
      <c r="J257" s="2" t="str">
        <f>VLOOKUP(Sales_Details2[[#This Row],[Product_ID]],Product_details[[#All],[Product_ID]:[Cost]],4,0)</f>
        <v>Tops</v>
      </c>
      <c r="K257" s="2" t="s">
        <v>1769</v>
      </c>
      <c r="L257" s="2" t="str">
        <f>_xlfn.XLOOKUP(Sales_Details2[[#This Row],[Store_ID]],Table2[Store_ID],Table2[Region],"Region not found")</f>
        <v>South</v>
      </c>
      <c r="M257" s="25">
        <v>3</v>
      </c>
      <c r="N257" s="36">
        <v>546.96</v>
      </c>
      <c r="O257" s="29">
        <v>0.19</v>
      </c>
      <c r="P257" s="2" t="s">
        <v>1807</v>
      </c>
      <c r="Q257" s="36">
        <v>1329.1128000000001</v>
      </c>
    </row>
    <row r="258" spans="1:17" x14ac:dyDescent="0.3">
      <c r="A258" s="2" t="s">
        <v>2065</v>
      </c>
      <c r="B258" s="14">
        <v>45706</v>
      </c>
      <c r="C258" s="2">
        <f>YEAR(Sales_Details2[[#This Row],[Order_Date]])</f>
        <v>2025</v>
      </c>
      <c r="D258" s="2" t="s">
        <v>1436</v>
      </c>
      <c r="E258" s="2" t="str">
        <f>VLOOKUP(Sales_Details2[[#This Row],[Customer_ID]],Customer_Details[#All],4,0)</f>
        <v>Mid-Adult</v>
      </c>
      <c r="F258" s="2" t="str">
        <f>VLOOKUP(Sales_Details2[[#This Row],[Customer_ID]],Customer_Details[#All],5,0)</f>
        <v>Male</v>
      </c>
      <c r="G258" s="2" t="str">
        <f>VLOOKUP(Sales_Details2[[#This Row],[Customer_ID]],Customer_Details[#All],9,0)</f>
        <v>Platinum</v>
      </c>
      <c r="H258" s="2" t="s">
        <v>1565</v>
      </c>
      <c r="I258" s="2" t="str">
        <f>VLOOKUP(Sales_Details2[[#This Row],[Product_ID]],Product_details[[#All],[Product_ID]:[Cost]],3,0)</f>
        <v>Sports</v>
      </c>
      <c r="J258" s="2" t="str">
        <f>VLOOKUP(Sales_Details2[[#This Row],[Product_ID]],Product_details[[#All],[Product_ID]:[Cost]],4,0)</f>
        <v>Accessories</v>
      </c>
      <c r="K258" s="2" t="s">
        <v>1772</v>
      </c>
      <c r="L258" s="2" t="str">
        <f>_xlfn.XLOOKUP(Sales_Details2[[#This Row],[Store_ID]],Table2[Store_ID],Table2[Region],"Region not found")</f>
        <v>East</v>
      </c>
      <c r="M258" s="25">
        <v>2</v>
      </c>
      <c r="N258" s="36">
        <v>71.77</v>
      </c>
      <c r="O258" s="29">
        <v>0.22</v>
      </c>
      <c r="P258" s="2" t="s">
        <v>1807</v>
      </c>
      <c r="Q258" s="36">
        <v>111.96120000000001</v>
      </c>
    </row>
    <row r="259" spans="1:17" x14ac:dyDescent="0.3">
      <c r="A259" s="2" t="s">
        <v>2066</v>
      </c>
      <c r="B259" s="14">
        <v>45717</v>
      </c>
      <c r="C259" s="2">
        <f>YEAR(Sales_Details2[[#This Row],[Order_Date]])</f>
        <v>2025</v>
      </c>
      <c r="D259" s="2" t="s">
        <v>63</v>
      </c>
      <c r="E259" s="2" t="str">
        <f>VLOOKUP(Sales_Details2[[#This Row],[Customer_ID]],Customer_Details[#All],4,0)</f>
        <v>Mid-Adult</v>
      </c>
      <c r="F259" s="2" t="str">
        <f>VLOOKUP(Sales_Details2[[#This Row],[Customer_ID]],Customer_Details[#All],5,0)</f>
        <v>Female</v>
      </c>
      <c r="G259" s="2" t="str">
        <f>VLOOKUP(Sales_Details2[[#This Row],[Customer_ID]],Customer_Details[#All],9,0)</f>
        <v>Silver</v>
      </c>
      <c r="H259" s="2" t="s">
        <v>1579</v>
      </c>
      <c r="I259" s="2" t="str">
        <f>VLOOKUP(Sales_Details2[[#This Row],[Product_ID]],Product_details[[#All],[Product_ID]:[Cost]],3,0)</f>
        <v>Sports</v>
      </c>
      <c r="J259" s="2" t="str">
        <f>VLOOKUP(Sales_Details2[[#This Row],[Product_ID]],Product_details[[#All],[Product_ID]:[Cost]],4,0)</f>
        <v>Outdoor</v>
      </c>
      <c r="K259" s="2" t="s">
        <v>1740</v>
      </c>
      <c r="L259" s="2" t="str">
        <f>_xlfn.XLOOKUP(Sales_Details2[[#This Row],[Store_ID]],Table2[Store_ID],Table2[Region],"Region not found")</f>
        <v>North</v>
      </c>
      <c r="M259" s="25">
        <v>2</v>
      </c>
      <c r="N259" s="36">
        <v>679.86</v>
      </c>
      <c r="O259" s="29">
        <v>0.22</v>
      </c>
      <c r="P259" s="2" t="s">
        <v>1812</v>
      </c>
      <c r="Q259" s="36">
        <v>1060.5816</v>
      </c>
    </row>
    <row r="260" spans="1:17" x14ac:dyDescent="0.3">
      <c r="A260" s="2" t="s">
        <v>2067</v>
      </c>
      <c r="B260" s="14">
        <v>45300</v>
      </c>
      <c r="C260" s="2">
        <f>YEAR(Sales_Details2[[#This Row],[Order_Date]])</f>
        <v>2024</v>
      </c>
      <c r="D260" s="2" t="s">
        <v>459</v>
      </c>
      <c r="E260" s="2" t="str">
        <f>VLOOKUP(Sales_Details2[[#This Row],[Customer_ID]],Customer_Details[#All],4,0)</f>
        <v>Adult</v>
      </c>
      <c r="F260" s="2" t="str">
        <f>VLOOKUP(Sales_Details2[[#This Row],[Customer_ID]],Customer_Details[#All],5,0)</f>
        <v>Male</v>
      </c>
      <c r="G260" s="2" t="str">
        <f>VLOOKUP(Sales_Details2[[#This Row],[Customer_ID]],Customer_Details[#All],9,0)</f>
        <v>Silver</v>
      </c>
      <c r="H260" s="2" t="s">
        <v>1601</v>
      </c>
      <c r="I260" s="2" t="str">
        <f>VLOOKUP(Sales_Details2[[#This Row],[Product_ID]],Product_details[[#All],[Product_ID]:[Cost]],3,0)</f>
        <v>Home</v>
      </c>
      <c r="J260" s="2" t="str">
        <f>VLOOKUP(Sales_Details2[[#This Row],[Product_ID]],Product_details[[#All],[Product_ID]:[Cost]],4,0)</f>
        <v>Lighting</v>
      </c>
      <c r="K260" s="2" t="s">
        <v>1790</v>
      </c>
      <c r="L260" s="2" t="str">
        <f>_xlfn.XLOOKUP(Sales_Details2[[#This Row],[Store_ID]],Table2[Store_ID],Table2[Region],"Region not found")</f>
        <v>North</v>
      </c>
      <c r="M260" s="25">
        <v>1</v>
      </c>
      <c r="N260" s="36">
        <v>222.94</v>
      </c>
      <c r="O260" s="29">
        <v>0.19</v>
      </c>
      <c r="P260" s="2" t="s">
        <v>1807</v>
      </c>
      <c r="Q260" s="36">
        <v>180.5814</v>
      </c>
    </row>
    <row r="261" spans="1:17" x14ac:dyDescent="0.3">
      <c r="A261" s="2" t="s">
        <v>2068</v>
      </c>
      <c r="B261" s="14">
        <v>45773</v>
      </c>
      <c r="C261" s="2">
        <f>YEAR(Sales_Details2[[#This Row],[Order_Date]])</f>
        <v>2025</v>
      </c>
      <c r="D261" s="2" t="s">
        <v>788</v>
      </c>
      <c r="E261" s="2" t="str">
        <f>VLOOKUP(Sales_Details2[[#This Row],[Customer_ID]],Customer_Details[#All],4,0)</f>
        <v>Adult</v>
      </c>
      <c r="F261" s="2" t="str">
        <f>VLOOKUP(Sales_Details2[[#This Row],[Customer_ID]],Customer_Details[#All],5,0)</f>
        <v>Male</v>
      </c>
      <c r="G261" s="2" t="str">
        <f>VLOOKUP(Sales_Details2[[#This Row],[Customer_ID]],Customer_Details[#All],9,0)</f>
        <v>Gold</v>
      </c>
      <c r="H261" s="2" t="s">
        <v>1601</v>
      </c>
      <c r="I261" s="2" t="str">
        <f>VLOOKUP(Sales_Details2[[#This Row],[Product_ID]],Product_details[[#All],[Product_ID]:[Cost]],3,0)</f>
        <v>Home</v>
      </c>
      <c r="J261" s="2" t="str">
        <f>VLOOKUP(Sales_Details2[[#This Row],[Product_ID]],Product_details[[#All],[Product_ID]:[Cost]],4,0)</f>
        <v>Lighting</v>
      </c>
      <c r="K261" s="2" t="s">
        <v>1744</v>
      </c>
      <c r="L261" s="2" t="str">
        <f>_xlfn.XLOOKUP(Sales_Details2[[#This Row],[Store_ID]],Table2[Store_ID],Table2[Region],"Region not found")</f>
        <v>South</v>
      </c>
      <c r="M261" s="25">
        <v>2</v>
      </c>
      <c r="N261" s="36">
        <v>355.3</v>
      </c>
      <c r="O261" s="30">
        <f>(1-Sales_Details2[[#This Row],[Total_Amount]]/(Sales_Details2[[#This Row],[Quantity]]*Sales_Details2[[#This Row],[Unit_Price]]))</f>
        <v>0.17000000000000004</v>
      </c>
      <c r="P261" s="2" t="s">
        <v>1809</v>
      </c>
      <c r="Q261" s="36">
        <v>589.798</v>
      </c>
    </row>
    <row r="262" spans="1:17" x14ac:dyDescent="0.3">
      <c r="A262" s="2" t="s">
        <v>2069</v>
      </c>
      <c r="B262" s="14">
        <v>45497</v>
      </c>
      <c r="C262" s="2">
        <f>YEAR(Sales_Details2[[#This Row],[Order_Date]])</f>
        <v>2024</v>
      </c>
      <c r="D262" s="2" t="s">
        <v>361</v>
      </c>
      <c r="E262" s="2" t="str">
        <f>VLOOKUP(Sales_Details2[[#This Row],[Customer_ID]],Customer_Details[#All],4,0)</f>
        <v>Adult</v>
      </c>
      <c r="F262" s="2" t="str">
        <f>VLOOKUP(Sales_Details2[[#This Row],[Customer_ID]],Customer_Details[#All],5,0)</f>
        <v>Male</v>
      </c>
      <c r="G262" s="2" t="str">
        <f>VLOOKUP(Sales_Details2[[#This Row],[Customer_ID]],Customer_Details[#All],9,0)</f>
        <v>Bronze</v>
      </c>
      <c r="H262" s="2" t="s">
        <v>1709</v>
      </c>
      <c r="I262" s="2" t="str">
        <f>VLOOKUP(Sales_Details2[[#This Row],[Product_ID]],Product_details[[#All],[Product_ID]:[Cost]],3,0)</f>
        <v>Beauty</v>
      </c>
      <c r="J262" s="2" t="str">
        <f>VLOOKUP(Sales_Details2[[#This Row],[Product_ID]],Product_details[[#All],[Product_ID]:[Cost]],4,0)</f>
        <v>Makeup</v>
      </c>
      <c r="K262" s="2" t="s">
        <v>1796</v>
      </c>
      <c r="L262" s="2" t="str">
        <f>_xlfn.XLOOKUP(Sales_Details2[[#This Row],[Store_ID]],Table2[Store_ID],Table2[Region],"Region not found")</f>
        <v>East</v>
      </c>
      <c r="M262" s="25">
        <v>4</v>
      </c>
      <c r="N262" s="36">
        <v>611.29999999999995</v>
      </c>
      <c r="O262" s="29">
        <v>0.11</v>
      </c>
      <c r="P262" s="2" t="s">
        <v>1809</v>
      </c>
      <c r="Q262" s="36">
        <v>2176.2280000000001</v>
      </c>
    </row>
    <row r="263" spans="1:17" x14ac:dyDescent="0.3">
      <c r="A263" s="2" t="s">
        <v>2070</v>
      </c>
      <c r="B263" s="14">
        <v>45742</v>
      </c>
      <c r="C263" s="2">
        <f>YEAR(Sales_Details2[[#This Row],[Order_Date]])</f>
        <v>2025</v>
      </c>
      <c r="D263" s="2" t="s">
        <v>1036</v>
      </c>
      <c r="E263" s="2" t="str">
        <f>VLOOKUP(Sales_Details2[[#This Row],[Customer_ID]],Customer_Details[#All],4,0)</f>
        <v>Senior</v>
      </c>
      <c r="F263" s="2" t="str">
        <f>VLOOKUP(Sales_Details2[[#This Row],[Customer_ID]],Customer_Details[#All],5,0)</f>
        <v>Female</v>
      </c>
      <c r="G263" s="2" t="str">
        <f>VLOOKUP(Sales_Details2[[#This Row],[Customer_ID]],Customer_Details[#All],9,0)</f>
        <v>Gold</v>
      </c>
      <c r="H263" s="2" t="s">
        <v>1526</v>
      </c>
      <c r="I263" s="2" t="str">
        <f>VLOOKUP(Sales_Details2[[#This Row],[Product_ID]],Product_details[[#All],[Product_ID]:[Cost]],3,0)</f>
        <v>Electronics</v>
      </c>
      <c r="J263" s="2" t="str">
        <f>VLOOKUP(Sales_Details2[[#This Row],[Product_ID]],Product_details[[#All],[Product_ID]:[Cost]],4,0)</f>
        <v>Computer</v>
      </c>
      <c r="K263" s="2" t="s">
        <v>1765</v>
      </c>
      <c r="L263" s="2" t="str">
        <f>_xlfn.XLOOKUP(Sales_Details2[[#This Row],[Store_ID]],Table2[Store_ID],Table2[Region],"Region not found")</f>
        <v>West</v>
      </c>
      <c r="M263" s="25">
        <v>4</v>
      </c>
      <c r="N263" s="36">
        <v>849.21</v>
      </c>
      <c r="O263" s="29">
        <v>7.0000000000000007E-2</v>
      </c>
      <c r="P263" s="2" t="s">
        <v>1807</v>
      </c>
      <c r="Q263" s="36">
        <v>3159.0612000000001</v>
      </c>
    </row>
    <row r="264" spans="1:17" x14ac:dyDescent="0.3">
      <c r="A264" s="2" t="s">
        <v>2071</v>
      </c>
      <c r="B264" s="14">
        <v>45713</v>
      </c>
      <c r="C264" s="2">
        <f>YEAR(Sales_Details2[[#This Row],[Order_Date]])</f>
        <v>2025</v>
      </c>
      <c r="D264" s="2" t="s">
        <v>675</v>
      </c>
      <c r="E264" s="2" t="str">
        <f>VLOOKUP(Sales_Details2[[#This Row],[Customer_ID]],Customer_Details[#All],4,0)</f>
        <v>Mid-Adult</v>
      </c>
      <c r="F264" s="2" t="str">
        <f>VLOOKUP(Sales_Details2[[#This Row],[Customer_ID]],Customer_Details[#All],5,0)</f>
        <v>Female</v>
      </c>
      <c r="G264" s="2" t="str">
        <f>VLOOKUP(Sales_Details2[[#This Row],[Customer_ID]],Customer_Details[#All],9,0)</f>
        <v>Platinum</v>
      </c>
      <c r="H264" s="2" t="s">
        <v>1615</v>
      </c>
      <c r="I264" s="2" t="str">
        <f>VLOOKUP(Sales_Details2[[#This Row],[Product_ID]],Product_details[[#All],[Product_ID]:[Cost]],3,0)</f>
        <v>Electronics</v>
      </c>
      <c r="J264" s="2" t="str">
        <f>VLOOKUP(Sales_Details2[[#This Row],[Product_ID]],Product_details[[#All],[Product_ID]:[Cost]],4,0)</f>
        <v>Accessories</v>
      </c>
      <c r="K264" s="2" t="s">
        <v>1762</v>
      </c>
      <c r="L264" s="2" t="str">
        <f>_xlfn.XLOOKUP(Sales_Details2[[#This Row],[Store_ID]],Table2[Store_ID],Table2[Region],"Region not found")</f>
        <v>South</v>
      </c>
      <c r="M264" s="25">
        <v>3</v>
      </c>
      <c r="N264" s="36">
        <v>553.12</v>
      </c>
      <c r="O264" s="29">
        <v>0.28000000000000003</v>
      </c>
      <c r="P264" s="2" t="s">
        <v>1812</v>
      </c>
      <c r="Q264" s="36">
        <v>1194.7392</v>
      </c>
    </row>
    <row r="265" spans="1:17" x14ac:dyDescent="0.3">
      <c r="A265" s="2" t="s">
        <v>2072</v>
      </c>
      <c r="B265" s="14">
        <v>45826</v>
      </c>
      <c r="C265" s="2">
        <f>YEAR(Sales_Details2[[#This Row],[Order_Date]])</f>
        <v>2025</v>
      </c>
      <c r="D265" s="2" t="s">
        <v>888</v>
      </c>
      <c r="E265" s="2" t="str">
        <f>VLOOKUP(Sales_Details2[[#This Row],[Customer_ID]],Customer_Details[#All],4,0)</f>
        <v>Mid-Adult</v>
      </c>
      <c r="F265" s="2" t="str">
        <f>VLOOKUP(Sales_Details2[[#This Row],[Customer_ID]],Customer_Details[#All],5,0)</f>
        <v>Female</v>
      </c>
      <c r="G265" s="2" t="str">
        <f>VLOOKUP(Sales_Details2[[#This Row],[Customer_ID]],Customer_Details[#All],9,0)</f>
        <v>Gold</v>
      </c>
      <c r="H265" s="2" t="s">
        <v>1713</v>
      </c>
      <c r="I265" s="2" t="str">
        <f>VLOOKUP(Sales_Details2[[#This Row],[Product_ID]],Product_details[[#All],[Product_ID]:[Cost]],3,0)</f>
        <v>Clothing</v>
      </c>
      <c r="J265" s="2" t="str">
        <f>VLOOKUP(Sales_Details2[[#This Row],[Product_ID]],Product_details[[#All],[Product_ID]:[Cost]],4,0)</f>
        <v>Footwear</v>
      </c>
      <c r="K265" s="2" t="s">
        <v>1769</v>
      </c>
      <c r="L265" s="2" t="str">
        <f>_xlfn.XLOOKUP(Sales_Details2[[#This Row],[Store_ID]],Table2[Store_ID],Table2[Region],"Region not found")</f>
        <v>South</v>
      </c>
      <c r="M265" s="25">
        <v>2</v>
      </c>
      <c r="N265" s="36">
        <v>903.08</v>
      </c>
      <c r="O265" s="29">
        <v>0.18</v>
      </c>
      <c r="P265" s="2" t="s">
        <v>1812</v>
      </c>
      <c r="Q265" s="36">
        <v>1481.0512000000001</v>
      </c>
    </row>
    <row r="266" spans="1:17" x14ac:dyDescent="0.3">
      <c r="A266" s="2" t="s">
        <v>2073</v>
      </c>
      <c r="B266" s="14">
        <v>45648</v>
      </c>
      <c r="C266" s="2">
        <f>YEAR(Sales_Details2[[#This Row],[Order_Date]])</f>
        <v>2024</v>
      </c>
      <c r="D266" s="2" t="s">
        <v>1456</v>
      </c>
      <c r="E266" s="2" t="str">
        <f>VLOOKUP(Sales_Details2[[#This Row],[Customer_ID]],Customer_Details[#All],4,0)</f>
        <v>Senior</v>
      </c>
      <c r="F266" s="2" t="str">
        <f>VLOOKUP(Sales_Details2[[#This Row],[Customer_ID]],Customer_Details[#All],5,0)</f>
        <v>Male</v>
      </c>
      <c r="G266" s="2" t="str">
        <f>VLOOKUP(Sales_Details2[[#This Row],[Customer_ID]],Customer_Details[#All],9,0)</f>
        <v>Gold</v>
      </c>
      <c r="H266" s="2" t="s">
        <v>1563</v>
      </c>
      <c r="I266" s="2" t="str">
        <f>VLOOKUP(Sales_Details2[[#This Row],[Product_ID]],Product_details[[#All],[Product_ID]:[Cost]],3,0)</f>
        <v>Beauty</v>
      </c>
      <c r="J266" s="2" t="str">
        <f>VLOOKUP(Sales_Details2[[#This Row],[Product_ID]],Product_details[[#All],[Product_ID]:[Cost]],4,0)</f>
        <v>Grooming</v>
      </c>
      <c r="K266" s="2" t="s">
        <v>1775</v>
      </c>
      <c r="L266" s="2" t="str">
        <f>_xlfn.XLOOKUP(Sales_Details2[[#This Row],[Store_ID]],Table2[Store_ID],Table2[Region],"Region not found")</f>
        <v>South</v>
      </c>
      <c r="M266" s="25">
        <v>4</v>
      </c>
      <c r="N266" s="36">
        <v>640.23</v>
      </c>
      <c r="O266" s="29">
        <v>0.06</v>
      </c>
      <c r="P266" s="2" t="s">
        <v>1812</v>
      </c>
      <c r="Q266" s="36">
        <v>2407.2647999999999</v>
      </c>
    </row>
    <row r="267" spans="1:17" x14ac:dyDescent="0.3">
      <c r="A267" s="2" t="s">
        <v>2074</v>
      </c>
      <c r="B267" s="14">
        <v>45836</v>
      </c>
      <c r="C267" s="2">
        <f>YEAR(Sales_Details2[[#This Row],[Order_Date]])</f>
        <v>2025</v>
      </c>
      <c r="D267" s="2" t="s">
        <v>473</v>
      </c>
      <c r="E267" s="2" t="str">
        <f>VLOOKUP(Sales_Details2[[#This Row],[Customer_ID]],Customer_Details[#All],4,0)</f>
        <v>Adult</v>
      </c>
      <c r="F267" s="2" t="str">
        <f>VLOOKUP(Sales_Details2[[#This Row],[Customer_ID]],Customer_Details[#All],5,0)</f>
        <v>Male</v>
      </c>
      <c r="G267" s="2" t="str">
        <f>VLOOKUP(Sales_Details2[[#This Row],[Customer_ID]],Customer_Details[#All],9,0)</f>
        <v>Bronze</v>
      </c>
      <c r="H267" s="2" t="s">
        <v>1573</v>
      </c>
      <c r="I267" s="2" t="str">
        <f>VLOOKUP(Sales_Details2[[#This Row],[Product_ID]],Product_details[[#All],[Product_ID]:[Cost]],3,0)</f>
        <v>Home</v>
      </c>
      <c r="J267" s="2" t="str">
        <f>VLOOKUP(Sales_Details2[[#This Row],[Product_ID]],Product_details[[#All],[Product_ID]:[Cost]],4,0)</f>
        <v>Storage</v>
      </c>
      <c r="K267" s="2" t="s">
        <v>1759</v>
      </c>
      <c r="L267" s="2" t="str">
        <f>_xlfn.XLOOKUP(Sales_Details2[[#This Row],[Store_ID]],Table2[Store_ID],Table2[Region],"Region not found")</f>
        <v>East</v>
      </c>
      <c r="M267" s="25">
        <v>1</v>
      </c>
      <c r="N267" s="36">
        <v>518</v>
      </c>
      <c r="O267" s="29">
        <v>0.25</v>
      </c>
      <c r="P267" s="2" t="s">
        <v>1807</v>
      </c>
      <c r="Q267" s="36">
        <v>388.5</v>
      </c>
    </row>
    <row r="268" spans="1:17" x14ac:dyDescent="0.3">
      <c r="A268" s="2" t="s">
        <v>2075</v>
      </c>
      <c r="B268" s="14">
        <v>45437</v>
      </c>
      <c r="C268" s="2">
        <f>YEAR(Sales_Details2[[#This Row],[Order_Date]])</f>
        <v>2024</v>
      </c>
      <c r="D268" s="2" t="s">
        <v>1327</v>
      </c>
      <c r="E268" s="2" t="str">
        <f>VLOOKUP(Sales_Details2[[#This Row],[Customer_ID]],Customer_Details[#All],4,0)</f>
        <v>Senior</v>
      </c>
      <c r="F268" s="2" t="str">
        <f>VLOOKUP(Sales_Details2[[#This Row],[Customer_ID]],Customer_Details[#All],5,0)</f>
        <v>Female</v>
      </c>
      <c r="G268" s="2" t="str">
        <f>VLOOKUP(Sales_Details2[[#This Row],[Customer_ID]],Customer_Details[#All],9,0)</f>
        <v>Silver</v>
      </c>
      <c r="H268" s="2" t="s">
        <v>1659</v>
      </c>
      <c r="I268" s="2" t="str">
        <f>VLOOKUP(Sales_Details2[[#This Row],[Product_ID]],Product_details[[#All],[Product_ID]:[Cost]],3,0)</f>
        <v>Beauty</v>
      </c>
      <c r="J268" s="2" t="str">
        <f>VLOOKUP(Sales_Details2[[#This Row],[Product_ID]],Product_details[[#All],[Product_ID]:[Cost]],4,0)</f>
        <v>Makeup</v>
      </c>
      <c r="K268" s="2" t="s">
        <v>1752</v>
      </c>
      <c r="L268" s="2" t="str">
        <f>_xlfn.XLOOKUP(Sales_Details2[[#This Row],[Store_ID]],Table2[Store_ID],Table2[Region],"Region not found")</f>
        <v>South</v>
      </c>
      <c r="M268" s="25">
        <v>4</v>
      </c>
      <c r="N268" s="36">
        <v>779.25</v>
      </c>
      <c r="O268" s="29">
        <v>0.25</v>
      </c>
      <c r="P268" s="2" t="s">
        <v>1807</v>
      </c>
      <c r="Q268" s="36">
        <v>2337.75</v>
      </c>
    </row>
    <row r="269" spans="1:17" x14ac:dyDescent="0.3">
      <c r="A269" s="2" t="s">
        <v>2076</v>
      </c>
      <c r="B269" s="14">
        <v>45807</v>
      </c>
      <c r="C269" s="2">
        <f>YEAR(Sales_Details2[[#This Row],[Order_Date]])</f>
        <v>2025</v>
      </c>
      <c r="D269" s="2" t="s">
        <v>406</v>
      </c>
      <c r="E269" s="2" t="str">
        <f>VLOOKUP(Sales_Details2[[#This Row],[Customer_ID]],Customer_Details[#All],4,0)</f>
        <v>Mid-Adult</v>
      </c>
      <c r="F269" s="2" t="str">
        <f>VLOOKUP(Sales_Details2[[#This Row],[Customer_ID]],Customer_Details[#All],5,0)</f>
        <v>Male</v>
      </c>
      <c r="G269" s="2" t="str">
        <f>VLOOKUP(Sales_Details2[[#This Row],[Customer_ID]],Customer_Details[#All],9,0)</f>
        <v>Platinum</v>
      </c>
      <c r="H269" s="2" t="s">
        <v>1697</v>
      </c>
      <c r="I269" s="2" t="str">
        <f>VLOOKUP(Sales_Details2[[#This Row],[Product_ID]],Product_details[[#All],[Product_ID]:[Cost]],3,0)</f>
        <v>Beauty</v>
      </c>
      <c r="J269" s="2" t="str">
        <f>VLOOKUP(Sales_Details2[[#This Row],[Product_ID]],Product_details[[#All],[Product_ID]:[Cost]],4,0)</f>
        <v>Skincare</v>
      </c>
      <c r="K269" s="2" t="s">
        <v>1762</v>
      </c>
      <c r="L269" s="2" t="str">
        <f>_xlfn.XLOOKUP(Sales_Details2[[#This Row],[Store_ID]],Table2[Store_ID],Table2[Region],"Region not found")</f>
        <v>South</v>
      </c>
      <c r="M269" s="25">
        <v>2</v>
      </c>
      <c r="N269" s="36">
        <v>467.75</v>
      </c>
      <c r="O269" s="29">
        <v>0.26</v>
      </c>
      <c r="P269" s="2" t="s">
        <v>1807</v>
      </c>
      <c r="Q269" s="36">
        <v>692.27</v>
      </c>
    </row>
    <row r="270" spans="1:17" x14ac:dyDescent="0.3">
      <c r="A270" s="2" t="s">
        <v>2077</v>
      </c>
      <c r="B270" s="14">
        <v>45555</v>
      </c>
      <c r="C270" s="2">
        <f>YEAR(Sales_Details2[[#This Row],[Order_Date]])</f>
        <v>2024</v>
      </c>
      <c r="D270" s="2" t="s">
        <v>1249</v>
      </c>
      <c r="E270" s="2" t="str">
        <f>VLOOKUP(Sales_Details2[[#This Row],[Customer_ID]],Customer_Details[#All],4,0)</f>
        <v>Adult</v>
      </c>
      <c r="F270" s="2" t="str">
        <f>VLOOKUP(Sales_Details2[[#This Row],[Customer_ID]],Customer_Details[#All],5,0)</f>
        <v>Female</v>
      </c>
      <c r="G270" s="2" t="str">
        <f>VLOOKUP(Sales_Details2[[#This Row],[Customer_ID]],Customer_Details[#All],9,0)</f>
        <v>Gold</v>
      </c>
      <c r="H270" s="2" t="s">
        <v>1711</v>
      </c>
      <c r="I270" s="2" t="str">
        <f>VLOOKUP(Sales_Details2[[#This Row],[Product_ID]],Product_details[[#All],[Product_ID]:[Cost]],3,0)</f>
        <v>Electronics</v>
      </c>
      <c r="J270" s="2" t="str">
        <f>VLOOKUP(Sales_Details2[[#This Row],[Product_ID]],Product_details[[#All],[Product_ID]:[Cost]],4,0)</f>
        <v>Accessories</v>
      </c>
      <c r="K270" s="2" t="s">
        <v>1793</v>
      </c>
      <c r="L270" s="2" t="str">
        <f>_xlfn.XLOOKUP(Sales_Details2[[#This Row],[Store_ID]],Table2[Store_ID],Table2[Region],"Region not found")</f>
        <v>East</v>
      </c>
      <c r="M270" s="25">
        <v>3</v>
      </c>
      <c r="N270" s="37">
        <v>111.79</v>
      </c>
      <c r="O270" s="29">
        <v>0.06</v>
      </c>
      <c r="P270" s="2" t="s">
        <v>1807</v>
      </c>
      <c r="Q270" s="36">
        <v>315.24779999999998</v>
      </c>
    </row>
    <row r="271" spans="1:17" x14ac:dyDescent="0.3">
      <c r="A271" s="2" t="s">
        <v>2078</v>
      </c>
      <c r="B271" s="14">
        <v>45803</v>
      </c>
      <c r="C271" s="2">
        <f>YEAR(Sales_Details2[[#This Row],[Order_Date]])</f>
        <v>2025</v>
      </c>
      <c r="D271" s="2" t="s">
        <v>705</v>
      </c>
      <c r="E271" s="2" t="str">
        <f>VLOOKUP(Sales_Details2[[#This Row],[Customer_ID]],Customer_Details[#All],4,0)</f>
        <v>Mid-Adult</v>
      </c>
      <c r="F271" s="2" t="str">
        <f>VLOOKUP(Sales_Details2[[#This Row],[Customer_ID]],Customer_Details[#All],5,0)</f>
        <v>Female</v>
      </c>
      <c r="G271" s="2" t="str">
        <f>VLOOKUP(Sales_Details2[[#This Row],[Customer_ID]],Customer_Details[#All],9,0)</f>
        <v>Gold</v>
      </c>
      <c r="H271" s="2" t="s">
        <v>1605</v>
      </c>
      <c r="I271" s="2" t="str">
        <f>VLOOKUP(Sales_Details2[[#This Row],[Product_ID]],Product_details[[#All],[Product_ID]:[Cost]],3,0)</f>
        <v>Clothing</v>
      </c>
      <c r="J271" s="2" t="str">
        <f>VLOOKUP(Sales_Details2[[#This Row],[Product_ID]],Product_details[[#All],[Product_ID]:[Cost]],4,0)</f>
        <v>Footwear</v>
      </c>
      <c r="K271" s="2" t="s">
        <v>1735</v>
      </c>
      <c r="L271" s="2" t="str">
        <f>_xlfn.XLOOKUP(Sales_Details2[[#This Row],[Store_ID]],Table2[Store_ID],Table2[Region],"Region not found")</f>
        <v>East</v>
      </c>
      <c r="M271" s="25">
        <v>4</v>
      </c>
      <c r="N271" s="36">
        <v>747.01</v>
      </c>
      <c r="O271" s="29">
        <v>0.13</v>
      </c>
      <c r="P271" s="2" t="s">
        <v>1809</v>
      </c>
      <c r="Q271" s="36">
        <v>2599.5947999999999</v>
      </c>
    </row>
    <row r="272" spans="1:17" x14ac:dyDescent="0.3">
      <c r="A272" s="2" t="s">
        <v>2079</v>
      </c>
      <c r="B272" s="14">
        <v>45735</v>
      </c>
      <c r="C272" s="2">
        <f>YEAR(Sales_Details2[[#This Row],[Order_Date]])</f>
        <v>2025</v>
      </c>
      <c r="D272" s="2" t="s">
        <v>355</v>
      </c>
      <c r="E272" s="2" t="str">
        <f>VLOOKUP(Sales_Details2[[#This Row],[Customer_ID]],Customer_Details[#All],4,0)</f>
        <v>Adult</v>
      </c>
      <c r="F272" s="2" t="str">
        <f>VLOOKUP(Sales_Details2[[#This Row],[Customer_ID]],Customer_Details[#All],5,0)</f>
        <v>Male</v>
      </c>
      <c r="G272" s="2" t="str">
        <f>VLOOKUP(Sales_Details2[[#This Row],[Customer_ID]],Customer_Details[#All],9,0)</f>
        <v>Gold</v>
      </c>
      <c r="H272" s="2" t="s">
        <v>1709</v>
      </c>
      <c r="I272" s="2" t="str">
        <f>VLOOKUP(Sales_Details2[[#This Row],[Product_ID]],Product_details[[#All],[Product_ID]:[Cost]],3,0)</f>
        <v>Beauty</v>
      </c>
      <c r="J272" s="2" t="str">
        <f>VLOOKUP(Sales_Details2[[#This Row],[Product_ID]],Product_details[[#All],[Product_ID]:[Cost]],4,0)</f>
        <v>Makeup</v>
      </c>
      <c r="K272" s="2" t="s">
        <v>1777</v>
      </c>
      <c r="L272" s="2" t="str">
        <f>_xlfn.XLOOKUP(Sales_Details2[[#This Row],[Store_ID]],Table2[Store_ID],Table2[Region],"Region not found")</f>
        <v>North</v>
      </c>
      <c r="M272" s="25">
        <v>4</v>
      </c>
      <c r="N272" s="36">
        <v>461.83</v>
      </c>
      <c r="O272" s="29">
        <v>0.28000000000000003</v>
      </c>
      <c r="P272" s="2" t="s">
        <v>1809</v>
      </c>
      <c r="Q272" s="36">
        <v>1330.0704000000001</v>
      </c>
    </row>
    <row r="273" spans="1:17" x14ac:dyDescent="0.3">
      <c r="A273" s="2" t="s">
        <v>2080</v>
      </c>
      <c r="B273" s="14">
        <v>45750</v>
      </c>
      <c r="C273" s="2">
        <f>YEAR(Sales_Details2[[#This Row],[Order_Date]])</f>
        <v>2025</v>
      </c>
      <c r="D273" s="2" t="s">
        <v>453</v>
      </c>
      <c r="E273" s="2" t="str">
        <f>VLOOKUP(Sales_Details2[[#This Row],[Customer_ID]],Customer_Details[#All],4,0)</f>
        <v>Senior</v>
      </c>
      <c r="F273" s="2" t="str">
        <f>VLOOKUP(Sales_Details2[[#This Row],[Customer_ID]],Customer_Details[#All],5,0)</f>
        <v>Male</v>
      </c>
      <c r="G273" s="2" t="str">
        <f>VLOOKUP(Sales_Details2[[#This Row],[Customer_ID]],Customer_Details[#All],9,0)</f>
        <v>Gold</v>
      </c>
      <c r="H273" s="2" t="s">
        <v>1671</v>
      </c>
      <c r="I273" s="2" t="str">
        <f>VLOOKUP(Sales_Details2[[#This Row],[Product_ID]],Product_details[[#All],[Product_ID]:[Cost]],3,0)</f>
        <v>Home</v>
      </c>
      <c r="J273" s="2" t="str">
        <f>VLOOKUP(Sales_Details2[[#This Row],[Product_ID]],Product_details[[#All],[Product_ID]:[Cost]],4,0)</f>
        <v>Storage</v>
      </c>
      <c r="K273" s="2" t="s">
        <v>1765</v>
      </c>
      <c r="L273" s="2" t="str">
        <f>_xlfn.XLOOKUP(Sales_Details2[[#This Row],[Store_ID]],Table2[Store_ID],Table2[Region],"Region not found")</f>
        <v>West</v>
      </c>
      <c r="M273" s="25">
        <v>2</v>
      </c>
      <c r="N273" s="36">
        <v>105.15</v>
      </c>
      <c r="O273" s="29">
        <v>0.06</v>
      </c>
      <c r="P273" s="2" t="s">
        <v>1807</v>
      </c>
      <c r="Q273" s="36">
        <v>197.68199999999999</v>
      </c>
    </row>
    <row r="274" spans="1:17" x14ac:dyDescent="0.3">
      <c r="A274" s="2" t="s">
        <v>2081</v>
      </c>
      <c r="B274" s="14">
        <v>45693</v>
      </c>
      <c r="C274" s="2">
        <f>YEAR(Sales_Details2[[#This Row],[Order_Date]])</f>
        <v>2025</v>
      </c>
      <c r="D274" s="2" t="s">
        <v>134</v>
      </c>
      <c r="E274" s="2" t="str">
        <f>VLOOKUP(Sales_Details2[[#This Row],[Customer_ID]],Customer_Details[#All],4,0)</f>
        <v>Adult</v>
      </c>
      <c r="F274" s="2" t="str">
        <f>VLOOKUP(Sales_Details2[[#This Row],[Customer_ID]],Customer_Details[#All],5,0)</f>
        <v>Male</v>
      </c>
      <c r="G274" s="2" t="str">
        <f>VLOOKUP(Sales_Details2[[#This Row],[Customer_ID]],Customer_Details[#All],9,0)</f>
        <v>Platinum</v>
      </c>
      <c r="H274" s="2" t="s">
        <v>1577</v>
      </c>
      <c r="I274" s="2" t="str">
        <f>VLOOKUP(Sales_Details2[[#This Row],[Product_ID]],Product_details[[#All],[Product_ID]:[Cost]],3,0)</f>
        <v>Clothing</v>
      </c>
      <c r="J274" s="2" t="str">
        <f>VLOOKUP(Sales_Details2[[#This Row],[Product_ID]],Product_details[[#All],[Product_ID]:[Cost]],4,0)</f>
        <v>Tops</v>
      </c>
      <c r="K274" s="2" t="s">
        <v>1749</v>
      </c>
      <c r="L274" s="2" t="str">
        <f>_xlfn.XLOOKUP(Sales_Details2[[#This Row],[Store_ID]],Table2[Store_ID],Table2[Region],"Region not found")</f>
        <v>North</v>
      </c>
      <c r="M274" s="25">
        <v>3</v>
      </c>
      <c r="N274" s="36">
        <v>610.24</v>
      </c>
      <c r="O274" s="29">
        <v>0.17</v>
      </c>
      <c r="P274" s="2" t="s">
        <v>1812</v>
      </c>
      <c r="Q274" s="36">
        <v>1519.4975999999999</v>
      </c>
    </row>
    <row r="275" spans="1:17" x14ac:dyDescent="0.3">
      <c r="A275" s="2" t="s">
        <v>2082</v>
      </c>
      <c r="B275" s="14">
        <v>45667</v>
      </c>
      <c r="C275" s="2">
        <f>YEAR(Sales_Details2[[#This Row],[Order_Date]])</f>
        <v>2025</v>
      </c>
      <c r="D275" s="2" t="s">
        <v>974</v>
      </c>
      <c r="E275" s="2" t="str">
        <f>VLOOKUP(Sales_Details2[[#This Row],[Customer_ID]],Customer_Details[#All],4,0)</f>
        <v>Mid-Adult</v>
      </c>
      <c r="F275" s="2" t="str">
        <f>VLOOKUP(Sales_Details2[[#This Row],[Customer_ID]],Customer_Details[#All],5,0)</f>
        <v>Female</v>
      </c>
      <c r="G275" s="2" t="str">
        <f>VLOOKUP(Sales_Details2[[#This Row],[Customer_ID]],Customer_Details[#All],9,0)</f>
        <v>Silver</v>
      </c>
      <c r="H275" s="2" t="s">
        <v>1679</v>
      </c>
      <c r="I275" s="2" t="str">
        <f>VLOOKUP(Sales_Details2[[#This Row],[Product_ID]],Product_details[[#All],[Product_ID]:[Cost]],3,0)</f>
        <v>Electronics</v>
      </c>
      <c r="J275" s="2" t="str">
        <f>VLOOKUP(Sales_Details2[[#This Row],[Product_ID]],Product_details[[#All],[Product_ID]:[Cost]],4,0)</f>
        <v>Audio</v>
      </c>
      <c r="K275" s="2" t="s">
        <v>1765</v>
      </c>
      <c r="L275" s="2" t="str">
        <f>_xlfn.XLOOKUP(Sales_Details2[[#This Row],[Store_ID]],Table2[Store_ID],Table2[Region],"Region not found")</f>
        <v>West</v>
      </c>
      <c r="M275" s="25">
        <v>1</v>
      </c>
      <c r="N275" s="36">
        <v>872.12</v>
      </c>
      <c r="O275" s="29">
        <v>7.0000000000000007E-2</v>
      </c>
      <c r="P275" s="2" t="s">
        <v>1809</v>
      </c>
      <c r="Q275" s="36">
        <v>811.07159999999999</v>
      </c>
    </row>
    <row r="276" spans="1:17" x14ac:dyDescent="0.3">
      <c r="A276" s="2" t="s">
        <v>2083</v>
      </c>
      <c r="B276" s="14">
        <v>45316</v>
      </c>
      <c r="C276" s="2">
        <f>YEAR(Sales_Details2[[#This Row],[Order_Date]])</f>
        <v>2024</v>
      </c>
      <c r="D276" s="2" t="s">
        <v>1327</v>
      </c>
      <c r="E276" s="2" t="str">
        <f>VLOOKUP(Sales_Details2[[#This Row],[Customer_ID]],Customer_Details[#All],4,0)</f>
        <v>Senior</v>
      </c>
      <c r="F276" s="2" t="str">
        <f>VLOOKUP(Sales_Details2[[#This Row],[Customer_ID]],Customer_Details[#All],5,0)</f>
        <v>Female</v>
      </c>
      <c r="G276" s="2" t="str">
        <f>VLOOKUP(Sales_Details2[[#This Row],[Customer_ID]],Customer_Details[#All],9,0)</f>
        <v>Silver</v>
      </c>
      <c r="H276" s="2" t="s">
        <v>1551</v>
      </c>
      <c r="I276" s="2" t="str">
        <f>VLOOKUP(Sales_Details2[[#This Row],[Product_ID]],Product_details[[#All],[Product_ID]:[Cost]],3,0)</f>
        <v>Home</v>
      </c>
      <c r="J276" s="2" t="str">
        <f>VLOOKUP(Sales_Details2[[#This Row],[Product_ID]],Product_details[[#All],[Product_ID]:[Cost]],4,0)</f>
        <v>Kitchen</v>
      </c>
      <c r="K276" s="2" t="s">
        <v>1740</v>
      </c>
      <c r="L276" s="2" t="str">
        <f>_xlfn.XLOOKUP(Sales_Details2[[#This Row],[Store_ID]],Table2[Store_ID],Table2[Region],"Region not found")</f>
        <v>North</v>
      </c>
      <c r="M276" s="25">
        <v>1</v>
      </c>
      <c r="N276" s="36">
        <v>406.79</v>
      </c>
      <c r="O276" s="29">
        <v>0.03</v>
      </c>
      <c r="P276" s="2" t="s">
        <v>1812</v>
      </c>
      <c r="Q276" s="36">
        <v>394.58629999999999</v>
      </c>
    </row>
    <row r="277" spans="1:17" x14ac:dyDescent="0.3">
      <c r="A277" s="2" t="s">
        <v>2084</v>
      </c>
      <c r="B277" s="14">
        <v>45932</v>
      </c>
      <c r="C277" s="2">
        <f>YEAR(Sales_Details2[[#This Row],[Order_Date]])</f>
        <v>2025</v>
      </c>
      <c r="D277" s="2" t="s">
        <v>1150</v>
      </c>
      <c r="E277" s="2" t="str">
        <f>VLOOKUP(Sales_Details2[[#This Row],[Customer_ID]],Customer_Details[#All],4,0)</f>
        <v>Adult</v>
      </c>
      <c r="F277" s="2" t="str">
        <f>VLOOKUP(Sales_Details2[[#This Row],[Customer_ID]],Customer_Details[#All],5,0)</f>
        <v>Male</v>
      </c>
      <c r="G277" s="2" t="str">
        <f>VLOOKUP(Sales_Details2[[#This Row],[Customer_ID]],Customer_Details[#All],9,0)</f>
        <v>Bronze</v>
      </c>
      <c r="H277" s="2" t="s">
        <v>1639</v>
      </c>
      <c r="I277" s="2" t="str">
        <f>VLOOKUP(Sales_Details2[[#This Row],[Product_ID]],Product_details[[#All],[Product_ID]:[Cost]],3,0)</f>
        <v>Sports</v>
      </c>
      <c r="J277" s="2" t="str">
        <f>VLOOKUP(Sales_Details2[[#This Row],[Product_ID]],Product_details[[#All],[Product_ID]:[Cost]],4,0)</f>
        <v>Accessories</v>
      </c>
      <c r="K277" s="2" t="s">
        <v>1782</v>
      </c>
      <c r="L277" s="2" t="str">
        <f>_xlfn.XLOOKUP(Sales_Details2[[#This Row],[Store_ID]],Table2[Store_ID],Table2[Region],"Region not found")</f>
        <v>South</v>
      </c>
      <c r="M277" s="25">
        <v>1</v>
      </c>
      <c r="N277" s="36">
        <v>606.01</v>
      </c>
      <c r="O277" s="29">
        <v>0.04</v>
      </c>
      <c r="P277" s="2" t="s">
        <v>1809</v>
      </c>
      <c r="Q277" s="36">
        <v>581.76959999999997</v>
      </c>
    </row>
    <row r="278" spans="1:17" x14ac:dyDescent="0.3">
      <c r="A278" s="2" t="s">
        <v>2085</v>
      </c>
      <c r="B278" s="14">
        <v>45483</v>
      </c>
      <c r="C278" s="2">
        <f>YEAR(Sales_Details2[[#This Row],[Order_Date]])</f>
        <v>2024</v>
      </c>
      <c r="D278" s="2" t="s">
        <v>1083</v>
      </c>
      <c r="E278" s="2" t="str">
        <f>VLOOKUP(Sales_Details2[[#This Row],[Customer_ID]],Customer_Details[#All],4,0)</f>
        <v>Mid-Adult</v>
      </c>
      <c r="F278" s="2" t="str">
        <f>VLOOKUP(Sales_Details2[[#This Row],[Customer_ID]],Customer_Details[#All],5,0)</f>
        <v>Male</v>
      </c>
      <c r="G278" s="2" t="str">
        <f>VLOOKUP(Sales_Details2[[#This Row],[Customer_ID]],Customer_Details[#All],9,0)</f>
        <v>Bronze</v>
      </c>
      <c r="H278" s="2" t="s">
        <v>1565</v>
      </c>
      <c r="I278" s="2" t="str">
        <f>VLOOKUP(Sales_Details2[[#This Row],[Product_ID]],Product_details[[#All],[Product_ID]:[Cost]],3,0)</f>
        <v>Sports</v>
      </c>
      <c r="J278" s="2" t="str">
        <f>VLOOKUP(Sales_Details2[[#This Row],[Product_ID]],Product_details[[#All],[Product_ID]:[Cost]],4,0)</f>
        <v>Accessories</v>
      </c>
      <c r="K278" s="2" t="s">
        <v>1756</v>
      </c>
      <c r="L278" s="2" t="str">
        <f>_xlfn.XLOOKUP(Sales_Details2[[#This Row],[Store_ID]],Table2[Store_ID],Table2[Region],"Region not found")</f>
        <v>North</v>
      </c>
      <c r="M278" s="25">
        <v>4</v>
      </c>
      <c r="N278" s="36">
        <v>322.58</v>
      </c>
      <c r="O278" s="29">
        <v>0.06</v>
      </c>
      <c r="P278" s="2" t="s">
        <v>1807</v>
      </c>
      <c r="Q278" s="36">
        <v>1212.9007999999999</v>
      </c>
    </row>
    <row r="279" spans="1:17" x14ac:dyDescent="0.3">
      <c r="A279" s="2" t="s">
        <v>2086</v>
      </c>
      <c r="B279" s="14">
        <v>45661</v>
      </c>
      <c r="C279" s="2">
        <f>YEAR(Sales_Details2[[#This Row],[Order_Date]])</f>
        <v>2025</v>
      </c>
      <c r="D279" s="2" t="s">
        <v>1472</v>
      </c>
      <c r="E279" s="2" t="str">
        <f>VLOOKUP(Sales_Details2[[#This Row],[Customer_ID]],Customer_Details[#All],4,0)</f>
        <v>Mid-Adult</v>
      </c>
      <c r="F279" s="2" t="str">
        <f>VLOOKUP(Sales_Details2[[#This Row],[Customer_ID]],Customer_Details[#All],5,0)</f>
        <v>Male</v>
      </c>
      <c r="G279" s="2" t="str">
        <f>VLOOKUP(Sales_Details2[[#This Row],[Customer_ID]],Customer_Details[#All],9,0)</f>
        <v>Bronze</v>
      </c>
      <c r="H279" s="2" t="s">
        <v>1685</v>
      </c>
      <c r="I279" s="2" t="str">
        <f>VLOOKUP(Sales_Details2[[#This Row],[Product_ID]],Product_details[[#All],[Product_ID]:[Cost]],3,0)</f>
        <v>Electronics</v>
      </c>
      <c r="J279" s="2" t="str">
        <f>VLOOKUP(Sales_Details2[[#This Row],[Product_ID]],Product_details[[#All],[Product_ID]:[Cost]],4,0)</f>
        <v>Appliances</v>
      </c>
      <c r="K279" s="2" t="s">
        <v>1793</v>
      </c>
      <c r="L279" s="2" t="str">
        <f>_xlfn.XLOOKUP(Sales_Details2[[#This Row],[Store_ID]],Table2[Store_ID],Table2[Region],"Region not found")</f>
        <v>East</v>
      </c>
      <c r="M279" s="25">
        <v>4</v>
      </c>
      <c r="N279" s="36">
        <v>463.17</v>
      </c>
      <c r="O279" s="29">
        <v>0.06</v>
      </c>
      <c r="P279" s="2" t="s">
        <v>1809</v>
      </c>
      <c r="Q279" s="36">
        <v>1741.5192</v>
      </c>
    </row>
    <row r="280" spans="1:17" x14ac:dyDescent="0.3">
      <c r="A280" s="2" t="s">
        <v>2087</v>
      </c>
      <c r="B280" s="14">
        <v>45798</v>
      </c>
      <c r="C280" s="2">
        <f>YEAR(Sales_Details2[[#This Row],[Order_Date]])</f>
        <v>2025</v>
      </c>
      <c r="D280" s="2" t="s">
        <v>986</v>
      </c>
      <c r="E280" s="2" t="str">
        <f>VLOOKUP(Sales_Details2[[#This Row],[Customer_ID]],Customer_Details[#All],4,0)</f>
        <v>Mid-Adult</v>
      </c>
      <c r="F280" s="2" t="str">
        <f>VLOOKUP(Sales_Details2[[#This Row],[Customer_ID]],Customer_Details[#All],5,0)</f>
        <v>Male</v>
      </c>
      <c r="G280" s="2" t="str">
        <f>VLOOKUP(Sales_Details2[[#This Row],[Customer_ID]],Customer_Details[#All],9,0)</f>
        <v>Gold</v>
      </c>
      <c r="H280" s="2" t="s">
        <v>1581</v>
      </c>
      <c r="I280" s="2" t="str">
        <f>VLOOKUP(Sales_Details2[[#This Row],[Product_ID]],Product_details[[#All],[Product_ID]:[Cost]],3,0)</f>
        <v>Clothing</v>
      </c>
      <c r="J280" s="2" t="str">
        <f>VLOOKUP(Sales_Details2[[#This Row],[Product_ID]],Product_details[[#All],[Product_ID]:[Cost]],4,0)</f>
        <v>Accessories</v>
      </c>
      <c r="K280" s="2" t="s">
        <v>1762</v>
      </c>
      <c r="L280" s="2" t="str">
        <f>_xlfn.XLOOKUP(Sales_Details2[[#This Row],[Store_ID]],Table2[Store_ID],Table2[Region],"Region not found")</f>
        <v>South</v>
      </c>
      <c r="M280" s="25">
        <v>4</v>
      </c>
      <c r="N280" s="36">
        <v>285.82</v>
      </c>
      <c r="O280" s="29">
        <v>0.18</v>
      </c>
      <c r="P280" s="2" t="s">
        <v>1809</v>
      </c>
      <c r="Q280" s="36">
        <v>937.4896</v>
      </c>
    </row>
    <row r="281" spans="1:17" x14ac:dyDescent="0.3">
      <c r="A281" s="2" t="s">
        <v>2088</v>
      </c>
      <c r="B281" s="14">
        <v>45868</v>
      </c>
      <c r="C281" s="2">
        <f>YEAR(Sales_Details2[[#This Row],[Order_Date]])</f>
        <v>2025</v>
      </c>
      <c r="D281" s="2" t="s">
        <v>1015</v>
      </c>
      <c r="E281" s="2" t="str">
        <f>VLOOKUP(Sales_Details2[[#This Row],[Customer_ID]],Customer_Details[#All],4,0)</f>
        <v>Senior</v>
      </c>
      <c r="F281" s="2" t="str">
        <f>VLOOKUP(Sales_Details2[[#This Row],[Customer_ID]],Customer_Details[#All],5,0)</f>
        <v>Female</v>
      </c>
      <c r="G281" s="2" t="str">
        <f>VLOOKUP(Sales_Details2[[#This Row],[Customer_ID]],Customer_Details[#All],9,0)</f>
        <v>Gold</v>
      </c>
      <c r="H281" s="2" t="s">
        <v>1605</v>
      </c>
      <c r="I281" s="2" t="str">
        <f>VLOOKUP(Sales_Details2[[#This Row],[Product_ID]],Product_details[[#All],[Product_ID]:[Cost]],3,0)</f>
        <v>Clothing</v>
      </c>
      <c r="J281" s="2" t="str">
        <f>VLOOKUP(Sales_Details2[[#This Row],[Product_ID]],Product_details[[#All],[Product_ID]:[Cost]],4,0)</f>
        <v>Footwear</v>
      </c>
      <c r="K281" s="2" t="s">
        <v>1775</v>
      </c>
      <c r="L281" s="2" t="str">
        <f>_xlfn.XLOOKUP(Sales_Details2[[#This Row],[Store_ID]],Table2[Store_ID],Table2[Region],"Region not found")</f>
        <v>South</v>
      </c>
      <c r="M281" s="25">
        <v>3</v>
      </c>
      <c r="N281" s="36">
        <v>995.38</v>
      </c>
      <c r="O281" s="29">
        <v>0.1</v>
      </c>
      <c r="P281" s="2" t="s">
        <v>1809</v>
      </c>
      <c r="Q281" s="36">
        <v>2687.5259999999998</v>
      </c>
    </row>
    <row r="282" spans="1:17" x14ac:dyDescent="0.3">
      <c r="A282" s="2" t="s">
        <v>2089</v>
      </c>
      <c r="B282" s="14">
        <v>45757</v>
      </c>
      <c r="C282" s="2">
        <f>YEAR(Sales_Details2[[#This Row],[Order_Date]])</f>
        <v>2025</v>
      </c>
      <c r="D282" s="2" t="s">
        <v>409</v>
      </c>
      <c r="E282" s="2" t="str">
        <f>VLOOKUP(Sales_Details2[[#This Row],[Customer_ID]],Customer_Details[#All],4,0)</f>
        <v>Mid-Adult</v>
      </c>
      <c r="F282" s="2" t="str">
        <f>VLOOKUP(Sales_Details2[[#This Row],[Customer_ID]],Customer_Details[#All],5,0)</f>
        <v>Male</v>
      </c>
      <c r="G282" s="2" t="str">
        <f>VLOOKUP(Sales_Details2[[#This Row],[Customer_ID]],Customer_Details[#All],9,0)</f>
        <v>Bronze</v>
      </c>
      <c r="H282" s="2" t="s">
        <v>1655</v>
      </c>
      <c r="I282" s="2" t="str">
        <f>VLOOKUP(Sales_Details2[[#This Row],[Product_ID]],Product_details[[#All],[Product_ID]:[Cost]],3,0)</f>
        <v>Electronics</v>
      </c>
      <c r="J282" s="2" t="str">
        <f>VLOOKUP(Sales_Details2[[#This Row],[Product_ID]],Product_details[[#All],[Product_ID]:[Cost]],4,0)</f>
        <v>Computer</v>
      </c>
      <c r="K282" s="2" t="s">
        <v>1765</v>
      </c>
      <c r="L282" s="2" t="str">
        <f>_xlfn.XLOOKUP(Sales_Details2[[#This Row],[Store_ID]],Table2[Store_ID],Table2[Region],"Region not found")</f>
        <v>West</v>
      </c>
      <c r="M282" s="25">
        <v>1</v>
      </c>
      <c r="N282" s="36">
        <v>329.31</v>
      </c>
      <c r="O282" s="29">
        <v>0.09</v>
      </c>
      <c r="P282" s="2" t="s">
        <v>1807</v>
      </c>
      <c r="Q282" s="36">
        <v>299.6721</v>
      </c>
    </row>
    <row r="283" spans="1:17" x14ac:dyDescent="0.3">
      <c r="A283" s="2" t="s">
        <v>2090</v>
      </c>
      <c r="B283" s="14">
        <v>45475</v>
      </c>
      <c r="C283" s="2">
        <f>YEAR(Sales_Details2[[#This Row],[Order_Date]])</f>
        <v>2024</v>
      </c>
      <c r="D283" s="2" t="s">
        <v>1490</v>
      </c>
      <c r="E283" s="2" t="str">
        <f>VLOOKUP(Sales_Details2[[#This Row],[Customer_ID]],Customer_Details[#All],4,0)</f>
        <v>Adult</v>
      </c>
      <c r="F283" s="2" t="str">
        <f>VLOOKUP(Sales_Details2[[#This Row],[Customer_ID]],Customer_Details[#All],5,0)</f>
        <v>Male</v>
      </c>
      <c r="G283" s="2" t="str">
        <f>VLOOKUP(Sales_Details2[[#This Row],[Customer_ID]],Customer_Details[#All],9,0)</f>
        <v>Platinum</v>
      </c>
      <c r="H283" s="2" t="s">
        <v>1625</v>
      </c>
      <c r="I283" s="2" t="str">
        <f>VLOOKUP(Sales_Details2[[#This Row],[Product_ID]],Product_details[[#All],[Product_ID]:[Cost]],3,0)</f>
        <v>Beauty</v>
      </c>
      <c r="J283" s="2" t="str">
        <f>VLOOKUP(Sales_Details2[[#This Row],[Product_ID]],Product_details[[#All],[Product_ID]:[Cost]],4,0)</f>
        <v>Makeup</v>
      </c>
      <c r="K283" s="2" t="s">
        <v>1787</v>
      </c>
      <c r="L283" s="2" t="str">
        <f>_xlfn.XLOOKUP(Sales_Details2[[#This Row],[Store_ID]],Table2[Store_ID],Table2[Region],"Region not found")</f>
        <v>West</v>
      </c>
      <c r="M283" s="25">
        <v>3</v>
      </c>
      <c r="N283" s="36">
        <v>64.2</v>
      </c>
      <c r="O283" s="29">
        <v>0.08</v>
      </c>
      <c r="P283" s="2" t="s">
        <v>1812</v>
      </c>
      <c r="Q283" s="36">
        <v>177.19200000000001</v>
      </c>
    </row>
    <row r="284" spans="1:17" x14ac:dyDescent="0.3">
      <c r="A284" s="2" t="s">
        <v>2091</v>
      </c>
      <c r="B284" s="14">
        <v>45829</v>
      </c>
      <c r="C284" s="2">
        <f>YEAR(Sales_Details2[[#This Row],[Order_Date]])</f>
        <v>2025</v>
      </c>
      <c r="D284" s="2" t="s">
        <v>829</v>
      </c>
      <c r="E284" s="2" t="str">
        <f>VLOOKUP(Sales_Details2[[#This Row],[Customer_ID]],Customer_Details[#All],4,0)</f>
        <v>Senior</v>
      </c>
      <c r="F284" s="2" t="str">
        <f>VLOOKUP(Sales_Details2[[#This Row],[Customer_ID]],Customer_Details[#All],5,0)</f>
        <v>Female</v>
      </c>
      <c r="G284" s="2" t="str">
        <f>VLOOKUP(Sales_Details2[[#This Row],[Customer_ID]],Customer_Details[#All],9,0)</f>
        <v>Silver</v>
      </c>
      <c r="H284" s="2" t="s">
        <v>1553</v>
      </c>
      <c r="I284" s="2" t="str">
        <f>VLOOKUP(Sales_Details2[[#This Row],[Product_ID]],Product_details[[#All],[Product_ID]:[Cost]],3,0)</f>
        <v>Electronics</v>
      </c>
      <c r="J284" s="2" t="str">
        <f>VLOOKUP(Sales_Details2[[#This Row],[Product_ID]],Product_details[[#All],[Product_ID]:[Cost]],4,0)</f>
        <v>Accessories</v>
      </c>
      <c r="K284" s="2" t="s">
        <v>1780</v>
      </c>
      <c r="L284" s="2" t="str">
        <f>_xlfn.XLOOKUP(Sales_Details2[[#This Row],[Store_ID]],Table2[Store_ID],Table2[Region],"Region not found")</f>
        <v>East</v>
      </c>
      <c r="M284" s="25">
        <v>3</v>
      </c>
      <c r="N284" s="36">
        <v>697.13</v>
      </c>
      <c r="O284" s="29">
        <v>0.25</v>
      </c>
      <c r="P284" s="2" t="s">
        <v>1812</v>
      </c>
      <c r="Q284" s="36">
        <v>1568.5425</v>
      </c>
    </row>
    <row r="285" spans="1:17" x14ac:dyDescent="0.3">
      <c r="A285" s="2" t="s">
        <v>2092</v>
      </c>
      <c r="B285" s="14">
        <v>45639</v>
      </c>
      <c r="C285" s="2">
        <f>YEAR(Sales_Details2[[#This Row],[Order_Date]])</f>
        <v>2024</v>
      </c>
      <c r="D285" s="2" t="s">
        <v>97</v>
      </c>
      <c r="E285" s="2" t="str">
        <f>VLOOKUP(Sales_Details2[[#This Row],[Customer_ID]],Customer_Details[#All],4,0)</f>
        <v>Mid-Adult</v>
      </c>
      <c r="F285" s="2" t="str">
        <f>VLOOKUP(Sales_Details2[[#This Row],[Customer_ID]],Customer_Details[#All],5,0)</f>
        <v>Female</v>
      </c>
      <c r="G285" s="2" t="str">
        <f>VLOOKUP(Sales_Details2[[#This Row],[Customer_ID]],Customer_Details[#All],9,0)</f>
        <v>Silver</v>
      </c>
      <c r="H285" s="2" t="s">
        <v>1548</v>
      </c>
      <c r="I285" s="2" t="str">
        <f>VLOOKUP(Sales_Details2[[#This Row],[Product_ID]],Product_details[[#All],[Product_ID]:[Cost]],3,0)</f>
        <v>Sports</v>
      </c>
      <c r="J285" s="2" t="str">
        <f>VLOOKUP(Sales_Details2[[#This Row],[Product_ID]],Product_details[[#All],[Product_ID]:[Cost]],4,0)</f>
        <v>Fitness</v>
      </c>
      <c r="K285" s="2" t="s">
        <v>1756</v>
      </c>
      <c r="L285" s="2" t="str">
        <f>_xlfn.XLOOKUP(Sales_Details2[[#This Row],[Store_ID]],Table2[Store_ID],Table2[Region],"Region not found")</f>
        <v>North</v>
      </c>
      <c r="M285" s="25">
        <v>3</v>
      </c>
      <c r="N285" s="36">
        <v>134.30000000000001</v>
      </c>
      <c r="O285" s="29">
        <v>0.14000000000000001</v>
      </c>
      <c r="P285" s="2" t="s">
        <v>1807</v>
      </c>
      <c r="Q285" s="36">
        <v>346.49400000000003</v>
      </c>
    </row>
    <row r="286" spans="1:17" x14ac:dyDescent="0.3">
      <c r="A286" s="2" t="s">
        <v>2093</v>
      </c>
      <c r="B286" s="14">
        <v>45518</v>
      </c>
      <c r="C286" s="2">
        <f>YEAR(Sales_Details2[[#This Row],[Order_Date]])</f>
        <v>2024</v>
      </c>
      <c r="D286" s="2" t="s">
        <v>823</v>
      </c>
      <c r="E286" s="2" t="str">
        <f>VLOOKUP(Sales_Details2[[#This Row],[Customer_ID]],Customer_Details[#All],4,0)</f>
        <v>Senior</v>
      </c>
      <c r="F286" s="2" t="str">
        <f>VLOOKUP(Sales_Details2[[#This Row],[Customer_ID]],Customer_Details[#All],5,0)</f>
        <v>Female</v>
      </c>
      <c r="G286" s="2" t="str">
        <f>VLOOKUP(Sales_Details2[[#This Row],[Customer_ID]],Customer_Details[#All],9,0)</f>
        <v>Platinum</v>
      </c>
      <c r="H286" s="2" t="s">
        <v>1699</v>
      </c>
      <c r="I286" s="2" t="str">
        <f>VLOOKUP(Sales_Details2[[#This Row],[Product_ID]],Product_details[[#All],[Product_ID]:[Cost]],3,0)</f>
        <v>Home</v>
      </c>
      <c r="J286" s="2" t="str">
        <f>VLOOKUP(Sales_Details2[[#This Row],[Product_ID]],Product_details[[#All],[Product_ID]:[Cost]],4,0)</f>
        <v>Furniture</v>
      </c>
      <c r="K286" s="2" t="s">
        <v>1780</v>
      </c>
      <c r="L286" s="2" t="str">
        <f>_xlfn.XLOOKUP(Sales_Details2[[#This Row],[Store_ID]],Table2[Store_ID],Table2[Region],"Region not found")</f>
        <v>East</v>
      </c>
      <c r="M286" s="25">
        <v>1</v>
      </c>
      <c r="N286" s="36">
        <v>520.92999999999995</v>
      </c>
      <c r="O286" s="29">
        <v>0.15</v>
      </c>
      <c r="P286" s="2" t="s">
        <v>1807</v>
      </c>
      <c r="Q286" s="36">
        <v>442.79050000000001</v>
      </c>
    </row>
    <row r="287" spans="1:17" x14ac:dyDescent="0.3">
      <c r="A287" s="2" t="s">
        <v>2094</v>
      </c>
      <c r="B287" s="14">
        <v>45721</v>
      </c>
      <c r="C287" s="2">
        <f>YEAR(Sales_Details2[[#This Row],[Order_Date]])</f>
        <v>2025</v>
      </c>
      <c r="D287" s="2" t="s">
        <v>721</v>
      </c>
      <c r="E287" s="2" t="str">
        <f>VLOOKUP(Sales_Details2[[#This Row],[Customer_ID]],Customer_Details[#All],4,0)</f>
        <v>Mid-Adult</v>
      </c>
      <c r="F287" s="2" t="str">
        <f>VLOOKUP(Sales_Details2[[#This Row],[Customer_ID]],Customer_Details[#All],5,0)</f>
        <v>Female</v>
      </c>
      <c r="G287" s="2" t="str">
        <f>VLOOKUP(Sales_Details2[[#This Row],[Customer_ID]],Customer_Details[#All],9,0)</f>
        <v>Platinum</v>
      </c>
      <c r="H287" s="2" t="s">
        <v>1569</v>
      </c>
      <c r="I287" s="2" t="str">
        <f>VLOOKUP(Sales_Details2[[#This Row],[Product_ID]],Product_details[[#All],[Product_ID]:[Cost]],3,0)</f>
        <v>Sports</v>
      </c>
      <c r="J287" s="2" t="str">
        <f>VLOOKUP(Sales_Details2[[#This Row],[Product_ID]],Product_details[[#All],[Product_ID]:[Cost]],4,0)</f>
        <v>Equipment</v>
      </c>
      <c r="K287" s="2" t="s">
        <v>1762</v>
      </c>
      <c r="L287" s="2" t="str">
        <f>_xlfn.XLOOKUP(Sales_Details2[[#This Row],[Store_ID]],Table2[Store_ID],Table2[Region],"Region not found")</f>
        <v>South</v>
      </c>
      <c r="M287" s="25">
        <v>2</v>
      </c>
      <c r="N287" s="36">
        <v>350.12</v>
      </c>
      <c r="O287" s="29">
        <v>0.21</v>
      </c>
      <c r="P287" s="2" t="s">
        <v>1812</v>
      </c>
      <c r="Q287" s="36">
        <v>553.18960000000004</v>
      </c>
    </row>
    <row r="288" spans="1:17" x14ac:dyDescent="0.3">
      <c r="A288" s="2" t="s">
        <v>2095</v>
      </c>
      <c r="B288" s="14">
        <v>45308</v>
      </c>
      <c r="C288" s="2">
        <f>YEAR(Sales_Details2[[#This Row],[Order_Date]])</f>
        <v>2024</v>
      </c>
      <c r="D288" s="2" t="s">
        <v>1421</v>
      </c>
      <c r="E288" s="2" t="str">
        <f>VLOOKUP(Sales_Details2[[#This Row],[Customer_ID]],Customer_Details[#All],4,0)</f>
        <v>Adult</v>
      </c>
      <c r="F288" s="2" t="str">
        <f>VLOOKUP(Sales_Details2[[#This Row],[Customer_ID]],Customer_Details[#All],5,0)</f>
        <v>Male</v>
      </c>
      <c r="G288" s="2" t="str">
        <f>VLOOKUP(Sales_Details2[[#This Row],[Customer_ID]],Customer_Details[#All],9,0)</f>
        <v>Silver</v>
      </c>
      <c r="H288" s="2" t="s">
        <v>1627</v>
      </c>
      <c r="I288" s="2" t="str">
        <f>VLOOKUP(Sales_Details2[[#This Row],[Product_ID]],Product_details[[#All],[Product_ID]:[Cost]],3,0)</f>
        <v>Electronics</v>
      </c>
      <c r="J288" s="2" t="str">
        <f>VLOOKUP(Sales_Details2[[#This Row],[Product_ID]],Product_details[[#All],[Product_ID]:[Cost]],4,0)</f>
        <v>Accessories</v>
      </c>
      <c r="K288" s="2" t="s">
        <v>1796</v>
      </c>
      <c r="L288" s="2" t="str">
        <f>_xlfn.XLOOKUP(Sales_Details2[[#This Row],[Store_ID]],Table2[Store_ID],Table2[Region],"Region not found")</f>
        <v>East</v>
      </c>
      <c r="M288" s="25">
        <v>3</v>
      </c>
      <c r="N288" s="36">
        <v>807.95</v>
      </c>
      <c r="O288" s="29">
        <v>0.1</v>
      </c>
      <c r="P288" s="2" t="s">
        <v>1809</v>
      </c>
      <c r="Q288" s="36">
        <v>2181.4650000000011</v>
      </c>
    </row>
    <row r="289" spans="1:17" x14ac:dyDescent="0.3">
      <c r="A289" s="2" t="s">
        <v>2096</v>
      </c>
      <c r="B289" s="14">
        <v>45889</v>
      </c>
      <c r="C289" s="2">
        <f>YEAR(Sales_Details2[[#This Row],[Order_Date]])</f>
        <v>2025</v>
      </c>
      <c r="D289" s="2" t="s">
        <v>1042</v>
      </c>
      <c r="E289" s="2" t="str">
        <f>VLOOKUP(Sales_Details2[[#This Row],[Customer_ID]],Customer_Details[#All],4,0)</f>
        <v>Mid-Adult</v>
      </c>
      <c r="F289" s="2" t="str">
        <f>VLOOKUP(Sales_Details2[[#This Row],[Customer_ID]],Customer_Details[#All],5,0)</f>
        <v>Male</v>
      </c>
      <c r="G289" s="2" t="str">
        <f>VLOOKUP(Sales_Details2[[#This Row],[Customer_ID]],Customer_Details[#All],9,0)</f>
        <v>Platinum</v>
      </c>
      <c r="H289" s="2" t="s">
        <v>1607</v>
      </c>
      <c r="I289" s="2" t="str">
        <f>VLOOKUP(Sales_Details2[[#This Row],[Product_ID]],Product_details[[#All],[Product_ID]:[Cost]],3,0)</f>
        <v>Sports</v>
      </c>
      <c r="J289" s="2" t="str">
        <f>VLOOKUP(Sales_Details2[[#This Row],[Product_ID]],Product_details[[#All],[Product_ID]:[Cost]],4,0)</f>
        <v>Outdoor</v>
      </c>
      <c r="K289" s="2" t="s">
        <v>1759</v>
      </c>
      <c r="L289" s="2" t="str">
        <f>_xlfn.XLOOKUP(Sales_Details2[[#This Row],[Store_ID]],Table2[Store_ID],Table2[Region],"Region not found")</f>
        <v>East</v>
      </c>
      <c r="M289" s="25">
        <v>4</v>
      </c>
      <c r="N289" s="36">
        <v>766.03</v>
      </c>
      <c r="O289" s="29">
        <v>0.28999999999999998</v>
      </c>
      <c r="P289" s="2" t="s">
        <v>1809</v>
      </c>
      <c r="Q289" s="36">
        <v>2175.5252</v>
      </c>
    </row>
    <row r="290" spans="1:17" x14ac:dyDescent="0.3">
      <c r="A290" s="2" t="s">
        <v>2097</v>
      </c>
      <c r="B290" s="14">
        <v>45386</v>
      </c>
      <c r="C290" s="2">
        <f>YEAR(Sales_Details2[[#This Row],[Order_Date]])</f>
        <v>2024</v>
      </c>
      <c r="D290" s="2" t="s">
        <v>595</v>
      </c>
      <c r="E290" s="2" t="str">
        <f>VLOOKUP(Sales_Details2[[#This Row],[Customer_ID]],Customer_Details[#All],4,0)</f>
        <v>Adult</v>
      </c>
      <c r="F290" s="2" t="str">
        <f>VLOOKUP(Sales_Details2[[#This Row],[Customer_ID]],Customer_Details[#All],5,0)</f>
        <v>Female</v>
      </c>
      <c r="G290" s="2" t="str">
        <f>VLOOKUP(Sales_Details2[[#This Row],[Customer_ID]],Customer_Details[#All],9,0)</f>
        <v>Silver</v>
      </c>
      <c r="H290" s="2" t="s">
        <v>1645</v>
      </c>
      <c r="I290" s="2" t="str">
        <f>VLOOKUP(Sales_Details2[[#This Row],[Product_ID]],Product_details[[#All],[Product_ID]:[Cost]],3,0)</f>
        <v>Sports</v>
      </c>
      <c r="J290" s="2" t="str">
        <f>VLOOKUP(Sales_Details2[[#This Row],[Product_ID]],Product_details[[#All],[Product_ID]:[Cost]],4,0)</f>
        <v>Fitness</v>
      </c>
      <c r="K290" s="2" t="s">
        <v>1765</v>
      </c>
      <c r="L290" s="2" t="str">
        <f>_xlfn.XLOOKUP(Sales_Details2[[#This Row],[Store_ID]],Table2[Store_ID],Table2[Region],"Region not found")</f>
        <v>West</v>
      </c>
      <c r="M290" s="25">
        <v>3</v>
      </c>
      <c r="N290" s="36">
        <v>545.1</v>
      </c>
      <c r="O290" s="29">
        <v>0.08</v>
      </c>
      <c r="P290" s="2" t="s">
        <v>1812</v>
      </c>
      <c r="Q290" s="36">
        <v>1504.4760000000001</v>
      </c>
    </row>
    <row r="291" spans="1:17" x14ac:dyDescent="0.3">
      <c r="A291" s="2" t="s">
        <v>2098</v>
      </c>
      <c r="B291" s="14">
        <v>45438</v>
      </c>
      <c r="C291" s="2">
        <f>YEAR(Sales_Details2[[#This Row],[Order_Date]])</f>
        <v>2024</v>
      </c>
      <c r="D291" s="2" t="s">
        <v>832</v>
      </c>
      <c r="E291" s="2" t="str">
        <f>VLOOKUP(Sales_Details2[[#This Row],[Customer_ID]],Customer_Details[#All],4,0)</f>
        <v>Mid-Adult</v>
      </c>
      <c r="F291" s="2" t="str">
        <f>VLOOKUP(Sales_Details2[[#This Row],[Customer_ID]],Customer_Details[#All],5,0)</f>
        <v>Male</v>
      </c>
      <c r="G291" s="2" t="str">
        <f>VLOOKUP(Sales_Details2[[#This Row],[Customer_ID]],Customer_Details[#All],9,0)</f>
        <v>Bronze</v>
      </c>
      <c r="H291" s="2" t="s">
        <v>1661</v>
      </c>
      <c r="I291" s="2" t="str">
        <f>VLOOKUP(Sales_Details2[[#This Row],[Product_ID]],Product_details[[#All],[Product_ID]:[Cost]],3,0)</f>
        <v>Sports</v>
      </c>
      <c r="J291" s="2" t="str">
        <f>VLOOKUP(Sales_Details2[[#This Row],[Product_ID]],Product_details[[#All],[Product_ID]:[Cost]],4,0)</f>
        <v>Fitness</v>
      </c>
      <c r="K291" s="2" t="s">
        <v>1762</v>
      </c>
      <c r="L291" s="2" t="str">
        <f>_xlfn.XLOOKUP(Sales_Details2[[#This Row],[Store_ID]],Table2[Store_ID],Table2[Region],"Region not found")</f>
        <v>South</v>
      </c>
      <c r="M291" s="25">
        <v>1</v>
      </c>
      <c r="N291" s="36">
        <v>203.61</v>
      </c>
      <c r="O291" s="29">
        <v>0.24</v>
      </c>
      <c r="P291" s="2" t="s">
        <v>1812</v>
      </c>
      <c r="Q291" s="36">
        <v>154.74359999999999</v>
      </c>
    </row>
    <row r="292" spans="1:17" x14ac:dyDescent="0.3">
      <c r="A292" s="2" t="s">
        <v>2099</v>
      </c>
      <c r="B292" s="14">
        <v>45856</v>
      </c>
      <c r="C292" s="2">
        <f>YEAR(Sales_Details2[[#This Row],[Order_Date]])</f>
        <v>2025</v>
      </c>
      <c r="D292" s="2" t="s">
        <v>1281</v>
      </c>
      <c r="E292" s="2" t="str">
        <f>VLOOKUP(Sales_Details2[[#This Row],[Customer_ID]],Customer_Details[#All],4,0)</f>
        <v>Senior</v>
      </c>
      <c r="F292" s="2" t="str">
        <f>VLOOKUP(Sales_Details2[[#This Row],[Customer_ID]],Customer_Details[#All],5,0)</f>
        <v>Female</v>
      </c>
      <c r="G292" s="2" t="str">
        <f>VLOOKUP(Sales_Details2[[#This Row],[Customer_ID]],Customer_Details[#All],9,0)</f>
        <v>Bronze</v>
      </c>
      <c r="H292" s="2" t="s">
        <v>1725</v>
      </c>
      <c r="I292" s="2" t="str">
        <f>VLOOKUP(Sales_Details2[[#This Row],[Product_ID]],Product_details[[#All],[Product_ID]:[Cost]],3,0)</f>
        <v>Sports</v>
      </c>
      <c r="J292" s="2" t="str">
        <f>VLOOKUP(Sales_Details2[[#This Row],[Product_ID]],Product_details[[#All],[Product_ID]:[Cost]],4,0)</f>
        <v>Team Sports</v>
      </c>
      <c r="K292" s="2" t="s">
        <v>1784</v>
      </c>
      <c r="L292" s="2" t="str">
        <f>_xlfn.XLOOKUP(Sales_Details2[[#This Row],[Store_ID]],Table2[Store_ID],Table2[Region],"Region not found")</f>
        <v>North</v>
      </c>
      <c r="M292" s="25">
        <v>4</v>
      </c>
      <c r="N292" s="36">
        <v>493.8</v>
      </c>
      <c r="O292" s="29">
        <v>0.24</v>
      </c>
      <c r="P292" s="2" t="s">
        <v>1812</v>
      </c>
      <c r="Q292" s="36">
        <v>1501.152</v>
      </c>
    </row>
    <row r="293" spans="1:17" x14ac:dyDescent="0.3">
      <c r="A293" s="2" t="s">
        <v>2100</v>
      </c>
      <c r="B293" s="14">
        <v>45485</v>
      </c>
      <c r="C293" s="2">
        <f>YEAR(Sales_Details2[[#This Row],[Order_Date]])</f>
        <v>2024</v>
      </c>
      <c r="D293" s="2" t="s">
        <v>78</v>
      </c>
      <c r="E293" s="2" t="str">
        <f>VLOOKUP(Sales_Details2[[#This Row],[Customer_ID]],Customer_Details[#All],4,0)</f>
        <v>Senior</v>
      </c>
      <c r="F293" s="2" t="str">
        <f>VLOOKUP(Sales_Details2[[#This Row],[Customer_ID]],Customer_Details[#All],5,0)</f>
        <v>Female</v>
      </c>
      <c r="G293" s="2" t="str">
        <f>VLOOKUP(Sales_Details2[[#This Row],[Customer_ID]],Customer_Details[#All],9,0)</f>
        <v>Platinum</v>
      </c>
      <c r="H293" s="2" t="s">
        <v>1613</v>
      </c>
      <c r="I293" s="2" t="str">
        <f>VLOOKUP(Sales_Details2[[#This Row],[Product_ID]],Product_details[[#All],[Product_ID]:[Cost]],3,0)</f>
        <v>Sports</v>
      </c>
      <c r="J293" s="2" t="str">
        <f>VLOOKUP(Sales_Details2[[#This Row],[Product_ID]],Product_details[[#All],[Product_ID]:[Cost]],4,0)</f>
        <v>Fitness</v>
      </c>
      <c r="K293" s="2" t="s">
        <v>1790</v>
      </c>
      <c r="L293" s="2" t="str">
        <f>_xlfn.XLOOKUP(Sales_Details2[[#This Row],[Store_ID]],Table2[Store_ID],Table2[Region],"Region not found")</f>
        <v>North</v>
      </c>
      <c r="M293" s="25">
        <v>1</v>
      </c>
      <c r="N293" s="36">
        <v>640.54999999999995</v>
      </c>
      <c r="O293" s="29">
        <v>0.25</v>
      </c>
      <c r="P293" s="2" t="s">
        <v>1807</v>
      </c>
      <c r="Q293" s="36">
        <v>480.41250000000002</v>
      </c>
    </row>
    <row r="294" spans="1:17" x14ac:dyDescent="0.3">
      <c r="A294" s="2" t="s">
        <v>2101</v>
      </c>
      <c r="B294" s="14">
        <v>45545</v>
      </c>
      <c r="C294" s="2">
        <f>YEAR(Sales_Details2[[#This Row],[Order_Date]])</f>
        <v>2024</v>
      </c>
      <c r="D294" s="2" t="s">
        <v>409</v>
      </c>
      <c r="E294" s="2" t="str">
        <f>VLOOKUP(Sales_Details2[[#This Row],[Customer_ID]],Customer_Details[#All],4,0)</f>
        <v>Mid-Adult</v>
      </c>
      <c r="F294" s="2" t="str">
        <f>VLOOKUP(Sales_Details2[[#This Row],[Customer_ID]],Customer_Details[#All],5,0)</f>
        <v>Male</v>
      </c>
      <c r="G294" s="2" t="str">
        <f>VLOOKUP(Sales_Details2[[#This Row],[Customer_ID]],Customer_Details[#All],9,0)</f>
        <v>Bronze</v>
      </c>
      <c r="H294" s="2" t="s">
        <v>1679</v>
      </c>
      <c r="I294" s="2" t="str">
        <f>VLOOKUP(Sales_Details2[[#This Row],[Product_ID]],Product_details[[#All],[Product_ID]:[Cost]],3,0)</f>
        <v>Electronics</v>
      </c>
      <c r="J294" s="2" t="str">
        <f>VLOOKUP(Sales_Details2[[#This Row],[Product_ID]],Product_details[[#All],[Product_ID]:[Cost]],4,0)</f>
        <v>Audio</v>
      </c>
      <c r="K294" s="2" t="s">
        <v>1752</v>
      </c>
      <c r="L294" s="2" t="str">
        <f>_xlfn.XLOOKUP(Sales_Details2[[#This Row],[Store_ID]],Table2[Store_ID],Table2[Region],"Region not found")</f>
        <v>South</v>
      </c>
      <c r="M294" s="25">
        <v>1</v>
      </c>
      <c r="N294" s="36">
        <v>702.53</v>
      </c>
      <c r="O294" s="29">
        <v>0.3</v>
      </c>
      <c r="P294" s="2" t="s">
        <v>1807</v>
      </c>
      <c r="Q294" s="36">
        <v>491.77100000000002</v>
      </c>
    </row>
    <row r="295" spans="1:17" x14ac:dyDescent="0.3">
      <c r="A295" s="2" t="s">
        <v>2102</v>
      </c>
      <c r="B295" s="14">
        <v>45826</v>
      </c>
      <c r="C295" s="2">
        <f>YEAR(Sales_Details2[[#This Row],[Order_Date]])</f>
        <v>2025</v>
      </c>
      <c r="D295" s="2" t="s">
        <v>718</v>
      </c>
      <c r="E295" s="2" t="str">
        <f>VLOOKUP(Sales_Details2[[#This Row],[Customer_ID]],Customer_Details[#All],4,0)</f>
        <v>Adult</v>
      </c>
      <c r="F295" s="2" t="str">
        <f>VLOOKUP(Sales_Details2[[#This Row],[Customer_ID]],Customer_Details[#All],5,0)</f>
        <v>Male</v>
      </c>
      <c r="G295" s="2" t="str">
        <f>VLOOKUP(Sales_Details2[[#This Row],[Customer_ID]],Customer_Details[#All],9,0)</f>
        <v>Silver</v>
      </c>
      <c r="H295" s="2" t="s">
        <v>1609</v>
      </c>
      <c r="I295" s="2" t="str">
        <f>VLOOKUP(Sales_Details2[[#This Row],[Product_ID]],Product_details[[#All],[Product_ID]:[Cost]],3,0)</f>
        <v>Electronics</v>
      </c>
      <c r="J295" s="2" t="str">
        <f>VLOOKUP(Sales_Details2[[#This Row],[Product_ID]],Product_details[[#All],[Product_ID]:[Cost]],4,0)</f>
        <v>Mobile</v>
      </c>
      <c r="K295" s="2" t="s">
        <v>1765</v>
      </c>
      <c r="L295" s="2" t="str">
        <f>_xlfn.XLOOKUP(Sales_Details2[[#This Row],[Store_ID]],Table2[Store_ID],Table2[Region],"Region not found")</f>
        <v>West</v>
      </c>
      <c r="M295" s="25">
        <v>4</v>
      </c>
      <c r="N295" s="36">
        <v>139.94</v>
      </c>
      <c r="O295" s="29">
        <v>0.24</v>
      </c>
      <c r="P295" s="2" t="s">
        <v>1807</v>
      </c>
      <c r="Q295" s="36">
        <v>425.41759999999999</v>
      </c>
    </row>
    <row r="296" spans="1:17" x14ac:dyDescent="0.3">
      <c r="A296" s="2" t="s">
        <v>2103</v>
      </c>
      <c r="B296" s="14">
        <v>45654</v>
      </c>
      <c r="C296" s="2">
        <f>YEAR(Sales_Details2[[#This Row],[Order_Date]])</f>
        <v>2024</v>
      </c>
      <c r="D296" s="2" t="s">
        <v>873</v>
      </c>
      <c r="E296" s="2" t="str">
        <f>VLOOKUP(Sales_Details2[[#This Row],[Customer_ID]],Customer_Details[#All],4,0)</f>
        <v>Adult</v>
      </c>
      <c r="F296" s="2" t="str">
        <f>VLOOKUP(Sales_Details2[[#This Row],[Customer_ID]],Customer_Details[#All],5,0)</f>
        <v>Female</v>
      </c>
      <c r="G296" s="2" t="str">
        <f>VLOOKUP(Sales_Details2[[#This Row],[Customer_ID]],Customer_Details[#All],9,0)</f>
        <v>Platinum</v>
      </c>
      <c r="H296" s="2" t="s">
        <v>1569</v>
      </c>
      <c r="I296" s="2" t="str">
        <f>VLOOKUP(Sales_Details2[[#This Row],[Product_ID]],Product_details[[#All],[Product_ID]:[Cost]],3,0)</f>
        <v>Sports</v>
      </c>
      <c r="J296" s="2" t="str">
        <f>VLOOKUP(Sales_Details2[[#This Row],[Product_ID]],Product_details[[#All],[Product_ID]:[Cost]],4,0)</f>
        <v>Equipment</v>
      </c>
      <c r="K296" s="2" t="s">
        <v>1765</v>
      </c>
      <c r="L296" s="2" t="str">
        <f>_xlfn.XLOOKUP(Sales_Details2[[#This Row],[Store_ID]],Table2[Store_ID],Table2[Region],"Region not found")</f>
        <v>West</v>
      </c>
      <c r="M296" s="25">
        <v>2</v>
      </c>
      <c r="N296" s="36">
        <v>230.85</v>
      </c>
      <c r="O296" s="29">
        <v>0.18</v>
      </c>
      <c r="P296" s="2" t="s">
        <v>1807</v>
      </c>
      <c r="Q296" s="36">
        <v>378.59399999999999</v>
      </c>
    </row>
    <row r="297" spans="1:17" x14ac:dyDescent="0.3">
      <c r="A297" s="2" t="s">
        <v>2104</v>
      </c>
      <c r="B297" s="14">
        <v>45556</v>
      </c>
      <c r="C297" s="2">
        <f>YEAR(Sales_Details2[[#This Row],[Order_Date]])</f>
        <v>2024</v>
      </c>
      <c r="D297" s="2" t="s">
        <v>681</v>
      </c>
      <c r="E297" s="2" t="str">
        <f>VLOOKUP(Sales_Details2[[#This Row],[Customer_ID]],Customer_Details[#All],4,0)</f>
        <v>Adult</v>
      </c>
      <c r="F297" s="2" t="str">
        <f>VLOOKUP(Sales_Details2[[#This Row],[Customer_ID]],Customer_Details[#All],5,0)</f>
        <v>Female</v>
      </c>
      <c r="G297" s="2" t="str">
        <f>VLOOKUP(Sales_Details2[[#This Row],[Customer_ID]],Customer_Details[#All],9,0)</f>
        <v>Silver</v>
      </c>
      <c r="H297" s="2" t="s">
        <v>1701</v>
      </c>
      <c r="I297" s="2" t="str">
        <f>VLOOKUP(Sales_Details2[[#This Row],[Product_ID]],Product_details[[#All],[Product_ID]:[Cost]],3,0)</f>
        <v>Clothing</v>
      </c>
      <c r="J297" s="2" t="str">
        <f>VLOOKUP(Sales_Details2[[#This Row],[Product_ID]],Product_details[[#All],[Product_ID]:[Cost]],4,0)</f>
        <v>Accessories</v>
      </c>
      <c r="K297" s="2" t="s">
        <v>1790</v>
      </c>
      <c r="L297" s="2" t="str">
        <f>_xlfn.XLOOKUP(Sales_Details2[[#This Row],[Store_ID]],Table2[Store_ID],Table2[Region],"Region not found")</f>
        <v>North</v>
      </c>
      <c r="M297" s="25">
        <v>4</v>
      </c>
      <c r="N297" s="36">
        <v>626.35</v>
      </c>
      <c r="O297" s="29">
        <v>0.25</v>
      </c>
      <c r="P297" s="2" t="s">
        <v>1812</v>
      </c>
      <c r="Q297" s="36">
        <v>1879.05</v>
      </c>
    </row>
    <row r="298" spans="1:17" x14ac:dyDescent="0.3">
      <c r="A298" s="2" t="s">
        <v>2105</v>
      </c>
      <c r="B298" s="14">
        <v>45434</v>
      </c>
      <c r="C298" s="2">
        <f>YEAR(Sales_Details2[[#This Row],[Order_Date]])</f>
        <v>2024</v>
      </c>
      <c r="D298" s="2" t="s">
        <v>295</v>
      </c>
      <c r="E298" s="2" t="str">
        <f>VLOOKUP(Sales_Details2[[#This Row],[Customer_ID]],Customer_Details[#All],4,0)</f>
        <v>Senior</v>
      </c>
      <c r="F298" s="2" t="str">
        <f>VLOOKUP(Sales_Details2[[#This Row],[Customer_ID]],Customer_Details[#All],5,0)</f>
        <v>Male</v>
      </c>
      <c r="G298" s="2" t="str">
        <f>VLOOKUP(Sales_Details2[[#This Row],[Customer_ID]],Customer_Details[#All],9,0)</f>
        <v>Bronze</v>
      </c>
      <c r="H298" s="2" t="s">
        <v>1613</v>
      </c>
      <c r="I298" s="2" t="str">
        <f>VLOOKUP(Sales_Details2[[#This Row],[Product_ID]],Product_details[[#All],[Product_ID]:[Cost]],3,0)</f>
        <v>Sports</v>
      </c>
      <c r="J298" s="2" t="str">
        <f>VLOOKUP(Sales_Details2[[#This Row],[Product_ID]],Product_details[[#All],[Product_ID]:[Cost]],4,0)</f>
        <v>Fitness</v>
      </c>
      <c r="K298" s="2" t="s">
        <v>1782</v>
      </c>
      <c r="L298" s="2" t="str">
        <f>_xlfn.XLOOKUP(Sales_Details2[[#This Row],[Store_ID]],Table2[Store_ID],Table2[Region],"Region not found")</f>
        <v>South</v>
      </c>
      <c r="M298" s="25">
        <v>4</v>
      </c>
      <c r="N298" s="36">
        <v>108.55</v>
      </c>
      <c r="O298" s="29">
        <v>0.18</v>
      </c>
      <c r="P298" s="2" t="s">
        <v>1809</v>
      </c>
      <c r="Q298" s="36">
        <v>356.04399999999998</v>
      </c>
    </row>
    <row r="299" spans="1:17" x14ac:dyDescent="0.3">
      <c r="A299" s="2" t="s">
        <v>2106</v>
      </c>
      <c r="B299" s="14">
        <v>45871</v>
      </c>
      <c r="C299" s="2">
        <f>YEAR(Sales_Details2[[#This Row],[Order_Date]])</f>
        <v>2025</v>
      </c>
      <c r="D299" s="2" t="s">
        <v>622</v>
      </c>
      <c r="E299" s="2" t="str">
        <f>VLOOKUP(Sales_Details2[[#This Row],[Customer_ID]],Customer_Details[#All],4,0)</f>
        <v>Adult</v>
      </c>
      <c r="F299" s="2" t="str">
        <f>VLOOKUP(Sales_Details2[[#This Row],[Customer_ID]],Customer_Details[#All],5,0)</f>
        <v>Female</v>
      </c>
      <c r="G299" s="2" t="str">
        <f>VLOOKUP(Sales_Details2[[#This Row],[Customer_ID]],Customer_Details[#All],9,0)</f>
        <v>Bronze</v>
      </c>
      <c r="H299" s="2" t="s">
        <v>1565</v>
      </c>
      <c r="I299" s="2" t="str">
        <f>VLOOKUP(Sales_Details2[[#This Row],[Product_ID]],Product_details[[#All],[Product_ID]:[Cost]],3,0)</f>
        <v>Sports</v>
      </c>
      <c r="J299" s="2" t="str">
        <f>VLOOKUP(Sales_Details2[[#This Row],[Product_ID]],Product_details[[#All],[Product_ID]:[Cost]],4,0)</f>
        <v>Accessories</v>
      </c>
      <c r="K299" s="2" t="s">
        <v>1740</v>
      </c>
      <c r="L299" s="2" t="str">
        <f>_xlfn.XLOOKUP(Sales_Details2[[#This Row],[Store_ID]],Table2[Store_ID],Table2[Region],"Region not found")</f>
        <v>North</v>
      </c>
      <c r="M299" s="25">
        <v>4</v>
      </c>
      <c r="N299" s="36">
        <v>353.67</v>
      </c>
      <c r="O299" s="29">
        <v>0.03</v>
      </c>
      <c r="P299" s="2" t="s">
        <v>1812</v>
      </c>
      <c r="Q299" s="36">
        <v>1372.2396000000001</v>
      </c>
    </row>
    <row r="300" spans="1:17" x14ac:dyDescent="0.3">
      <c r="A300" s="2" t="s">
        <v>2107</v>
      </c>
      <c r="B300" s="14">
        <v>45583</v>
      </c>
      <c r="C300" s="2">
        <f>YEAR(Sales_Details2[[#This Row],[Order_Date]])</f>
        <v>2024</v>
      </c>
      <c r="D300" s="2" t="s">
        <v>238</v>
      </c>
      <c r="E300" s="2" t="str">
        <f>VLOOKUP(Sales_Details2[[#This Row],[Customer_ID]],Customer_Details[#All],4,0)</f>
        <v>Adult</v>
      </c>
      <c r="F300" s="2" t="str">
        <f>VLOOKUP(Sales_Details2[[#This Row],[Customer_ID]],Customer_Details[#All],5,0)</f>
        <v>Female</v>
      </c>
      <c r="G300" s="2" t="str">
        <f>VLOOKUP(Sales_Details2[[#This Row],[Customer_ID]],Customer_Details[#All],9,0)</f>
        <v>Silver</v>
      </c>
      <c r="H300" s="2" t="s">
        <v>1711</v>
      </c>
      <c r="I300" s="2" t="str">
        <f>VLOOKUP(Sales_Details2[[#This Row],[Product_ID]],Product_details[[#All],[Product_ID]:[Cost]],3,0)</f>
        <v>Electronics</v>
      </c>
      <c r="J300" s="2" t="str">
        <f>VLOOKUP(Sales_Details2[[#This Row],[Product_ID]],Product_details[[#All],[Product_ID]:[Cost]],4,0)</f>
        <v>Accessories</v>
      </c>
      <c r="K300" s="2" t="s">
        <v>1740</v>
      </c>
      <c r="L300" s="2" t="str">
        <f>_xlfn.XLOOKUP(Sales_Details2[[#This Row],[Store_ID]],Table2[Store_ID],Table2[Region],"Region not found")</f>
        <v>North</v>
      </c>
      <c r="M300" s="25">
        <v>4</v>
      </c>
      <c r="N300" s="36">
        <v>61.98</v>
      </c>
      <c r="O300" s="29">
        <v>0.16</v>
      </c>
      <c r="P300" s="2" t="s">
        <v>1807</v>
      </c>
      <c r="Q300" s="36">
        <v>208.25280000000001</v>
      </c>
    </row>
    <row r="301" spans="1:17" x14ac:dyDescent="0.3">
      <c r="A301" s="2" t="s">
        <v>2108</v>
      </c>
      <c r="B301" s="14">
        <v>45348</v>
      </c>
      <c r="C301" s="2">
        <f>YEAR(Sales_Details2[[#This Row],[Order_Date]])</f>
        <v>2024</v>
      </c>
      <c r="D301" s="2" t="s">
        <v>696</v>
      </c>
      <c r="E301" s="2" t="str">
        <f>VLOOKUP(Sales_Details2[[#This Row],[Customer_ID]],Customer_Details[#All],4,0)</f>
        <v>Mid-Adult</v>
      </c>
      <c r="F301" s="2" t="str">
        <f>VLOOKUP(Sales_Details2[[#This Row],[Customer_ID]],Customer_Details[#All],5,0)</f>
        <v>Male</v>
      </c>
      <c r="G301" s="2" t="str">
        <f>VLOOKUP(Sales_Details2[[#This Row],[Customer_ID]],Customer_Details[#All],9,0)</f>
        <v>Platinum</v>
      </c>
      <c r="H301" s="2" t="s">
        <v>1575</v>
      </c>
      <c r="I301" s="2" t="str">
        <f>VLOOKUP(Sales_Details2[[#This Row],[Product_ID]],Product_details[[#All],[Product_ID]:[Cost]],3,0)</f>
        <v>Sports</v>
      </c>
      <c r="J301" s="2" t="str">
        <f>VLOOKUP(Sales_Details2[[#This Row],[Product_ID]],Product_details[[#All],[Product_ID]:[Cost]],4,0)</f>
        <v>Equipment</v>
      </c>
      <c r="K301" s="2" t="s">
        <v>1796</v>
      </c>
      <c r="L301" s="2" t="str">
        <f>_xlfn.XLOOKUP(Sales_Details2[[#This Row],[Store_ID]],Table2[Store_ID],Table2[Region],"Region not found")</f>
        <v>East</v>
      </c>
      <c r="M301" s="25">
        <v>2</v>
      </c>
      <c r="N301" s="36">
        <v>873.1</v>
      </c>
      <c r="O301" s="29">
        <v>0.12</v>
      </c>
      <c r="P301" s="2" t="s">
        <v>1809</v>
      </c>
      <c r="Q301" s="36">
        <v>1536.6559999999999</v>
      </c>
    </row>
    <row r="302" spans="1:17" x14ac:dyDescent="0.3">
      <c r="A302" s="2" t="s">
        <v>2109</v>
      </c>
      <c r="B302" s="14">
        <v>45268</v>
      </c>
      <c r="C302" s="2">
        <f>YEAR(Sales_Details2[[#This Row],[Order_Date]])</f>
        <v>2023</v>
      </c>
      <c r="D302" s="2" t="s">
        <v>642</v>
      </c>
      <c r="E302" s="2" t="str">
        <f>VLOOKUP(Sales_Details2[[#This Row],[Customer_ID]],Customer_Details[#All],4,0)</f>
        <v>Senior</v>
      </c>
      <c r="F302" s="2" t="str">
        <f>VLOOKUP(Sales_Details2[[#This Row],[Customer_ID]],Customer_Details[#All],5,0)</f>
        <v>Male</v>
      </c>
      <c r="G302" s="2" t="str">
        <f>VLOOKUP(Sales_Details2[[#This Row],[Customer_ID]],Customer_Details[#All],9,0)</f>
        <v>Bronze</v>
      </c>
      <c r="H302" s="2" t="s">
        <v>1555</v>
      </c>
      <c r="I302" s="2" t="str">
        <f>VLOOKUP(Sales_Details2[[#This Row],[Product_ID]],Product_details[[#All],[Product_ID]:[Cost]],3,0)</f>
        <v>Beauty</v>
      </c>
      <c r="J302" s="2" t="str">
        <f>VLOOKUP(Sales_Details2[[#This Row],[Product_ID]],Product_details[[#All],[Product_ID]:[Cost]],4,0)</f>
        <v>Haircare</v>
      </c>
      <c r="K302" s="2" t="s">
        <v>1784</v>
      </c>
      <c r="L302" s="2" t="str">
        <f>_xlfn.XLOOKUP(Sales_Details2[[#This Row],[Store_ID]],Table2[Store_ID],Table2[Region],"Region not found")</f>
        <v>North</v>
      </c>
      <c r="M302" s="25">
        <v>4</v>
      </c>
      <c r="N302" s="36">
        <v>889.47</v>
      </c>
      <c r="O302" s="29">
        <v>0.24</v>
      </c>
      <c r="P302" s="2" t="s">
        <v>1807</v>
      </c>
      <c r="Q302" s="36">
        <v>2703.9888000000001</v>
      </c>
    </row>
    <row r="303" spans="1:17" x14ac:dyDescent="0.3">
      <c r="A303" s="2" t="s">
        <v>2110</v>
      </c>
      <c r="B303" s="14">
        <v>45596</v>
      </c>
      <c r="C303" s="2">
        <f>YEAR(Sales_Details2[[#This Row],[Order_Date]])</f>
        <v>2024</v>
      </c>
      <c r="D303" s="2" t="s">
        <v>118</v>
      </c>
      <c r="E303" s="2" t="str">
        <f>VLOOKUP(Sales_Details2[[#This Row],[Customer_ID]],Customer_Details[#All],4,0)</f>
        <v>Adult</v>
      </c>
      <c r="F303" s="2" t="str">
        <f>VLOOKUP(Sales_Details2[[#This Row],[Customer_ID]],Customer_Details[#All],5,0)</f>
        <v>Female</v>
      </c>
      <c r="G303" s="2" t="str">
        <f>VLOOKUP(Sales_Details2[[#This Row],[Customer_ID]],Customer_Details[#All],9,0)</f>
        <v>Platinum</v>
      </c>
      <c r="H303" s="2" t="s">
        <v>1679</v>
      </c>
      <c r="I303" s="2" t="str">
        <f>VLOOKUP(Sales_Details2[[#This Row],[Product_ID]],Product_details[[#All],[Product_ID]:[Cost]],3,0)</f>
        <v>Electronics</v>
      </c>
      <c r="J303" s="2" t="str">
        <f>VLOOKUP(Sales_Details2[[#This Row],[Product_ID]],Product_details[[#All],[Product_ID]:[Cost]],4,0)</f>
        <v>Audio</v>
      </c>
      <c r="K303" s="2" t="s">
        <v>1775</v>
      </c>
      <c r="L303" s="2" t="str">
        <f>_xlfn.XLOOKUP(Sales_Details2[[#This Row],[Store_ID]],Table2[Store_ID],Table2[Region],"Region not found")</f>
        <v>South</v>
      </c>
      <c r="M303" s="25">
        <v>3</v>
      </c>
      <c r="N303" s="36">
        <v>803.76</v>
      </c>
      <c r="O303" s="29">
        <v>0.19</v>
      </c>
      <c r="P303" s="2" t="s">
        <v>1812</v>
      </c>
      <c r="Q303" s="36">
        <v>1953.1368</v>
      </c>
    </row>
    <row r="304" spans="1:17" x14ac:dyDescent="0.3">
      <c r="A304" s="2" t="s">
        <v>2111</v>
      </c>
      <c r="B304" s="14">
        <v>45624</v>
      </c>
      <c r="C304" s="2">
        <f>YEAR(Sales_Details2[[#This Row],[Order_Date]])</f>
        <v>2024</v>
      </c>
      <c r="D304" s="2" t="s">
        <v>1427</v>
      </c>
      <c r="E304" s="2" t="str">
        <f>VLOOKUP(Sales_Details2[[#This Row],[Customer_ID]],Customer_Details[#All],4,0)</f>
        <v>Mid-Adult</v>
      </c>
      <c r="F304" s="2" t="str">
        <f>VLOOKUP(Sales_Details2[[#This Row],[Customer_ID]],Customer_Details[#All],5,0)</f>
        <v>Male</v>
      </c>
      <c r="G304" s="2" t="str">
        <f>VLOOKUP(Sales_Details2[[#This Row],[Customer_ID]],Customer_Details[#All],9,0)</f>
        <v>Bronze</v>
      </c>
      <c r="H304" s="2" t="s">
        <v>1681</v>
      </c>
      <c r="I304" s="2" t="str">
        <f>VLOOKUP(Sales_Details2[[#This Row],[Product_ID]],Product_details[[#All],[Product_ID]:[Cost]],3,0)</f>
        <v>Clothing</v>
      </c>
      <c r="J304" s="2" t="str">
        <f>VLOOKUP(Sales_Details2[[#This Row],[Product_ID]],Product_details[[#All],[Product_ID]:[Cost]],4,0)</f>
        <v>Footwear</v>
      </c>
      <c r="K304" s="2" t="s">
        <v>1756</v>
      </c>
      <c r="L304" s="2" t="str">
        <f>_xlfn.XLOOKUP(Sales_Details2[[#This Row],[Store_ID]],Table2[Store_ID],Table2[Region],"Region not found")</f>
        <v>North</v>
      </c>
      <c r="M304" s="25">
        <v>2</v>
      </c>
      <c r="N304" s="36">
        <v>865.14</v>
      </c>
      <c r="O304" s="29">
        <v>0.2</v>
      </c>
      <c r="P304" s="2" t="s">
        <v>1809</v>
      </c>
      <c r="Q304" s="36">
        <v>1384.2239999999999</v>
      </c>
    </row>
    <row r="305" spans="1:17" x14ac:dyDescent="0.3">
      <c r="A305" s="2" t="s">
        <v>2112</v>
      </c>
      <c r="B305" s="14">
        <v>45813</v>
      </c>
      <c r="C305" s="2">
        <f>YEAR(Sales_Details2[[#This Row],[Order_Date]])</f>
        <v>2025</v>
      </c>
      <c r="D305" s="2" t="s">
        <v>342</v>
      </c>
      <c r="E305" s="2" t="str">
        <f>VLOOKUP(Sales_Details2[[#This Row],[Customer_ID]],Customer_Details[#All],4,0)</f>
        <v>Mid-Adult</v>
      </c>
      <c r="F305" s="2" t="str">
        <f>VLOOKUP(Sales_Details2[[#This Row],[Customer_ID]],Customer_Details[#All],5,0)</f>
        <v>Male</v>
      </c>
      <c r="G305" s="2" t="str">
        <f>VLOOKUP(Sales_Details2[[#This Row],[Customer_ID]],Customer_Details[#All],9,0)</f>
        <v>Silver</v>
      </c>
      <c r="H305" s="2" t="s">
        <v>1593</v>
      </c>
      <c r="I305" s="2" t="str">
        <f>VLOOKUP(Sales_Details2[[#This Row],[Product_ID]],Product_details[[#All],[Product_ID]:[Cost]],3,0)</f>
        <v>Sports</v>
      </c>
      <c r="J305" s="2" t="str">
        <f>VLOOKUP(Sales_Details2[[#This Row],[Product_ID]],Product_details[[#All],[Product_ID]:[Cost]],4,0)</f>
        <v>Team Sports</v>
      </c>
      <c r="K305" s="2" t="s">
        <v>1769</v>
      </c>
      <c r="L305" s="2" t="str">
        <f>_xlfn.XLOOKUP(Sales_Details2[[#This Row],[Store_ID]],Table2[Store_ID],Table2[Region],"Region not found")</f>
        <v>South</v>
      </c>
      <c r="M305" s="25">
        <v>2</v>
      </c>
      <c r="N305" s="36">
        <v>916.49</v>
      </c>
      <c r="O305" s="29">
        <v>0.3</v>
      </c>
      <c r="P305" s="2" t="s">
        <v>1812</v>
      </c>
      <c r="Q305" s="36">
        <v>1283.086</v>
      </c>
    </row>
    <row r="306" spans="1:17" x14ac:dyDescent="0.3">
      <c r="A306" s="2" t="s">
        <v>2113</v>
      </c>
      <c r="B306" s="14">
        <v>45615</v>
      </c>
      <c r="C306" s="2">
        <f>YEAR(Sales_Details2[[#This Row],[Order_Date]])</f>
        <v>2024</v>
      </c>
      <c r="D306" s="2" t="s">
        <v>163</v>
      </c>
      <c r="E306" s="2" t="str">
        <f>VLOOKUP(Sales_Details2[[#This Row],[Customer_ID]],Customer_Details[#All],4,0)</f>
        <v>Adult</v>
      </c>
      <c r="F306" s="2" t="str">
        <f>VLOOKUP(Sales_Details2[[#This Row],[Customer_ID]],Customer_Details[#All],5,0)</f>
        <v>Male</v>
      </c>
      <c r="G306" s="2" t="str">
        <f>VLOOKUP(Sales_Details2[[#This Row],[Customer_ID]],Customer_Details[#All],9,0)</f>
        <v>Platinum</v>
      </c>
      <c r="H306" s="2" t="s">
        <v>1633</v>
      </c>
      <c r="I306" s="2" t="str">
        <f>VLOOKUP(Sales_Details2[[#This Row],[Product_ID]],Product_details[[#All],[Product_ID]:[Cost]],3,0)</f>
        <v>Electronics</v>
      </c>
      <c r="J306" s="2" t="str">
        <f>VLOOKUP(Sales_Details2[[#This Row],[Product_ID]],Product_details[[#All],[Product_ID]:[Cost]],4,0)</f>
        <v>Accessories</v>
      </c>
      <c r="K306" s="2" t="s">
        <v>1777</v>
      </c>
      <c r="L306" s="2" t="str">
        <f>_xlfn.XLOOKUP(Sales_Details2[[#This Row],[Store_ID]],Table2[Store_ID],Table2[Region],"Region not found")</f>
        <v>North</v>
      </c>
      <c r="M306" s="25">
        <v>3</v>
      </c>
      <c r="N306" s="36">
        <v>781.39</v>
      </c>
      <c r="O306" s="29">
        <v>0.12</v>
      </c>
      <c r="P306" s="2" t="s">
        <v>1807</v>
      </c>
      <c r="Q306" s="36">
        <v>2062.8696</v>
      </c>
    </row>
    <row r="307" spans="1:17" x14ac:dyDescent="0.3">
      <c r="A307" s="2" t="s">
        <v>2114</v>
      </c>
      <c r="B307" s="14">
        <v>45431</v>
      </c>
      <c r="C307" s="2">
        <f>YEAR(Sales_Details2[[#This Row],[Order_Date]])</f>
        <v>2024</v>
      </c>
      <c r="D307" s="2" t="s">
        <v>681</v>
      </c>
      <c r="E307" s="2" t="str">
        <f>VLOOKUP(Sales_Details2[[#This Row],[Customer_ID]],Customer_Details[#All],4,0)</f>
        <v>Adult</v>
      </c>
      <c r="F307" s="2" t="str">
        <f>VLOOKUP(Sales_Details2[[#This Row],[Customer_ID]],Customer_Details[#All],5,0)</f>
        <v>Female</v>
      </c>
      <c r="G307" s="2" t="str">
        <f>VLOOKUP(Sales_Details2[[#This Row],[Customer_ID]],Customer_Details[#All],9,0)</f>
        <v>Silver</v>
      </c>
      <c r="H307" s="2" t="s">
        <v>1607</v>
      </c>
      <c r="I307" s="2" t="str">
        <f>VLOOKUP(Sales_Details2[[#This Row],[Product_ID]],Product_details[[#All],[Product_ID]:[Cost]],3,0)</f>
        <v>Sports</v>
      </c>
      <c r="J307" s="2" t="str">
        <f>VLOOKUP(Sales_Details2[[#This Row],[Product_ID]],Product_details[[#All],[Product_ID]:[Cost]],4,0)</f>
        <v>Outdoor</v>
      </c>
      <c r="K307" s="2" t="s">
        <v>1777</v>
      </c>
      <c r="L307" s="2" t="str">
        <f>_xlfn.XLOOKUP(Sales_Details2[[#This Row],[Store_ID]],Table2[Store_ID],Table2[Region],"Region not found")</f>
        <v>North</v>
      </c>
      <c r="M307" s="25">
        <v>4</v>
      </c>
      <c r="N307" s="36">
        <v>619.74</v>
      </c>
      <c r="O307" s="29">
        <v>0.13</v>
      </c>
      <c r="P307" s="2" t="s">
        <v>1812</v>
      </c>
      <c r="Q307" s="36">
        <v>2156.6952000000001</v>
      </c>
    </row>
    <row r="308" spans="1:17" x14ac:dyDescent="0.3">
      <c r="A308" s="2" t="s">
        <v>2115</v>
      </c>
      <c r="B308" s="14">
        <v>45679</v>
      </c>
      <c r="C308" s="2">
        <f>YEAR(Sales_Details2[[#This Row],[Order_Date]])</f>
        <v>2025</v>
      </c>
      <c r="D308" s="2" t="s">
        <v>1464</v>
      </c>
      <c r="E308" s="2" t="str">
        <f>VLOOKUP(Sales_Details2[[#This Row],[Customer_ID]],Customer_Details[#All],4,0)</f>
        <v>Adult</v>
      </c>
      <c r="F308" s="2" t="str">
        <f>VLOOKUP(Sales_Details2[[#This Row],[Customer_ID]],Customer_Details[#All],5,0)</f>
        <v>Male</v>
      </c>
      <c r="G308" s="2" t="str">
        <f>VLOOKUP(Sales_Details2[[#This Row],[Customer_ID]],Customer_Details[#All],9,0)</f>
        <v>Gold</v>
      </c>
      <c r="H308" s="2" t="s">
        <v>1655</v>
      </c>
      <c r="I308" s="2" t="str">
        <f>VLOOKUP(Sales_Details2[[#This Row],[Product_ID]],Product_details[[#All],[Product_ID]:[Cost]],3,0)</f>
        <v>Electronics</v>
      </c>
      <c r="J308" s="2" t="str">
        <f>VLOOKUP(Sales_Details2[[#This Row],[Product_ID]],Product_details[[#All],[Product_ID]:[Cost]],4,0)</f>
        <v>Computer</v>
      </c>
      <c r="K308" s="2" t="s">
        <v>1782</v>
      </c>
      <c r="L308" s="2" t="str">
        <f>_xlfn.XLOOKUP(Sales_Details2[[#This Row],[Store_ID]],Table2[Store_ID],Table2[Region],"Region not found")</f>
        <v>South</v>
      </c>
      <c r="M308" s="25">
        <v>2</v>
      </c>
      <c r="N308" s="36">
        <v>837.76</v>
      </c>
      <c r="O308" s="29">
        <v>0.03</v>
      </c>
      <c r="P308" s="2" t="s">
        <v>1812</v>
      </c>
      <c r="Q308" s="36">
        <v>1625.2544</v>
      </c>
    </row>
    <row r="309" spans="1:17" x14ac:dyDescent="0.3">
      <c r="A309" s="2" t="s">
        <v>2116</v>
      </c>
      <c r="B309" s="14">
        <v>45842</v>
      </c>
      <c r="C309" s="2">
        <f>YEAR(Sales_Details2[[#This Row],[Order_Date]])</f>
        <v>2025</v>
      </c>
      <c r="D309" s="2" t="s">
        <v>1379</v>
      </c>
      <c r="E309" s="2" t="str">
        <f>VLOOKUP(Sales_Details2[[#This Row],[Customer_ID]],Customer_Details[#All],4,0)</f>
        <v>Mid-Adult</v>
      </c>
      <c r="F309" s="2" t="str">
        <f>VLOOKUP(Sales_Details2[[#This Row],[Customer_ID]],Customer_Details[#All],5,0)</f>
        <v>Male</v>
      </c>
      <c r="G309" s="2" t="str">
        <f>VLOOKUP(Sales_Details2[[#This Row],[Customer_ID]],Customer_Details[#All],9,0)</f>
        <v>Gold</v>
      </c>
      <c r="H309" s="2" t="s">
        <v>1711</v>
      </c>
      <c r="I309" s="2" t="str">
        <f>VLOOKUP(Sales_Details2[[#This Row],[Product_ID]],Product_details[[#All],[Product_ID]:[Cost]],3,0)</f>
        <v>Electronics</v>
      </c>
      <c r="J309" s="2" t="str">
        <f>VLOOKUP(Sales_Details2[[#This Row],[Product_ID]],Product_details[[#All],[Product_ID]:[Cost]],4,0)</f>
        <v>Accessories</v>
      </c>
      <c r="K309" s="2" t="s">
        <v>1740</v>
      </c>
      <c r="L309" s="2" t="str">
        <f>_xlfn.XLOOKUP(Sales_Details2[[#This Row],[Store_ID]],Table2[Store_ID],Table2[Region],"Region not found")</f>
        <v>North</v>
      </c>
      <c r="M309" s="25">
        <v>3</v>
      </c>
      <c r="N309" s="36">
        <v>135.94</v>
      </c>
      <c r="O309" s="29">
        <v>0.2</v>
      </c>
      <c r="P309" s="2" t="s">
        <v>1807</v>
      </c>
      <c r="Q309" s="36">
        <v>326.25599999999997</v>
      </c>
    </row>
    <row r="310" spans="1:17" x14ac:dyDescent="0.3">
      <c r="A310" s="2" t="s">
        <v>2117</v>
      </c>
      <c r="B310" s="14">
        <v>45796</v>
      </c>
      <c r="C310" s="2">
        <f>YEAR(Sales_Details2[[#This Row],[Order_Date]])</f>
        <v>2025</v>
      </c>
      <c r="D310" s="2" t="s">
        <v>1458</v>
      </c>
      <c r="E310" s="2" t="str">
        <f>VLOOKUP(Sales_Details2[[#This Row],[Customer_ID]],Customer_Details[#All],4,0)</f>
        <v>Mid-Adult</v>
      </c>
      <c r="F310" s="2" t="str">
        <f>VLOOKUP(Sales_Details2[[#This Row],[Customer_ID]],Customer_Details[#All],5,0)</f>
        <v>Male</v>
      </c>
      <c r="G310" s="2" t="str">
        <f>VLOOKUP(Sales_Details2[[#This Row],[Customer_ID]],Customer_Details[#All],9,0)</f>
        <v>Bronze</v>
      </c>
      <c r="H310" s="2" t="s">
        <v>1679</v>
      </c>
      <c r="I310" s="2" t="str">
        <f>VLOOKUP(Sales_Details2[[#This Row],[Product_ID]],Product_details[[#All],[Product_ID]:[Cost]],3,0)</f>
        <v>Electronics</v>
      </c>
      <c r="J310" s="2" t="str">
        <f>VLOOKUP(Sales_Details2[[#This Row],[Product_ID]],Product_details[[#All],[Product_ID]:[Cost]],4,0)</f>
        <v>Audio</v>
      </c>
      <c r="K310" s="2" t="s">
        <v>1740</v>
      </c>
      <c r="L310" s="2" t="str">
        <f>_xlfn.XLOOKUP(Sales_Details2[[#This Row],[Store_ID]],Table2[Store_ID],Table2[Region],"Region not found")</f>
        <v>North</v>
      </c>
      <c r="M310" s="25">
        <v>4</v>
      </c>
      <c r="N310" s="36">
        <v>396.53</v>
      </c>
      <c r="O310" s="29">
        <v>7.0000000000000007E-2</v>
      </c>
      <c r="P310" s="2" t="s">
        <v>1809</v>
      </c>
      <c r="Q310" s="36">
        <v>1475.0916</v>
      </c>
    </row>
    <row r="311" spans="1:17" x14ac:dyDescent="0.3">
      <c r="A311" s="2" t="s">
        <v>2118</v>
      </c>
      <c r="B311" s="14">
        <v>45264</v>
      </c>
      <c r="C311" s="2">
        <f>YEAR(Sales_Details2[[#This Row],[Order_Date]])</f>
        <v>2023</v>
      </c>
      <c r="D311" s="2" t="s">
        <v>707</v>
      </c>
      <c r="E311" s="2" t="str">
        <f>VLOOKUP(Sales_Details2[[#This Row],[Customer_ID]],Customer_Details[#All],4,0)</f>
        <v>Mid-Adult</v>
      </c>
      <c r="F311" s="2" t="str">
        <f>VLOOKUP(Sales_Details2[[#This Row],[Customer_ID]],Customer_Details[#All],5,0)</f>
        <v>Female</v>
      </c>
      <c r="G311" s="2" t="str">
        <f>VLOOKUP(Sales_Details2[[#This Row],[Customer_ID]],Customer_Details[#All],9,0)</f>
        <v>Bronze</v>
      </c>
      <c r="H311" s="2" t="s">
        <v>1589</v>
      </c>
      <c r="I311" s="2" t="str">
        <f>VLOOKUP(Sales_Details2[[#This Row],[Product_ID]],Product_details[[#All],[Product_ID]:[Cost]],3,0)</f>
        <v>Home</v>
      </c>
      <c r="J311" s="2" t="str">
        <f>VLOOKUP(Sales_Details2[[#This Row],[Product_ID]],Product_details[[#All],[Product_ID]:[Cost]],4,0)</f>
        <v>Decor</v>
      </c>
      <c r="K311" s="2" t="s">
        <v>1782</v>
      </c>
      <c r="L311" s="2" t="str">
        <f>_xlfn.XLOOKUP(Sales_Details2[[#This Row],[Store_ID]],Table2[Store_ID],Table2[Region],"Region not found")</f>
        <v>South</v>
      </c>
      <c r="M311" s="25">
        <v>2</v>
      </c>
      <c r="N311" s="36">
        <v>722.45</v>
      </c>
      <c r="O311" s="29">
        <v>0.22</v>
      </c>
      <c r="P311" s="2" t="s">
        <v>1809</v>
      </c>
      <c r="Q311" s="36">
        <v>1127.0219999999999</v>
      </c>
    </row>
    <row r="312" spans="1:17" x14ac:dyDescent="0.3">
      <c r="A312" s="2" t="s">
        <v>2119</v>
      </c>
      <c r="B312" s="14">
        <v>45504</v>
      </c>
      <c r="C312" s="2">
        <f>YEAR(Sales_Details2[[#This Row],[Order_Date]])</f>
        <v>2024</v>
      </c>
      <c r="D312" s="2" t="s">
        <v>178</v>
      </c>
      <c r="E312" s="2" t="str">
        <f>VLOOKUP(Sales_Details2[[#This Row],[Customer_ID]],Customer_Details[#All],4,0)</f>
        <v>Senior</v>
      </c>
      <c r="F312" s="2" t="str">
        <f>VLOOKUP(Sales_Details2[[#This Row],[Customer_ID]],Customer_Details[#All],5,0)</f>
        <v>Female</v>
      </c>
      <c r="G312" s="2" t="str">
        <f>VLOOKUP(Sales_Details2[[#This Row],[Customer_ID]],Customer_Details[#All],9,0)</f>
        <v>Silver</v>
      </c>
      <c r="H312" s="2" t="s">
        <v>1659</v>
      </c>
      <c r="I312" s="2" t="str">
        <f>VLOOKUP(Sales_Details2[[#This Row],[Product_ID]],Product_details[[#All],[Product_ID]:[Cost]],3,0)</f>
        <v>Beauty</v>
      </c>
      <c r="J312" s="2" t="str">
        <f>VLOOKUP(Sales_Details2[[#This Row],[Product_ID]],Product_details[[#All],[Product_ID]:[Cost]],4,0)</f>
        <v>Makeup</v>
      </c>
      <c r="K312" s="2" t="s">
        <v>1744</v>
      </c>
      <c r="L312" s="2" t="str">
        <f>_xlfn.XLOOKUP(Sales_Details2[[#This Row],[Store_ID]],Table2[Store_ID],Table2[Region],"Region not found")</f>
        <v>South</v>
      </c>
      <c r="M312" s="25">
        <v>2</v>
      </c>
      <c r="N312" s="36">
        <v>138.41</v>
      </c>
      <c r="O312" s="29">
        <v>0.02</v>
      </c>
      <c r="P312" s="2" t="s">
        <v>1807</v>
      </c>
      <c r="Q312" s="36">
        <v>271.28359999999998</v>
      </c>
    </row>
    <row r="313" spans="1:17" x14ac:dyDescent="0.3">
      <c r="A313" s="2" t="s">
        <v>2120</v>
      </c>
      <c r="B313" s="14">
        <v>45679</v>
      </c>
      <c r="C313" s="2">
        <f>YEAR(Sales_Details2[[#This Row],[Order_Date]])</f>
        <v>2025</v>
      </c>
      <c r="D313" s="2" t="s">
        <v>430</v>
      </c>
      <c r="E313" s="2" t="str">
        <f>VLOOKUP(Sales_Details2[[#This Row],[Customer_ID]],Customer_Details[#All],4,0)</f>
        <v>Senior</v>
      </c>
      <c r="F313" s="2" t="str">
        <f>VLOOKUP(Sales_Details2[[#This Row],[Customer_ID]],Customer_Details[#All],5,0)</f>
        <v>Female</v>
      </c>
      <c r="G313" s="2" t="str">
        <f>VLOOKUP(Sales_Details2[[#This Row],[Customer_ID]],Customer_Details[#All],9,0)</f>
        <v>Gold</v>
      </c>
      <c r="H313" s="2" t="s">
        <v>1691</v>
      </c>
      <c r="I313" s="2" t="str">
        <f>VLOOKUP(Sales_Details2[[#This Row],[Product_ID]],Product_details[[#All],[Product_ID]:[Cost]],3,0)</f>
        <v>Home</v>
      </c>
      <c r="J313" s="2" t="str">
        <f>VLOOKUP(Sales_Details2[[#This Row],[Product_ID]],Product_details[[#All],[Product_ID]:[Cost]],4,0)</f>
        <v>Kitchen</v>
      </c>
      <c r="K313" s="2" t="s">
        <v>1744</v>
      </c>
      <c r="L313" s="2" t="str">
        <f>_xlfn.XLOOKUP(Sales_Details2[[#This Row],[Store_ID]],Table2[Store_ID],Table2[Region],"Region not found")</f>
        <v>South</v>
      </c>
      <c r="M313" s="25">
        <v>4</v>
      </c>
      <c r="N313" s="36">
        <v>741.51</v>
      </c>
      <c r="O313" s="29">
        <v>0.09</v>
      </c>
      <c r="P313" s="2" t="s">
        <v>1812</v>
      </c>
      <c r="Q313" s="36">
        <v>2699.0963999999999</v>
      </c>
    </row>
    <row r="314" spans="1:17" x14ac:dyDescent="0.3">
      <c r="A314" s="2" t="s">
        <v>2121</v>
      </c>
      <c r="B314" s="14">
        <v>45611</v>
      </c>
      <c r="C314" s="2">
        <f>YEAR(Sales_Details2[[#This Row],[Order_Date]])</f>
        <v>2024</v>
      </c>
      <c r="D314" s="2" t="s">
        <v>100</v>
      </c>
      <c r="E314" s="2" t="str">
        <f>VLOOKUP(Sales_Details2[[#This Row],[Customer_ID]],Customer_Details[#All],4,0)</f>
        <v>Senior</v>
      </c>
      <c r="F314" s="2" t="str">
        <f>VLOOKUP(Sales_Details2[[#This Row],[Customer_ID]],Customer_Details[#All],5,0)</f>
        <v>Female</v>
      </c>
      <c r="G314" s="2" t="str">
        <f>VLOOKUP(Sales_Details2[[#This Row],[Customer_ID]],Customer_Details[#All],9,0)</f>
        <v>Silver</v>
      </c>
      <c r="H314" s="2" t="s">
        <v>1691</v>
      </c>
      <c r="I314" s="2" t="str">
        <f>VLOOKUP(Sales_Details2[[#This Row],[Product_ID]],Product_details[[#All],[Product_ID]:[Cost]],3,0)</f>
        <v>Home</v>
      </c>
      <c r="J314" s="2" t="str">
        <f>VLOOKUP(Sales_Details2[[#This Row],[Product_ID]],Product_details[[#All],[Product_ID]:[Cost]],4,0)</f>
        <v>Kitchen</v>
      </c>
      <c r="K314" s="2" t="s">
        <v>1790</v>
      </c>
      <c r="L314" s="2" t="str">
        <f>_xlfn.XLOOKUP(Sales_Details2[[#This Row],[Store_ID]],Table2[Store_ID],Table2[Region],"Region not found")</f>
        <v>North</v>
      </c>
      <c r="M314" s="25">
        <v>2</v>
      </c>
      <c r="N314" s="36">
        <v>588.9</v>
      </c>
      <c r="O314" s="29">
        <v>0.19</v>
      </c>
      <c r="P314" s="2" t="s">
        <v>1809</v>
      </c>
      <c r="Q314" s="36">
        <v>954.01800000000003</v>
      </c>
    </row>
    <row r="315" spans="1:17" x14ac:dyDescent="0.3">
      <c r="A315" s="2" t="s">
        <v>2122</v>
      </c>
      <c r="B315" s="14">
        <v>45389</v>
      </c>
      <c r="C315" s="2">
        <f>YEAR(Sales_Details2[[#This Row],[Order_Date]])</f>
        <v>2024</v>
      </c>
      <c r="D315" s="2" t="s">
        <v>951</v>
      </c>
      <c r="E315" s="2" t="str">
        <f>VLOOKUP(Sales_Details2[[#This Row],[Customer_ID]],Customer_Details[#All],4,0)</f>
        <v>Mid-Adult</v>
      </c>
      <c r="F315" s="2" t="str">
        <f>VLOOKUP(Sales_Details2[[#This Row],[Customer_ID]],Customer_Details[#All],5,0)</f>
        <v>Male</v>
      </c>
      <c r="G315" s="2" t="str">
        <f>VLOOKUP(Sales_Details2[[#This Row],[Customer_ID]],Customer_Details[#All],9,0)</f>
        <v>Silver</v>
      </c>
      <c r="H315" s="2" t="s">
        <v>1631</v>
      </c>
      <c r="I315" s="2" t="str">
        <f>VLOOKUP(Sales_Details2[[#This Row],[Product_ID]],Product_details[[#All],[Product_ID]:[Cost]],3,0)</f>
        <v>Sports</v>
      </c>
      <c r="J315" s="2" t="str">
        <f>VLOOKUP(Sales_Details2[[#This Row],[Product_ID]],Product_details[[#All],[Product_ID]:[Cost]],4,0)</f>
        <v>Fitness</v>
      </c>
      <c r="K315" s="2" t="s">
        <v>1744</v>
      </c>
      <c r="L315" s="2" t="str">
        <f>_xlfn.XLOOKUP(Sales_Details2[[#This Row],[Store_ID]],Table2[Store_ID],Table2[Region],"Region not found")</f>
        <v>South</v>
      </c>
      <c r="M315" s="25">
        <v>1</v>
      </c>
      <c r="N315" s="36">
        <v>88.92</v>
      </c>
      <c r="O315" s="29">
        <v>0.19</v>
      </c>
      <c r="P315" s="2" t="s">
        <v>1809</v>
      </c>
      <c r="Q315" s="36">
        <v>72.025200000000012</v>
      </c>
    </row>
    <row r="316" spans="1:17" x14ac:dyDescent="0.3">
      <c r="A316" s="2" t="s">
        <v>2123</v>
      </c>
      <c r="B316" s="14">
        <v>45339</v>
      </c>
      <c r="C316" s="2">
        <f>YEAR(Sales_Details2[[#This Row],[Order_Date]])</f>
        <v>2024</v>
      </c>
      <c r="D316" s="2" t="s">
        <v>406</v>
      </c>
      <c r="E316" s="2" t="str">
        <f>VLOOKUP(Sales_Details2[[#This Row],[Customer_ID]],Customer_Details[#All],4,0)</f>
        <v>Mid-Adult</v>
      </c>
      <c r="F316" s="2" t="str">
        <f>VLOOKUP(Sales_Details2[[#This Row],[Customer_ID]],Customer_Details[#All],5,0)</f>
        <v>Male</v>
      </c>
      <c r="G316" s="2" t="str">
        <f>VLOOKUP(Sales_Details2[[#This Row],[Customer_ID]],Customer_Details[#All],9,0)</f>
        <v>Platinum</v>
      </c>
      <c r="H316" s="2" t="s">
        <v>1653</v>
      </c>
      <c r="I316" s="2" t="str">
        <f>VLOOKUP(Sales_Details2[[#This Row],[Product_ID]],Product_details[[#All],[Product_ID]:[Cost]],3,0)</f>
        <v>Sports</v>
      </c>
      <c r="J316" s="2" t="str">
        <f>VLOOKUP(Sales_Details2[[#This Row],[Product_ID]],Product_details[[#All],[Product_ID]:[Cost]],4,0)</f>
        <v>Equipment</v>
      </c>
      <c r="K316" s="2" t="s">
        <v>1787</v>
      </c>
      <c r="L316" s="2" t="str">
        <f>_xlfn.XLOOKUP(Sales_Details2[[#This Row],[Store_ID]],Table2[Store_ID],Table2[Region],"Region not found")</f>
        <v>West</v>
      </c>
      <c r="M316" s="25">
        <v>1</v>
      </c>
      <c r="N316" s="36">
        <v>299.13</v>
      </c>
      <c r="O316" s="29">
        <v>0.1</v>
      </c>
      <c r="P316" s="2" t="s">
        <v>1812</v>
      </c>
      <c r="Q316" s="36">
        <v>269.21699999999998</v>
      </c>
    </row>
    <row r="317" spans="1:17" x14ac:dyDescent="0.3">
      <c r="A317" s="2" t="s">
        <v>2124</v>
      </c>
      <c r="B317" s="14">
        <v>45433</v>
      </c>
      <c r="C317" s="2">
        <f>YEAR(Sales_Details2[[#This Row],[Order_Date]])</f>
        <v>2024</v>
      </c>
      <c r="D317" s="2" t="s">
        <v>400</v>
      </c>
      <c r="E317" s="2" t="str">
        <f>VLOOKUP(Sales_Details2[[#This Row],[Customer_ID]],Customer_Details[#All],4,0)</f>
        <v>Adult</v>
      </c>
      <c r="F317" s="2" t="str">
        <f>VLOOKUP(Sales_Details2[[#This Row],[Customer_ID]],Customer_Details[#All],5,0)</f>
        <v>Female</v>
      </c>
      <c r="G317" s="2" t="str">
        <f>VLOOKUP(Sales_Details2[[#This Row],[Customer_ID]],Customer_Details[#All],9,0)</f>
        <v>Platinum</v>
      </c>
      <c r="H317" s="2" t="s">
        <v>1685</v>
      </c>
      <c r="I317" s="2" t="str">
        <f>VLOOKUP(Sales_Details2[[#This Row],[Product_ID]],Product_details[[#All],[Product_ID]:[Cost]],3,0)</f>
        <v>Electronics</v>
      </c>
      <c r="J317" s="2" t="str">
        <f>VLOOKUP(Sales_Details2[[#This Row],[Product_ID]],Product_details[[#All],[Product_ID]:[Cost]],4,0)</f>
        <v>Appliances</v>
      </c>
      <c r="K317" s="2" t="s">
        <v>1749</v>
      </c>
      <c r="L317" s="2" t="str">
        <f>_xlfn.XLOOKUP(Sales_Details2[[#This Row],[Store_ID]],Table2[Store_ID],Table2[Region],"Region not found")</f>
        <v>North</v>
      </c>
      <c r="M317" s="25">
        <v>2</v>
      </c>
      <c r="N317" s="36">
        <v>548.29999999999995</v>
      </c>
      <c r="O317" s="29">
        <v>0.23</v>
      </c>
      <c r="P317" s="2" t="s">
        <v>1807</v>
      </c>
      <c r="Q317" s="36">
        <v>844.38199999999995</v>
      </c>
    </row>
    <row r="318" spans="1:17" x14ac:dyDescent="0.3">
      <c r="A318" s="2" t="s">
        <v>2125</v>
      </c>
      <c r="B318" s="14">
        <v>45435</v>
      </c>
      <c r="C318" s="2">
        <f>YEAR(Sales_Details2[[#This Row],[Order_Date]])</f>
        <v>2024</v>
      </c>
      <c r="D318" s="2" t="s">
        <v>829</v>
      </c>
      <c r="E318" s="2" t="str">
        <f>VLOOKUP(Sales_Details2[[#This Row],[Customer_ID]],Customer_Details[#All],4,0)</f>
        <v>Senior</v>
      </c>
      <c r="F318" s="2" t="str">
        <f>VLOOKUP(Sales_Details2[[#This Row],[Customer_ID]],Customer_Details[#All],5,0)</f>
        <v>Female</v>
      </c>
      <c r="G318" s="2" t="str">
        <f>VLOOKUP(Sales_Details2[[#This Row],[Customer_ID]],Customer_Details[#All],9,0)</f>
        <v>Silver</v>
      </c>
      <c r="H318" s="2" t="s">
        <v>1639</v>
      </c>
      <c r="I318" s="2" t="str">
        <f>VLOOKUP(Sales_Details2[[#This Row],[Product_ID]],Product_details[[#All],[Product_ID]:[Cost]],3,0)</f>
        <v>Sports</v>
      </c>
      <c r="J318" s="2" t="str">
        <f>VLOOKUP(Sales_Details2[[#This Row],[Product_ID]],Product_details[[#All],[Product_ID]:[Cost]],4,0)</f>
        <v>Accessories</v>
      </c>
      <c r="K318" s="2" t="s">
        <v>1772</v>
      </c>
      <c r="L318" s="2" t="str">
        <f>_xlfn.XLOOKUP(Sales_Details2[[#This Row],[Store_ID]],Table2[Store_ID],Table2[Region],"Region not found")</f>
        <v>East</v>
      </c>
      <c r="M318" s="25">
        <v>3</v>
      </c>
      <c r="N318" s="36">
        <v>977.55</v>
      </c>
      <c r="O318" s="29">
        <v>0.02</v>
      </c>
      <c r="P318" s="2" t="s">
        <v>1809</v>
      </c>
      <c r="Q318" s="36">
        <v>2873.9969999999989</v>
      </c>
    </row>
    <row r="319" spans="1:17" x14ac:dyDescent="0.3">
      <c r="A319" s="2" t="s">
        <v>2126</v>
      </c>
      <c r="B319" s="14">
        <v>45823</v>
      </c>
      <c r="C319" s="2">
        <f>YEAR(Sales_Details2[[#This Row],[Order_Date]])</f>
        <v>2025</v>
      </c>
      <c r="D319" s="2" t="s">
        <v>1075</v>
      </c>
      <c r="E319" s="2" t="str">
        <f>VLOOKUP(Sales_Details2[[#This Row],[Customer_ID]],Customer_Details[#All],4,0)</f>
        <v>Senior</v>
      </c>
      <c r="F319" s="2" t="str">
        <f>VLOOKUP(Sales_Details2[[#This Row],[Customer_ID]],Customer_Details[#All],5,0)</f>
        <v>Female</v>
      </c>
      <c r="G319" s="2" t="str">
        <f>VLOOKUP(Sales_Details2[[#This Row],[Customer_ID]],Customer_Details[#All],9,0)</f>
        <v>Platinum</v>
      </c>
      <c r="H319" s="2" t="s">
        <v>1619</v>
      </c>
      <c r="I319" s="2" t="str">
        <f>VLOOKUP(Sales_Details2[[#This Row],[Product_ID]],Product_details[[#All],[Product_ID]:[Cost]],3,0)</f>
        <v>Sports</v>
      </c>
      <c r="J319" s="2" t="str">
        <f>VLOOKUP(Sales_Details2[[#This Row],[Product_ID]],Product_details[[#All],[Product_ID]:[Cost]],4,0)</f>
        <v>Fitness</v>
      </c>
      <c r="K319" s="2" t="s">
        <v>1793</v>
      </c>
      <c r="L319" s="2" t="str">
        <f>_xlfn.XLOOKUP(Sales_Details2[[#This Row],[Store_ID]],Table2[Store_ID],Table2[Region],"Region not found")</f>
        <v>East</v>
      </c>
      <c r="M319" s="25">
        <v>1</v>
      </c>
      <c r="N319" s="36">
        <v>459.42</v>
      </c>
      <c r="O319" s="29">
        <v>0.28000000000000003</v>
      </c>
      <c r="P319" s="2" t="s">
        <v>1812</v>
      </c>
      <c r="Q319" s="36">
        <v>330.7824</v>
      </c>
    </row>
    <row r="320" spans="1:17" x14ac:dyDescent="0.3">
      <c r="A320" s="2" t="s">
        <v>2127</v>
      </c>
      <c r="B320" s="14">
        <v>45663</v>
      </c>
      <c r="C320" s="2">
        <f>YEAR(Sales_Details2[[#This Row],[Order_Date]])</f>
        <v>2025</v>
      </c>
      <c r="D320" s="2" t="s">
        <v>313</v>
      </c>
      <c r="E320" s="2" t="str">
        <f>VLOOKUP(Sales_Details2[[#This Row],[Customer_ID]],Customer_Details[#All],4,0)</f>
        <v>Senior</v>
      </c>
      <c r="F320" s="2" t="str">
        <f>VLOOKUP(Sales_Details2[[#This Row],[Customer_ID]],Customer_Details[#All],5,0)</f>
        <v>Male</v>
      </c>
      <c r="G320" s="2" t="str">
        <f>VLOOKUP(Sales_Details2[[#This Row],[Customer_ID]],Customer_Details[#All],9,0)</f>
        <v>Silver</v>
      </c>
      <c r="H320" s="2" t="s">
        <v>1532</v>
      </c>
      <c r="I320" s="2" t="str">
        <f>VLOOKUP(Sales_Details2[[#This Row],[Product_ID]],Product_details[[#All],[Product_ID]:[Cost]],3,0)</f>
        <v>Clothing</v>
      </c>
      <c r="J320" s="2" t="str">
        <f>VLOOKUP(Sales_Details2[[#This Row],[Product_ID]],Product_details[[#All],[Product_ID]:[Cost]],4,0)</f>
        <v>Outerwear</v>
      </c>
      <c r="K320" s="2" t="s">
        <v>1752</v>
      </c>
      <c r="L320" s="2" t="str">
        <f>_xlfn.XLOOKUP(Sales_Details2[[#This Row],[Store_ID]],Table2[Store_ID],Table2[Region],"Region not found")</f>
        <v>South</v>
      </c>
      <c r="M320" s="25">
        <v>2</v>
      </c>
      <c r="N320" s="36">
        <v>123.19</v>
      </c>
      <c r="O320" s="29">
        <v>0.19</v>
      </c>
      <c r="P320" s="2" t="s">
        <v>1807</v>
      </c>
      <c r="Q320" s="36">
        <v>199.56780000000001</v>
      </c>
    </row>
    <row r="321" spans="1:17" x14ac:dyDescent="0.3">
      <c r="A321" s="2" t="s">
        <v>2128</v>
      </c>
      <c r="B321" s="14">
        <v>45879</v>
      </c>
      <c r="C321" s="2">
        <f>YEAR(Sales_Details2[[#This Row],[Order_Date]])</f>
        <v>2025</v>
      </c>
      <c r="D321" s="2" t="s">
        <v>1109</v>
      </c>
      <c r="E321" s="2" t="str">
        <f>VLOOKUP(Sales_Details2[[#This Row],[Customer_ID]],Customer_Details[#All],4,0)</f>
        <v>Senior</v>
      </c>
      <c r="F321" s="2" t="str">
        <f>VLOOKUP(Sales_Details2[[#This Row],[Customer_ID]],Customer_Details[#All],5,0)</f>
        <v>Female</v>
      </c>
      <c r="G321" s="2" t="str">
        <f>VLOOKUP(Sales_Details2[[#This Row],[Customer_ID]],Customer_Details[#All],9,0)</f>
        <v>Gold</v>
      </c>
      <c r="H321" s="2" t="s">
        <v>1641</v>
      </c>
      <c r="I321" s="2" t="str">
        <f>VLOOKUP(Sales_Details2[[#This Row],[Product_ID]],Product_details[[#All],[Product_ID]:[Cost]],3,0)</f>
        <v>Home</v>
      </c>
      <c r="J321" s="2" t="str">
        <f>VLOOKUP(Sales_Details2[[#This Row],[Product_ID]],Product_details[[#All],[Product_ID]:[Cost]],4,0)</f>
        <v>Decor</v>
      </c>
      <c r="K321" s="2" t="s">
        <v>1796</v>
      </c>
      <c r="L321" s="2" t="str">
        <f>_xlfn.XLOOKUP(Sales_Details2[[#This Row],[Store_ID]],Table2[Store_ID],Table2[Region],"Region not found")</f>
        <v>East</v>
      </c>
      <c r="M321" s="25">
        <v>1</v>
      </c>
      <c r="N321" s="36">
        <v>222.95</v>
      </c>
      <c r="O321" s="29">
        <v>0.02</v>
      </c>
      <c r="P321" s="2" t="s">
        <v>1809</v>
      </c>
      <c r="Q321" s="36">
        <v>218.49100000000001</v>
      </c>
    </row>
    <row r="322" spans="1:17" x14ac:dyDescent="0.3">
      <c r="A322" s="2" t="s">
        <v>2129</v>
      </c>
      <c r="B322" s="14">
        <v>45840</v>
      </c>
      <c r="C322" s="2">
        <f>YEAR(Sales_Details2[[#This Row],[Order_Date]])</f>
        <v>2025</v>
      </c>
      <c r="D322" s="2" t="s">
        <v>1033</v>
      </c>
      <c r="E322" s="2" t="str">
        <f>VLOOKUP(Sales_Details2[[#This Row],[Customer_ID]],Customer_Details[#All],4,0)</f>
        <v>Mid-Adult</v>
      </c>
      <c r="F322" s="2" t="str">
        <f>VLOOKUP(Sales_Details2[[#This Row],[Customer_ID]],Customer_Details[#All],5,0)</f>
        <v>Female</v>
      </c>
      <c r="G322" s="2" t="str">
        <f>VLOOKUP(Sales_Details2[[#This Row],[Customer_ID]],Customer_Details[#All],9,0)</f>
        <v>Bronze</v>
      </c>
      <c r="H322" s="2" t="s">
        <v>1595</v>
      </c>
      <c r="I322" s="2" t="str">
        <f>VLOOKUP(Sales_Details2[[#This Row],[Product_ID]],Product_details[[#All],[Product_ID]:[Cost]],3,0)</f>
        <v>Beauty</v>
      </c>
      <c r="J322" s="2" t="str">
        <f>VLOOKUP(Sales_Details2[[#This Row],[Product_ID]],Product_details[[#All],[Product_ID]:[Cost]],4,0)</f>
        <v>Skincare</v>
      </c>
      <c r="K322" s="2" t="s">
        <v>1752</v>
      </c>
      <c r="L322" s="2" t="str">
        <f>_xlfn.XLOOKUP(Sales_Details2[[#This Row],[Store_ID]],Table2[Store_ID],Table2[Region],"Region not found")</f>
        <v>South</v>
      </c>
      <c r="M322" s="25">
        <v>3</v>
      </c>
      <c r="N322" s="36">
        <v>601.92999999999995</v>
      </c>
      <c r="O322" s="29">
        <v>0.14000000000000001</v>
      </c>
      <c r="P322" s="2" t="s">
        <v>1807</v>
      </c>
      <c r="Q322" s="36">
        <v>1552.9793999999999</v>
      </c>
    </row>
    <row r="323" spans="1:17" x14ac:dyDescent="0.3">
      <c r="A323" s="2" t="s">
        <v>2130</v>
      </c>
      <c r="B323" s="14">
        <v>45380</v>
      </c>
      <c r="C323" s="2">
        <f>YEAR(Sales_Details2[[#This Row],[Order_Date]])</f>
        <v>2024</v>
      </c>
      <c r="D323" s="2" t="s">
        <v>930</v>
      </c>
      <c r="E323" s="2" t="str">
        <f>VLOOKUP(Sales_Details2[[#This Row],[Customer_ID]],Customer_Details[#All],4,0)</f>
        <v>Mid-Adult</v>
      </c>
      <c r="F323" s="2" t="str">
        <f>VLOOKUP(Sales_Details2[[#This Row],[Customer_ID]],Customer_Details[#All],5,0)</f>
        <v>Female</v>
      </c>
      <c r="G323" s="2" t="str">
        <f>VLOOKUP(Sales_Details2[[#This Row],[Customer_ID]],Customer_Details[#All],9,0)</f>
        <v>Silver</v>
      </c>
      <c r="H323" s="2" t="s">
        <v>1669</v>
      </c>
      <c r="I323" s="2" t="str">
        <f>VLOOKUP(Sales_Details2[[#This Row],[Product_ID]],Product_details[[#All],[Product_ID]:[Cost]],3,0)</f>
        <v>Clothing</v>
      </c>
      <c r="J323" s="2" t="str">
        <f>VLOOKUP(Sales_Details2[[#This Row],[Product_ID]],Product_details[[#All],[Product_ID]:[Cost]],4,0)</f>
        <v>Bottoms</v>
      </c>
      <c r="K323" s="2" t="s">
        <v>1744</v>
      </c>
      <c r="L323" s="2" t="str">
        <f>_xlfn.XLOOKUP(Sales_Details2[[#This Row],[Store_ID]],Table2[Store_ID],Table2[Region],"Region not found")</f>
        <v>South</v>
      </c>
      <c r="M323" s="25">
        <v>1</v>
      </c>
      <c r="N323" s="36">
        <v>564.1</v>
      </c>
      <c r="O323" s="29">
        <v>0.03</v>
      </c>
      <c r="P323" s="2" t="s">
        <v>1807</v>
      </c>
      <c r="Q323" s="36">
        <v>547.17700000000002</v>
      </c>
    </row>
    <row r="324" spans="1:17" x14ac:dyDescent="0.3">
      <c r="A324" s="2" t="s">
        <v>2131</v>
      </c>
      <c r="B324" s="14">
        <v>45672</v>
      </c>
      <c r="C324" s="2">
        <f>YEAR(Sales_Details2[[#This Row],[Order_Date]])</f>
        <v>2025</v>
      </c>
      <c r="D324" s="2" t="s">
        <v>336</v>
      </c>
      <c r="E324" s="2" t="str">
        <f>VLOOKUP(Sales_Details2[[#This Row],[Customer_ID]],Customer_Details[#All],4,0)</f>
        <v>Senior</v>
      </c>
      <c r="F324" s="2" t="str">
        <f>VLOOKUP(Sales_Details2[[#This Row],[Customer_ID]],Customer_Details[#All],5,0)</f>
        <v>Female</v>
      </c>
      <c r="G324" s="2" t="str">
        <f>VLOOKUP(Sales_Details2[[#This Row],[Customer_ID]],Customer_Details[#All],9,0)</f>
        <v>Platinum</v>
      </c>
      <c r="H324" s="2" t="s">
        <v>1691</v>
      </c>
      <c r="I324" s="2" t="str">
        <f>VLOOKUP(Sales_Details2[[#This Row],[Product_ID]],Product_details[[#All],[Product_ID]:[Cost]],3,0)</f>
        <v>Home</v>
      </c>
      <c r="J324" s="2" t="str">
        <f>VLOOKUP(Sales_Details2[[#This Row],[Product_ID]],Product_details[[#All],[Product_ID]:[Cost]],4,0)</f>
        <v>Kitchen</v>
      </c>
      <c r="K324" s="2" t="s">
        <v>1756</v>
      </c>
      <c r="L324" s="2" t="str">
        <f>_xlfn.XLOOKUP(Sales_Details2[[#This Row],[Store_ID]],Table2[Store_ID],Table2[Region],"Region not found")</f>
        <v>North</v>
      </c>
      <c r="M324" s="25">
        <v>1</v>
      </c>
      <c r="N324" s="36">
        <v>516.62</v>
      </c>
      <c r="O324" s="29">
        <v>0.18</v>
      </c>
      <c r="P324" s="2" t="s">
        <v>1807</v>
      </c>
      <c r="Q324" s="36">
        <v>423.62840000000011</v>
      </c>
    </row>
    <row r="325" spans="1:17" x14ac:dyDescent="0.3">
      <c r="A325" s="2" t="s">
        <v>2132</v>
      </c>
      <c r="B325" s="14">
        <v>45497</v>
      </c>
      <c r="C325" s="2">
        <f>YEAR(Sales_Details2[[#This Row],[Order_Date]])</f>
        <v>2024</v>
      </c>
      <c r="D325" s="2" t="s">
        <v>1341</v>
      </c>
      <c r="E325" s="2" t="str">
        <f>VLOOKUP(Sales_Details2[[#This Row],[Customer_ID]],Customer_Details[#All],4,0)</f>
        <v>Senior</v>
      </c>
      <c r="F325" s="2" t="str">
        <f>VLOOKUP(Sales_Details2[[#This Row],[Customer_ID]],Customer_Details[#All],5,0)</f>
        <v>Female</v>
      </c>
      <c r="G325" s="2" t="str">
        <f>VLOOKUP(Sales_Details2[[#This Row],[Customer_ID]],Customer_Details[#All],9,0)</f>
        <v>Platinum</v>
      </c>
      <c r="H325" s="2" t="s">
        <v>1657</v>
      </c>
      <c r="I325" s="2" t="str">
        <f>VLOOKUP(Sales_Details2[[#This Row],[Product_ID]],Product_details[[#All],[Product_ID]:[Cost]],3,0)</f>
        <v>Beauty</v>
      </c>
      <c r="J325" s="2" t="str">
        <f>VLOOKUP(Sales_Details2[[#This Row],[Product_ID]],Product_details[[#All],[Product_ID]:[Cost]],4,0)</f>
        <v>Skincare</v>
      </c>
      <c r="K325" s="2" t="s">
        <v>1777</v>
      </c>
      <c r="L325" s="2" t="str">
        <f>_xlfn.XLOOKUP(Sales_Details2[[#This Row],[Store_ID]],Table2[Store_ID],Table2[Region],"Region not found")</f>
        <v>North</v>
      </c>
      <c r="M325" s="25">
        <v>1</v>
      </c>
      <c r="N325" s="36">
        <v>934.75</v>
      </c>
      <c r="O325" s="29">
        <v>0.11</v>
      </c>
      <c r="P325" s="2" t="s">
        <v>1809</v>
      </c>
      <c r="Q325" s="36">
        <v>831.92750000000001</v>
      </c>
    </row>
    <row r="326" spans="1:17" x14ac:dyDescent="0.3">
      <c r="A326" s="2" t="s">
        <v>2133</v>
      </c>
      <c r="B326" s="14">
        <v>45407</v>
      </c>
      <c r="C326" s="2">
        <f>YEAR(Sales_Details2[[#This Row],[Order_Date]])</f>
        <v>2024</v>
      </c>
      <c r="D326" s="2" t="s">
        <v>746</v>
      </c>
      <c r="E326" s="2" t="str">
        <f>VLOOKUP(Sales_Details2[[#This Row],[Customer_ID]],Customer_Details[#All],4,0)</f>
        <v>Mid-Adult</v>
      </c>
      <c r="F326" s="2" t="str">
        <f>VLOOKUP(Sales_Details2[[#This Row],[Customer_ID]],Customer_Details[#All],5,0)</f>
        <v>Female</v>
      </c>
      <c r="G326" s="2" t="str">
        <f>VLOOKUP(Sales_Details2[[#This Row],[Customer_ID]],Customer_Details[#All],9,0)</f>
        <v>Gold</v>
      </c>
      <c r="H326" s="2" t="s">
        <v>1727</v>
      </c>
      <c r="I326" s="2" t="str">
        <f>VLOOKUP(Sales_Details2[[#This Row],[Product_ID]],Product_details[[#All],[Product_ID]:[Cost]],3,0)</f>
        <v>Electronics</v>
      </c>
      <c r="J326" s="2" t="str">
        <f>VLOOKUP(Sales_Details2[[#This Row],[Product_ID]],Product_details[[#All],[Product_ID]:[Cost]],4,0)</f>
        <v>Audio</v>
      </c>
      <c r="K326" s="2" t="s">
        <v>1762</v>
      </c>
      <c r="L326" s="2" t="str">
        <f>_xlfn.XLOOKUP(Sales_Details2[[#This Row],[Store_ID]],Table2[Store_ID],Table2[Region],"Region not found")</f>
        <v>South</v>
      </c>
      <c r="M326" s="25">
        <v>4</v>
      </c>
      <c r="N326" s="36">
        <v>548.44000000000005</v>
      </c>
      <c r="O326" s="29">
        <v>0.05</v>
      </c>
      <c r="P326" s="2" t="s">
        <v>1809</v>
      </c>
      <c r="Q326" s="36">
        <v>2084.0720000000001</v>
      </c>
    </row>
    <row r="327" spans="1:17" x14ac:dyDescent="0.3">
      <c r="A327" s="2" t="s">
        <v>2134</v>
      </c>
      <c r="B327" s="14">
        <v>45764</v>
      </c>
      <c r="C327" s="2">
        <f>YEAR(Sales_Details2[[#This Row],[Order_Date]])</f>
        <v>2025</v>
      </c>
      <c r="D327" s="2" t="s">
        <v>63</v>
      </c>
      <c r="E327" s="2" t="str">
        <f>VLOOKUP(Sales_Details2[[#This Row],[Customer_ID]],Customer_Details[#All],4,0)</f>
        <v>Mid-Adult</v>
      </c>
      <c r="F327" s="2" t="str">
        <f>VLOOKUP(Sales_Details2[[#This Row],[Customer_ID]],Customer_Details[#All],5,0)</f>
        <v>Female</v>
      </c>
      <c r="G327" s="2" t="str">
        <f>VLOOKUP(Sales_Details2[[#This Row],[Customer_ID]],Customer_Details[#All],9,0)</f>
        <v>Silver</v>
      </c>
      <c r="H327" s="2" t="s">
        <v>1605</v>
      </c>
      <c r="I327" s="2" t="str">
        <f>VLOOKUP(Sales_Details2[[#This Row],[Product_ID]],Product_details[[#All],[Product_ID]:[Cost]],3,0)</f>
        <v>Clothing</v>
      </c>
      <c r="J327" s="2" t="str">
        <f>VLOOKUP(Sales_Details2[[#This Row],[Product_ID]],Product_details[[#All],[Product_ID]:[Cost]],4,0)</f>
        <v>Footwear</v>
      </c>
      <c r="K327" s="2" t="s">
        <v>1749</v>
      </c>
      <c r="L327" s="2" t="str">
        <f>_xlfn.XLOOKUP(Sales_Details2[[#This Row],[Store_ID]],Table2[Store_ID],Table2[Region],"Region not found")</f>
        <v>North</v>
      </c>
      <c r="M327" s="25">
        <v>3</v>
      </c>
      <c r="N327" s="36">
        <v>361.11</v>
      </c>
      <c r="O327" s="29">
        <v>0.06</v>
      </c>
      <c r="P327" s="2" t="s">
        <v>1807</v>
      </c>
      <c r="Q327" s="36">
        <v>1018.3302</v>
      </c>
    </row>
    <row r="328" spans="1:17" x14ac:dyDescent="0.3">
      <c r="A328" s="2" t="s">
        <v>2135</v>
      </c>
      <c r="B328" s="14">
        <v>45924</v>
      </c>
      <c r="C328" s="2">
        <f>YEAR(Sales_Details2[[#This Row],[Order_Date]])</f>
        <v>2025</v>
      </c>
      <c r="D328" s="2" t="s">
        <v>610</v>
      </c>
      <c r="E328" s="2" t="str">
        <f>VLOOKUP(Sales_Details2[[#This Row],[Customer_ID]],Customer_Details[#All],4,0)</f>
        <v>Senior</v>
      </c>
      <c r="F328" s="2" t="str">
        <f>VLOOKUP(Sales_Details2[[#This Row],[Customer_ID]],Customer_Details[#All],5,0)</f>
        <v>Female</v>
      </c>
      <c r="G328" s="2" t="str">
        <f>VLOOKUP(Sales_Details2[[#This Row],[Customer_ID]],Customer_Details[#All],9,0)</f>
        <v>Platinum</v>
      </c>
      <c r="H328" s="2" t="s">
        <v>1557</v>
      </c>
      <c r="I328" s="2" t="str">
        <f>VLOOKUP(Sales_Details2[[#This Row],[Product_ID]],Product_details[[#All],[Product_ID]:[Cost]],3,0)</f>
        <v>Electronics</v>
      </c>
      <c r="J328" s="2" t="str">
        <f>VLOOKUP(Sales_Details2[[#This Row],[Product_ID]],Product_details[[#All],[Product_ID]:[Cost]],4,0)</f>
        <v>Accessories</v>
      </c>
      <c r="K328" s="2" t="s">
        <v>1740</v>
      </c>
      <c r="L328" s="2" t="str">
        <f>_xlfn.XLOOKUP(Sales_Details2[[#This Row],[Store_ID]],Table2[Store_ID],Table2[Region],"Region not found")</f>
        <v>North</v>
      </c>
      <c r="M328" s="25">
        <v>2</v>
      </c>
      <c r="N328" s="36">
        <v>610.37</v>
      </c>
      <c r="O328" s="29">
        <v>0.1</v>
      </c>
      <c r="P328" s="2" t="s">
        <v>1809</v>
      </c>
      <c r="Q328" s="36">
        <v>1098.6659999999999</v>
      </c>
    </row>
    <row r="329" spans="1:17" x14ac:dyDescent="0.3">
      <c r="A329" s="2" t="s">
        <v>2136</v>
      </c>
      <c r="B329" s="14">
        <v>45240</v>
      </c>
      <c r="C329" s="2">
        <f>YEAR(Sales_Details2[[#This Row],[Order_Date]])</f>
        <v>2023</v>
      </c>
      <c r="D329" s="2" t="s">
        <v>1039</v>
      </c>
      <c r="E329" s="2" t="str">
        <f>VLOOKUP(Sales_Details2[[#This Row],[Customer_ID]],Customer_Details[#All],4,0)</f>
        <v>Mid-Adult</v>
      </c>
      <c r="F329" s="2" t="str">
        <f>VLOOKUP(Sales_Details2[[#This Row],[Customer_ID]],Customer_Details[#All],5,0)</f>
        <v>Female</v>
      </c>
      <c r="G329" s="2" t="str">
        <f>VLOOKUP(Sales_Details2[[#This Row],[Customer_ID]],Customer_Details[#All],9,0)</f>
        <v>Silver</v>
      </c>
      <c r="H329" s="2" t="s">
        <v>1633</v>
      </c>
      <c r="I329" s="2" t="str">
        <f>VLOOKUP(Sales_Details2[[#This Row],[Product_ID]],Product_details[[#All],[Product_ID]:[Cost]],3,0)</f>
        <v>Electronics</v>
      </c>
      <c r="J329" s="2" t="str">
        <f>VLOOKUP(Sales_Details2[[#This Row],[Product_ID]],Product_details[[#All],[Product_ID]:[Cost]],4,0)</f>
        <v>Accessories</v>
      </c>
      <c r="K329" s="2" t="s">
        <v>1787</v>
      </c>
      <c r="L329" s="2" t="str">
        <f>_xlfn.XLOOKUP(Sales_Details2[[#This Row],[Store_ID]],Table2[Store_ID],Table2[Region],"Region not found")</f>
        <v>West</v>
      </c>
      <c r="M329" s="25">
        <v>1</v>
      </c>
      <c r="N329" s="36">
        <v>272.2</v>
      </c>
      <c r="O329" s="29">
        <v>0.3</v>
      </c>
      <c r="P329" s="2" t="s">
        <v>1807</v>
      </c>
      <c r="Q329" s="36">
        <v>190.54</v>
      </c>
    </row>
    <row r="330" spans="1:17" x14ac:dyDescent="0.3">
      <c r="A330" s="2" t="s">
        <v>2137</v>
      </c>
      <c r="B330" s="14">
        <v>45349</v>
      </c>
      <c r="C330" s="2">
        <f>YEAR(Sales_Details2[[#This Row],[Order_Date]])</f>
        <v>2024</v>
      </c>
      <c r="D330" s="2" t="s">
        <v>1341</v>
      </c>
      <c r="E330" s="2" t="str">
        <f>VLOOKUP(Sales_Details2[[#This Row],[Customer_ID]],Customer_Details[#All],4,0)</f>
        <v>Senior</v>
      </c>
      <c r="F330" s="2" t="str">
        <f>VLOOKUP(Sales_Details2[[#This Row],[Customer_ID]],Customer_Details[#All],5,0)</f>
        <v>Female</v>
      </c>
      <c r="G330" s="2" t="str">
        <f>VLOOKUP(Sales_Details2[[#This Row],[Customer_ID]],Customer_Details[#All],9,0)</f>
        <v>Platinum</v>
      </c>
      <c r="H330" s="2" t="s">
        <v>1685</v>
      </c>
      <c r="I330" s="2" t="str">
        <f>VLOOKUP(Sales_Details2[[#This Row],[Product_ID]],Product_details[[#All],[Product_ID]:[Cost]],3,0)</f>
        <v>Electronics</v>
      </c>
      <c r="J330" s="2" t="str">
        <f>VLOOKUP(Sales_Details2[[#This Row],[Product_ID]],Product_details[[#All],[Product_ID]:[Cost]],4,0)</f>
        <v>Appliances</v>
      </c>
      <c r="K330" s="2" t="s">
        <v>1759</v>
      </c>
      <c r="L330" s="2" t="str">
        <f>_xlfn.XLOOKUP(Sales_Details2[[#This Row],[Store_ID]],Table2[Store_ID],Table2[Region],"Region not found")</f>
        <v>East</v>
      </c>
      <c r="M330" s="25">
        <v>3</v>
      </c>
      <c r="N330" s="36">
        <v>573.1</v>
      </c>
      <c r="O330" s="29">
        <v>0.16</v>
      </c>
      <c r="P330" s="2" t="s">
        <v>1812</v>
      </c>
      <c r="Q330" s="36">
        <v>1444.212</v>
      </c>
    </row>
    <row r="331" spans="1:17" x14ac:dyDescent="0.3">
      <c r="A331" s="2" t="s">
        <v>2138</v>
      </c>
      <c r="B331" s="14">
        <v>45756</v>
      </c>
      <c r="C331" s="2">
        <f>YEAR(Sales_Details2[[#This Row],[Order_Date]])</f>
        <v>2025</v>
      </c>
      <c r="D331" s="2" t="s">
        <v>1004</v>
      </c>
      <c r="E331" s="2" t="str">
        <f>VLOOKUP(Sales_Details2[[#This Row],[Customer_ID]],Customer_Details[#All],4,0)</f>
        <v>Senior</v>
      </c>
      <c r="F331" s="2" t="str">
        <f>VLOOKUP(Sales_Details2[[#This Row],[Customer_ID]],Customer_Details[#All],5,0)</f>
        <v>Male</v>
      </c>
      <c r="G331" s="2" t="str">
        <f>VLOOKUP(Sales_Details2[[#This Row],[Customer_ID]],Customer_Details[#All],9,0)</f>
        <v>Bronze</v>
      </c>
      <c r="H331" s="2" t="s">
        <v>1540</v>
      </c>
      <c r="I331" s="2" t="str">
        <f>VLOOKUP(Sales_Details2[[#This Row],[Product_ID]],Product_details[[#All],[Product_ID]:[Cost]],3,0)</f>
        <v>Beauty</v>
      </c>
      <c r="J331" s="2" t="str">
        <f>VLOOKUP(Sales_Details2[[#This Row],[Product_ID]],Product_details[[#All],[Product_ID]:[Cost]],4,0)</f>
        <v>Skincare</v>
      </c>
      <c r="K331" s="2" t="s">
        <v>1735</v>
      </c>
      <c r="L331" s="2" t="str">
        <f>_xlfn.XLOOKUP(Sales_Details2[[#This Row],[Store_ID]],Table2[Store_ID],Table2[Region],"Region not found")</f>
        <v>East</v>
      </c>
      <c r="M331" s="25">
        <v>4</v>
      </c>
      <c r="N331" s="36">
        <v>24.72</v>
      </c>
      <c r="O331" s="29">
        <v>0.28000000000000003</v>
      </c>
      <c r="P331" s="2" t="s">
        <v>1807</v>
      </c>
      <c r="Q331" s="36">
        <v>71.193599999999989</v>
      </c>
    </row>
    <row r="332" spans="1:17" x14ac:dyDescent="0.3">
      <c r="A332" s="2" t="s">
        <v>2139</v>
      </c>
      <c r="B332" s="14">
        <v>45478</v>
      </c>
      <c r="C332" s="2">
        <f>YEAR(Sales_Details2[[#This Row],[Order_Date]])</f>
        <v>2024</v>
      </c>
      <c r="D332" s="2" t="s">
        <v>797</v>
      </c>
      <c r="E332" s="2" t="str">
        <f>VLOOKUP(Sales_Details2[[#This Row],[Customer_ID]],Customer_Details[#All],4,0)</f>
        <v>Senior</v>
      </c>
      <c r="F332" s="2" t="str">
        <f>VLOOKUP(Sales_Details2[[#This Row],[Customer_ID]],Customer_Details[#All],5,0)</f>
        <v>Male</v>
      </c>
      <c r="G332" s="2" t="str">
        <f>VLOOKUP(Sales_Details2[[#This Row],[Customer_ID]],Customer_Details[#All],9,0)</f>
        <v>Silver</v>
      </c>
      <c r="H332" s="2" t="s">
        <v>1548</v>
      </c>
      <c r="I332" s="2" t="str">
        <f>VLOOKUP(Sales_Details2[[#This Row],[Product_ID]],Product_details[[#All],[Product_ID]:[Cost]],3,0)</f>
        <v>Sports</v>
      </c>
      <c r="J332" s="2" t="str">
        <f>VLOOKUP(Sales_Details2[[#This Row],[Product_ID]],Product_details[[#All],[Product_ID]:[Cost]],4,0)</f>
        <v>Fitness</v>
      </c>
      <c r="K332" s="2" t="s">
        <v>1769</v>
      </c>
      <c r="L332" s="2" t="str">
        <f>_xlfn.XLOOKUP(Sales_Details2[[#This Row],[Store_ID]],Table2[Store_ID],Table2[Region],"Region not found")</f>
        <v>South</v>
      </c>
      <c r="M332" s="25">
        <v>3</v>
      </c>
      <c r="N332" s="36">
        <v>268.89</v>
      </c>
      <c r="O332" s="29">
        <v>7.0000000000000007E-2</v>
      </c>
      <c r="P332" s="2" t="s">
        <v>1812</v>
      </c>
      <c r="Q332" s="36">
        <v>750.20309999999995</v>
      </c>
    </row>
    <row r="333" spans="1:17" x14ac:dyDescent="0.3">
      <c r="A333" s="2" t="s">
        <v>2140</v>
      </c>
      <c r="B333" s="14">
        <v>45890</v>
      </c>
      <c r="C333" s="2">
        <f>YEAR(Sales_Details2[[#This Row],[Order_Date]])</f>
        <v>2025</v>
      </c>
      <c r="D333" s="2" t="s">
        <v>814</v>
      </c>
      <c r="E333" s="2" t="str">
        <f>VLOOKUP(Sales_Details2[[#This Row],[Customer_ID]],Customer_Details[#All],4,0)</f>
        <v>Mid-Adult</v>
      </c>
      <c r="F333" s="2" t="str">
        <f>VLOOKUP(Sales_Details2[[#This Row],[Customer_ID]],Customer_Details[#All],5,0)</f>
        <v>Male</v>
      </c>
      <c r="G333" s="2" t="str">
        <f>VLOOKUP(Sales_Details2[[#This Row],[Customer_ID]],Customer_Details[#All],9,0)</f>
        <v>Silver</v>
      </c>
      <c r="H333" s="2" t="s">
        <v>1667</v>
      </c>
      <c r="I333" s="2" t="str">
        <f>VLOOKUP(Sales_Details2[[#This Row],[Product_ID]],Product_details[[#All],[Product_ID]:[Cost]],3,0)</f>
        <v>Home</v>
      </c>
      <c r="J333" s="2" t="str">
        <f>VLOOKUP(Sales_Details2[[#This Row],[Product_ID]],Product_details[[#All],[Product_ID]:[Cost]],4,0)</f>
        <v>Furniture</v>
      </c>
      <c r="K333" s="2" t="s">
        <v>1769</v>
      </c>
      <c r="L333" s="2" t="str">
        <f>_xlfn.XLOOKUP(Sales_Details2[[#This Row],[Store_ID]],Table2[Store_ID],Table2[Region],"Region not found")</f>
        <v>South</v>
      </c>
      <c r="M333" s="25">
        <v>1</v>
      </c>
      <c r="N333" s="36">
        <v>78.5</v>
      </c>
      <c r="O333" s="29">
        <v>0.17</v>
      </c>
      <c r="P333" s="2" t="s">
        <v>1812</v>
      </c>
      <c r="Q333" s="36">
        <v>65.155000000000001</v>
      </c>
    </row>
    <row r="334" spans="1:17" x14ac:dyDescent="0.3">
      <c r="A334" s="2" t="s">
        <v>2141</v>
      </c>
      <c r="B334" s="14">
        <v>45815</v>
      </c>
      <c r="C334" s="2">
        <f>YEAR(Sales_Details2[[#This Row],[Order_Date]])</f>
        <v>2025</v>
      </c>
      <c r="D334" s="2" t="s">
        <v>450</v>
      </c>
      <c r="E334" s="2" t="str">
        <f>VLOOKUP(Sales_Details2[[#This Row],[Customer_ID]],Customer_Details[#All],4,0)</f>
        <v>Senior</v>
      </c>
      <c r="F334" s="2" t="str">
        <f>VLOOKUP(Sales_Details2[[#This Row],[Customer_ID]],Customer_Details[#All],5,0)</f>
        <v>Female</v>
      </c>
      <c r="G334" s="2" t="str">
        <f>VLOOKUP(Sales_Details2[[#This Row],[Customer_ID]],Customer_Details[#All],9,0)</f>
        <v>Bronze</v>
      </c>
      <c r="H334" s="2" t="s">
        <v>1603</v>
      </c>
      <c r="I334" s="2" t="str">
        <f>VLOOKUP(Sales_Details2[[#This Row],[Product_ID]],Product_details[[#All],[Product_ID]:[Cost]],3,0)</f>
        <v>Clothing</v>
      </c>
      <c r="J334" s="2" t="str">
        <f>VLOOKUP(Sales_Details2[[#This Row],[Product_ID]],Product_details[[#All],[Product_ID]:[Cost]],4,0)</f>
        <v>Tops</v>
      </c>
      <c r="K334" s="2" t="s">
        <v>1752</v>
      </c>
      <c r="L334" s="2" t="str">
        <f>_xlfn.XLOOKUP(Sales_Details2[[#This Row],[Store_ID]],Table2[Store_ID],Table2[Region],"Region not found")</f>
        <v>South</v>
      </c>
      <c r="M334" s="25">
        <v>3</v>
      </c>
      <c r="N334" s="36">
        <v>399.42</v>
      </c>
      <c r="O334" s="29">
        <v>0.02</v>
      </c>
      <c r="P334" s="2" t="s">
        <v>1807</v>
      </c>
      <c r="Q334" s="36">
        <v>1174.2947999999999</v>
      </c>
    </row>
    <row r="335" spans="1:17" x14ac:dyDescent="0.3">
      <c r="A335" s="2" t="s">
        <v>2142</v>
      </c>
      <c r="B335" s="14">
        <v>45891</v>
      </c>
      <c r="C335" s="2">
        <f>YEAR(Sales_Details2[[#This Row],[Order_Date]])</f>
        <v>2025</v>
      </c>
      <c r="D335" s="2" t="s">
        <v>304</v>
      </c>
      <c r="E335" s="2" t="str">
        <f>VLOOKUP(Sales_Details2[[#This Row],[Customer_ID]],Customer_Details[#All],4,0)</f>
        <v>Mid-Adult</v>
      </c>
      <c r="F335" s="2" t="str">
        <f>VLOOKUP(Sales_Details2[[#This Row],[Customer_ID]],Customer_Details[#All],5,0)</f>
        <v>Male</v>
      </c>
      <c r="G335" s="2" t="str">
        <f>VLOOKUP(Sales_Details2[[#This Row],[Customer_ID]],Customer_Details[#All],9,0)</f>
        <v>Silver</v>
      </c>
      <c r="H335" s="2" t="s">
        <v>1593</v>
      </c>
      <c r="I335" s="2" t="str">
        <f>VLOOKUP(Sales_Details2[[#This Row],[Product_ID]],Product_details[[#All],[Product_ID]:[Cost]],3,0)</f>
        <v>Sports</v>
      </c>
      <c r="J335" s="2" t="str">
        <f>VLOOKUP(Sales_Details2[[#This Row],[Product_ID]],Product_details[[#All],[Product_ID]:[Cost]],4,0)</f>
        <v>Team Sports</v>
      </c>
      <c r="K335" s="2" t="s">
        <v>1796</v>
      </c>
      <c r="L335" s="2" t="str">
        <f>_xlfn.XLOOKUP(Sales_Details2[[#This Row],[Store_ID]],Table2[Store_ID],Table2[Region],"Region not found")</f>
        <v>East</v>
      </c>
      <c r="M335" s="25">
        <v>3</v>
      </c>
      <c r="N335" s="36">
        <v>455.82</v>
      </c>
      <c r="O335" s="29">
        <v>0.01</v>
      </c>
      <c r="P335" s="2" t="s">
        <v>1809</v>
      </c>
      <c r="Q335" s="36">
        <v>1353.7854</v>
      </c>
    </row>
    <row r="336" spans="1:17" x14ac:dyDescent="0.3">
      <c r="A336" s="2" t="s">
        <v>2143</v>
      </c>
      <c r="B336" s="14">
        <v>45609</v>
      </c>
      <c r="C336" s="2">
        <f>YEAR(Sales_Details2[[#This Row],[Order_Date]])</f>
        <v>2024</v>
      </c>
      <c r="D336" s="2" t="s">
        <v>1083</v>
      </c>
      <c r="E336" s="2" t="str">
        <f>VLOOKUP(Sales_Details2[[#This Row],[Customer_ID]],Customer_Details[#All],4,0)</f>
        <v>Mid-Adult</v>
      </c>
      <c r="F336" s="2" t="str">
        <f>VLOOKUP(Sales_Details2[[#This Row],[Customer_ID]],Customer_Details[#All],5,0)</f>
        <v>Male</v>
      </c>
      <c r="G336" s="2" t="str">
        <f>VLOOKUP(Sales_Details2[[#This Row],[Customer_ID]],Customer_Details[#All],9,0)</f>
        <v>Bronze</v>
      </c>
      <c r="H336" s="2" t="s">
        <v>1631</v>
      </c>
      <c r="I336" s="2" t="str">
        <f>VLOOKUP(Sales_Details2[[#This Row],[Product_ID]],Product_details[[#All],[Product_ID]:[Cost]],3,0)</f>
        <v>Sports</v>
      </c>
      <c r="J336" s="2" t="str">
        <f>VLOOKUP(Sales_Details2[[#This Row],[Product_ID]],Product_details[[#All],[Product_ID]:[Cost]],4,0)</f>
        <v>Fitness</v>
      </c>
      <c r="K336" s="2" t="s">
        <v>1756</v>
      </c>
      <c r="L336" s="2" t="str">
        <f>_xlfn.XLOOKUP(Sales_Details2[[#This Row],[Store_ID]],Table2[Store_ID],Table2[Region],"Region not found")</f>
        <v>North</v>
      </c>
      <c r="M336" s="25">
        <v>2</v>
      </c>
      <c r="N336" s="36">
        <v>613.23</v>
      </c>
      <c r="O336" s="29">
        <v>0.15</v>
      </c>
      <c r="P336" s="2" t="s">
        <v>1809</v>
      </c>
      <c r="Q336" s="36">
        <v>1042.491</v>
      </c>
    </row>
    <row r="337" spans="1:17" x14ac:dyDescent="0.3">
      <c r="A337" s="2" t="s">
        <v>2144</v>
      </c>
      <c r="B337" s="14">
        <v>45309</v>
      </c>
      <c r="C337" s="2">
        <f>YEAR(Sales_Details2[[#This Row],[Order_Date]])</f>
        <v>2024</v>
      </c>
      <c r="D337" s="2" t="s">
        <v>1398</v>
      </c>
      <c r="E337" s="2" t="str">
        <f>VLOOKUP(Sales_Details2[[#This Row],[Customer_ID]],Customer_Details[#All],4,0)</f>
        <v>Senior</v>
      </c>
      <c r="F337" s="2" t="str">
        <f>VLOOKUP(Sales_Details2[[#This Row],[Customer_ID]],Customer_Details[#All],5,0)</f>
        <v>Female</v>
      </c>
      <c r="G337" s="2" t="str">
        <f>VLOOKUP(Sales_Details2[[#This Row],[Customer_ID]],Customer_Details[#All],9,0)</f>
        <v>Silver</v>
      </c>
      <c r="H337" s="2" t="s">
        <v>1532</v>
      </c>
      <c r="I337" s="2" t="str">
        <f>VLOOKUP(Sales_Details2[[#This Row],[Product_ID]],Product_details[[#All],[Product_ID]:[Cost]],3,0)</f>
        <v>Clothing</v>
      </c>
      <c r="J337" s="2" t="str">
        <f>VLOOKUP(Sales_Details2[[#This Row],[Product_ID]],Product_details[[#All],[Product_ID]:[Cost]],4,0)</f>
        <v>Outerwear</v>
      </c>
      <c r="K337" s="2" t="s">
        <v>1782</v>
      </c>
      <c r="L337" s="2" t="str">
        <f>_xlfn.XLOOKUP(Sales_Details2[[#This Row],[Store_ID]],Table2[Store_ID],Table2[Region],"Region not found")</f>
        <v>South</v>
      </c>
      <c r="M337" s="25">
        <v>4</v>
      </c>
      <c r="N337" s="36">
        <v>971.9</v>
      </c>
      <c r="O337" s="29">
        <v>0.28000000000000003</v>
      </c>
      <c r="P337" s="2" t="s">
        <v>1809</v>
      </c>
      <c r="Q337" s="36">
        <v>2799.0720000000001</v>
      </c>
    </row>
    <row r="338" spans="1:17" x14ac:dyDescent="0.3">
      <c r="A338" s="2" t="s">
        <v>2145</v>
      </c>
      <c r="B338" s="14">
        <v>45519</v>
      </c>
      <c r="C338" s="2">
        <f>YEAR(Sales_Details2[[#This Row],[Order_Date]])</f>
        <v>2024</v>
      </c>
      <c r="D338" s="2" t="s">
        <v>136</v>
      </c>
      <c r="E338" s="2" t="str">
        <f>VLOOKUP(Sales_Details2[[#This Row],[Customer_ID]],Customer_Details[#All],4,0)</f>
        <v>Adult</v>
      </c>
      <c r="F338" s="2" t="str">
        <f>VLOOKUP(Sales_Details2[[#This Row],[Customer_ID]],Customer_Details[#All],5,0)</f>
        <v>Female</v>
      </c>
      <c r="G338" s="2" t="str">
        <f>VLOOKUP(Sales_Details2[[#This Row],[Customer_ID]],Customer_Details[#All],9,0)</f>
        <v>Platinum</v>
      </c>
      <c r="H338" s="2" t="s">
        <v>1587</v>
      </c>
      <c r="I338" s="2" t="str">
        <f>VLOOKUP(Sales_Details2[[#This Row],[Product_ID]],Product_details[[#All],[Product_ID]:[Cost]],3,0)</f>
        <v>Sports</v>
      </c>
      <c r="J338" s="2" t="str">
        <f>VLOOKUP(Sales_Details2[[#This Row],[Product_ID]],Product_details[[#All],[Product_ID]:[Cost]],4,0)</f>
        <v>Accessories</v>
      </c>
      <c r="K338" s="2" t="s">
        <v>1762</v>
      </c>
      <c r="L338" s="2" t="str">
        <f>_xlfn.XLOOKUP(Sales_Details2[[#This Row],[Store_ID]],Table2[Store_ID],Table2[Region],"Region not found")</f>
        <v>South</v>
      </c>
      <c r="M338" s="25">
        <v>3</v>
      </c>
      <c r="N338" s="36">
        <v>884.92</v>
      </c>
      <c r="O338" s="29">
        <v>0.06</v>
      </c>
      <c r="P338" s="2" t="s">
        <v>1809</v>
      </c>
      <c r="Q338" s="36">
        <v>2495.4744000000001</v>
      </c>
    </row>
    <row r="339" spans="1:17" x14ac:dyDescent="0.3">
      <c r="A339" s="2" t="s">
        <v>2146</v>
      </c>
      <c r="B339" s="14">
        <v>45921</v>
      </c>
      <c r="C339" s="2">
        <f>YEAR(Sales_Details2[[#This Row],[Order_Date]])</f>
        <v>2025</v>
      </c>
      <c r="D339" s="2" t="s">
        <v>310</v>
      </c>
      <c r="E339" s="2" t="str">
        <f>VLOOKUP(Sales_Details2[[#This Row],[Customer_ID]],Customer_Details[#All],4,0)</f>
        <v>Senior</v>
      </c>
      <c r="F339" s="2" t="str">
        <f>VLOOKUP(Sales_Details2[[#This Row],[Customer_ID]],Customer_Details[#All],5,0)</f>
        <v>Female</v>
      </c>
      <c r="G339" s="2" t="str">
        <f>VLOOKUP(Sales_Details2[[#This Row],[Customer_ID]],Customer_Details[#All],9,0)</f>
        <v>Bronze</v>
      </c>
      <c r="H339" s="2" t="s">
        <v>1545</v>
      </c>
      <c r="I339" s="2" t="str">
        <f>VLOOKUP(Sales_Details2[[#This Row],[Product_ID]],Product_details[[#All],[Product_ID]:[Cost]],3,0)</f>
        <v>Electronics</v>
      </c>
      <c r="J339" s="2" t="str">
        <f>VLOOKUP(Sales_Details2[[#This Row],[Product_ID]],Product_details[[#All],[Product_ID]:[Cost]],4,0)</f>
        <v>Audio</v>
      </c>
      <c r="K339" s="2" t="s">
        <v>1769</v>
      </c>
      <c r="L339" s="2" t="str">
        <f>_xlfn.XLOOKUP(Sales_Details2[[#This Row],[Store_ID]],Table2[Store_ID],Table2[Region],"Region not found")</f>
        <v>South</v>
      </c>
      <c r="M339" s="25">
        <v>1</v>
      </c>
      <c r="N339" s="36">
        <v>125</v>
      </c>
      <c r="O339" s="29">
        <v>0.23</v>
      </c>
      <c r="P339" s="2" t="s">
        <v>1807</v>
      </c>
      <c r="Q339" s="36">
        <v>96.25</v>
      </c>
    </row>
    <row r="340" spans="1:17" x14ac:dyDescent="0.3">
      <c r="A340" s="2" t="s">
        <v>2147</v>
      </c>
      <c r="B340" s="14">
        <v>45465</v>
      </c>
      <c r="C340" s="2">
        <f>YEAR(Sales_Details2[[#This Row],[Order_Date]])</f>
        <v>2024</v>
      </c>
      <c r="D340" s="2" t="s">
        <v>436</v>
      </c>
      <c r="E340" s="2" t="str">
        <f>VLOOKUP(Sales_Details2[[#This Row],[Customer_ID]],Customer_Details[#All],4,0)</f>
        <v>Mid-Adult</v>
      </c>
      <c r="F340" s="2" t="str">
        <f>VLOOKUP(Sales_Details2[[#This Row],[Customer_ID]],Customer_Details[#All],5,0)</f>
        <v>Male</v>
      </c>
      <c r="G340" s="2" t="str">
        <f>VLOOKUP(Sales_Details2[[#This Row],[Customer_ID]],Customer_Details[#All],9,0)</f>
        <v>Silver</v>
      </c>
      <c r="H340" s="2" t="s">
        <v>1551</v>
      </c>
      <c r="I340" s="2" t="str">
        <f>VLOOKUP(Sales_Details2[[#This Row],[Product_ID]],Product_details[[#All],[Product_ID]:[Cost]],3,0)</f>
        <v>Home</v>
      </c>
      <c r="J340" s="2" t="str">
        <f>VLOOKUP(Sales_Details2[[#This Row],[Product_ID]],Product_details[[#All],[Product_ID]:[Cost]],4,0)</f>
        <v>Kitchen</v>
      </c>
      <c r="K340" s="2" t="s">
        <v>1784</v>
      </c>
      <c r="L340" s="2" t="str">
        <f>_xlfn.XLOOKUP(Sales_Details2[[#This Row],[Store_ID]],Table2[Store_ID],Table2[Region],"Region not found")</f>
        <v>North</v>
      </c>
      <c r="M340" s="25">
        <v>2</v>
      </c>
      <c r="N340" s="36">
        <v>188.25</v>
      </c>
      <c r="O340" s="29">
        <v>0.08</v>
      </c>
      <c r="P340" s="2" t="s">
        <v>1809</v>
      </c>
      <c r="Q340" s="36">
        <v>346.38</v>
      </c>
    </row>
    <row r="341" spans="1:17" x14ac:dyDescent="0.3">
      <c r="A341" s="2" t="s">
        <v>2148</v>
      </c>
      <c r="B341" s="14">
        <v>45303</v>
      </c>
      <c r="C341" s="2">
        <f>YEAR(Sales_Details2[[#This Row],[Order_Date]])</f>
        <v>2024</v>
      </c>
      <c r="D341" s="2" t="s">
        <v>713</v>
      </c>
      <c r="E341" s="2" t="str">
        <f>VLOOKUP(Sales_Details2[[#This Row],[Customer_ID]],Customer_Details[#All],4,0)</f>
        <v>Mid-Adult</v>
      </c>
      <c r="F341" s="2" t="str">
        <f>VLOOKUP(Sales_Details2[[#This Row],[Customer_ID]],Customer_Details[#All],5,0)</f>
        <v>Male</v>
      </c>
      <c r="G341" s="2" t="str">
        <f>VLOOKUP(Sales_Details2[[#This Row],[Customer_ID]],Customer_Details[#All],9,0)</f>
        <v>Platinum</v>
      </c>
      <c r="H341" s="2" t="s">
        <v>1623</v>
      </c>
      <c r="I341" s="2" t="str">
        <f>VLOOKUP(Sales_Details2[[#This Row],[Product_ID]],Product_details[[#All],[Product_ID]:[Cost]],3,0)</f>
        <v>Clothing</v>
      </c>
      <c r="J341" s="2" t="str">
        <f>VLOOKUP(Sales_Details2[[#This Row],[Product_ID]],Product_details[[#All],[Product_ID]:[Cost]],4,0)</f>
        <v>Outerwear</v>
      </c>
      <c r="K341" s="2" t="s">
        <v>1759</v>
      </c>
      <c r="L341" s="2" t="str">
        <f>_xlfn.XLOOKUP(Sales_Details2[[#This Row],[Store_ID]],Table2[Store_ID],Table2[Region],"Region not found")</f>
        <v>East</v>
      </c>
      <c r="M341" s="25">
        <v>4</v>
      </c>
      <c r="N341" s="36">
        <v>344.12</v>
      </c>
      <c r="O341" s="29">
        <v>0.25</v>
      </c>
      <c r="P341" s="2" t="s">
        <v>1809</v>
      </c>
      <c r="Q341" s="36">
        <v>1032.3599999999999</v>
      </c>
    </row>
    <row r="342" spans="1:17" x14ac:dyDescent="0.3">
      <c r="A342" s="2" t="s">
        <v>2149</v>
      </c>
      <c r="B342" s="14">
        <v>45218</v>
      </c>
      <c r="C342" s="2">
        <f>YEAR(Sales_Details2[[#This Row],[Order_Date]])</f>
        <v>2023</v>
      </c>
      <c r="D342" s="2" t="s">
        <v>178</v>
      </c>
      <c r="E342" s="2" t="str">
        <f>VLOOKUP(Sales_Details2[[#This Row],[Customer_ID]],Customer_Details[#All],4,0)</f>
        <v>Senior</v>
      </c>
      <c r="F342" s="2" t="str">
        <f>VLOOKUP(Sales_Details2[[#This Row],[Customer_ID]],Customer_Details[#All],5,0)</f>
        <v>Female</v>
      </c>
      <c r="G342" s="2" t="str">
        <f>VLOOKUP(Sales_Details2[[#This Row],[Customer_ID]],Customer_Details[#All],9,0)</f>
        <v>Silver</v>
      </c>
      <c r="H342" s="2" t="s">
        <v>1565</v>
      </c>
      <c r="I342" s="2" t="str">
        <f>VLOOKUP(Sales_Details2[[#This Row],[Product_ID]],Product_details[[#All],[Product_ID]:[Cost]],3,0)</f>
        <v>Sports</v>
      </c>
      <c r="J342" s="2" t="str">
        <f>VLOOKUP(Sales_Details2[[#This Row],[Product_ID]],Product_details[[#All],[Product_ID]:[Cost]],4,0)</f>
        <v>Accessories</v>
      </c>
      <c r="K342" s="2" t="s">
        <v>1796</v>
      </c>
      <c r="L342" s="2" t="str">
        <f>_xlfn.XLOOKUP(Sales_Details2[[#This Row],[Store_ID]],Table2[Store_ID],Table2[Region],"Region not found")</f>
        <v>East</v>
      </c>
      <c r="M342" s="25">
        <v>3</v>
      </c>
      <c r="N342" s="36">
        <v>997.95</v>
      </c>
      <c r="O342" s="29">
        <v>0.09</v>
      </c>
      <c r="P342" s="2" t="s">
        <v>1812</v>
      </c>
      <c r="Q342" s="36">
        <v>2724.4034999999999</v>
      </c>
    </row>
    <row r="343" spans="1:17" x14ac:dyDescent="0.3">
      <c r="A343" s="2" t="s">
        <v>2150</v>
      </c>
      <c r="B343" s="14">
        <v>45727</v>
      </c>
      <c r="C343" s="2">
        <f>YEAR(Sales_Details2[[#This Row],[Order_Date]])</f>
        <v>2025</v>
      </c>
      <c r="D343" s="2" t="s">
        <v>500</v>
      </c>
      <c r="E343" s="2" t="str">
        <f>VLOOKUP(Sales_Details2[[#This Row],[Customer_ID]],Customer_Details[#All],4,0)</f>
        <v>Adult</v>
      </c>
      <c r="F343" s="2" t="str">
        <f>VLOOKUP(Sales_Details2[[#This Row],[Customer_ID]],Customer_Details[#All],5,0)</f>
        <v>Male</v>
      </c>
      <c r="G343" s="2" t="str">
        <f>VLOOKUP(Sales_Details2[[#This Row],[Customer_ID]],Customer_Details[#All],9,0)</f>
        <v>Gold</v>
      </c>
      <c r="H343" s="2" t="s">
        <v>1553</v>
      </c>
      <c r="I343" s="2" t="str">
        <f>VLOOKUP(Sales_Details2[[#This Row],[Product_ID]],Product_details[[#All],[Product_ID]:[Cost]],3,0)</f>
        <v>Electronics</v>
      </c>
      <c r="J343" s="2" t="str">
        <f>VLOOKUP(Sales_Details2[[#This Row],[Product_ID]],Product_details[[#All],[Product_ID]:[Cost]],4,0)</f>
        <v>Accessories</v>
      </c>
      <c r="K343" s="2" t="s">
        <v>1784</v>
      </c>
      <c r="L343" s="2" t="str">
        <f>_xlfn.XLOOKUP(Sales_Details2[[#This Row],[Store_ID]],Table2[Store_ID],Table2[Region],"Region not found")</f>
        <v>North</v>
      </c>
      <c r="M343" s="25">
        <v>3</v>
      </c>
      <c r="N343" s="36">
        <v>121.64</v>
      </c>
      <c r="O343" s="29">
        <v>7.0000000000000007E-2</v>
      </c>
      <c r="P343" s="2" t="s">
        <v>1809</v>
      </c>
      <c r="Q343" s="36">
        <v>339.37560000000002</v>
      </c>
    </row>
    <row r="344" spans="1:17" x14ac:dyDescent="0.3">
      <c r="A344" s="2" t="s">
        <v>2151</v>
      </c>
      <c r="B344" s="14">
        <v>45557</v>
      </c>
      <c r="C344" s="2">
        <f>YEAR(Sales_Details2[[#This Row],[Order_Date]])</f>
        <v>2024</v>
      </c>
      <c r="D344" s="2" t="s">
        <v>710</v>
      </c>
      <c r="E344" s="2" t="str">
        <f>VLOOKUP(Sales_Details2[[#This Row],[Customer_ID]],Customer_Details[#All],4,0)</f>
        <v>Mid-Adult</v>
      </c>
      <c r="F344" s="2" t="str">
        <f>VLOOKUP(Sales_Details2[[#This Row],[Customer_ID]],Customer_Details[#All],5,0)</f>
        <v>Male</v>
      </c>
      <c r="G344" s="2" t="str">
        <f>VLOOKUP(Sales_Details2[[#This Row],[Customer_ID]],Customer_Details[#All],9,0)</f>
        <v>Platinum</v>
      </c>
      <c r="H344" s="2" t="s">
        <v>1667</v>
      </c>
      <c r="I344" s="2" t="str">
        <f>VLOOKUP(Sales_Details2[[#This Row],[Product_ID]],Product_details[[#All],[Product_ID]:[Cost]],3,0)</f>
        <v>Home</v>
      </c>
      <c r="J344" s="2" t="str">
        <f>VLOOKUP(Sales_Details2[[#This Row],[Product_ID]],Product_details[[#All],[Product_ID]:[Cost]],4,0)</f>
        <v>Furniture</v>
      </c>
      <c r="K344" s="2" t="s">
        <v>1772</v>
      </c>
      <c r="L344" s="2" t="str">
        <f>_xlfn.XLOOKUP(Sales_Details2[[#This Row],[Store_ID]],Table2[Store_ID],Table2[Region],"Region not found")</f>
        <v>East</v>
      </c>
      <c r="M344" s="25">
        <v>2</v>
      </c>
      <c r="N344" s="36">
        <v>692.72</v>
      </c>
      <c r="O344" s="29">
        <v>0.13</v>
      </c>
      <c r="P344" s="2" t="s">
        <v>1809</v>
      </c>
      <c r="Q344" s="36">
        <v>1205.3327999999999</v>
      </c>
    </row>
    <row r="345" spans="1:17" x14ac:dyDescent="0.3">
      <c r="A345" s="2" t="s">
        <v>2152</v>
      </c>
      <c r="B345" s="14">
        <v>45623</v>
      </c>
      <c r="C345" s="2">
        <f>YEAR(Sales_Details2[[#This Row],[Order_Date]])</f>
        <v>2024</v>
      </c>
      <c r="D345" s="2" t="s">
        <v>114</v>
      </c>
      <c r="E345" s="2" t="str">
        <f>VLOOKUP(Sales_Details2[[#This Row],[Customer_ID]],Customer_Details[#All],4,0)</f>
        <v>Mid-Adult</v>
      </c>
      <c r="F345" s="2" t="str">
        <f>VLOOKUP(Sales_Details2[[#This Row],[Customer_ID]],Customer_Details[#All],5,0)</f>
        <v>Male</v>
      </c>
      <c r="G345" s="2" t="str">
        <f>VLOOKUP(Sales_Details2[[#This Row],[Customer_ID]],Customer_Details[#All],9,0)</f>
        <v>Platinum</v>
      </c>
      <c r="H345" s="2" t="s">
        <v>1579</v>
      </c>
      <c r="I345" s="2" t="str">
        <f>VLOOKUP(Sales_Details2[[#This Row],[Product_ID]],Product_details[[#All],[Product_ID]:[Cost]],3,0)</f>
        <v>Sports</v>
      </c>
      <c r="J345" s="2" t="str">
        <f>VLOOKUP(Sales_Details2[[#This Row],[Product_ID]],Product_details[[#All],[Product_ID]:[Cost]],4,0)</f>
        <v>Outdoor</v>
      </c>
      <c r="K345" s="2" t="s">
        <v>1796</v>
      </c>
      <c r="L345" s="2" t="str">
        <f>_xlfn.XLOOKUP(Sales_Details2[[#This Row],[Store_ID]],Table2[Store_ID],Table2[Region],"Region not found")</f>
        <v>East</v>
      </c>
      <c r="M345" s="25">
        <v>3</v>
      </c>
      <c r="N345" s="36">
        <v>794.59</v>
      </c>
      <c r="O345" s="29">
        <v>0.03</v>
      </c>
      <c r="P345" s="2" t="s">
        <v>1809</v>
      </c>
      <c r="Q345" s="36">
        <v>2312.2568999999999</v>
      </c>
    </row>
    <row r="346" spans="1:17" x14ac:dyDescent="0.3">
      <c r="A346" s="2" t="s">
        <v>2153</v>
      </c>
      <c r="B346" s="14">
        <v>45224</v>
      </c>
      <c r="C346" s="2">
        <f>YEAR(Sales_Details2[[#This Row],[Order_Date]])</f>
        <v>2023</v>
      </c>
      <c r="D346" s="2" t="s">
        <v>67</v>
      </c>
      <c r="E346" s="2" t="str">
        <f>VLOOKUP(Sales_Details2[[#This Row],[Customer_ID]],Customer_Details[#All],4,0)</f>
        <v>Senior</v>
      </c>
      <c r="F346" s="2" t="str">
        <f>VLOOKUP(Sales_Details2[[#This Row],[Customer_ID]],Customer_Details[#All],5,0)</f>
        <v>Female</v>
      </c>
      <c r="G346" s="2" t="str">
        <f>VLOOKUP(Sales_Details2[[#This Row],[Customer_ID]],Customer_Details[#All],9,0)</f>
        <v>Silver</v>
      </c>
      <c r="H346" s="2" t="s">
        <v>1583</v>
      </c>
      <c r="I346" s="2" t="str">
        <f>VLOOKUP(Sales_Details2[[#This Row],[Product_ID]],Product_details[[#All],[Product_ID]:[Cost]],3,0)</f>
        <v>Electronics</v>
      </c>
      <c r="J346" s="2" t="str">
        <f>VLOOKUP(Sales_Details2[[#This Row],[Product_ID]],Product_details[[#All],[Product_ID]:[Cost]],4,0)</f>
        <v>Audio</v>
      </c>
      <c r="K346" s="2" t="s">
        <v>1769</v>
      </c>
      <c r="L346" s="2" t="str">
        <f>_xlfn.XLOOKUP(Sales_Details2[[#This Row],[Store_ID]],Table2[Store_ID],Table2[Region],"Region not found")</f>
        <v>South</v>
      </c>
      <c r="M346" s="25">
        <v>1</v>
      </c>
      <c r="N346" s="36">
        <v>907.95</v>
      </c>
      <c r="O346" s="29">
        <v>0.1</v>
      </c>
      <c r="P346" s="2" t="s">
        <v>1809</v>
      </c>
      <c r="Q346" s="36">
        <v>817.15500000000009</v>
      </c>
    </row>
    <row r="347" spans="1:17" x14ac:dyDescent="0.3">
      <c r="A347" s="2" t="s">
        <v>2154</v>
      </c>
      <c r="B347" s="14">
        <v>45940</v>
      </c>
      <c r="C347" s="2">
        <f>YEAR(Sales_Details2[[#This Row],[Order_Date]])</f>
        <v>2025</v>
      </c>
      <c r="D347" s="2" t="s">
        <v>903</v>
      </c>
      <c r="E347" s="2" t="str">
        <f>VLOOKUP(Sales_Details2[[#This Row],[Customer_ID]],Customer_Details[#All],4,0)</f>
        <v>Adult</v>
      </c>
      <c r="F347" s="2" t="str">
        <f>VLOOKUP(Sales_Details2[[#This Row],[Customer_ID]],Customer_Details[#All],5,0)</f>
        <v>Female</v>
      </c>
      <c r="G347" s="2" t="str">
        <f>VLOOKUP(Sales_Details2[[#This Row],[Customer_ID]],Customer_Details[#All],9,0)</f>
        <v>Gold</v>
      </c>
      <c r="H347" s="2" t="s">
        <v>1631</v>
      </c>
      <c r="I347" s="2" t="str">
        <f>VLOOKUP(Sales_Details2[[#This Row],[Product_ID]],Product_details[[#All],[Product_ID]:[Cost]],3,0)</f>
        <v>Sports</v>
      </c>
      <c r="J347" s="2" t="str">
        <f>VLOOKUP(Sales_Details2[[#This Row],[Product_ID]],Product_details[[#All],[Product_ID]:[Cost]],4,0)</f>
        <v>Fitness</v>
      </c>
      <c r="K347" s="2" t="s">
        <v>1735</v>
      </c>
      <c r="L347" s="2" t="str">
        <f>_xlfn.XLOOKUP(Sales_Details2[[#This Row],[Store_ID]],Table2[Store_ID],Table2[Region],"Region not found")</f>
        <v>East</v>
      </c>
      <c r="M347" s="25">
        <v>2</v>
      </c>
      <c r="N347" s="36">
        <v>660.81</v>
      </c>
      <c r="O347" s="29">
        <v>0.18</v>
      </c>
      <c r="P347" s="2" t="s">
        <v>1807</v>
      </c>
      <c r="Q347" s="36">
        <v>1083.7284</v>
      </c>
    </row>
    <row r="348" spans="1:17" x14ac:dyDescent="0.3">
      <c r="A348" s="2" t="s">
        <v>2155</v>
      </c>
      <c r="B348" s="14">
        <v>45915</v>
      </c>
      <c r="C348" s="2">
        <f>YEAR(Sales_Details2[[#This Row],[Order_Date]])</f>
        <v>2025</v>
      </c>
      <c r="D348" s="2" t="s">
        <v>224</v>
      </c>
      <c r="E348" s="2" t="str">
        <f>VLOOKUP(Sales_Details2[[#This Row],[Customer_ID]],Customer_Details[#All],4,0)</f>
        <v>Adult</v>
      </c>
      <c r="F348" s="2" t="str">
        <f>VLOOKUP(Sales_Details2[[#This Row],[Customer_ID]],Customer_Details[#All],5,0)</f>
        <v>Male</v>
      </c>
      <c r="G348" s="2" t="str">
        <f>VLOOKUP(Sales_Details2[[#This Row],[Customer_ID]],Customer_Details[#All],9,0)</f>
        <v>Silver</v>
      </c>
      <c r="H348" s="2" t="s">
        <v>1633</v>
      </c>
      <c r="I348" s="2" t="str">
        <f>VLOOKUP(Sales_Details2[[#This Row],[Product_ID]],Product_details[[#All],[Product_ID]:[Cost]],3,0)</f>
        <v>Electronics</v>
      </c>
      <c r="J348" s="2" t="str">
        <f>VLOOKUP(Sales_Details2[[#This Row],[Product_ID]],Product_details[[#All],[Product_ID]:[Cost]],4,0)</f>
        <v>Accessories</v>
      </c>
      <c r="K348" s="2" t="s">
        <v>1765</v>
      </c>
      <c r="L348" s="2" t="str">
        <f>_xlfn.XLOOKUP(Sales_Details2[[#This Row],[Store_ID]],Table2[Store_ID],Table2[Region],"Region not found")</f>
        <v>West</v>
      </c>
      <c r="M348" s="25">
        <v>3</v>
      </c>
      <c r="N348" s="36">
        <v>564.94000000000005</v>
      </c>
      <c r="O348" s="29">
        <v>0.22</v>
      </c>
      <c r="P348" s="2" t="s">
        <v>1812</v>
      </c>
      <c r="Q348" s="36">
        <v>1321.9595999999999</v>
      </c>
    </row>
    <row r="349" spans="1:17" x14ac:dyDescent="0.3">
      <c r="A349" s="2" t="s">
        <v>2156</v>
      </c>
      <c r="B349" s="14">
        <v>45541</v>
      </c>
      <c r="C349" s="2">
        <f>YEAR(Sales_Details2[[#This Row],[Order_Date]])</f>
        <v>2024</v>
      </c>
      <c r="D349" s="2" t="s">
        <v>202</v>
      </c>
      <c r="E349" s="2" t="str">
        <f>VLOOKUP(Sales_Details2[[#This Row],[Customer_ID]],Customer_Details[#All],4,0)</f>
        <v>Adult</v>
      </c>
      <c r="F349" s="2" t="str">
        <f>VLOOKUP(Sales_Details2[[#This Row],[Customer_ID]],Customer_Details[#All],5,0)</f>
        <v>Male</v>
      </c>
      <c r="G349" s="2" t="str">
        <f>VLOOKUP(Sales_Details2[[#This Row],[Customer_ID]],Customer_Details[#All],9,0)</f>
        <v>Platinum</v>
      </c>
      <c r="H349" s="2" t="s">
        <v>1561</v>
      </c>
      <c r="I349" s="2" t="str">
        <f>VLOOKUP(Sales_Details2[[#This Row],[Product_ID]],Product_details[[#All],[Product_ID]:[Cost]],3,0)</f>
        <v>Electronics</v>
      </c>
      <c r="J349" s="2" t="str">
        <f>VLOOKUP(Sales_Details2[[#This Row],[Product_ID]],Product_details[[#All],[Product_ID]:[Cost]],4,0)</f>
        <v>Appliances</v>
      </c>
      <c r="K349" s="2" t="s">
        <v>1784</v>
      </c>
      <c r="L349" s="2" t="str">
        <f>_xlfn.XLOOKUP(Sales_Details2[[#This Row],[Store_ID]],Table2[Store_ID],Table2[Region],"Region not found")</f>
        <v>North</v>
      </c>
      <c r="M349" s="25">
        <v>2</v>
      </c>
      <c r="N349" s="36">
        <v>280.37</v>
      </c>
      <c r="O349" s="29">
        <v>0.22</v>
      </c>
      <c r="P349" s="2" t="s">
        <v>1812</v>
      </c>
      <c r="Q349" s="36">
        <v>437.37720000000002</v>
      </c>
    </row>
    <row r="350" spans="1:17" x14ac:dyDescent="0.3">
      <c r="A350" s="2" t="s">
        <v>2157</v>
      </c>
      <c r="B350" s="14">
        <v>45489</v>
      </c>
      <c r="C350" s="2">
        <f>YEAR(Sales_Details2[[#This Row],[Order_Date]])</f>
        <v>2024</v>
      </c>
      <c r="D350" s="2" t="s">
        <v>1150</v>
      </c>
      <c r="E350" s="2" t="str">
        <f>VLOOKUP(Sales_Details2[[#This Row],[Customer_ID]],Customer_Details[#All],4,0)</f>
        <v>Adult</v>
      </c>
      <c r="F350" s="2" t="str">
        <f>VLOOKUP(Sales_Details2[[#This Row],[Customer_ID]],Customer_Details[#All],5,0)</f>
        <v>Male</v>
      </c>
      <c r="G350" s="2" t="str">
        <f>VLOOKUP(Sales_Details2[[#This Row],[Customer_ID]],Customer_Details[#All],9,0)</f>
        <v>Bronze</v>
      </c>
      <c r="H350" s="2" t="s">
        <v>1631</v>
      </c>
      <c r="I350" s="2" t="str">
        <f>VLOOKUP(Sales_Details2[[#This Row],[Product_ID]],Product_details[[#All],[Product_ID]:[Cost]],3,0)</f>
        <v>Sports</v>
      </c>
      <c r="J350" s="2" t="str">
        <f>VLOOKUP(Sales_Details2[[#This Row],[Product_ID]],Product_details[[#All],[Product_ID]:[Cost]],4,0)</f>
        <v>Fitness</v>
      </c>
      <c r="K350" s="2" t="s">
        <v>1749</v>
      </c>
      <c r="L350" s="2" t="str">
        <f>_xlfn.XLOOKUP(Sales_Details2[[#This Row],[Store_ID]],Table2[Store_ID],Table2[Region],"Region not found")</f>
        <v>North</v>
      </c>
      <c r="M350" s="25">
        <v>2</v>
      </c>
      <c r="N350" s="36">
        <v>85.23</v>
      </c>
      <c r="O350" s="29">
        <v>0.13</v>
      </c>
      <c r="P350" s="2" t="s">
        <v>1807</v>
      </c>
      <c r="Q350" s="36">
        <v>148.30019999999999</v>
      </c>
    </row>
    <row r="351" spans="1:17" x14ac:dyDescent="0.3">
      <c r="A351" s="2" t="s">
        <v>2158</v>
      </c>
      <c r="B351" s="14">
        <v>45748</v>
      </c>
      <c r="C351" s="2">
        <f>YEAR(Sales_Details2[[#This Row],[Order_Date]])</f>
        <v>2025</v>
      </c>
      <c r="D351" s="2" t="s">
        <v>974</v>
      </c>
      <c r="E351" s="2" t="str">
        <f>VLOOKUP(Sales_Details2[[#This Row],[Customer_ID]],Customer_Details[#All],4,0)</f>
        <v>Mid-Adult</v>
      </c>
      <c r="F351" s="2" t="str">
        <f>VLOOKUP(Sales_Details2[[#This Row],[Customer_ID]],Customer_Details[#All],5,0)</f>
        <v>Female</v>
      </c>
      <c r="G351" s="2" t="str">
        <f>VLOOKUP(Sales_Details2[[#This Row],[Customer_ID]],Customer_Details[#All],9,0)</f>
        <v>Silver</v>
      </c>
      <c r="H351" s="2" t="s">
        <v>1585</v>
      </c>
      <c r="I351" s="2" t="str">
        <f>VLOOKUP(Sales_Details2[[#This Row],[Product_ID]],Product_details[[#All],[Product_ID]:[Cost]],3,0)</f>
        <v>Home</v>
      </c>
      <c r="J351" s="2" t="str">
        <f>VLOOKUP(Sales_Details2[[#This Row],[Product_ID]],Product_details[[#All],[Product_ID]:[Cost]],4,0)</f>
        <v>Decor</v>
      </c>
      <c r="K351" s="2" t="s">
        <v>1780</v>
      </c>
      <c r="L351" s="2" t="str">
        <f>_xlfn.XLOOKUP(Sales_Details2[[#This Row],[Store_ID]],Table2[Store_ID],Table2[Region],"Region not found")</f>
        <v>East</v>
      </c>
      <c r="M351" s="25">
        <v>2</v>
      </c>
      <c r="N351" s="36">
        <v>563.29999999999995</v>
      </c>
      <c r="O351" s="29">
        <v>0.26</v>
      </c>
      <c r="P351" s="2" t="s">
        <v>1807</v>
      </c>
      <c r="Q351" s="36">
        <v>833.68399999999997</v>
      </c>
    </row>
    <row r="352" spans="1:17" x14ac:dyDescent="0.3">
      <c r="A352" s="2" t="s">
        <v>2159</v>
      </c>
      <c r="B352" s="14">
        <v>45309</v>
      </c>
      <c r="C352" s="2">
        <f>YEAR(Sales_Details2[[#This Row],[Order_Date]])</f>
        <v>2024</v>
      </c>
      <c r="D352" s="2" t="s">
        <v>134</v>
      </c>
      <c r="E352" s="2" t="str">
        <f>VLOOKUP(Sales_Details2[[#This Row],[Customer_ID]],Customer_Details[#All],4,0)</f>
        <v>Adult</v>
      </c>
      <c r="F352" s="2" t="str">
        <f>VLOOKUP(Sales_Details2[[#This Row],[Customer_ID]],Customer_Details[#All],5,0)</f>
        <v>Male</v>
      </c>
      <c r="G352" s="2" t="str">
        <f>VLOOKUP(Sales_Details2[[#This Row],[Customer_ID]],Customer_Details[#All],9,0)</f>
        <v>Platinum</v>
      </c>
      <c r="H352" s="2" t="s">
        <v>1691</v>
      </c>
      <c r="I352" s="2" t="str">
        <f>VLOOKUP(Sales_Details2[[#This Row],[Product_ID]],Product_details[[#All],[Product_ID]:[Cost]],3,0)</f>
        <v>Home</v>
      </c>
      <c r="J352" s="2" t="str">
        <f>VLOOKUP(Sales_Details2[[#This Row],[Product_ID]],Product_details[[#All],[Product_ID]:[Cost]],4,0)</f>
        <v>Kitchen</v>
      </c>
      <c r="K352" s="2" t="s">
        <v>1793</v>
      </c>
      <c r="L352" s="2" t="str">
        <f>_xlfn.XLOOKUP(Sales_Details2[[#This Row],[Store_ID]],Table2[Store_ID],Table2[Region],"Region not found")</f>
        <v>East</v>
      </c>
      <c r="M352" s="25">
        <v>2</v>
      </c>
      <c r="N352" s="36">
        <v>827.81</v>
      </c>
      <c r="O352" s="29">
        <v>0.04</v>
      </c>
      <c r="P352" s="2" t="s">
        <v>1809</v>
      </c>
      <c r="Q352" s="36">
        <v>1589.3951999999999</v>
      </c>
    </row>
    <row r="353" spans="1:17" x14ac:dyDescent="0.3">
      <c r="A353" s="2" t="s">
        <v>2160</v>
      </c>
      <c r="B353" s="14">
        <v>45621</v>
      </c>
      <c r="C353" s="2">
        <f>YEAR(Sales_Details2[[#This Row],[Order_Date]])</f>
        <v>2024</v>
      </c>
      <c r="D353" s="2" t="s">
        <v>690</v>
      </c>
      <c r="E353" s="2" t="str">
        <f>VLOOKUP(Sales_Details2[[#This Row],[Customer_ID]],Customer_Details[#All],4,0)</f>
        <v>Senior</v>
      </c>
      <c r="F353" s="2" t="str">
        <f>VLOOKUP(Sales_Details2[[#This Row],[Customer_ID]],Customer_Details[#All],5,0)</f>
        <v>Male</v>
      </c>
      <c r="G353" s="2" t="str">
        <f>VLOOKUP(Sales_Details2[[#This Row],[Customer_ID]],Customer_Details[#All],9,0)</f>
        <v>Gold</v>
      </c>
      <c r="H353" s="2" t="s">
        <v>1555</v>
      </c>
      <c r="I353" s="2" t="str">
        <f>VLOOKUP(Sales_Details2[[#This Row],[Product_ID]],Product_details[[#All],[Product_ID]:[Cost]],3,0)</f>
        <v>Beauty</v>
      </c>
      <c r="J353" s="2" t="str">
        <f>VLOOKUP(Sales_Details2[[#This Row],[Product_ID]],Product_details[[#All],[Product_ID]:[Cost]],4,0)</f>
        <v>Haircare</v>
      </c>
      <c r="K353" s="2" t="s">
        <v>1793</v>
      </c>
      <c r="L353" s="2" t="str">
        <f>_xlfn.XLOOKUP(Sales_Details2[[#This Row],[Store_ID]],Table2[Store_ID],Table2[Region],"Region not found")</f>
        <v>East</v>
      </c>
      <c r="M353" s="25">
        <v>3</v>
      </c>
      <c r="N353" s="36">
        <v>877.71</v>
      </c>
      <c r="O353" s="29">
        <v>0.12</v>
      </c>
      <c r="P353" s="2" t="s">
        <v>1809</v>
      </c>
      <c r="Q353" s="36">
        <v>2317.1543999999999</v>
      </c>
    </row>
    <row r="354" spans="1:17" x14ac:dyDescent="0.3">
      <c r="A354" s="2" t="s">
        <v>2161</v>
      </c>
      <c r="B354" s="14">
        <v>45603</v>
      </c>
      <c r="C354" s="2">
        <f>YEAR(Sales_Details2[[#This Row],[Order_Date]])</f>
        <v>2024</v>
      </c>
      <c r="D354" s="2" t="s">
        <v>814</v>
      </c>
      <c r="E354" s="2" t="str">
        <f>VLOOKUP(Sales_Details2[[#This Row],[Customer_ID]],Customer_Details[#All],4,0)</f>
        <v>Mid-Adult</v>
      </c>
      <c r="F354" s="2" t="str">
        <f>VLOOKUP(Sales_Details2[[#This Row],[Customer_ID]],Customer_Details[#All],5,0)</f>
        <v>Male</v>
      </c>
      <c r="G354" s="2" t="str">
        <f>VLOOKUP(Sales_Details2[[#This Row],[Customer_ID]],Customer_Details[#All],9,0)</f>
        <v>Silver</v>
      </c>
      <c r="H354" s="2" t="s">
        <v>1645</v>
      </c>
      <c r="I354" s="2" t="str">
        <f>VLOOKUP(Sales_Details2[[#This Row],[Product_ID]],Product_details[[#All],[Product_ID]:[Cost]],3,0)</f>
        <v>Sports</v>
      </c>
      <c r="J354" s="2" t="str">
        <f>VLOOKUP(Sales_Details2[[#This Row],[Product_ID]],Product_details[[#All],[Product_ID]:[Cost]],4,0)</f>
        <v>Fitness</v>
      </c>
      <c r="K354" s="2" t="s">
        <v>1769</v>
      </c>
      <c r="L354" s="2" t="str">
        <f>_xlfn.XLOOKUP(Sales_Details2[[#This Row],[Store_ID]],Table2[Store_ID],Table2[Region],"Region not found")</f>
        <v>South</v>
      </c>
      <c r="M354" s="25">
        <v>4</v>
      </c>
      <c r="N354" s="36">
        <v>488.56</v>
      </c>
      <c r="O354" s="29">
        <v>0.26</v>
      </c>
      <c r="P354" s="2" t="s">
        <v>1812</v>
      </c>
      <c r="Q354" s="36">
        <v>1446.1376</v>
      </c>
    </row>
    <row r="355" spans="1:17" x14ac:dyDescent="0.3">
      <c r="A355" s="2" t="s">
        <v>2162</v>
      </c>
      <c r="B355" s="14">
        <v>45501</v>
      </c>
      <c r="C355" s="2">
        <f>YEAR(Sales_Details2[[#This Row],[Order_Date]])</f>
        <v>2024</v>
      </c>
      <c r="D355" s="2" t="s">
        <v>364</v>
      </c>
      <c r="E355" s="2" t="str">
        <f>VLOOKUP(Sales_Details2[[#This Row],[Customer_ID]],Customer_Details[#All],4,0)</f>
        <v>Senior</v>
      </c>
      <c r="F355" s="2" t="str">
        <f>VLOOKUP(Sales_Details2[[#This Row],[Customer_ID]],Customer_Details[#All],5,0)</f>
        <v>Male</v>
      </c>
      <c r="G355" s="2" t="str">
        <f>VLOOKUP(Sales_Details2[[#This Row],[Customer_ID]],Customer_Details[#All],9,0)</f>
        <v>Silver</v>
      </c>
      <c r="H355" s="2" t="s">
        <v>1581</v>
      </c>
      <c r="I355" s="2" t="str">
        <f>VLOOKUP(Sales_Details2[[#This Row],[Product_ID]],Product_details[[#All],[Product_ID]:[Cost]],3,0)</f>
        <v>Clothing</v>
      </c>
      <c r="J355" s="2" t="str">
        <f>VLOOKUP(Sales_Details2[[#This Row],[Product_ID]],Product_details[[#All],[Product_ID]:[Cost]],4,0)</f>
        <v>Accessories</v>
      </c>
      <c r="K355" s="2" t="s">
        <v>1777</v>
      </c>
      <c r="L355" s="2" t="str">
        <f>_xlfn.XLOOKUP(Sales_Details2[[#This Row],[Store_ID]],Table2[Store_ID],Table2[Region],"Region not found")</f>
        <v>North</v>
      </c>
      <c r="M355" s="25">
        <v>4</v>
      </c>
      <c r="N355" s="36">
        <v>175.91</v>
      </c>
      <c r="O355" s="29">
        <v>0.13</v>
      </c>
      <c r="P355" s="2" t="s">
        <v>1809</v>
      </c>
      <c r="Q355" s="36">
        <v>612.16679999999997</v>
      </c>
    </row>
    <row r="356" spans="1:17" x14ac:dyDescent="0.3">
      <c r="A356" s="2" t="s">
        <v>2163</v>
      </c>
      <c r="B356" s="14">
        <v>45398</v>
      </c>
      <c r="C356" s="2">
        <f>YEAR(Sales_Details2[[#This Row],[Order_Date]])</f>
        <v>2024</v>
      </c>
      <c r="D356" s="2" t="s">
        <v>788</v>
      </c>
      <c r="E356" s="2" t="str">
        <f>VLOOKUP(Sales_Details2[[#This Row],[Customer_ID]],Customer_Details[#All],4,0)</f>
        <v>Adult</v>
      </c>
      <c r="F356" s="2" t="str">
        <f>VLOOKUP(Sales_Details2[[#This Row],[Customer_ID]],Customer_Details[#All],5,0)</f>
        <v>Male</v>
      </c>
      <c r="G356" s="2" t="str">
        <f>VLOOKUP(Sales_Details2[[#This Row],[Customer_ID]],Customer_Details[#All],9,0)</f>
        <v>Gold</v>
      </c>
      <c r="H356" s="2" t="s">
        <v>1705</v>
      </c>
      <c r="I356" s="2" t="str">
        <f>VLOOKUP(Sales_Details2[[#This Row],[Product_ID]],Product_details[[#All],[Product_ID]:[Cost]],3,0)</f>
        <v>Home</v>
      </c>
      <c r="J356" s="2" t="str">
        <f>VLOOKUP(Sales_Details2[[#This Row],[Product_ID]],Product_details[[#All],[Product_ID]:[Cost]],4,0)</f>
        <v>Lighting</v>
      </c>
      <c r="K356" s="2" t="s">
        <v>1765</v>
      </c>
      <c r="L356" s="2" t="str">
        <f>_xlfn.XLOOKUP(Sales_Details2[[#This Row],[Store_ID]],Table2[Store_ID],Table2[Region],"Region not found")</f>
        <v>West</v>
      </c>
      <c r="M356" s="25">
        <v>4</v>
      </c>
      <c r="N356" s="36">
        <v>289.66000000000003</v>
      </c>
      <c r="O356" s="29">
        <v>0.25</v>
      </c>
      <c r="P356" s="2" t="s">
        <v>1812</v>
      </c>
      <c r="Q356" s="36">
        <v>868.98</v>
      </c>
    </row>
    <row r="357" spans="1:17" x14ac:dyDescent="0.3">
      <c r="A357" s="2" t="s">
        <v>2164</v>
      </c>
      <c r="B357" s="14">
        <v>45304</v>
      </c>
      <c r="C357" s="2">
        <f>YEAR(Sales_Details2[[#This Row],[Order_Date]])</f>
        <v>2024</v>
      </c>
      <c r="D357" s="2" t="s">
        <v>767</v>
      </c>
      <c r="E357" s="2" t="str">
        <f>VLOOKUP(Sales_Details2[[#This Row],[Customer_ID]],Customer_Details[#All],4,0)</f>
        <v>Mid-Adult</v>
      </c>
      <c r="F357" s="2" t="str">
        <f>VLOOKUP(Sales_Details2[[#This Row],[Customer_ID]],Customer_Details[#All],5,0)</f>
        <v>Male</v>
      </c>
      <c r="G357" s="2" t="str">
        <f>VLOOKUP(Sales_Details2[[#This Row],[Customer_ID]],Customer_Details[#All],9,0)</f>
        <v>Platinum</v>
      </c>
      <c r="H357" s="2" t="s">
        <v>1561</v>
      </c>
      <c r="I357" s="2" t="str">
        <f>VLOOKUP(Sales_Details2[[#This Row],[Product_ID]],Product_details[[#All],[Product_ID]:[Cost]],3,0)</f>
        <v>Electronics</v>
      </c>
      <c r="J357" s="2" t="str">
        <f>VLOOKUP(Sales_Details2[[#This Row],[Product_ID]],Product_details[[#All],[Product_ID]:[Cost]],4,0)</f>
        <v>Appliances</v>
      </c>
      <c r="K357" s="2" t="s">
        <v>1784</v>
      </c>
      <c r="L357" s="2" t="str">
        <f>_xlfn.XLOOKUP(Sales_Details2[[#This Row],[Store_ID]],Table2[Store_ID],Table2[Region],"Region not found")</f>
        <v>North</v>
      </c>
      <c r="M357" s="25">
        <v>2</v>
      </c>
      <c r="N357" s="36">
        <v>899.27</v>
      </c>
      <c r="O357" s="29">
        <v>0.17</v>
      </c>
      <c r="P357" s="2" t="s">
        <v>1807</v>
      </c>
      <c r="Q357" s="36">
        <v>1492.7882</v>
      </c>
    </row>
    <row r="358" spans="1:17" x14ac:dyDescent="0.3">
      <c r="A358" s="2" t="s">
        <v>2165</v>
      </c>
      <c r="B358" s="14">
        <v>45299</v>
      </c>
      <c r="C358" s="2">
        <f>YEAR(Sales_Details2[[#This Row],[Order_Date]])</f>
        <v>2024</v>
      </c>
      <c r="D358" s="2" t="s">
        <v>238</v>
      </c>
      <c r="E358" s="2" t="str">
        <f>VLOOKUP(Sales_Details2[[#This Row],[Customer_ID]],Customer_Details[#All],4,0)</f>
        <v>Adult</v>
      </c>
      <c r="F358" s="2" t="str">
        <f>VLOOKUP(Sales_Details2[[#This Row],[Customer_ID]],Customer_Details[#All],5,0)</f>
        <v>Female</v>
      </c>
      <c r="G358" s="2" t="str">
        <f>VLOOKUP(Sales_Details2[[#This Row],[Customer_ID]],Customer_Details[#All],9,0)</f>
        <v>Silver</v>
      </c>
      <c r="H358" s="2" t="s">
        <v>1567</v>
      </c>
      <c r="I358" s="2" t="str">
        <f>VLOOKUP(Sales_Details2[[#This Row],[Product_ID]],Product_details[[#All],[Product_ID]:[Cost]],3,0)</f>
        <v>Clothing</v>
      </c>
      <c r="J358" s="2" t="str">
        <f>VLOOKUP(Sales_Details2[[#This Row],[Product_ID]],Product_details[[#All],[Product_ID]:[Cost]],4,0)</f>
        <v>Bottoms</v>
      </c>
      <c r="K358" s="2" t="s">
        <v>1740</v>
      </c>
      <c r="L358" s="2" t="str">
        <f>_xlfn.XLOOKUP(Sales_Details2[[#This Row],[Store_ID]],Table2[Store_ID],Table2[Region],"Region not found")</f>
        <v>North</v>
      </c>
      <c r="M358" s="25">
        <v>1</v>
      </c>
      <c r="N358" s="36">
        <v>691.38</v>
      </c>
      <c r="O358" s="29">
        <v>0.11</v>
      </c>
      <c r="P358" s="2" t="s">
        <v>1812</v>
      </c>
      <c r="Q358" s="36">
        <v>615.32820000000004</v>
      </c>
    </row>
    <row r="359" spans="1:17" x14ac:dyDescent="0.3">
      <c r="A359" s="2" t="s">
        <v>2166</v>
      </c>
      <c r="B359" s="14">
        <v>45564</v>
      </c>
      <c r="C359" s="2">
        <f>YEAR(Sales_Details2[[#This Row],[Order_Date]])</f>
        <v>2024</v>
      </c>
      <c r="D359" s="2" t="s">
        <v>545</v>
      </c>
      <c r="E359" s="2" t="str">
        <f>VLOOKUP(Sales_Details2[[#This Row],[Customer_ID]],Customer_Details[#All],4,0)</f>
        <v>Mid-Adult</v>
      </c>
      <c r="F359" s="2" t="str">
        <f>VLOOKUP(Sales_Details2[[#This Row],[Customer_ID]],Customer_Details[#All],5,0)</f>
        <v>Female</v>
      </c>
      <c r="G359" s="2" t="str">
        <f>VLOOKUP(Sales_Details2[[#This Row],[Customer_ID]],Customer_Details[#All],9,0)</f>
        <v>Platinum</v>
      </c>
      <c r="H359" s="2" t="s">
        <v>1585</v>
      </c>
      <c r="I359" s="2" t="str">
        <f>VLOOKUP(Sales_Details2[[#This Row],[Product_ID]],Product_details[[#All],[Product_ID]:[Cost]],3,0)</f>
        <v>Home</v>
      </c>
      <c r="J359" s="2" t="str">
        <f>VLOOKUP(Sales_Details2[[#This Row],[Product_ID]],Product_details[[#All],[Product_ID]:[Cost]],4,0)</f>
        <v>Decor</v>
      </c>
      <c r="K359" s="2" t="s">
        <v>1735</v>
      </c>
      <c r="L359" s="2" t="str">
        <f>_xlfn.XLOOKUP(Sales_Details2[[#This Row],[Store_ID]],Table2[Store_ID],Table2[Region],"Region not found")</f>
        <v>East</v>
      </c>
      <c r="M359" s="25">
        <v>3</v>
      </c>
      <c r="N359" s="36">
        <v>158.72</v>
      </c>
      <c r="O359" s="29">
        <v>0.13</v>
      </c>
      <c r="P359" s="2" t="s">
        <v>1807</v>
      </c>
      <c r="Q359" s="36">
        <v>414.25920000000002</v>
      </c>
    </row>
    <row r="360" spans="1:17" x14ac:dyDescent="0.3">
      <c r="A360" s="2" t="s">
        <v>2167</v>
      </c>
      <c r="B360" s="14">
        <v>45413</v>
      </c>
      <c r="C360" s="2">
        <f>YEAR(Sales_Details2[[#This Row],[Order_Date]])</f>
        <v>2024</v>
      </c>
      <c r="D360" s="2" t="s">
        <v>678</v>
      </c>
      <c r="E360" s="2" t="str">
        <f>VLOOKUP(Sales_Details2[[#This Row],[Customer_ID]],Customer_Details[#All],4,0)</f>
        <v>Mid-Adult</v>
      </c>
      <c r="F360" s="2" t="str">
        <f>VLOOKUP(Sales_Details2[[#This Row],[Customer_ID]],Customer_Details[#All],5,0)</f>
        <v>Male</v>
      </c>
      <c r="G360" s="2" t="str">
        <f>VLOOKUP(Sales_Details2[[#This Row],[Customer_ID]],Customer_Details[#All],9,0)</f>
        <v>Silver</v>
      </c>
      <c r="H360" s="2" t="s">
        <v>1651</v>
      </c>
      <c r="I360" s="2" t="str">
        <f>VLOOKUP(Sales_Details2[[#This Row],[Product_ID]],Product_details[[#All],[Product_ID]:[Cost]],3,0)</f>
        <v>Beauty</v>
      </c>
      <c r="J360" s="2" t="str">
        <f>VLOOKUP(Sales_Details2[[#This Row],[Product_ID]],Product_details[[#All],[Product_ID]:[Cost]],4,0)</f>
        <v>Fragrance</v>
      </c>
      <c r="K360" s="2" t="s">
        <v>1787</v>
      </c>
      <c r="L360" s="2" t="str">
        <f>_xlfn.XLOOKUP(Sales_Details2[[#This Row],[Store_ID]],Table2[Store_ID],Table2[Region],"Region not found")</f>
        <v>West</v>
      </c>
      <c r="M360" s="25">
        <v>4</v>
      </c>
      <c r="N360" s="36">
        <v>537.15</v>
      </c>
      <c r="O360" s="29">
        <v>0.06</v>
      </c>
      <c r="P360" s="2" t="s">
        <v>1812</v>
      </c>
      <c r="Q360" s="36">
        <v>2019.684</v>
      </c>
    </row>
    <row r="361" spans="1:17" x14ac:dyDescent="0.3">
      <c r="A361" s="2" t="s">
        <v>2168</v>
      </c>
      <c r="B361" s="14">
        <v>45480</v>
      </c>
      <c r="C361" s="2">
        <f>YEAR(Sales_Details2[[#This Row],[Order_Date]])</f>
        <v>2024</v>
      </c>
      <c r="D361" s="2" t="s">
        <v>1281</v>
      </c>
      <c r="E361" s="2" t="str">
        <f>VLOOKUP(Sales_Details2[[#This Row],[Customer_ID]],Customer_Details[#All],4,0)</f>
        <v>Senior</v>
      </c>
      <c r="F361" s="2" t="str">
        <f>VLOOKUP(Sales_Details2[[#This Row],[Customer_ID]],Customer_Details[#All],5,0)</f>
        <v>Female</v>
      </c>
      <c r="G361" s="2" t="str">
        <f>VLOOKUP(Sales_Details2[[#This Row],[Customer_ID]],Customer_Details[#All],9,0)</f>
        <v>Bronze</v>
      </c>
      <c r="H361" s="2" t="s">
        <v>1613</v>
      </c>
      <c r="I361" s="2" t="str">
        <f>VLOOKUP(Sales_Details2[[#This Row],[Product_ID]],Product_details[[#All],[Product_ID]:[Cost]],3,0)</f>
        <v>Sports</v>
      </c>
      <c r="J361" s="2" t="str">
        <f>VLOOKUP(Sales_Details2[[#This Row],[Product_ID]],Product_details[[#All],[Product_ID]:[Cost]],4,0)</f>
        <v>Fitness</v>
      </c>
      <c r="K361" s="2" t="s">
        <v>1769</v>
      </c>
      <c r="L361" s="2" t="str">
        <f>_xlfn.XLOOKUP(Sales_Details2[[#This Row],[Store_ID]],Table2[Store_ID],Table2[Region],"Region not found")</f>
        <v>South</v>
      </c>
      <c r="M361" s="25">
        <v>3</v>
      </c>
      <c r="N361" s="36">
        <v>771.7</v>
      </c>
      <c r="O361" s="29">
        <v>0.05</v>
      </c>
      <c r="P361" s="2" t="s">
        <v>1812</v>
      </c>
      <c r="Q361" s="36">
        <v>2199.3449999999998</v>
      </c>
    </row>
    <row r="362" spans="1:17" x14ac:dyDescent="0.3">
      <c r="A362" s="2" t="s">
        <v>2169</v>
      </c>
      <c r="B362" s="14">
        <v>45610</v>
      </c>
      <c r="C362" s="2">
        <f>YEAR(Sales_Details2[[#This Row],[Order_Date]])</f>
        <v>2024</v>
      </c>
      <c r="D362" s="2" t="s">
        <v>376</v>
      </c>
      <c r="E362" s="2" t="str">
        <f>VLOOKUP(Sales_Details2[[#This Row],[Customer_ID]],Customer_Details[#All],4,0)</f>
        <v>Mid-Adult</v>
      </c>
      <c r="F362" s="2" t="str">
        <f>VLOOKUP(Sales_Details2[[#This Row],[Customer_ID]],Customer_Details[#All],5,0)</f>
        <v>Male</v>
      </c>
      <c r="G362" s="2" t="str">
        <f>VLOOKUP(Sales_Details2[[#This Row],[Customer_ID]],Customer_Details[#All],9,0)</f>
        <v>Bronze</v>
      </c>
      <c r="H362" s="2" t="s">
        <v>1707</v>
      </c>
      <c r="I362" s="2" t="str">
        <f>VLOOKUP(Sales_Details2[[#This Row],[Product_ID]],Product_details[[#All],[Product_ID]:[Cost]],3,0)</f>
        <v>Sports</v>
      </c>
      <c r="J362" s="2" t="str">
        <f>VLOOKUP(Sales_Details2[[#This Row],[Product_ID]],Product_details[[#All],[Product_ID]:[Cost]],4,0)</f>
        <v>Accessories</v>
      </c>
      <c r="K362" s="2" t="s">
        <v>1740</v>
      </c>
      <c r="L362" s="2" t="str">
        <f>_xlfn.XLOOKUP(Sales_Details2[[#This Row],[Store_ID]],Table2[Store_ID],Table2[Region],"Region not found")</f>
        <v>North</v>
      </c>
      <c r="M362" s="25">
        <v>4</v>
      </c>
      <c r="N362" s="36">
        <v>677.25</v>
      </c>
      <c r="O362" s="29">
        <v>0.14000000000000001</v>
      </c>
      <c r="P362" s="2" t="s">
        <v>1809</v>
      </c>
      <c r="Q362" s="36">
        <v>2329.7399999999998</v>
      </c>
    </row>
    <row r="363" spans="1:17" x14ac:dyDescent="0.3">
      <c r="A363" s="2" t="s">
        <v>2170</v>
      </c>
      <c r="B363" s="14">
        <v>45763</v>
      </c>
      <c r="C363" s="2">
        <f>YEAR(Sales_Details2[[#This Row],[Order_Date]])</f>
        <v>2025</v>
      </c>
      <c r="D363" s="2" t="s">
        <v>358</v>
      </c>
      <c r="E363" s="2" t="str">
        <f>VLOOKUP(Sales_Details2[[#This Row],[Customer_ID]],Customer_Details[#All],4,0)</f>
        <v>Mid-Adult</v>
      </c>
      <c r="F363" s="2" t="str">
        <f>VLOOKUP(Sales_Details2[[#This Row],[Customer_ID]],Customer_Details[#All],5,0)</f>
        <v>Female</v>
      </c>
      <c r="G363" s="2" t="str">
        <f>VLOOKUP(Sales_Details2[[#This Row],[Customer_ID]],Customer_Details[#All],9,0)</f>
        <v>Bronze</v>
      </c>
      <c r="H363" s="2" t="s">
        <v>1727</v>
      </c>
      <c r="I363" s="2" t="str">
        <f>VLOOKUP(Sales_Details2[[#This Row],[Product_ID]],Product_details[[#All],[Product_ID]:[Cost]],3,0)</f>
        <v>Electronics</v>
      </c>
      <c r="J363" s="2" t="str">
        <f>VLOOKUP(Sales_Details2[[#This Row],[Product_ID]],Product_details[[#All],[Product_ID]:[Cost]],4,0)</f>
        <v>Audio</v>
      </c>
      <c r="K363" s="2" t="s">
        <v>1775</v>
      </c>
      <c r="L363" s="2" t="str">
        <f>_xlfn.XLOOKUP(Sales_Details2[[#This Row],[Store_ID]],Table2[Store_ID],Table2[Region],"Region not found")</f>
        <v>South</v>
      </c>
      <c r="M363" s="25">
        <v>1</v>
      </c>
      <c r="N363" s="36">
        <v>645.48</v>
      </c>
      <c r="O363" s="29">
        <v>0.26</v>
      </c>
      <c r="P363" s="2" t="s">
        <v>1812</v>
      </c>
      <c r="Q363" s="36">
        <v>477.65519999999998</v>
      </c>
    </row>
    <row r="364" spans="1:17" x14ac:dyDescent="0.3">
      <c r="A364" s="2" t="s">
        <v>2171</v>
      </c>
      <c r="B364" s="14">
        <v>45856</v>
      </c>
      <c r="C364" s="2">
        <f>YEAR(Sales_Details2[[#This Row],[Order_Date]])</f>
        <v>2025</v>
      </c>
      <c r="D364" s="2" t="s">
        <v>1115</v>
      </c>
      <c r="E364" s="2" t="str">
        <f>VLOOKUP(Sales_Details2[[#This Row],[Customer_ID]],Customer_Details[#All],4,0)</f>
        <v>Mid-Adult</v>
      </c>
      <c r="F364" s="2" t="str">
        <f>VLOOKUP(Sales_Details2[[#This Row],[Customer_ID]],Customer_Details[#All],5,0)</f>
        <v>Male</v>
      </c>
      <c r="G364" s="2" t="str">
        <f>VLOOKUP(Sales_Details2[[#This Row],[Customer_ID]],Customer_Details[#All],9,0)</f>
        <v>Platinum</v>
      </c>
      <c r="H364" s="2" t="s">
        <v>1677</v>
      </c>
      <c r="I364" s="2" t="str">
        <f>VLOOKUP(Sales_Details2[[#This Row],[Product_ID]],Product_details[[#All],[Product_ID]:[Cost]],3,0)</f>
        <v>Sports</v>
      </c>
      <c r="J364" s="2" t="str">
        <f>VLOOKUP(Sales_Details2[[#This Row],[Product_ID]],Product_details[[#All],[Product_ID]:[Cost]],4,0)</f>
        <v>Team Sports</v>
      </c>
      <c r="K364" s="2" t="s">
        <v>1744</v>
      </c>
      <c r="L364" s="2" t="str">
        <f>_xlfn.XLOOKUP(Sales_Details2[[#This Row],[Store_ID]],Table2[Store_ID],Table2[Region],"Region not found")</f>
        <v>South</v>
      </c>
      <c r="M364" s="25">
        <v>2</v>
      </c>
      <c r="N364" s="36">
        <v>934</v>
      </c>
      <c r="O364" s="29">
        <v>0.3</v>
      </c>
      <c r="P364" s="2" t="s">
        <v>1812</v>
      </c>
      <c r="Q364" s="36">
        <v>1307.5999999999999</v>
      </c>
    </row>
    <row r="365" spans="1:17" x14ac:dyDescent="0.3">
      <c r="A365" s="2" t="s">
        <v>2172</v>
      </c>
      <c r="B365" s="14">
        <v>45712</v>
      </c>
      <c r="C365" s="2">
        <f>YEAR(Sales_Details2[[#This Row],[Order_Date]])</f>
        <v>2025</v>
      </c>
      <c r="D365" s="2" t="s">
        <v>1039</v>
      </c>
      <c r="E365" s="2" t="str">
        <f>VLOOKUP(Sales_Details2[[#This Row],[Customer_ID]],Customer_Details[#All],4,0)</f>
        <v>Mid-Adult</v>
      </c>
      <c r="F365" s="2" t="str">
        <f>VLOOKUP(Sales_Details2[[#This Row],[Customer_ID]],Customer_Details[#All],5,0)</f>
        <v>Female</v>
      </c>
      <c r="G365" s="2" t="str">
        <f>VLOOKUP(Sales_Details2[[#This Row],[Customer_ID]],Customer_Details[#All],9,0)</f>
        <v>Silver</v>
      </c>
      <c r="H365" s="2" t="s">
        <v>1623</v>
      </c>
      <c r="I365" s="2" t="str">
        <f>VLOOKUP(Sales_Details2[[#This Row],[Product_ID]],Product_details[[#All],[Product_ID]:[Cost]],3,0)</f>
        <v>Clothing</v>
      </c>
      <c r="J365" s="2" t="str">
        <f>VLOOKUP(Sales_Details2[[#This Row],[Product_ID]],Product_details[[#All],[Product_ID]:[Cost]],4,0)</f>
        <v>Outerwear</v>
      </c>
      <c r="K365" s="2" t="s">
        <v>1744</v>
      </c>
      <c r="L365" s="2" t="str">
        <f>_xlfn.XLOOKUP(Sales_Details2[[#This Row],[Store_ID]],Table2[Store_ID],Table2[Region],"Region not found")</f>
        <v>South</v>
      </c>
      <c r="M365" s="25">
        <v>1</v>
      </c>
      <c r="N365" s="36">
        <v>669.53</v>
      </c>
      <c r="O365" s="29">
        <v>0.2</v>
      </c>
      <c r="P365" s="2" t="s">
        <v>1807</v>
      </c>
      <c r="Q365" s="36">
        <v>535.62400000000002</v>
      </c>
    </row>
    <row r="366" spans="1:17" x14ac:dyDescent="0.3">
      <c r="A366" s="2" t="s">
        <v>2173</v>
      </c>
      <c r="B366" s="14">
        <v>45723</v>
      </c>
      <c r="C366" s="2">
        <f>YEAR(Sales_Details2[[#This Row],[Order_Date]])</f>
        <v>2025</v>
      </c>
      <c r="D366" s="2" t="s">
        <v>696</v>
      </c>
      <c r="E366" s="2" t="str">
        <f>VLOOKUP(Sales_Details2[[#This Row],[Customer_ID]],Customer_Details[#All],4,0)</f>
        <v>Mid-Adult</v>
      </c>
      <c r="F366" s="2" t="str">
        <f>VLOOKUP(Sales_Details2[[#This Row],[Customer_ID]],Customer_Details[#All],5,0)</f>
        <v>Male</v>
      </c>
      <c r="G366" s="2" t="str">
        <f>VLOOKUP(Sales_Details2[[#This Row],[Customer_ID]],Customer_Details[#All],9,0)</f>
        <v>Platinum</v>
      </c>
      <c r="H366" s="2" t="s">
        <v>1601</v>
      </c>
      <c r="I366" s="2" t="str">
        <f>VLOOKUP(Sales_Details2[[#This Row],[Product_ID]],Product_details[[#All],[Product_ID]:[Cost]],3,0)</f>
        <v>Home</v>
      </c>
      <c r="J366" s="2" t="str">
        <f>VLOOKUP(Sales_Details2[[#This Row],[Product_ID]],Product_details[[#All],[Product_ID]:[Cost]],4,0)</f>
        <v>Lighting</v>
      </c>
      <c r="K366" s="2" t="s">
        <v>1793</v>
      </c>
      <c r="L366" s="2" t="str">
        <f>_xlfn.XLOOKUP(Sales_Details2[[#This Row],[Store_ID]],Table2[Store_ID],Table2[Region],"Region not found")</f>
        <v>East</v>
      </c>
      <c r="M366" s="25">
        <v>1</v>
      </c>
      <c r="N366" s="36">
        <v>213.69</v>
      </c>
      <c r="O366" s="29">
        <v>0.28000000000000003</v>
      </c>
      <c r="P366" s="2" t="s">
        <v>1812</v>
      </c>
      <c r="Q366" s="36">
        <v>153.85679999999999</v>
      </c>
    </row>
    <row r="367" spans="1:17" x14ac:dyDescent="0.3">
      <c r="A367" s="2" t="s">
        <v>2174</v>
      </c>
      <c r="B367" s="14">
        <v>45706</v>
      </c>
      <c r="C367" s="2">
        <f>YEAR(Sales_Details2[[#This Row],[Order_Date]])</f>
        <v>2025</v>
      </c>
      <c r="D367" s="2" t="s">
        <v>278</v>
      </c>
      <c r="E367" s="2" t="str">
        <f>VLOOKUP(Sales_Details2[[#This Row],[Customer_ID]],Customer_Details[#All],4,0)</f>
        <v>Adult</v>
      </c>
      <c r="F367" s="2" t="str">
        <f>VLOOKUP(Sales_Details2[[#This Row],[Customer_ID]],Customer_Details[#All],5,0)</f>
        <v>Male</v>
      </c>
      <c r="G367" s="2" t="str">
        <f>VLOOKUP(Sales_Details2[[#This Row],[Customer_ID]],Customer_Details[#All],9,0)</f>
        <v>Gold</v>
      </c>
      <c r="H367" s="2" t="s">
        <v>1573</v>
      </c>
      <c r="I367" s="2" t="str">
        <f>VLOOKUP(Sales_Details2[[#This Row],[Product_ID]],Product_details[[#All],[Product_ID]:[Cost]],3,0)</f>
        <v>Home</v>
      </c>
      <c r="J367" s="2" t="str">
        <f>VLOOKUP(Sales_Details2[[#This Row],[Product_ID]],Product_details[[#All],[Product_ID]:[Cost]],4,0)</f>
        <v>Storage</v>
      </c>
      <c r="K367" s="2" t="s">
        <v>1796</v>
      </c>
      <c r="L367" s="2" t="str">
        <f>_xlfn.XLOOKUP(Sales_Details2[[#This Row],[Store_ID]],Table2[Store_ID],Table2[Region],"Region not found")</f>
        <v>East</v>
      </c>
      <c r="M367" s="25">
        <v>2</v>
      </c>
      <c r="N367" s="36">
        <v>99.1</v>
      </c>
      <c r="O367" s="29">
        <v>0.2</v>
      </c>
      <c r="P367" s="2" t="s">
        <v>1809</v>
      </c>
      <c r="Q367" s="36">
        <v>158.56</v>
      </c>
    </row>
    <row r="368" spans="1:17" x14ac:dyDescent="0.3">
      <c r="A368" s="2" t="s">
        <v>2175</v>
      </c>
      <c r="B368" s="14">
        <v>45469</v>
      </c>
      <c r="C368" s="2">
        <f>YEAR(Sales_Details2[[#This Row],[Order_Date]])</f>
        <v>2024</v>
      </c>
      <c r="D368" s="2" t="s">
        <v>1144</v>
      </c>
      <c r="E368" s="2" t="str">
        <f>VLOOKUP(Sales_Details2[[#This Row],[Customer_ID]],Customer_Details[#All],4,0)</f>
        <v>Mid-Adult</v>
      </c>
      <c r="F368" s="2" t="str">
        <f>VLOOKUP(Sales_Details2[[#This Row],[Customer_ID]],Customer_Details[#All],5,0)</f>
        <v>Male</v>
      </c>
      <c r="G368" s="2" t="str">
        <f>VLOOKUP(Sales_Details2[[#This Row],[Customer_ID]],Customer_Details[#All],9,0)</f>
        <v>Silver</v>
      </c>
      <c r="H368" s="2" t="s">
        <v>1605</v>
      </c>
      <c r="I368" s="2" t="str">
        <f>VLOOKUP(Sales_Details2[[#This Row],[Product_ID]],Product_details[[#All],[Product_ID]:[Cost]],3,0)</f>
        <v>Clothing</v>
      </c>
      <c r="J368" s="2" t="str">
        <f>VLOOKUP(Sales_Details2[[#This Row],[Product_ID]],Product_details[[#All],[Product_ID]:[Cost]],4,0)</f>
        <v>Footwear</v>
      </c>
      <c r="K368" s="2" t="s">
        <v>1787</v>
      </c>
      <c r="L368" s="2" t="str">
        <f>_xlfn.XLOOKUP(Sales_Details2[[#This Row],[Store_ID]],Table2[Store_ID],Table2[Region],"Region not found")</f>
        <v>West</v>
      </c>
      <c r="M368" s="25">
        <v>1</v>
      </c>
      <c r="N368" s="36">
        <v>628.98</v>
      </c>
      <c r="O368" s="29">
        <v>0.03</v>
      </c>
      <c r="P368" s="2" t="s">
        <v>1812</v>
      </c>
      <c r="Q368" s="36">
        <v>610.11059999999998</v>
      </c>
    </row>
    <row r="369" spans="1:17" x14ac:dyDescent="0.3">
      <c r="A369" s="2" t="s">
        <v>2176</v>
      </c>
      <c r="B369" s="14">
        <v>45711</v>
      </c>
      <c r="C369" s="2">
        <f>YEAR(Sales_Details2[[#This Row],[Order_Date]])</f>
        <v>2025</v>
      </c>
      <c r="D369" s="2" t="s">
        <v>304</v>
      </c>
      <c r="E369" s="2" t="str">
        <f>VLOOKUP(Sales_Details2[[#This Row],[Customer_ID]],Customer_Details[#All],4,0)</f>
        <v>Mid-Adult</v>
      </c>
      <c r="F369" s="2" t="str">
        <f>VLOOKUP(Sales_Details2[[#This Row],[Customer_ID]],Customer_Details[#All],5,0)</f>
        <v>Male</v>
      </c>
      <c r="G369" s="2" t="str">
        <f>VLOOKUP(Sales_Details2[[#This Row],[Customer_ID]],Customer_Details[#All],9,0)</f>
        <v>Silver</v>
      </c>
      <c r="H369" s="2" t="s">
        <v>1699</v>
      </c>
      <c r="I369" s="2" t="str">
        <f>VLOOKUP(Sales_Details2[[#This Row],[Product_ID]],Product_details[[#All],[Product_ID]:[Cost]],3,0)</f>
        <v>Home</v>
      </c>
      <c r="J369" s="2" t="str">
        <f>VLOOKUP(Sales_Details2[[#This Row],[Product_ID]],Product_details[[#All],[Product_ID]:[Cost]],4,0)</f>
        <v>Furniture</v>
      </c>
      <c r="K369" s="2" t="s">
        <v>1752</v>
      </c>
      <c r="L369" s="2" t="str">
        <f>_xlfn.XLOOKUP(Sales_Details2[[#This Row],[Store_ID]],Table2[Store_ID],Table2[Region],"Region not found")</f>
        <v>South</v>
      </c>
      <c r="M369" s="25">
        <v>3</v>
      </c>
      <c r="N369" s="36">
        <v>944.64</v>
      </c>
      <c r="O369" s="29">
        <v>0.26</v>
      </c>
      <c r="P369" s="2" t="s">
        <v>1807</v>
      </c>
      <c r="Q369" s="36">
        <v>2097.1008000000002</v>
      </c>
    </row>
    <row r="370" spans="1:17" x14ac:dyDescent="0.3">
      <c r="A370" s="2" t="s">
        <v>2177</v>
      </c>
      <c r="B370" s="14">
        <v>45823</v>
      </c>
      <c r="C370" s="2">
        <f>YEAR(Sales_Details2[[#This Row],[Order_Date]])</f>
        <v>2025</v>
      </c>
      <c r="D370" s="2" t="s">
        <v>1436</v>
      </c>
      <c r="E370" s="2" t="str">
        <f>VLOOKUP(Sales_Details2[[#This Row],[Customer_ID]],Customer_Details[#All],4,0)</f>
        <v>Mid-Adult</v>
      </c>
      <c r="F370" s="2" t="str">
        <f>VLOOKUP(Sales_Details2[[#This Row],[Customer_ID]],Customer_Details[#All],5,0)</f>
        <v>Male</v>
      </c>
      <c r="G370" s="2" t="str">
        <f>VLOOKUP(Sales_Details2[[#This Row],[Customer_ID]],Customer_Details[#All],9,0)</f>
        <v>Platinum</v>
      </c>
      <c r="H370" s="2" t="s">
        <v>1717</v>
      </c>
      <c r="I370" s="2" t="str">
        <f>VLOOKUP(Sales_Details2[[#This Row],[Product_ID]],Product_details[[#All],[Product_ID]:[Cost]],3,0)</f>
        <v>Electronics</v>
      </c>
      <c r="J370" s="2" t="str">
        <f>VLOOKUP(Sales_Details2[[#This Row],[Product_ID]],Product_details[[#All],[Product_ID]:[Cost]],4,0)</f>
        <v>Computer</v>
      </c>
      <c r="K370" s="2" t="s">
        <v>1777</v>
      </c>
      <c r="L370" s="2" t="str">
        <f>_xlfn.XLOOKUP(Sales_Details2[[#This Row],[Store_ID]],Table2[Store_ID],Table2[Region],"Region not found")</f>
        <v>North</v>
      </c>
      <c r="M370" s="25">
        <v>2</v>
      </c>
      <c r="N370" s="36">
        <v>121.7</v>
      </c>
      <c r="O370" s="29">
        <v>0.06</v>
      </c>
      <c r="P370" s="2" t="s">
        <v>1812</v>
      </c>
      <c r="Q370" s="36">
        <v>228.79599999999999</v>
      </c>
    </row>
    <row r="371" spans="1:17" x14ac:dyDescent="0.3">
      <c r="A371" s="2" t="s">
        <v>2178</v>
      </c>
      <c r="B371" s="14">
        <v>45217</v>
      </c>
      <c r="C371" s="2">
        <f>YEAR(Sales_Details2[[#This Row],[Order_Date]])</f>
        <v>2023</v>
      </c>
      <c r="D371" s="2" t="s">
        <v>1370</v>
      </c>
      <c r="E371" s="2" t="str">
        <f>VLOOKUP(Sales_Details2[[#This Row],[Customer_ID]],Customer_Details[#All],4,0)</f>
        <v>Senior</v>
      </c>
      <c r="F371" s="2" t="str">
        <f>VLOOKUP(Sales_Details2[[#This Row],[Customer_ID]],Customer_Details[#All],5,0)</f>
        <v>Female</v>
      </c>
      <c r="G371" s="2" t="str">
        <f>VLOOKUP(Sales_Details2[[#This Row],[Customer_ID]],Customer_Details[#All],9,0)</f>
        <v>Bronze</v>
      </c>
      <c r="H371" s="2" t="s">
        <v>1661</v>
      </c>
      <c r="I371" s="2" t="str">
        <f>VLOOKUP(Sales_Details2[[#This Row],[Product_ID]],Product_details[[#All],[Product_ID]:[Cost]],3,0)</f>
        <v>Sports</v>
      </c>
      <c r="J371" s="2" t="str">
        <f>VLOOKUP(Sales_Details2[[#This Row],[Product_ID]],Product_details[[#All],[Product_ID]:[Cost]],4,0)</f>
        <v>Fitness</v>
      </c>
      <c r="K371" s="2" t="s">
        <v>1749</v>
      </c>
      <c r="L371" s="2" t="str">
        <f>_xlfn.XLOOKUP(Sales_Details2[[#This Row],[Store_ID]],Table2[Store_ID],Table2[Region],"Region not found")</f>
        <v>North</v>
      </c>
      <c r="M371" s="25">
        <v>4</v>
      </c>
      <c r="N371" s="36">
        <v>269.49</v>
      </c>
      <c r="O371" s="29">
        <v>7.0000000000000007E-2</v>
      </c>
      <c r="P371" s="2" t="s">
        <v>1809</v>
      </c>
      <c r="Q371" s="36">
        <v>1002.5028</v>
      </c>
    </row>
    <row r="372" spans="1:17" x14ac:dyDescent="0.3">
      <c r="A372" s="2" t="s">
        <v>2179</v>
      </c>
      <c r="B372" s="14">
        <v>45733</v>
      </c>
      <c r="C372" s="2">
        <f>YEAR(Sales_Details2[[#This Row],[Order_Date]])</f>
        <v>2025</v>
      </c>
      <c r="D372" s="2" t="s">
        <v>348</v>
      </c>
      <c r="E372" s="2" t="str">
        <f>VLOOKUP(Sales_Details2[[#This Row],[Customer_ID]],Customer_Details[#All],4,0)</f>
        <v>Mid-Adult</v>
      </c>
      <c r="F372" s="2" t="str">
        <f>VLOOKUP(Sales_Details2[[#This Row],[Customer_ID]],Customer_Details[#All],5,0)</f>
        <v>Male</v>
      </c>
      <c r="G372" s="2" t="str">
        <f>VLOOKUP(Sales_Details2[[#This Row],[Customer_ID]],Customer_Details[#All],9,0)</f>
        <v>Silver</v>
      </c>
      <c r="H372" s="2" t="s">
        <v>1575</v>
      </c>
      <c r="I372" s="2" t="str">
        <f>VLOOKUP(Sales_Details2[[#This Row],[Product_ID]],Product_details[[#All],[Product_ID]:[Cost]],3,0)</f>
        <v>Sports</v>
      </c>
      <c r="J372" s="2" t="str">
        <f>VLOOKUP(Sales_Details2[[#This Row],[Product_ID]],Product_details[[#All],[Product_ID]:[Cost]],4,0)</f>
        <v>Equipment</v>
      </c>
      <c r="K372" s="2" t="s">
        <v>1793</v>
      </c>
      <c r="L372" s="2" t="str">
        <f>_xlfn.XLOOKUP(Sales_Details2[[#This Row],[Store_ID]],Table2[Store_ID],Table2[Region],"Region not found")</f>
        <v>East</v>
      </c>
      <c r="M372" s="25">
        <v>1</v>
      </c>
      <c r="N372" s="36">
        <v>678.2</v>
      </c>
      <c r="O372" s="29">
        <v>0.14000000000000001</v>
      </c>
      <c r="P372" s="2" t="s">
        <v>1807</v>
      </c>
      <c r="Q372" s="36">
        <v>583.25200000000007</v>
      </c>
    </row>
    <row r="373" spans="1:17" x14ac:dyDescent="0.3">
      <c r="A373" s="2" t="s">
        <v>2180</v>
      </c>
      <c r="B373" s="14">
        <v>45520</v>
      </c>
      <c r="C373" s="2">
        <f>YEAR(Sales_Details2[[#This Row],[Order_Date]])</f>
        <v>2024</v>
      </c>
      <c r="D373" s="2" t="s">
        <v>737</v>
      </c>
      <c r="E373" s="2" t="str">
        <f>VLOOKUP(Sales_Details2[[#This Row],[Customer_ID]],Customer_Details[#All],4,0)</f>
        <v>Adult</v>
      </c>
      <c r="F373" s="2" t="str">
        <f>VLOOKUP(Sales_Details2[[#This Row],[Customer_ID]],Customer_Details[#All],5,0)</f>
        <v>Female</v>
      </c>
      <c r="G373" s="2" t="str">
        <f>VLOOKUP(Sales_Details2[[#This Row],[Customer_ID]],Customer_Details[#All],9,0)</f>
        <v>Bronze</v>
      </c>
      <c r="H373" s="2" t="s">
        <v>1711</v>
      </c>
      <c r="I373" s="2" t="str">
        <f>VLOOKUP(Sales_Details2[[#This Row],[Product_ID]],Product_details[[#All],[Product_ID]:[Cost]],3,0)</f>
        <v>Electronics</v>
      </c>
      <c r="J373" s="2" t="str">
        <f>VLOOKUP(Sales_Details2[[#This Row],[Product_ID]],Product_details[[#All],[Product_ID]:[Cost]],4,0)</f>
        <v>Accessories</v>
      </c>
      <c r="K373" s="2" t="s">
        <v>1780</v>
      </c>
      <c r="L373" s="2" t="str">
        <f>_xlfn.XLOOKUP(Sales_Details2[[#This Row],[Store_ID]],Table2[Store_ID],Table2[Region],"Region not found")</f>
        <v>East</v>
      </c>
      <c r="M373" s="25">
        <v>1</v>
      </c>
      <c r="N373" s="36">
        <v>752.45</v>
      </c>
      <c r="O373" s="29">
        <v>0.21</v>
      </c>
      <c r="P373" s="2" t="s">
        <v>1812</v>
      </c>
      <c r="Q373" s="36">
        <v>594.43550000000005</v>
      </c>
    </row>
    <row r="374" spans="1:17" x14ac:dyDescent="0.3">
      <c r="A374" s="2" t="s">
        <v>2181</v>
      </c>
      <c r="B374" s="14">
        <v>45373</v>
      </c>
      <c r="C374" s="2">
        <f>YEAR(Sales_Details2[[#This Row],[Order_Date]])</f>
        <v>2024</v>
      </c>
      <c r="D374" s="2" t="s">
        <v>146</v>
      </c>
      <c r="E374" s="2" t="str">
        <f>VLOOKUP(Sales_Details2[[#This Row],[Customer_ID]],Customer_Details[#All],4,0)</f>
        <v>Adult</v>
      </c>
      <c r="F374" s="2" t="str">
        <f>VLOOKUP(Sales_Details2[[#This Row],[Customer_ID]],Customer_Details[#All],5,0)</f>
        <v>Female</v>
      </c>
      <c r="G374" s="2" t="str">
        <f>VLOOKUP(Sales_Details2[[#This Row],[Customer_ID]],Customer_Details[#All],9,0)</f>
        <v>Platinum</v>
      </c>
      <c r="H374" s="2" t="s">
        <v>1719</v>
      </c>
      <c r="I374" s="2" t="str">
        <f>VLOOKUP(Sales_Details2[[#This Row],[Product_ID]],Product_details[[#All],[Product_ID]:[Cost]],3,0)</f>
        <v>Beauty</v>
      </c>
      <c r="J374" s="2" t="str">
        <f>VLOOKUP(Sales_Details2[[#This Row],[Product_ID]],Product_details[[#All],[Product_ID]:[Cost]],4,0)</f>
        <v>Skincare</v>
      </c>
      <c r="K374" s="2" t="s">
        <v>1780</v>
      </c>
      <c r="L374" s="2" t="str">
        <f>_xlfn.XLOOKUP(Sales_Details2[[#This Row],[Store_ID]],Table2[Store_ID],Table2[Region],"Region not found")</f>
        <v>East</v>
      </c>
      <c r="M374" s="25">
        <v>2</v>
      </c>
      <c r="N374" s="36">
        <v>209.66</v>
      </c>
      <c r="O374" s="29">
        <v>0.21</v>
      </c>
      <c r="P374" s="2" t="s">
        <v>1807</v>
      </c>
      <c r="Q374" s="36">
        <v>331.26280000000003</v>
      </c>
    </row>
    <row r="375" spans="1:17" x14ac:dyDescent="0.3">
      <c r="A375" s="2" t="s">
        <v>2182</v>
      </c>
      <c r="B375" s="14">
        <v>45688</v>
      </c>
      <c r="C375" s="2">
        <f>YEAR(Sales_Details2[[#This Row],[Order_Date]])</f>
        <v>2025</v>
      </c>
      <c r="D375" s="2" t="s">
        <v>533</v>
      </c>
      <c r="E375" s="2" t="str">
        <f>VLOOKUP(Sales_Details2[[#This Row],[Customer_ID]],Customer_Details[#All],4,0)</f>
        <v>Adult</v>
      </c>
      <c r="F375" s="2" t="str">
        <f>VLOOKUP(Sales_Details2[[#This Row],[Customer_ID]],Customer_Details[#All],5,0)</f>
        <v>Female</v>
      </c>
      <c r="G375" s="2" t="str">
        <f>VLOOKUP(Sales_Details2[[#This Row],[Customer_ID]],Customer_Details[#All],9,0)</f>
        <v>Silver</v>
      </c>
      <c r="H375" s="2" t="s">
        <v>1725</v>
      </c>
      <c r="I375" s="2" t="str">
        <f>VLOOKUP(Sales_Details2[[#This Row],[Product_ID]],Product_details[[#All],[Product_ID]:[Cost]],3,0)</f>
        <v>Sports</v>
      </c>
      <c r="J375" s="2" t="str">
        <f>VLOOKUP(Sales_Details2[[#This Row],[Product_ID]],Product_details[[#All],[Product_ID]:[Cost]],4,0)</f>
        <v>Team Sports</v>
      </c>
      <c r="K375" s="2" t="s">
        <v>1796</v>
      </c>
      <c r="L375" s="2" t="str">
        <f>_xlfn.XLOOKUP(Sales_Details2[[#This Row],[Store_ID]],Table2[Store_ID],Table2[Region],"Region not found")</f>
        <v>East</v>
      </c>
      <c r="M375" s="25">
        <v>2</v>
      </c>
      <c r="N375" s="36">
        <v>739.95</v>
      </c>
      <c r="O375" s="29">
        <v>0.1</v>
      </c>
      <c r="P375" s="2" t="s">
        <v>1812</v>
      </c>
      <c r="Q375" s="36">
        <v>1331.91</v>
      </c>
    </row>
    <row r="376" spans="1:17" x14ac:dyDescent="0.3">
      <c r="A376" s="2" t="s">
        <v>2183</v>
      </c>
      <c r="B376" s="14">
        <v>45276</v>
      </c>
      <c r="C376" s="2">
        <f>YEAR(Sales_Details2[[#This Row],[Order_Date]])</f>
        <v>2023</v>
      </c>
      <c r="D376" s="2" t="s">
        <v>1430</v>
      </c>
      <c r="E376" s="2" t="str">
        <f>VLOOKUP(Sales_Details2[[#This Row],[Customer_ID]],Customer_Details[#All],4,0)</f>
        <v>Adult</v>
      </c>
      <c r="F376" s="2" t="str">
        <f>VLOOKUP(Sales_Details2[[#This Row],[Customer_ID]],Customer_Details[#All],5,0)</f>
        <v>Male</v>
      </c>
      <c r="G376" s="2" t="str">
        <f>VLOOKUP(Sales_Details2[[#This Row],[Customer_ID]],Customer_Details[#All],9,0)</f>
        <v>Gold</v>
      </c>
      <c r="H376" s="2" t="s">
        <v>1621</v>
      </c>
      <c r="I376" s="2" t="str">
        <f>VLOOKUP(Sales_Details2[[#This Row],[Product_ID]],Product_details[[#All],[Product_ID]:[Cost]],3,0)</f>
        <v>Sports</v>
      </c>
      <c r="J376" s="2" t="str">
        <f>VLOOKUP(Sales_Details2[[#This Row],[Product_ID]],Product_details[[#All],[Product_ID]:[Cost]],4,0)</f>
        <v>Team Sports</v>
      </c>
      <c r="K376" s="2" t="s">
        <v>1784</v>
      </c>
      <c r="L376" s="2" t="str">
        <f>_xlfn.XLOOKUP(Sales_Details2[[#This Row],[Store_ID]],Table2[Store_ID],Table2[Region],"Region not found")</f>
        <v>North</v>
      </c>
      <c r="M376" s="25">
        <v>1</v>
      </c>
      <c r="N376" s="36">
        <v>496.19</v>
      </c>
      <c r="O376" s="29">
        <v>0.08</v>
      </c>
      <c r="P376" s="2" t="s">
        <v>1812</v>
      </c>
      <c r="Q376" s="36">
        <v>456.4948</v>
      </c>
    </row>
    <row r="377" spans="1:17" x14ac:dyDescent="0.3">
      <c r="A377" s="2" t="s">
        <v>2184</v>
      </c>
      <c r="B377" s="14">
        <v>45756</v>
      </c>
      <c r="C377" s="2">
        <f>YEAR(Sales_Details2[[#This Row],[Order_Date]])</f>
        <v>2025</v>
      </c>
      <c r="D377" s="2" t="s">
        <v>171</v>
      </c>
      <c r="E377" s="2" t="str">
        <f>VLOOKUP(Sales_Details2[[#This Row],[Customer_ID]],Customer_Details[#All],4,0)</f>
        <v>Mid-Adult</v>
      </c>
      <c r="F377" s="2" t="str">
        <f>VLOOKUP(Sales_Details2[[#This Row],[Customer_ID]],Customer_Details[#All],5,0)</f>
        <v>Male</v>
      </c>
      <c r="G377" s="2" t="str">
        <f>VLOOKUP(Sales_Details2[[#This Row],[Customer_ID]],Customer_Details[#All],9,0)</f>
        <v>Bronze</v>
      </c>
      <c r="H377" s="2" t="s">
        <v>1548</v>
      </c>
      <c r="I377" s="2" t="str">
        <f>VLOOKUP(Sales_Details2[[#This Row],[Product_ID]],Product_details[[#All],[Product_ID]:[Cost]],3,0)</f>
        <v>Sports</v>
      </c>
      <c r="J377" s="2" t="str">
        <f>VLOOKUP(Sales_Details2[[#This Row],[Product_ID]],Product_details[[#All],[Product_ID]:[Cost]],4,0)</f>
        <v>Fitness</v>
      </c>
      <c r="K377" s="2" t="s">
        <v>1777</v>
      </c>
      <c r="L377" s="2" t="str">
        <f>_xlfn.XLOOKUP(Sales_Details2[[#This Row],[Store_ID]],Table2[Store_ID],Table2[Region],"Region not found")</f>
        <v>North</v>
      </c>
      <c r="M377" s="25">
        <v>1</v>
      </c>
      <c r="N377" s="36">
        <v>306.36</v>
      </c>
      <c r="O377" s="29">
        <v>0.01</v>
      </c>
      <c r="P377" s="2" t="s">
        <v>1809</v>
      </c>
      <c r="Q377" s="36">
        <v>303.29640000000001</v>
      </c>
    </row>
    <row r="378" spans="1:17" x14ac:dyDescent="0.3">
      <c r="A378" s="2" t="s">
        <v>2185</v>
      </c>
      <c r="B378" s="14">
        <v>45309</v>
      </c>
      <c r="C378" s="2">
        <f>YEAR(Sales_Details2[[#This Row],[Order_Date]])</f>
        <v>2024</v>
      </c>
      <c r="D378" s="2" t="s">
        <v>412</v>
      </c>
      <c r="E378" s="2" t="str">
        <f>VLOOKUP(Sales_Details2[[#This Row],[Customer_ID]],Customer_Details[#All],4,0)</f>
        <v>Mid-Adult</v>
      </c>
      <c r="F378" s="2" t="str">
        <f>VLOOKUP(Sales_Details2[[#This Row],[Customer_ID]],Customer_Details[#All],5,0)</f>
        <v>Female</v>
      </c>
      <c r="G378" s="2" t="str">
        <f>VLOOKUP(Sales_Details2[[#This Row],[Customer_ID]],Customer_Details[#All],9,0)</f>
        <v>Platinum</v>
      </c>
      <c r="H378" s="2" t="s">
        <v>1677</v>
      </c>
      <c r="I378" s="2" t="str">
        <f>VLOOKUP(Sales_Details2[[#This Row],[Product_ID]],Product_details[[#All],[Product_ID]:[Cost]],3,0)</f>
        <v>Sports</v>
      </c>
      <c r="J378" s="2" t="str">
        <f>VLOOKUP(Sales_Details2[[#This Row],[Product_ID]],Product_details[[#All],[Product_ID]:[Cost]],4,0)</f>
        <v>Team Sports</v>
      </c>
      <c r="K378" s="2" t="s">
        <v>1752</v>
      </c>
      <c r="L378" s="2" t="str">
        <f>_xlfn.XLOOKUP(Sales_Details2[[#This Row],[Store_ID]],Table2[Store_ID],Table2[Region],"Region not found")</f>
        <v>South</v>
      </c>
      <c r="M378" s="25">
        <v>4</v>
      </c>
      <c r="N378" s="36">
        <v>693.16</v>
      </c>
      <c r="O378" s="29">
        <v>0.05</v>
      </c>
      <c r="P378" s="2" t="s">
        <v>1809</v>
      </c>
      <c r="Q378" s="36">
        <v>2634.0079999999998</v>
      </c>
    </row>
    <row r="379" spans="1:17" x14ac:dyDescent="0.3">
      <c r="A379" s="2" t="s">
        <v>2186</v>
      </c>
      <c r="B379" s="14">
        <v>45744</v>
      </c>
      <c r="C379" s="2">
        <f>YEAR(Sales_Details2[[#This Row],[Order_Date]])</f>
        <v>2025</v>
      </c>
      <c r="D379" s="2" t="s">
        <v>1389</v>
      </c>
      <c r="E379" s="2" t="str">
        <f>VLOOKUP(Sales_Details2[[#This Row],[Customer_ID]],Customer_Details[#All],4,0)</f>
        <v>Senior</v>
      </c>
      <c r="F379" s="2" t="str">
        <f>VLOOKUP(Sales_Details2[[#This Row],[Customer_ID]],Customer_Details[#All],5,0)</f>
        <v>Male</v>
      </c>
      <c r="G379" s="2" t="str">
        <f>VLOOKUP(Sales_Details2[[#This Row],[Customer_ID]],Customer_Details[#All],9,0)</f>
        <v>Gold</v>
      </c>
      <c r="H379" s="2" t="s">
        <v>1697</v>
      </c>
      <c r="I379" s="2" t="str">
        <f>VLOOKUP(Sales_Details2[[#This Row],[Product_ID]],Product_details[[#All],[Product_ID]:[Cost]],3,0)</f>
        <v>Beauty</v>
      </c>
      <c r="J379" s="2" t="str">
        <f>VLOOKUP(Sales_Details2[[#This Row],[Product_ID]],Product_details[[#All],[Product_ID]:[Cost]],4,0)</f>
        <v>Skincare</v>
      </c>
      <c r="K379" s="2" t="s">
        <v>1772</v>
      </c>
      <c r="L379" s="2" t="str">
        <f>_xlfn.XLOOKUP(Sales_Details2[[#This Row],[Store_ID]],Table2[Store_ID],Table2[Region],"Region not found")</f>
        <v>East</v>
      </c>
      <c r="M379" s="25">
        <v>1</v>
      </c>
      <c r="N379" s="36">
        <v>995.52</v>
      </c>
      <c r="O379" s="29">
        <v>0.22</v>
      </c>
      <c r="P379" s="2" t="s">
        <v>1809</v>
      </c>
      <c r="Q379" s="36">
        <v>776.50559999999996</v>
      </c>
    </row>
    <row r="380" spans="1:17" x14ac:dyDescent="0.3">
      <c r="A380" s="2" t="s">
        <v>2187</v>
      </c>
      <c r="B380" s="14">
        <v>45535</v>
      </c>
      <c r="C380" s="2">
        <f>YEAR(Sales_Details2[[#This Row],[Order_Date]])</f>
        <v>2024</v>
      </c>
      <c r="D380" s="2" t="s">
        <v>426</v>
      </c>
      <c r="E380" s="2" t="str">
        <f>VLOOKUP(Sales_Details2[[#This Row],[Customer_ID]],Customer_Details[#All],4,0)</f>
        <v>Senior</v>
      </c>
      <c r="F380" s="2" t="str">
        <f>VLOOKUP(Sales_Details2[[#This Row],[Customer_ID]],Customer_Details[#All],5,0)</f>
        <v>Female</v>
      </c>
      <c r="G380" s="2" t="str">
        <f>VLOOKUP(Sales_Details2[[#This Row],[Customer_ID]],Customer_Details[#All],9,0)</f>
        <v>Platinum</v>
      </c>
      <c r="H380" s="2" t="s">
        <v>1543</v>
      </c>
      <c r="I380" s="2" t="str">
        <f>VLOOKUP(Sales_Details2[[#This Row],[Product_ID]],Product_details[[#All],[Product_ID]:[Cost]],3,0)</f>
        <v>Home</v>
      </c>
      <c r="J380" s="2" t="str">
        <f>VLOOKUP(Sales_Details2[[#This Row],[Product_ID]],Product_details[[#All],[Product_ID]:[Cost]],4,0)</f>
        <v>Lighting</v>
      </c>
      <c r="K380" s="2" t="s">
        <v>1793</v>
      </c>
      <c r="L380" s="2" t="str">
        <f>_xlfn.XLOOKUP(Sales_Details2[[#This Row],[Store_ID]],Table2[Store_ID],Table2[Region],"Region not found")</f>
        <v>East</v>
      </c>
      <c r="M380" s="25">
        <v>4</v>
      </c>
      <c r="N380" s="36">
        <v>241.32</v>
      </c>
      <c r="O380" s="29">
        <v>0.28999999999999998</v>
      </c>
      <c r="P380" s="2" t="s">
        <v>1812</v>
      </c>
      <c r="Q380" s="36">
        <v>685.34879999999998</v>
      </c>
    </row>
    <row r="381" spans="1:17" x14ac:dyDescent="0.3">
      <c r="A381" s="2" t="s">
        <v>2188</v>
      </c>
      <c r="B381" s="14">
        <v>45240</v>
      </c>
      <c r="C381" s="2">
        <f>YEAR(Sales_Details2[[#This Row],[Order_Date]])</f>
        <v>2023</v>
      </c>
      <c r="D381" s="2" t="s">
        <v>761</v>
      </c>
      <c r="E381" s="2" t="str">
        <f>VLOOKUP(Sales_Details2[[#This Row],[Customer_ID]],Customer_Details[#All],4,0)</f>
        <v>Senior</v>
      </c>
      <c r="F381" s="2" t="str">
        <f>VLOOKUP(Sales_Details2[[#This Row],[Customer_ID]],Customer_Details[#All],5,0)</f>
        <v>Female</v>
      </c>
      <c r="G381" s="2" t="str">
        <f>VLOOKUP(Sales_Details2[[#This Row],[Customer_ID]],Customer_Details[#All],9,0)</f>
        <v>Platinum</v>
      </c>
      <c r="H381" s="2" t="s">
        <v>1687</v>
      </c>
      <c r="I381" s="2" t="str">
        <f>VLOOKUP(Sales_Details2[[#This Row],[Product_ID]],Product_details[[#All],[Product_ID]:[Cost]],3,0)</f>
        <v>Home</v>
      </c>
      <c r="J381" s="2" t="str">
        <f>VLOOKUP(Sales_Details2[[#This Row],[Product_ID]],Product_details[[#All],[Product_ID]:[Cost]],4,0)</f>
        <v>Decor</v>
      </c>
      <c r="K381" s="2" t="s">
        <v>1740</v>
      </c>
      <c r="L381" s="2" t="str">
        <f>_xlfn.XLOOKUP(Sales_Details2[[#This Row],[Store_ID]],Table2[Store_ID],Table2[Region],"Region not found")</f>
        <v>North</v>
      </c>
      <c r="M381" s="25">
        <v>3</v>
      </c>
      <c r="N381" s="36">
        <v>636.03</v>
      </c>
      <c r="O381" s="29">
        <v>0.06</v>
      </c>
      <c r="P381" s="2" t="s">
        <v>1812</v>
      </c>
      <c r="Q381" s="36">
        <v>1793.6045999999999</v>
      </c>
    </row>
    <row r="382" spans="1:17" x14ac:dyDescent="0.3">
      <c r="A382" s="2" t="s">
        <v>2189</v>
      </c>
      <c r="B382" s="14">
        <v>45275</v>
      </c>
      <c r="C382" s="2">
        <f>YEAR(Sales_Details2[[#This Row],[Order_Date]])</f>
        <v>2023</v>
      </c>
      <c r="D382" s="2" t="s">
        <v>339</v>
      </c>
      <c r="E382" s="2" t="str">
        <f>VLOOKUP(Sales_Details2[[#This Row],[Customer_ID]],Customer_Details[#All],4,0)</f>
        <v>Adult</v>
      </c>
      <c r="F382" s="2" t="str">
        <f>VLOOKUP(Sales_Details2[[#This Row],[Customer_ID]],Customer_Details[#All],5,0)</f>
        <v>Female</v>
      </c>
      <c r="G382" s="2" t="str">
        <f>VLOOKUP(Sales_Details2[[#This Row],[Customer_ID]],Customer_Details[#All],9,0)</f>
        <v>Platinum</v>
      </c>
      <c r="H382" s="2" t="s">
        <v>1536</v>
      </c>
      <c r="I382" s="2" t="str">
        <f>VLOOKUP(Sales_Details2[[#This Row],[Product_ID]],Product_details[[#All],[Product_ID]:[Cost]],3,0)</f>
        <v>Clothing</v>
      </c>
      <c r="J382" s="2" t="str">
        <f>VLOOKUP(Sales_Details2[[#This Row],[Product_ID]],Product_details[[#All],[Product_ID]:[Cost]],4,0)</f>
        <v>Bottoms</v>
      </c>
      <c r="K382" s="2" t="s">
        <v>1796</v>
      </c>
      <c r="L382" s="2" t="str">
        <f>_xlfn.XLOOKUP(Sales_Details2[[#This Row],[Store_ID]],Table2[Store_ID],Table2[Region],"Region not found")</f>
        <v>East</v>
      </c>
      <c r="M382" s="25">
        <v>4</v>
      </c>
      <c r="N382" s="36">
        <v>603.30999999999995</v>
      </c>
      <c r="O382" s="29">
        <v>0.15</v>
      </c>
      <c r="P382" s="2" t="s">
        <v>1807</v>
      </c>
      <c r="Q382" s="36">
        <v>2051.2539999999999</v>
      </c>
    </row>
    <row r="383" spans="1:17" x14ac:dyDescent="0.3">
      <c r="A383" s="2" t="s">
        <v>2190</v>
      </c>
      <c r="B383" s="14">
        <v>45427</v>
      </c>
      <c r="C383" s="2">
        <f>YEAR(Sales_Details2[[#This Row],[Order_Date]])</f>
        <v>2024</v>
      </c>
      <c r="D383" s="2" t="s">
        <v>272</v>
      </c>
      <c r="E383" s="2" t="str">
        <f>VLOOKUP(Sales_Details2[[#This Row],[Customer_ID]],Customer_Details[#All],4,0)</f>
        <v>Senior</v>
      </c>
      <c r="F383" s="2" t="str">
        <f>VLOOKUP(Sales_Details2[[#This Row],[Customer_ID]],Customer_Details[#All],5,0)</f>
        <v>Female</v>
      </c>
      <c r="G383" s="2" t="str">
        <f>VLOOKUP(Sales_Details2[[#This Row],[Customer_ID]],Customer_Details[#All],9,0)</f>
        <v>Gold</v>
      </c>
      <c r="H383" s="2" t="s">
        <v>1709</v>
      </c>
      <c r="I383" s="2" t="str">
        <f>VLOOKUP(Sales_Details2[[#This Row],[Product_ID]],Product_details[[#All],[Product_ID]:[Cost]],3,0)</f>
        <v>Beauty</v>
      </c>
      <c r="J383" s="2" t="str">
        <f>VLOOKUP(Sales_Details2[[#This Row],[Product_ID]],Product_details[[#All],[Product_ID]:[Cost]],4,0)</f>
        <v>Makeup</v>
      </c>
      <c r="K383" s="2" t="s">
        <v>1772</v>
      </c>
      <c r="L383" s="2" t="str">
        <f>_xlfn.XLOOKUP(Sales_Details2[[#This Row],[Store_ID]],Table2[Store_ID],Table2[Region],"Region not found")</f>
        <v>East</v>
      </c>
      <c r="M383" s="25">
        <v>3</v>
      </c>
      <c r="N383" s="36">
        <v>437.96</v>
      </c>
      <c r="O383" s="29">
        <v>0.27</v>
      </c>
      <c r="P383" s="2" t="s">
        <v>1812</v>
      </c>
      <c r="Q383" s="36">
        <v>959.13239999999985</v>
      </c>
    </row>
    <row r="384" spans="1:17" x14ac:dyDescent="0.3">
      <c r="A384" s="2" t="s">
        <v>2191</v>
      </c>
      <c r="B384" s="14">
        <v>45322</v>
      </c>
      <c r="C384" s="2">
        <f>YEAR(Sales_Details2[[#This Row],[Order_Date]])</f>
        <v>2024</v>
      </c>
      <c r="D384" s="2" t="s">
        <v>672</v>
      </c>
      <c r="E384" s="2" t="str">
        <f>VLOOKUP(Sales_Details2[[#This Row],[Customer_ID]],Customer_Details[#All],4,0)</f>
        <v>Senior</v>
      </c>
      <c r="F384" s="2" t="str">
        <f>VLOOKUP(Sales_Details2[[#This Row],[Customer_ID]],Customer_Details[#All],5,0)</f>
        <v>Male</v>
      </c>
      <c r="G384" s="2" t="str">
        <f>VLOOKUP(Sales_Details2[[#This Row],[Customer_ID]],Customer_Details[#All],9,0)</f>
        <v>Platinum</v>
      </c>
      <c r="H384" s="2" t="s">
        <v>1599</v>
      </c>
      <c r="I384" s="2" t="str">
        <f>VLOOKUP(Sales_Details2[[#This Row],[Product_ID]],Product_details[[#All],[Product_ID]:[Cost]],3,0)</f>
        <v>Electronics</v>
      </c>
      <c r="J384" s="2" t="str">
        <f>VLOOKUP(Sales_Details2[[#This Row],[Product_ID]],Product_details[[#All],[Product_ID]:[Cost]],4,0)</f>
        <v>Computer</v>
      </c>
      <c r="K384" s="2" t="s">
        <v>1752</v>
      </c>
      <c r="L384" s="2" t="str">
        <f>_xlfn.XLOOKUP(Sales_Details2[[#This Row],[Store_ID]],Table2[Store_ID],Table2[Region],"Region not found")</f>
        <v>South</v>
      </c>
      <c r="M384" s="25">
        <v>2</v>
      </c>
      <c r="N384" s="36">
        <v>56.91</v>
      </c>
      <c r="O384" s="29">
        <v>0.08</v>
      </c>
      <c r="P384" s="2" t="s">
        <v>1812</v>
      </c>
      <c r="Q384" s="36">
        <v>104.7144</v>
      </c>
    </row>
    <row r="385" spans="1:17" x14ac:dyDescent="0.3">
      <c r="A385" s="2" t="s">
        <v>2192</v>
      </c>
      <c r="B385" s="14">
        <v>45266</v>
      </c>
      <c r="C385" s="2">
        <f>YEAR(Sales_Details2[[#This Row],[Order_Date]])</f>
        <v>2023</v>
      </c>
      <c r="D385" s="2" t="s">
        <v>1039</v>
      </c>
      <c r="E385" s="2" t="str">
        <f>VLOOKUP(Sales_Details2[[#This Row],[Customer_ID]],Customer_Details[#All],4,0)</f>
        <v>Mid-Adult</v>
      </c>
      <c r="F385" s="2" t="str">
        <f>VLOOKUP(Sales_Details2[[#This Row],[Customer_ID]],Customer_Details[#All],5,0)</f>
        <v>Female</v>
      </c>
      <c r="G385" s="2" t="str">
        <f>VLOOKUP(Sales_Details2[[#This Row],[Customer_ID]],Customer_Details[#All],9,0)</f>
        <v>Silver</v>
      </c>
      <c r="H385" s="2" t="s">
        <v>1683</v>
      </c>
      <c r="I385" s="2" t="str">
        <f>VLOOKUP(Sales_Details2[[#This Row],[Product_ID]],Product_details[[#All],[Product_ID]:[Cost]],3,0)</f>
        <v>Electronics</v>
      </c>
      <c r="J385" s="2" t="str">
        <f>VLOOKUP(Sales_Details2[[#This Row],[Product_ID]],Product_details[[#All],[Product_ID]:[Cost]],4,0)</f>
        <v>Computer</v>
      </c>
      <c r="K385" s="2" t="s">
        <v>1759</v>
      </c>
      <c r="L385" s="2" t="str">
        <f>_xlfn.XLOOKUP(Sales_Details2[[#This Row],[Store_ID]],Table2[Store_ID],Table2[Region],"Region not found")</f>
        <v>East</v>
      </c>
      <c r="M385" s="25">
        <v>1</v>
      </c>
      <c r="N385" s="36">
        <v>141.79</v>
      </c>
      <c r="O385" s="29">
        <v>0.1</v>
      </c>
      <c r="P385" s="2" t="s">
        <v>1807</v>
      </c>
      <c r="Q385" s="36">
        <v>127.611</v>
      </c>
    </row>
    <row r="386" spans="1:17" x14ac:dyDescent="0.3">
      <c r="A386" s="2" t="s">
        <v>2193</v>
      </c>
      <c r="B386" s="14">
        <v>45302</v>
      </c>
      <c r="C386" s="2">
        <f>YEAR(Sales_Details2[[#This Row],[Order_Date]])</f>
        <v>2024</v>
      </c>
      <c r="D386" s="2" t="s">
        <v>1470</v>
      </c>
      <c r="E386" s="2" t="str">
        <f>VLOOKUP(Sales_Details2[[#This Row],[Customer_ID]],Customer_Details[#All],4,0)</f>
        <v>Mid-Adult</v>
      </c>
      <c r="F386" s="2" t="str">
        <f>VLOOKUP(Sales_Details2[[#This Row],[Customer_ID]],Customer_Details[#All],5,0)</f>
        <v>Male</v>
      </c>
      <c r="G386" s="2" t="str">
        <f>VLOOKUP(Sales_Details2[[#This Row],[Customer_ID]],Customer_Details[#All],9,0)</f>
        <v>Gold</v>
      </c>
      <c r="H386" s="2" t="s">
        <v>1548</v>
      </c>
      <c r="I386" s="2" t="str">
        <f>VLOOKUP(Sales_Details2[[#This Row],[Product_ID]],Product_details[[#All],[Product_ID]:[Cost]],3,0)</f>
        <v>Sports</v>
      </c>
      <c r="J386" s="2" t="str">
        <f>VLOOKUP(Sales_Details2[[#This Row],[Product_ID]],Product_details[[#All],[Product_ID]:[Cost]],4,0)</f>
        <v>Fitness</v>
      </c>
      <c r="K386" s="2" t="s">
        <v>1784</v>
      </c>
      <c r="L386" s="2" t="str">
        <f>_xlfn.XLOOKUP(Sales_Details2[[#This Row],[Store_ID]],Table2[Store_ID],Table2[Region],"Region not found")</f>
        <v>North</v>
      </c>
      <c r="M386" s="25">
        <v>4</v>
      </c>
      <c r="N386" s="36">
        <v>355.14</v>
      </c>
      <c r="O386" s="29">
        <v>0.16</v>
      </c>
      <c r="P386" s="2" t="s">
        <v>1812</v>
      </c>
      <c r="Q386" s="36">
        <v>1193.2704000000001</v>
      </c>
    </row>
    <row r="387" spans="1:17" x14ac:dyDescent="0.3">
      <c r="A387" s="2" t="s">
        <v>2194</v>
      </c>
      <c r="B387" s="14">
        <v>45907</v>
      </c>
      <c r="C387" s="2">
        <f>YEAR(Sales_Details2[[#This Row],[Order_Date]])</f>
        <v>2025</v>
      </c>
      <c r="D387" s="2" t="s">
        <v>681</v>
      </c>
      <c r="E387" s="2" t="str">
        <f>VLOOKUP(Sales_Details2[[#This Row],[Customer_ID]],Customer_Details[#All],4,0)</f>
        <v>Adult</v>
      </c>
      <c r="F387" s="2" t="str">
        <f>VLOOKUP(Sales_Details2[[#This Row],[Customer_ID]],Customer_Details[#All],5,0)</f>
        <v>Female</v>
      </c>
      <c r="G387" s="2" t="str">
        <f>VLOOKUP(Sales_Details2[[#This Row],[Customer_ID]],Customer_Details[#All],9,0)</f>
        <v>Silver</v>
      </c>
      <c r="H387" s="2" t="s">
        <v>1607</v>
      </c>
      <c r="I387" s="2" t="str">
        <f>VLOOKUP(Sales_Details2[[#This Row],[Product_ID]],Product_details[[#All],[Product_ID]:[Cost]],3,0)</f>
        <v>Sports</v>
      </c>
      <c r="J387" s="2" t="str">
        <f>VLOOKUP(Sales_Details2[[#This Row],[Product_ID]],Product_details[[#All],[Product_ID]:[Cost]],4,0)</f>
        <v>Outdoor</v>
      </c>
      <c r="K387" s="2" t="s">
        <v>1759</v>
      </c>
      <c r="L387" s="2" t="str">
        <f>_xlfn.XLOOKUP(Sales_Details2[[#This Row],[Store_ID]],Table2[Store_ID],Table2[Region],"Region not found")</f>
        <v>East</v>
      </c>
      <c r="M387" s="25">
        <v>4</v>
      </c>
      <c r="N387" s="36">
        <v>960.38</v>
      </c>
      <c r="O387" s="29">
        <v>0.15</v>
      </c>
      <c r="P387" s="2" t="s">
        <v>1812</v>
      </c>
      <c r="Q387" s="36">
        <v>3265.2919999999999</v>
      </c>
    </row>
    <row r="388" spans="1:17" x14ac:dyDescent="0.3">
      <c r="A388" s="2" t="s">
        <v>2195</v>
      </c>
      <c r="B388" s="14">
        <v>45433</v>
      </c>
      <c r="C388" s="2">
        <f>YEAR(Sales_Details2[[#This Row],[Order_Date]])</f>
        <v>2024</v>
      </c>
      <c r="D388" s="2" t="s">
        <v>1290</v>
      </c>
      <c r="E388" s="2" t="str">
        <f>VLOOKUP(Sales_Details2[[#This Row],[Customer_ID]],Customer_Details[#All],4,0)</f>
        <v>Senior</v>
      </c>
      <c r="F388" s="2" t="str">
        <f>VLOOKUP(Sales_Details2[[#This Row],[Customer_ID]],Customer_Details[#All],5,0)</f>
        <v>Male</v>
      </c>
      <c r="G388" s="2" t="str">
        <f>VLOOKUP(Sales_Details2[[#This Row],[Customer_ID]],Customer_Details[#All],9,0)</f>
        <v>Bronze</v>
      </c>
      <c r="H388" s="2" t="s">
        <v>1669</v>
      </c>
      <c r="I388" s="2" t="str">
        <f>VLOOKUP(Sales_Details2[[#This Row],[Product_ID]],Product_details[[#All],[Product_ID]:[Cost]],3,0)</f>
        <v>Clothing</v>
      </c>
      <c r="J388" s="2" t="str">
        <f>VLOOKUP(Sales_Details2[[#This Row],[Product_ID]],Product_details[[#All],[Product_ID]:[Cost]],4,0)</f>
        <v>Bottoms</v>
      </c>
      <c r="K388" s="2" t="s">
        <v>1787</v>
      </c>
      <c r="L388" s="2" t="str">
        <f>_xlfn.XLOOKUP(Sales_Details2[[#This Row],[Store_ID]],Table2[Store_ID],Table2[Region],"Region not found")</f>
        <v>West</v>
      </c>
      <c r="M388" s="25">
        <v>3</v>
      </c>
      <c r="N388" s="36">
        <v>847.21</v>
      </c>
      <c r="O388" s="29">
        <v>0.06</v>
      </c>
      <c r="P388" s="2" t="s">
        <v>1809</v>
      </c>
      <c r="Q388" s="36">
        <v>2389.1322</v>
      </c>
    </row>
    <row r="389" spans="1:17" x14ac:dyDescent="0.3">
      <c r="A389" s="2" t="s">
        <v>2196</v>
      </c>
      <c r="B389" s="14">
        <v>45892</v>
      </c>
      <c r="C389" s="2">
        <f>YEAR(Sales_Details2[[#This Row],[Order_Date]])</f>
        <v>2025</v>
      </c>
      <c r="D389" s="2" t="s">
        <v>241</v>
      </c>
      <c r="E389" s="2" t="str">
        <f>VLOOKUP(Sales_Details2[[#This Row],[Customer_ID]],Customer_Details[#All],4,0)</f>
        <v>Adult</v>
      </c>
      <c r="F389" s="2" t="str">
        <f>VLOOKUP(Sales_Details2[[#This Row],[Customer_ID]],Customer_Details[#All],5,0)</f>
        <v>Female</v>
      </c>
      <c r="G389" s="2" t="str">
        <f>VLOOKUP(Sales_Details2[[#This Row],[Customer_ID]],Customer_Details[#All],9,0)</f>
        <v>Silver</v>
      </c>
      <c r="H389" s="2" t="s">
        <v>1691</v>
      </c>
      <c r="I389" s="2" t="str">
        <f>VLOOKUP(Sales_Details2[[#This Row],[Product_ID]],Product_details[[#All],[Product_ID]:[Cost]],3,0)</f>
        <v>Home</v>
      </c>
      <c r="J389" s="2" t="str">
        <f>VLOOKUP(Sales_Details2[[#This Row],[Product_ID]],Product_details[[#All],[Product_ID]:[Cost]],4,0)</f>
        <v>Kitchen</v>
      </c>
      <c r="K389" s="2" t="s">
        <v>1772</v>
      </c>
      <c r="L389" s="2" t="str">
        <f>_xlfn.XLOOKUP(Sales_Details2[[#This Row],[Store_ID]],Table2[Store_ID],Table2[Region],"Region not found")</f>
        <v>East</v>
      </c>
      <c r="M389" s="25">
        <v>4</v>
      </c>
      <c r="N389" s="36">
        <v>773.81</v>
      </c>
      <c r="O389" s="29">
        <v>0.08</v>
      </c>
      <c r="P389" s="2" t="s">
        <v>1812</v>
      </c>
      <c r="Q389" s="36">
        <v>2847.6208000000001</v>
      </c>
    </row>
    <row r="390" spans="1:17" x14ac:dyDescent="0.3">
      <c r="A390" s="2" t="s">
        <v>2197</v>
      </c>
      <c r="B390" s="14">
        <v>45780</v>
      </c>
      <c r="C390" s="2">
        <f>YEAR(Sales_Details2[[#This Row],[Order_Date]])</f>
        <v>2025</v>
      </c>
      <c r="D390" s="2" t="s">
        <v>8</v>
      </c>
      <c r="E390" s="2" t="str">
        <f>VLOOKUP(Sales_Details2[[#This Row],[Customer_ID]],Customer_Details[#All],4,0)</f>
        <v>Senior</v>
      </c>
      <c r="F390" s="2" t="str">
        <f>VLOOKUP(Sales_Details2[[#This Row],[Customer_ID]],Customer_Details[#All],5,0)</f>
        <v>Male</v>
      </c>
      <c r="G390" s="2" t="str">
        <f>VLOOKUP(Sales_Details2[[#This Row],[Customer_ID]],Customer_Details[#All],9,0)</f>
        <v>Platinum</v>
      </c>
      <c r="H390" s="2" t="s">
        <v>1657</v>
      </c>
      <c r="I390" s="2" t="str">
        <f>VLOOKUP(Sales_Details2[[#This Row],[Product_ID]],Product_details[[#All],[Product_ID]:[Cost]],3,0)</f>
        <v>Beauty</v>
      </c>
      <c r="J390" s="2" t="str">
        <f>VLOOKUP(Sales_Details2[[#This Row],[Product_ID]],Product_details[[#All],[Product_ID]:[Cost]],4,0)</f>
        <v>Skincare</v>
      </c>
      <c r="K390" s="2" t="s">
        <v>1787</v>
      </c>
      <c r="L390" s="2" t="str">
        <f>_xlfn.XLOOKUP(Sales_Details2[[#This Row],[Store_ID]],Table2[Store_ID],Table2[Region],"Region not found")</f>
        <v>West</v>
      </c>
      <c r="M390" s="25">
        <v>1</v>
      </c>
      <c r="N390" s="36">
        <v>664.71</v>
      </c>
      <c r="O390" s="29">
        <v>0.1</v>
      </c>
      <c r="P390" s="2" t="s">
        <v>1809</v>
      </c>
      <c r="Q390" s="36">
        <v>598.23900000000003</v>
      </c>
    </row>
    <row r="391" spans="1:17" x14ac:dyDescent="0.3">
      <c r="A391" s="2" t="s">
        <v>2198</v>
      </c>
      <c r="B391" s="14">
        <v>45233</v>
      </c>
      <c r="C391" s="2">
        <f>YEAR(Sales_Details2[[#This Row],[Order_Date]])</f>
        <v>2023</v>
      </c>
      <c r="D391" s="2" t="s">
        <v>1078</v>
      </c>
      <c r="E391" s="2" t="str">
        <f>VLOOKUP(Sales_Details2[[#This Row],[Customer_ID]],Customer_Details[#All],4,0)</f>
        <v>Mid-Adult</v>
      </c>
      <c r="F391" s="2" t="str">
        <f>VLOOKUP(Sales_Details2[[#This Row],[Customer_ID]],Customer_Details[#All],5,0)</f>
        <v>Female</v>
      </c>
      <c r="G391" s="2" t="str">
        <f>VLOOKUP(Sales_Details2[[#This Row],[Customer_ID]],Customer_Details[#All],9,0)</f>
        <v>Gold</v>
      </c>
      <c r="H391" s="2" t="s">
        <v>1605</v>
      </c>
      <c r="I391" s="2" t="str">
        <f>VLOOKUP(Sales_Details2[[#This Row],[Product_ID]],Product_details[[#All],[Product_ID]:[Cost]],3,0)</f>
        <v>Clothing</v>
      </c>
      <c r="J391" s="2" t="str">
        <f>VLOOKUP(Sales_Details2[[#This Row],[Product_ID]],Product_details[[#All],[Product_ID]:[Cost]],4,0)</f>
        <v>Footwear</v>
      </c>
      <c r="K391" s="2" t="s">
        <v>1762</v>
      </c>
      <c r="L391" s="2" t="str">
        <f>_xlfn.XLOOKUP(Sales_Details2[[#This Row],[Store_ID]],Table2[Store_ID],Table2[Region],"Region not found")</f>
        <v>South</v>
      </c>
      <c r="M391" s="25">
        <v>4</v>
      </c>
      <c r="N391" s="36">
        <v>482.06</v>
      </c>
      <c r="O391" s="29">
        <v>7.0000000000000007E-2</v>
      </c>
      <c r="P391" s="2" t="s">
        <v>1809</v>
      </c>
      <c r="Q391" s="36">
        <v>1793.2632000000001</v>
      </c>
    </row>
    <row r="392" spans="1:17" x14ac:dyDescent="0.3">
      <c r="A392" s="2" t="s">
        <v>2199</v>
      </c>
      <c r="B392" s="14">
        <v>45742</v>
      </c>
      <c r="C392" s="2">
        <f>YEAR(Sales_Details2[[#This Row],[Order_Date]])</f>
        <v>2025</v>
      </c>
      <c r="D392" s="2" t="s">
        <v>316</v>
      </c>
      <c r="E392" s="2" t="str">
        <f>VLOOKUP(Sales_Details2[[#This Row],[Customer_ID]],Customer_Details[#All],4,0)</f>
        <v>Mid-Adult</v>
      </c>
      <c r="F392" s="2" t="str">
        <f>VLOOKUP(Sales_Details2[[#This Row],[Customer_ID]],Customer_Details[#All],5,0)</f>
        <v>Male</v>
      </c>
      <c r="G392" s="2" t="str">
        <f>VLOOKUP(Sales_Details2[[#This Row],[Customer_ID]],Customer_Details[#All],9,0)</f>
        <v>Platinum</v>
      </c>
      <c r="H392" s="2" t="s">
        <v>1645</v>
      </c>
      <c r="I392" s="2" t="str">
        <f>VLOOKUP(Sales_Details2[[#This Row],[Product_ID]],Product_details[[#All],[Product_ID]:[Cost]],3,0)</f>
        <v>Sports</v>
      </c>
      <c r="J392" s="2" t="str">
        <f>VLOOKUP(Sales_Details2[[#This Row],[Product_ID]],Product_details[[#All],[Product_ID]:[Cost]],4,0)</f>
        <v>Fitness</v>
      </c>
      <c r="K392" s="2" t="s">
        <v>1749</v>
      </c>
      <c r="L392" s="2" t="str">
        <f>_xlfn.XLOOKUP(Sales_Details2[[#This Row],[Store_ID]],Table2[Store_ID],Table2[Region],"Region not found")</f>
        <v>North</v>
      </c>
      <c r="M392" s="25">
        <v>4</v>
      </c>
      <c r="N392" s="36">
        <v>995.55</v>
      </c>
      <c r="O392" s="29">
        <v>0.19</v>
      </c>
      <c r="P392" s="2" t="s">
        <v>1809</v>
      </c>
      <c r="Q392" s="36">
        <v>3225.5819999999999</v>
      </c>
    </row>
    <row r="393" spans="1:17" x14ac:dyDescent="0.3">
      <c r="A393" s="2" t="s">
        <v>2200</v>
      </c>
      <c r="B393" s="14">
        <v>45478</v>
      </c>
      <c r="C393" s="2">
        <f>YEAR(Sales_Details2[[#This Row],[Order_Date]])</f>
        <v>2024</v>
      </c>
      <c r="D393" s="2" t="s">
        <v>473</v>
      </c>
      <c r="E393" s="2" t="str">
        <f>VLOOKUP(Sales_Details2[[#This Row],[Customer_ID]],Customer_Details[#All],4,0)</f>
        <v>Adult</v>
      </c>
      <c r="F393" s="2" t="str">
        <f>VLOOKUP(Sales_Details2[[#This Row],[Customer_ID]],Customer_Details[#All],5,0)</f>
        <v>Male</v>
      </c>
      <c r="G393" s="2" t="str">
        <f>VLOOKUP(Sales_Details2[[#This Row],[Customer_ID]],Customer_Details[#All],9,0)</f>
        <v>Bronze</v>
      </c>
      <c r="H393" s="2" t="s">
        <v>1717</v>
      </c>
      <c r="I393" s="2" t="str">
        <f>VLOOKUP(Sales_Details2[[#This Row],[Product_ID]],Product_details[[#All],[Product_ID]:[Cost]],3,0)</f>
        <v>Electronics</v>
      </c>
      <c r="J393" s="2" t="str">
        <f>VLOOKUP(Sales_Details2[[#This Row],[Product_ID]],Product_details[[#All],[Product_ID]:[Cost]],4,0)</f>
        <v>Computer</v>
      </c>
      <c r="K393" s="2" t="s">
        <v>1780</v>
      </c>
      <c r="L393" s="2" t="str">
        <f>_xlfn.XLOOKUP(Sales_Details2[[#This Row],[Store_ID]],Table2[Store_ID],Table2[Region],"Region not found")</f>
        <v>East</v>
      </c>
      <c r="M393" s="25">
        <v>2</v>
      </c>
      <c r="N393" s="36">
        <v>153.84</v>
      </c>
      <c r="O393" s="29">
        <v>0.27</v>
      </c>
      <c r="P393" s="2" t="s">
        <v>1809</v>
      </c>
      <c r="Q393" s="36">
        <v>224.60640000000001</v>
      </c>
    </row>
    <row r="394" spans="1:17" x14ac:dyDescent="0.3">
      <c r="A394" s="2" t="s">
        <v>2201</v>
      </c>
      <c r="B394" s="14">
        <v>45789</v>
      </c>
      <c r="C394" s="2">
        <f>YEAR(Sales_Details2[[#This Row],[Order_Date]])</f>
        <v>2025</v>
      </c>
      <c r="D394" s="2" t="s">
        <v>509</v>
      </c>
      <c r="E394" s="2" t="str">
        <f>VLOOKUP(Sales_Details2[[#This Row],[Customer_ID]],Customer_Details[#All],4,0)</f>
        <v>Mid-Adult</v>
      </c>
      <c r="F394" s="2" t="str">
        <f>VLOOKUP(Sales_Details2[[#This Row],[Customer_ID]],Customer_Details[#All],5,0)</f>
        <v>Male</v>
      </c>
      <c r="G394" s="2" t="str">
        <f>VLOOKUP(Sales_Details2[[#This Row],[Customer_ID]],Customer_Details[#All],9,0)</f>
        <v>Bronze</v>
      </c>
      <c r="H394" s="2" t="s">
        <v>1687</v>
      </c>
      <c r="I394" s="2" t="str">
        <f>VLOOKUP(Sales_Details2[[#This Row],[Product_ID]],Product_details[[#All],[Product_ID]:[Cost]],3,0)</f>
        <v>Home</v>
      </c>
      <c r="J394" s="2" t="str">
        <f>VLOOKUP(Sales_Details2[[#This Row],[Product_ID]],Product_details[[#All],[Product_ID]:[Cost]],4,0)</f>
        <v>Decor</v>
      </c>
      <c r="K394" s="2" t="s">
        <v>1759</v>
      </c>
      <c r="L394" s="2" t="str">
        <f>_xlfn.XLOOKUP(Sales_Details2[[#This Row],[Store_ID]],Table2[Store_ID],Table2[Region],"Region not found")</f>
        <v>East</v>
      </c>
      <c r="M394" s="25">
        <v>3</v>
      </c>
      <c r="N394" s="36">
        <v>362.11</v>
      </c>
      <c r="O394" s="29">
        <v>0.23</v>
      </c>
      <c r="P394" s="2" t="s">
        <v>1812</v>
      </c>
      <c r="Q394" s="36">
        <v>836.47409999999991</v>
      </c>
    </row>
    <row r="395" spans="1:17" x14ac:dyDescent="0.3">
      <c r="A395" s="2" t="s">
        <v>2202</v>
      </c>
      <c r="B395" s="14">
        <v>45561</v>
      </c>
      <c r="C395" s="2">
        <f>YEAR(Sales_Details2[[#This Row],[Order_Date]])</f>
        <v>2024</v>
      </c>
      <c r="D395" s="2" t="s">
        <v>1439</v>
      </c>
      <c r="E395" s="2" t="str">
        <f>VLOOKUP(Sales_Details2[[#This Row],[Customer_ID]],Customer_Details[#All],4,0)</f>
        <v>Mid-Adult</v>
      </c>
      <c r="F395" s="2" t="str">
        <f>VLOOKUP(Sales_Details2[[#This Row],[Customer_ID]],Customer_Details[#All],5,0)</f>
        <v>Male</v>
      </c>
      <c r="G395" s="2" t="str">
        <f>VLOOKUP(Sales_Details2[[#This Row],[Customer_ID]],Customer_Details[#All],9,0)</f>
        <v>Silver</v>
      </c>
      <c r="H395" s="2" t="s">
        <v>1617</v>
      </c>
      <c r="I395" s="2" t="str">
        <f>VLOOKUP(Sales_Details2[[#This Row],[Product_ID]],Product_details[[#All],[Product_ID]:[Cost]],3,0)</f>
        <v>Electronics</v>
      </c>
      <c r="J395" s="2" t="str">
        <f>VLOOKUP(Sales_Details2[[#This Row],[Product_ID]],Product_details[[#All],[Product_ID]:[Cost]],4,0)</f>
        <v>Computer</v>
      </c>
      <c r="K395" s="2" t="s">
        <v>1765</v>
      </c>
      <c r="L395" s="2" t="str">
        <f>_xlfn.XLOOKUP(Sales_Details2[[#This Row],[Store_ID]],Table2[Store_ID],Table2[Region],"Region not found")</f>
        <v>West</v>
      </c>
      <c r="M395" s="25">
        <v>3</v>
      </c>
      <c r="N395" s="36">
        <v>112.26</v>
      </c>
      <c r="O395" s="29">
        <v>0.11</v>
      </c>
      <c r="P395" s="2" t="s">
        <v>1807</v>
      </c>
      <c r="Q395" s="36">
        <v>299.73419999999999</v>
      </c>
    </row>
    <row r="396" spans="1:17" x14ac:dyDescent="0.3">
      <c r="A396" s="2" t="s">
        <v>2203</v>
      </c>
      <c r="B396" s="14">
        <v>45378</v>
      </c>
      <c r="C396" s="2">
        <f>YEAR(Sales_Details2[[#This Row],[Order_Date]])</f>
        <v>2024</v>
      </c>
      <c r="D396" s="2" t="s">
        <v>657</v>
      </c>
      <c r="E396" s="2" t="str">
        <f>VLOOKUP(Sales_Details2[[#This Row],[Customer_ID]],Customer_Details[#All],4,0)</f>
        <v>Mid-Adult</v>
      </c>
      <c r="F396" s="2" t="str">
        <f>VLOOKUP(Sales_Details2[[#This Row],[Customer_ID]],Customer_Details[#All],5,0)</f>
        <v>Male</v>
      </c>
      <c r="G396" s="2" t="str">
        <f>VLOOKUP(Sales_Details2[[#This Row],[Customer_ID]],Customer_Details[#All],9,0)</f>
        <v>Platinum</v>
      </c>
      <c r="H396" s="2" t="s">
        <v>1719</v>
      </c>
      <c r="I396" s="2" t="str">
        <f>VLOOKUP(Sales_Details2[[#This Row],[Product_ID]],Product_details[[#All],[Product_ID]:[Cost]],3,0)</f>
        <v>Beauty</v>
      </c>
      <c r="J396" s="2" t="str">
        <f>VLOOKUP(Sales_Details2[[#This Row],[Product_ID]],Product_details[[#All],[Product_ID]:[Cost]],4,0)</f>
        <v>Skincare</v>
      </c>
      <c r="K396" s="2" t="s">
        <v>1796</v>
      </c>
      <c r="L396" s="2" t="str">
        <f>_xlfn.XLOOKUP(Sales_Details2[[#This Row],[Store_ID]],Table2[Store_ID],Table2[Region],"Region not found")</f>
        <v>East</v>
      </c>
      <c r="M396" s="25">
        <v>2</v>
      </c>
      <c r="N396" s="36">
        <v>962.81</v>
      </c>
      <c r="O396" s="29">
        <v>0.06</v>
      </c>
      <c r="P396" s="2" t="s">
        <v>1812</v>
      </c>
      <c r="Q396" s="36">
        <v>1810.0827999999999</v>
      </c>
    </row>
    <row r="397" spans="1:17" x14ac:dyDescent="0.3">
      <c r="A397" s="2" t="s">
        <v>2204</v>
      </c>
      <c r="B397" s="14">
        <v>45308</v>
      </c>
      <c r="C397" s="2">
        <f>YEAR(Sales_Details2[[#This Row],[Order_Date]])</f>
        <v>2024</v>
      </c>
      <c r="D397" s="2" t="s">
        <v>687</v>
      </c>
      <c r="E397" s="2" t="str">
        <f>VLOOKUP(Sales_Details2[[#This Row],[Customer_ID]],Customer_Details[#All],4,0)</f>
        <v>Mid-Adult</v>
      </c>
      <c r="F397" s="2" t="str">
        <f>VLOOKUP(Sales_Details2[[#This Row],[Customer_ID]],Customer_Details[#All],5,0)</f>
        <v>Female</v>
      </c>
      <c r="G397" s="2" t="str">
        <f>VLOOKUP(Sales_Details2[[#This Row],[Customer_ID]],Customer_Details[#All],9,0)</f>
        <v>Platinum</v>
      </c>
      <c r="H397" s="2" t="s">
        <v>1573</v>
      </c>
      <c r="I397" s="2" t="str">
        <f>VLOOKUP(Sales_Details2[[#This Row],[Product_ID]],Product_details[[#All],[Product_ID]:[Cost]],3,0)</f>
        <v>Home</v>
      </c>
      <c r="J397" s="2" t="str">
        <f>VLOOKUP(Sales_Details2[[#This Row],[Product_ID]],Product_details[[#All],[Product_ID]:[Cost]],4,0)</f>
        <v>Storage</v>
      </c>
      <c r="K397" s="2" t="s">
        <v>1735</v>
      </c>
      <c r="L397" s="2" t="str">
        <f>_xlfn.XLOOKUP(Sales_Details2[[#This Row],[Store_ID]],Table2[Store_ID],Table2[Region],"Region not found")</f>
        <v>East</v>
      </c>
      <c r="M397" s="25">
        <v>4</v>
      </c>
      <c r="N397" s="36">
        <v>276.23</v>
      </c>
      <c r="O397" s="29">
        <v>0.12</v>
      </c>
      <c r="P397" s="2" t="s">
        <v>1807</v>
      </c>
      <c r="Q397" s="36">
        <v>972.32960000000003</v>
      </c>
    </row>
    <row r="398" spans="1:17" x14ac:dyDescent="0.3">
      <c r="A398" s="2" t="s">
        <v>2205</v>
      </c>
      <c r="B398" s="14">
        <v>45407</v>
      </c>
      <c r="C398" s="2">
        <f>YEAR(Sales_Details2[[#This Row],[Order_Date]])</f>
        <v>2024</v>
      </c>
      <c r="D398" s="2" t="s">
        <v>71</v>
      </c>
      <c r="E398" s="2" t="str">
        <f>VLOOKUP(Sales_Details2[[#This Row],[Customer_ID]],Customer_Details[#All],4,0)</f>
        <v>Mid-Adult</v>
      </c>
      <c r="F398" s="2" t="str">
        <f>VLOOKUP(Sales_Details2[[#This Row],[Customer_ID]],Customer_Details[#All],5,0)</f>
        <v>Female</v>
      </c>
      <c r="G398" s="2" t="str">
        <f>VLOOKUP(Sales_Details2[[#This Row],[Customer_ID]],Customer_Details[#All],9,0)</f>
        <v>Platinum</v>
      </c>
      <c r="H398" s="2" t="s">
        <v>1567</v>
      </c>
      <c r="I398" s="2" t="str">
        <f>VLOOKUP(Sales_Details2[[#This Row],[Product_ID]],Product_details[[#All],[Product_ID]:[Cost]],3,0)</f>
        <v>Clothing</v>
      </c>
      <c r="J398" s="2" t="str">
        <f>VLOOKUP(Sales_Details2[[#This Row],[Product_ID]],Product_details[[#All],[Product_ID]:[Cost]],4,0)</f>
        <v>Bottoms</v>
      </c>
      <c r="K398" s="2" t="s">
        <v>1782</v>
      </c>
      <c r="L398" s="2" t="str">
        <f>_xlfn.XLOOKUP(Sales_Details2[[#This Row],[Store_ID]],Table2[Store_ID],Table2[Region],"Region not found")</f>
        <v>South</v>
      </c>
      <c r="M398" s="25">
        <v>3</v>
      </c>
      <c r="N398" s="36">
        <v>991.37</v>
      </c>
      <c r="O398" s="29">
        <v>0.1</v>
      </c>
      <c r="P398" s="2" t="s">
        <v>1809</v>
      </c>
      <c r="Q398" s="36">
        <v>2676.6990000000001</v>
      </c>
    </row>
    <row r="399" spans="1:17" x14ac:dyDescent="0.3">
      <c r="A399" s="2" t="s">
        <v>2206</v>
      </c>
      <c r="B399" s="14">
        <v>45929</v>
      </c>
      <c r="C399" s="2">
        <f>YEAR(Sales_Details2[[#This Row],[Order_Date]])</f>
        <v>2025</v>
      </c>
      <c r="D399" s="2" t="s">
        <v>554</v>
      </c>
      <c r="E399" s="2" t="str">
        <f>VLOOKUP(Sales_Details2[[#This Row],[Customer_ID]],Customer_Details[#All],4,0)</f>
        <v>Mid-Adult</v>
      </c>
      <c r="F399" s="2" t="str">
        <f>VLOOKUP(Sales_Details2[[#This Row],[Customer_ID]],Customer_Details[#All],5,0)</f>
        <v>Female</v>
      </c>
      <c r="G399" s="2" t="str">
        <f>VLOOKUP(Sales_Details2[[#This Row],[Customer_ID]],Customer_Details[#All],9,0)</f>
        <v>Platinum</v>
      </c>
      <c r="H399" s="2" t="s">
        <v>1573</v>
      </c>
      <c r="I399" s="2" t="str">
        <f>VLOOKUP(Sales_Details2[[#This Row],[Product_ID]],Product_details[[#All],[Product_ID]:[Cost]],3,0)</f>
        <v>Home</v>
      </c>
      <c r="J399" s="2" t="str">
        <f>VLOOKUP(Sales_Details2[[#This Row],[Product_ID]],Product_details[[#All],[Product_ID]:[Cost]],4,0)</f>
        <v>Storage</v>
      </c>
      <c r="K399" s="2" t="s">
        <v>1780</v>
      </c>
      <c r="L399" s="2" t="str">
        <f>_xlfn.XLOOKUP(Sales_Details2[[#This Row],[Store_ID]],Table2[Store_ID],Table2[Region],"Region not found")</f>
        <v>East</v>
      </c>
      <c r="M399" s="25">
        <v>3</v>
      </c>
      <c r="N399" s="36">
        <v>977.47</v>
      </c>
      <c r="O399" s="29">
        <v>0.05</v>
      </c>
      <c r="P399" s="2" t="s">
        <v>1807</v>
      </c>
      <c r="Q399" s="36">
        <v>2785.7894999999999</v>
      </c>
    </row>
    <row r="400" spans="1:17" x14ac:dyDescent="0.3">
      <c r="A400" s="2" t="s">
        <v>2207</v>
      </c>
      <c r="B400" s="14">
        <v>45844</v>
      </c>
      <c r="C400" s="2">
        <f>YEAR(Sales_Details2[[#This Row],[Order_Date]])</f>
        <v>2025</v>
      </c>
      <c r="D400" s="2" t="s">
        <v>666</v>
      </c>
      <c r="E400" s="2" t="str">
        <f>VLOOKUP(Sales_Details2[[#This Row],[Customer_ID]],Customer_Details[#All],4,0)</f>
        <v>Adult</v>
      </c>
      <c r="F400" s="2" t="str">
        <f>VLOOKUP(Sales_Details2[[#This Row],[Customer_ID]],Customer_Details[#All],5,0)</f>
        <v>Female</v>
      </c>
      <c r="G400" s="2" t="str">
        <f>VLOOKUP(Sales_Details2[[#This Row],[Customer_ID]],Customer_Details[#All],9,0)</f>
        <v>Silver</v>
      </c>
      <c r="H400" s="2" t="s">
        <v>1719</v>
      </c>
      <c r="I400" s="2" t="str">
        <f>VLOOKUP(Sales_Details2[[#This Row],[Product_ID]],Product_details[[#All],[Product_ID]:[Cost]],3,0)</f>
        <v>Beauty</v>
      </c>
      <c r="J400" s="2" t="str">
        <f>VLOOKUP(Sales_Details2[[#This Row],[Product_ID]],Product_details[[#All],[Product_ID]:[Cost]],4,0)</f>
        <v>Skincare</v>
      </c>
      <c r="K400" s="2" t="s">
        <v>1777</v>
      </c>
      <c r="L400" s="2" t="str">
        <f>_xlfn.XLOOKUP(Sales_Details2[[#This Row],[Store_ID]],Table2[Store_ID],Table2[Region],"Region not found")</f>
        <v>North</v>
      </c>
      <c r="M400" s="25">
        <v>2</v>
      </c>
      <c r="N400" s="36">
        <v>308.7</v>
      </c>
      <c r="O400" s="29">
        <v>0.2</v>
      </c>
      <c r="P400" s="2" t="s">
        <v>1809</v>
      </c>
      <c r="Q400" s="36">
        <v>493.92</v>
      </c>
    </row>
    <row r="401" spans="1:17" x14ac:dyDescent="0.3">
      <c r="A401" s="2" t="s">
        <v>2208</v>
      </c>
      <c r="B401" s="14">
        <v>45579</v>
      </c>
      <c r="C401" s="2">
        <f>YEAR(Sales_Details2[[#This Row],[Order_Date]])</f>
        <v>2024</v>
      </c>
      <c r="D401" s="2" t="s">
        <v>146</v>
      </c>
      <c r="E401" s="2" t="str">
        <f>VLOOKUP(Sales_Details2[[#This Row],[Customer_ID]],Customer_Details[#All],4,0)</f>
        <v>Adult</v>
      </c>
      <c r="F401" s="2" t="str">
        <f>VLOOKUP(Sales_Details2[[#This Row],[Customer_ID]],Customer_Details[#All],5,0)</f>
        <v>Female</v>
      </c>
      <c r="G401" s="2" t="str">
        <f>VLOOKUP(Sales_Details2[[#This Row],[Customer_ID]],Customer_Details[#All],9,0)</f>
        <v>Platinum</v>
      </c>
      <c r="H401" s="2" t="s">
        <v>1540</v>
      </c>
      <c r="I401" s="2" t="str">
        <f>VLOOKUP(Sales_Details2[[#This Row],[Product_ID]],Product_details[[#All],[Product_ID]:[Cost]],3,0)</f>
        <v>Beauty</v>
      </c>
      <c r="J401" s="2" t="str">
        <f>VLOOKUP(Sales_Details2[[#This Row],[Product_ID]],Product_details[[#All],[Product_ID]:[Cost]],4,0)</f>
        <v>Skincare</v>
      </c>
      <c r="K401" s="2" t="s">
        <v>1787</v>
      </c>
      <c r="L401" s="2" t="str">
        <f>_xlfn.XLOOKUP(Sales_Details2[[#This Row],[Store_ID]],Table2[Store_ID],Table2[Region],"Region not found")</f>
        <v>West</v>
      </c>
      <c r="M401" s="25">
        <v>2</v>
      </c>
      <c r="N401" s="36">
        <v>733.87</v>
      </c>
      <c r="O401" s="29">
        <v>0.1</v>
      </c>
      <c r="P401" s="2" t="s">
        <v>1809</v>
      </c>
      <c r="Q401" s="36">
        <v>1320.9659999999999</v>
      </c>
    </row>
    <row r="402" spans="1:17" x14ac:dyDescent="0.3">
      <c r="A402" s="2" t="s">
        <v>2209</v>
      </c>
      <c r="B402" s="14">
        <v>45227</v>
      </c>
      <c r="C402" s="2">
        <f>YEAR(Sales_Details2[[#This Row],[Order_Date]])</f>
        <v>2023</v>
      </c>
      <c r="D402" s="2" t="s">
        <v>336</v>
      </c>
      <c r="E402" s="2" t="str">
        <f>VLOOKUP(Sales_Details2[[#This Row],[Customer_ID]],Customer_Details[#All],4,0)</f>
        <v>Senior</v>
      </c>
      <c r="F402" s="2" t="str">
        <f>VLOOKUP(Sales_Details2[[#This Row],[Customer_ID]],Customer_Details[#All],5,0)</f>
        <v>Female</v>
      </c>
      <c r="G402" s="2" t="str">
        <f>VLOOKUP(Sales_Details2[[#This Row],[Customer_ID]],Customer_Details[#All],9,0)</f>
        <v>Platinum</v>
      </c>
      <c r="H402" s="2" t="s">
        <v>1569</v>
      </c>
      <c r="I402" s="2" t="str">
        <f>VLOOKUP(Sales_Details2[[#This Row],[Product_ID]],Product_details[[#All],[Product_ID]:[Cost]],3,0)</f>
        <v>Sports</v>
      </c>
      <c r="J402" s="2" t="str">
        <f>VLOOKUP(Sales_Details2[[#This Row],[Product_ID]],Product_details[[#All],[Product_ID]:[Cost]],4,0)</f>
        <v>Equipment</v>
      </c>
      <c r="K402" s="2" t="s">
        <v>1787</v>
      </c>
      <c r="L402" s="2" t="str">
        <f>_xlfn.XLOOKUP(Sales_Details2[[#This Row],[Store_ID]],Table2[Store_ID],Table2[Region],"Region not found")</f>
        <v>West</v>
      </c>
      <c r="M402" s="25">
        <v>2</v>
      </c>
      <c r="N402" s="36">
        <v>22.47</v>
      </c>
      <c r="O402" s="29">
        <v>0.22</v>
      </c>
      <c r="P402" s="2" t="s">
        <v>1809</v>
      </c>
      <c r="Q402" s="36">
        <v>35.053199999999997</v>
      </c>
    </row>
    <row r="403" spans="1:17" x14ac:dyDescent="0.3">
      <c r="A403" s="2" t="s">
        <v>2210</v>
      </c>
      <c r="B403" s="14">
        <v>45380</v>
      </c>
      <c r="C403" s="2">
        <f>YEAR(Sales_Details2[[#This Row],[Order_Date]])</f>
        <v>2024</v>
      </c>
      <c r="D403" s="2" t="s">
        <v>1080</v>
      </c>
      <c r="E403" s="2" t="str">
        <f>VLOOKUP(Sales_Details2[[#This Row],[Customer_ID]],Customer_Details[#All],4,0)</f>
        <v>Senior</v>
      </c>
      <c r="F403" s="2" t="str">
        <f>VLOOKUP(Sales_Details2[[#This Row],[Customer_ID]],Customer_Details[#All],5,0)</f>
        <v>Male</v>
      </c>
      <c r="G403" s="2" t="str">
        <f>VLOOKUP(Sales_Details2[[#This Row],[Customer_ID]],Customer_Details[#All],9,0)</f>
        <v>Silver</v>
      </c>
      <c r="H403" s="2" t="s">
        <v>1645</v>
      </c>
      <c r="I403" s="2" t="str">
        <f>VLOOKUP(Sales_Details2[[#This Row],[Product_ID]],Product_details[[#All],[Product_ID]:[Cost]],3,0)</f>
        <v>Sports</v>
      </c>
      <c r="J403" s="2" t="str">
        <f>VLOOKUP(Sales_Details2[[#This Row],[Product_ID]],Product_details[[#All],[Product_ID]:[Cost]],4,0)</f>
        <v>Fitness</v>
      </c>
      <c r="K403" s="2" t="s">
        <v>1780</v>
      </c>
      <c r="L403" s="2" t="str">
        <f>_xlfn.XLOOKUP(Sales_Details2[[#This Row],[Store_ID]],Table2[Store_ID],Table2[Region],"Region not found")</f>
        <v>East</v>
      </c>
      <c r="M403" s="25">
        <v>4</v>
      </c>
      <c r="N403" s="36">
        <v>651.36</v>
      </c>
      <c r="O403" s="29">
        <v>0.13</v>
      </c>
      <c r="P403" s="2" t="s">
        <v>1807</v>
      </c>
      <c r="Q403" s="36">
        <v>2266.7328000000002</v>
      </c>
    </row>
    <row r="404" spans="1:17" x14ac:dyDescent="0.3">
      <c r="A404" s="2" t="s">
        <v>2211</v>
      </c>
      <c r="B404" s="14">
        <v>45817</v>
      </c>
      <c r="C404" s="2">
        <f>YEAR(Sales_Details2[[#This Row],[Order_Date]])</f>
        <v>2025</v>
      </c>
      <c r="D404" s="2" t="s">
        <v>928</v>
      </c>
      <c r="E404" s="2" t="str">
        <f>VLOOKUP(Sales_Details2[[#This Row],[Customer_ID]],Customer_Details[#All],4,0)</f>
        <v>Adult</v>
      </c>
      <c r="F404" s="2" t="str">
        <f>VLOOKUP(Sales_Details2[[#This Row],[Customer_ID]],Customer_Details[#All],5,0)</f>
        <v>Female</v>
      </c>
      <c r="G404" s="2" t="str">
        <f>VLOOKUP(Sales_Details2[[#This Row],[Customer_ID]],Customer_Details[#All],9,0)</f>
        <v>Bronze</v>
      </c>
      <c r="H404" s="2" t="s">
        <v>1559</v>
      </c>
      <c r="I404" s="2" t="str">
        <f>VLOOKUP(Sales_Details2[[#This Row],[Product_ID]],Product_details[[#All],[Product_ID]:[Cost]],3,0)</f>
        <v>Home</v>
      </c>
      <c r="J404" s="2" t="str">
        <f>VLOOKUP(Sales_Details2[[#This Row],[Product_ID]],Product_details[[#All],[Product_ID]:[Cost]],4,0)</f>
        <v>Decor</v>
      </c>
      <c r="K404" s="2" t="s">
        <v>1772</v>
      </c>
      <c r="L404" s="2" t="str">
        <f>_xlfn.XLOOKUP(Sales_Details2[[#This Row],[Store_ID]],Table2[Store_ID],Table2[Region],"Region not found")</f>
        <v>East</v>
      </c>
      <c r="M404" s="25">
        <v>1</v>
      </c>
      <c r="N404" s="36">
        <v>753.39</v>
      </c>
      <c r="O404" s="29">
        <v>0.04</v>
      </c>
      <c r="P404" s="2" t="s">
        <v>1812</v>
      </c>
      <c r="Q404" s="36">
        <v>723.25439999999992</v>
      </c>
    </row>
    <row r="405" spans="1:17" x14ac:dyDescent="0.3">
      <c r="A405" s="2" t="s">
        <v>2212</v>
      </c>
      <c r="B405" s="14">
        <v>45576</v>
      </c>
      <c r="C405" s="2">
        <f>YEAR(Sales_Details2[[#This Row],[Order_Date]])</f>
        <v>2024</v>
      </c>
      <c r="D405" s="2" t="s">
        <v>651</v>
      </c>
      <c r="E405" s="2" t="str">
        <f>VLOOKUP(Sales_Details2[[#This Row],[Customer_ID]],Customer_Details[#All],4,0)</f>
        <v>Adult</v>
      </c>
      <c r="F405" s="2" t="str">
        <f>VLOOKUP(Sales_Details2[[#This Row],[Customer_ID]],Customer_Details[#All],5,0)</f>
        <v>Female</v>
      </c>
      <c r="G405" s="2" t="str">
        <f>VLOOKUP(Sales_Details2[[#This Row],[Customer_ID]],Customer_Details[#All],9,0)</f>
        <v>Bronze</v>
      </c>
      <c r="H405" s="2" t="s">
        <v>1673</v>
      </c>
      <c r="I405" s="2" t="str">
        <f>VLOOKUP(Sales_Details2[[#This Row],[Product_ID]],Product_details[[#All],[Product_ID]:[Cost]],3,0)</f>
        <v>Beauty</v>
      </c>
      <c r="J405" s="2" t="str">
        <f>VLOOKUP(Sales_Details2[[#This Row],[Product_ID]],Product_details[[#All],[Product_ID]:[Cost]],4,0)</f>
        <v>Haircare</v>
      </c>
      <c r="K405" s="2" t="s">
        <v>1777</v>
      </c>
      <c r="L405" s="2" t="str">
        <f>_xlfn.XLOOKUP(Sales_Details2[[#This Row],[Store_ID]],Table2[Store_ID],Table2[Region],"Region not found")</f>
        <v>North</v>
      </c>
      <c r="M405" s="25">
        <v>4</v>
      </c>
      <c r="N405" s="36">
        <v>849.17</v>
      </c>
      <c r="O405" s="29">
        <v>0.12</v>
      </c>
      <c r="P405" s="2" t="s">
        <v>1812</v>
      </c>
      <c r="Q405" s="36">
        <v>2989.0783999999999</v>
      </c>
    </row>
    <row r="406" spans="1:17" x14ac:dyDescent="0.3">
      <c r="A406" s="2" t="s">
        <v>2213</v>
      </c>
      <c r="B406" s="14">
        <v>45495</v>
      </c>
      <c r="C406" s="2">
        <f>YEAR(Sales_Details2[[#This Row],[Order_Date]])</f>
        <v>2024</v>
      </c>
      <c r="D406" s="2" t="s">
        <v>1171</v>
      </c>
      <c r="E406" s="2" t="str">
        <f>VLOOKUP(Sales_Details2[[#This Row],[Customer_ID]],Customer_Details[#All],4,0)</f>
        <v>Mid-Adult</v>
      </c>
      <c r="F406" s="2" t="str">
        <f>VLOOKUP(Sales_Details2[[#This Row],[Customer_ID]],Customer_Details[#All],5,0)</f>
        <v>Female</v>
      </c>
      <c r="G406" s="2" t="str">
        <f>VLOOKUP(Sales_Details2[[#This Row],[Customer_ID]],Customer_Details[#All],9,0)</f>
        <v>Gold</v>
      </c>
      <c r="H406" s="2" t="s">
        <v>1571</v>
      </c>
      <c r="I406" s="2" t="str">
        <f>VLOOKUP(Sales_Details2[[#This Row],[Product_ID]],Product_details[[#All],[Product_ID]:[Cost]],3,0)</f>
        <v>Sports</v>
      </c>
      <c r="J406" s="2" t="str">
        <f>VLOOKUP(Sales_Details2[[#This Row],[Product_ID]],Product_details[[#All],[Product_ID]:[Cost]],4,0)</f>
        <v>Accessories</v>
      </c>
      <c r="K406" s="2" t="s">
        <v>1735</v>
      </c>
      <c r="L406" s="2" t="str">
        <f>_xlfn.XLOOKUP(Sales_Details2[[#This Row],[Store_ID]],Table2[Store_ID],Table2[Region],"Region not found")</f>
        <v>East</v>
      </c>
      <c r="M406" s="25">
        <v>4</v>
      </c>
      <c r="N406" s="36">
        <v>585.45000000000005</v>
      </c>
      <c r="O406" s="29">
        <v>0.25</v>
      </c>
      <c r="P406" s="2" t="s">
        <v>1812</v>
      </c>
      <c r="Q406" s="36">
        <v>1756.35</v>
      </c>
    </row>
    <row r="407" spans="1:17" x14ac:dyDescent="0.3">
      <c r="A407" s="2" t="s">
        <v>2214</v>
      </c>
      <c r="B407" s="14">
        <v>45628</v>
      </c>
      <c r="C407" s="2">
        <f>YEAR(Sales_Details2[[#This Row],[Order_Date]])</f>
        <v>2024</v>
      </c>
      <c r="D407" s="2" t="s">
        <v>1450</v>
      </c>
      <c r="E407" s="2" t="str">
        <f>VLOOKUP(Sales_Details2[[#This Row],[Customer_ID]],Customer_Details[#All],4,0)</f>
        <v>Mid-Adult</v>
      </c>
      <c r="F407" s="2" t="str">
        <f>VLOOKUP(Sales_Details2[[#This Row],[Customer_ID]],Customer_Details[#All],5,0)</f>
        <v>Female</v>
      </c>
      <c r="G407" s="2" t="str">
        <f>VLOOKUP(Sales_Details2[[#This Row],[Customer_ID]],Customer_Details[#All],9,0)</f>
        <v>Gold</v>
      </c>
      <c r="H407" s="2" t="s">
        <v>1681</v>
      </c>
      <c r="I407" s="2" t="str">
        <f>VLOOKUP(Sales_Details2[[#This Row],[Product_ID]],Product_details[[#All],[Product_ID]:[Cost]],3,0)</f>
        <v>Clothing</v>
      </c>
      <c r="J407" s="2" t="str">
        <f>VLOOKUP(Sales_Details2[[#This Row],[Product_ID]],Product_details[[#All],[Product_ID]:[Cost]],4,0)</f>
        <v>Footwear</v>
      </c>
      <c r="K407" s="2" t="s">
        <v>1787</v>
      </c>
      <c r="L407" s="2" t="str">
        <f>_xlfn.XLOOKUP(Sales_Details2[[#This Row],[Store_ID]],Table2[Store_ID],Table2[Region],"Region not found")</f>
        <v>West</v>
      </c>
      <c r="M407" s="25">
        <v>1</v>
      </c>
      <c r="N407" s="36">
        <v>745.15</v>
      </c>
      <c r="O407" s="29">
        <v>0.25</v>
      </c>
      <c r="P407" s="2" t="s">
        <v>1812</v>
      </c>
      <c r="Q407" s="36">
        <v>558.86249999999995</v>
      </c>
    </row>
    <row r="408" spans="1:17" x14ac:dyDescent="0.3">
      <c r="A408" s="2" t="s">
        <v>2215</v>
      </c>
      <c r="B408" s="14">
        <v>45244</v>
      </c>
      <c r="C408" s="2">
        <f>YEAR(Sales_Details2[[#This Row],[Order_Date]])</f>
        <v>2023</v>
      </c>
      <c r="D408" s="2" t="s">
        <v>188</v>
      </c>
      <c r="E408" s="2" t="str">
        <f>VLOOKUP(Sales_Details2[[#This Row],[Customer_ID]],Customer_Details[#All],4,0)</f>
        <v>Senior</v>
      </c>
      <c r="F408" s="2" t="str">
        <f>VLOOKUP(Sales_Details2[[#This Row],[Customer_ID]],Customer_Details[#All],5,0)</f>
        <v>Female</v>
      </c>
      <c r="G408" s="2" t="str">
        <f>VLOOKUP(Sales_Details2[[#This Row],[Customer_ID]],Customer_Details[#All],9,0)</f>
        <v>Gold</v>
      </c>
      <c r="H408" s="2" t="s">
        <v>1729</v>
      </c>
      <c r="I408" s="2" t="str">
        <f>VLOOKUP(Sales_Details2[[#This Row],[Product_ID]],Product_details[[#All],[Product_ID]:[Cost]],3,0)</f>
        <v>Home</v>
      </c>
      <c r="J408" s="2" t="str">
        <f>VLOOKUP(Sales_Details2[[#This Row],[Product_ID]],Product_details[[#All],[Product_ID]:[Cost]],4,0)</f>
        <v>Kitchen</v>
      </c>
      <c r="K408" s="2" t="s">
        <v>1744</v>
      </c>
      <c r="L408" s="2" t="str">
        <f>_xlfn.XLOOKUP(Sales_Details2[[#This Row],[Store_ID]],Table2[Store_ID],Table2[Region],"Region not found")</f>
        <v>South</v>
      </c>
      <c r="M408" s="25">
        <v>1</v>
      </c>
      <c r="N408" s="36">
        <v>848.69</v>
      </c>
      <c r="O408" s="29">
        <v>0.04</v>
      </c>
      <c r="P408" s="2" t="s">
        <v>1812</v>
      </c>
      <c r="Q408" s="36">
        <v>814.74239999999998</v>
      </c>
    </row>
    <row r="409" spans="1:17" x14ac:dyDescent="0.3">
      <c r="A409" s="2" t="s">
        <v>2216</v>
      </c>
      <c r="B409" s="14">
        <v>45336</v>
      </c>
      <c r="C409" s="2">
        <f>YEAR(Sales_Details2[[#This Row],[Order_Date]])</f>
        <v>2024</v>
      </c>
      <c r="D409" s="2" t="s">
        <v>1269</v>
      </c>
      <c r="E409" s="2" t="str">
        <f>VLOOKUP(Sales_Details2[[#This Row],[Customer_ID]],Customer_Details[#All],4,0)</f>
        <v>Senior</v>
      </c>
      <c r="F409" s="2" t="str">
        <f>VLOOKUP(Sales_Details2[[#This Row],[Customer_ID]],Customer_Details[#All],5,0)</f>
        <v>Female</v>
      </c>
      <c r="G409" s="2" t="str">
        <f>VLOOKUP(Sales_Details2[[#This Row],[Customer_ID]],Customer_Details[#All],9,0)</f>
        <v>Bronze</v>
      </c>
      <c r="H409" s="2" t="s">
        <v>1671</v>
      </c>
      <c r="I409" s="2" t="str">
        <f>VLOOKUP(Sales_Details2[[#This Row],[Product_ID]],Product_details[[#All],[Product_ID]:[Cost]],3,0)</f>
        <v>Home</v>
      </c>
      <c r="J409" s="2" t="str">
        <f>VLOOKUP(Sales_Details2[[#This Row],[Product_ID]],Product_details[[#All],[Product_ID]:[Cost]],4,0)</f>
        <v>Storage</v>
      </c>
      <c r="K409" s="2" t="s">
        <v>1782</v>
      </c>
      <c r="L409" s="2" t="str">
        <f>_xlfn.XLOOKUP(Sales_Details2[[#This Row],[Store_ID]],Table2[Store_ID],Table2[Region],"Region not found")</f>
        <v>South</v>
      </c>
      <c r="M409" s="25">
        <v>2</v>
      </c>
      <c r="N409" s="36">
        <v>247.67</v>
      </c>
      <c r="O409" s="29">
        <v>0.1</v>
      </c>
      <c r="P409" s="2" t="s">
        <v>1809</v>
      </c>
      <c r="Q409" s="36">
        <v>445.80599999999998</v>
      </c>
    </row>
    <row r="410" spans="1:17" x14ac:dyDescent="0.3">
      <c r="A410" s="2" t="s">
        <v>2217</v>
      </c>
      <c r="B410" s="14">
        <v>45465</v>
      </c>
      <c r="C410" s="2">
        <f>YEAR(Sales_Details2[[#This Row],[Order_Date]])</f>
        <v>2024</v>
      </c>
      <c r="D410" s="2" t="s">
        <v>152</v>
      </c>
      <c r="E410" s="2" t="str">
        <f>VLOOKUP(Sales_Details2[[#This Row],[Customer_ID]],Customer_Details[#All],4,0)</f>
        <v>Senior</v>
      </c>
      <c r="F410" s="2" t="str">
        <f>VLOOKUP(Sales_Details2[[#This Row],[Customer_ID]],Customer_Details[#All],5,0)</f>
        <v>Female</v>
      </c>
      <c r="G410" s="2" t="str">
        <f>VLOOKUP(Sales_Details2[[#This Row],[Customer_ID]],Customer_Details[#All],9,0)</f>
        <v>Gold</v>
      </c>
      <c r="H410" s="2" t="s">
        <v>1679</v>
      </c>
      <c r="I410" s="2" t="str">
        <f>VLOOKUP(Sales_Details2[[#This Row],[Product_ID]],Product_details[[#All],[Product_ID]:[Cost]],3,0)</f>
        <v>Electronics</v>
      </c>
      <c r="J410" s="2" t="str">
        <f>VLOOKUP(Sales_Details2[[#This Row],[Product_ID]],Product_details[[#All],[Product_ID]:[Cost]],4,0)</f>
        <v>Audio</v>
      </c>
      <c r="K410" s="2" t="s">
        <v>1749</v>
      </c>
      <c r="L410" s="2" t="str">
        <f>_xlfn.XLOOKUP(Sales_Details2[[#This Row],[Store_ID]],Table2[Store_ID],Table2[Region],"Region not found")</f>
        <v>North</v>
      </c>
      <c r="M410" s="25">
        <v>3</v>
      </c>
      <c r="N410" s="36">
        <v>220.51</v>
      </c>
      <c r="O410" s="29">
        <v>0.02</v>
      </c>
      <c r="P410" s="2" t="s">
        <v>1809</v>
      </c>
      <c r="Q410" s="36">
        <v>648.29939999999999</v>
      </c>
    </row>
    <row r="411" spans="1:17" x14ac:dyDescent="0.3">
      <c r="A411" s="2" t="s">
        <v>2218</v>
      </c>
      <c r="B411" s="14">
        <v>45837</v>
      </c>
      <c r="C411" s="2">
        <f>YEAR(Sales_Details2[[#This Row],[Order_Date]])</f>
        <v>2025</v>
      </c>
      <c r="D411" s="2" t="s">
        <v>1018</v>
      </c>
      <c r="E411" s="2" t="str">
        <f>VLOOKUP(Sales_Details2[[#This Row],[Customer_ID]],Customer_Details[#All],4,0)</f>
        <v>Senior</v>
      </c>
      <c r="F411" s="2" t="str">
        <f>VLOOKUP(Sales_Details2[[#This Row],[Customer_ID]],Customer_Details[#All],5,0)</f>
        <v>Female</v>
      </c>
      <c r="G411" s="2" t="str">
        <f>VLOOKUP(Sales_Details2[[#This Row],[Customer_ID]],Customer_Details[#All],9,0)</f>
        <v>Bronze</v>
      </c>
      <c r="H411" s="2" t="s">
        <v>1561</v>
      </c>
      <c r="I411" s="2" t="str">
        <f>VLOOKUP(Sales_Details2[[#This Row],[Product_ID]],Product_details[[#All],[Product_ID]:[Cost]],3,0)</f>
        <v>Electronics</v>
      </c>
      <c r="J411" s="2" t="str">
        <f>VLOOKUP(Sales_Details2[[#This Row],[Product_ID]],Product_details[[#All],[Product_ID]:[Cost]],4,0)</f>
        <v>Appliances</v>
      </c>
      <c r="K411" s="2" t="s">
        <v>1787</v>
      </c>
      <c r="L411" s="2" t="str">
        <f>_xlfn.XLOOKUP(Sales_Details2[[#This Row],[Store_ID]],Table2[Store_ID],Table2[Region],"Region not found")</f>
        <v>West</v>
      </c>
      <c r="M411" s="25">
        <v>4</v>
      </c>
      <c r="N411" s="36">
        <v>370.63</v>
      </c>
      <c r="O411" s="29">
        <v>0.08</v>
      </c>
      <c r="P411" s="2" t="s">
        <v>1807</v>
      </c>
      <c r="Q411" s="36">
        <v>1363.9184</v>
      </c>
    </row>
    <row r="412" spans="1:17" x14ac:dyDescent="0.3">
      <c r="A412" s="2" t="s">
        <v>2219</v>
      </c>
      <c r="B412" s="14">
        <v>45706</v>
      </c>
      <c r="C412" s="2">
        <f>YEAR(Sales_Details2[[#This Row],[Order_Date]])</f>
        <v>2025</v>
      </c>
      <c r="D412" s="2" t="s">
        <v>1207</v>
      </c>
      <c r="E412" s="2" t="str">
        <f>VLOOKUP(Sales_Details2[[#This Row],[Customer_ID]],Customer_Details[#All],4,0)</f>
        <v>Mid-Adult</v>
      </c>
      <c r="F412" s="2" t="str">
        <f>VLOOKUP(Sales_Details2[[#This Row],[Customer_ID]],Customer_Details[#All],5,0)</f>
        <v>Female</v>
      </c>
      <c r="G412" s="2" t="str">
        <f>VLOOKUP(Sales_Details2[[#This Row],[Customer_ID]],Customer_Details[#All],9,0)</f>
        <v>Bronze</v>
      </c>
      <c r="H412" s="2" t="s">
        <v>1589</v>
      </c>
      <c r="I412" s="2" t="str">
        <f>VLOOKUP(Sales_Details2[[#This Row],[Product_ID]],Product_details[[#All],[Product_ID]:[Cost]],3,0)</f>
        <v>Home</v>
      </c>
      <c r="J412" s="2" t="str">
        <f>VLOOKUP(Sales_Details2[[#This Row],[Product_ID]],Product_details[[#All],[Product_ID]:[Cost]],4,0)</f>
        <v>Decor</v>
      </c>
      <c r="K412" s="2" t="s">
        <v>1796</v>
      </c>
      <c r="L412" s="2" t="str">
        <f>_xlfn.XLOOKUP(Sales_Details2[[#This Row],[Store_ID]],Table2[Store_ID],Table2[Region],"Region not found")</f>
        <v>East</v>
      </c>
      <c r="M412" s="25">
        <v>4</v>
      </c>
      <c r="N412" s="36">
        <v>349.84</v>
      </c>
      <c r="O412" s="29">
        <v>0.11</v>
      </c>
      <c r="P412" s="2" t="s">
        <v>1807</v>
      </c>
      <c r="Q412" s="36">
        <v>1245.4304</v>
      </c>
    </row>
    <row r="413" spans="1:17" x14ac:dyDescent="0.3">
      <c r="A413" s="2" t="s">
        <v>2220</v>
      </c>
      <c r="B413" s="14">
        <v>45823</v>
      </c>
      <c r="C413" s="2">
        <f>YEAR(Sales_Details2[[#This Row],[Order_Date]])</f>
        <v>2025</v>
      </c>
      <c r="D413" s="2" t="s">
        <v>167</v>
      </c>
      <c r="E413" s="2" t="str">
        <f>VLOOKUP(Sales_Details2[[#This Row],[Customer_ID]],Customer_Details[#All],4,0)</f>
        <v>Mid-Adult</v>
      </c>
      <c r="F413" s="2" t="str">
        <f>VLOOKUP(Sales_Details2[[#This Row],[Customer_ID]],Customer_Details[#All],5,0)</f>
        <v>Male</v>
      </c>
      <c r="G413" s="2" t="str">
        <f>VLOOKUP(Sales_Details2[[#This Row],[Customer_ID]],Customer_Details[#All],9,0)</f>
        <v>Gold</v>
      </c>
      <c r="H413" s="2" t="s">
        <v>1609</v>
      </c>
      <c r="I413" s="2" t="str">
        <f>VLOOKUP(Sales_Details2[[#This Row],[Product_ID]],Product_details[[#All],[Product_ID]:[Cost]],3,0)</f>
        <v>Electronics</v>
      </c>
      <c r="J413" s="2" t="str">
        <f>VLOOKUP(Sales_Details2[[#This Row],[Product_ID]],Product_details[[#All],[Product_ID]:[Cost]],4,0)</f>
        <v>Mobile</v>
      </c>
      <c r="K413" s="2" t="s">
        <v>1777</v>
      </c>
      <c r="L413" s="2" t="str">
        <f>_xlfn.XLOOKUP(Sales_Details2[[#This Row],[Store_ID]],Table2[Store_ID],Table2[Region],"Region not found")</f>
        <v>North</v>
      </c>
      <c r="M413" s="25">
        <v>1</v>
      </c>
      <c r="N413" s="36">
        <v>770.87</v>
      </c>
      <c r="O413" s="29">
        <v>0.1</v>
      </c>
      <c r="P413" s="2" t="s">
        <v>1812</v>
      </c>
      <c r="Q413" s="36">
        <v>693.78300000000002</v>
      </c>
    </row>
    <row r="414" spans="1:17" x14ac:dyDescent="0.3">
      <c r="A414" s="2" t="s">
        <v>2221</v>
      </c>
      <c r="B414" s="14">
        <v>45518</v>
      </c>
      <c r="C414" s="2">
        <f>YEAR(Sales_Details2[[#This Row],[Order_Date]])</f>
        <v>2024</v>
      </c>
      <c r="D414" s="2" t="s">
        <v>1458</v>
      </c>
      <c r="E414" s="2" t="str">
        <f>VLOOKUP(Sales_Details2[[#This Row],[Customer_ID]],Customer_Details[#All],4,0)</f>
        <v>Mid-Adult</v>
      </c>
      <c r="F414" s="2" t="str">
        <f>VLOOKUP(Sales_Details2[[#This Row],[Customer_ID]],Customer_Details[#All],5,0)</f>
        <v>Male</v>
      </c>
      <c r="G414" s="2" t="str">
        <f>VLOOKUP(Sales_Details2[[#This Row],[Customer_ID]],Customer_Details[#All],9,0)</f>
        <v>Bronze</v>
      </c>
      <c r="H414" s="2" t="s">
        <v>1729</v>
      </c>
      <c r="I414" s="2" t="str">
        <f>VLOOKUP(Sales_Details2[[#This Row],[Product_ID]],Product_details[[#All],[Product_ID]:[Cost]],3,0)</f>
        <v>Home</v>
      </c>
      <c r="J414" s="2" t="str">
        <f>VLOOKUP(Sales_Details2[[#This Row],[Product_ID]],Product_details[[#All],[Product_ID]:[Cost]],4,0)</f>
        <v>Kitchen</v>
      </c>
      <c r="K414" s="2" t="s">
        <v>1790</v>
      </c>
      <c r="L414" s="2" t="str">
        <f>_xlfn.XLOOKUP(Sales_Details2[[#This Row],[Store_ID]],Table2[Store_ID],Table2[Region],"Region not found")</f>
        <v>North</v>
      </c>
      <c r="M414" s="25">
        <v>3</v>
      </c>
      <c r="N414" s="36">
        <v>507.33</v>
      </c>
      <c r="O414" s="29">
        <v>0.06</v>
      </c>
      <c r="P414" s="2" t="s">
        <v>1809</v>
      </c>
      <c r="Q414" s="36">
        <v>1430.6705999999999</v>
      </c>
    </row>
    <row r="415" spans="1:17" x14ac:dyDescent="0.3">
      <c r="A415" s="2" t="s">
        <v>2222</v>
      </c>
      <c r="B415" s="14">
        <v>45863</v>
      </c>
      <c r="C415" s="2">
        <f>YEAR(Sales_Details2[[#This Row],[Order_Date]])</f>
        <v>2025</v>
      </c>
      <c r="D415" s="2" t="s">
        <v>604</v>
      </c>
      <c r="E415" s="2" t="str">
        <f>VLOOKUP(Sales_Details2[[#This Row],[Customer_ID]],Customer_Details[#All],4,0)</f>
        <v>Senior</v>
      </c>
      <c r="F415" s="2" t="str">
        <f>VLOOKUP(Sales_Details2[[#This Row],[Customer_ID]],Customer_Details[#All],5,0)</f>
        <v>Female</v>
      </c>
      <c r="G415" s="2" t="str">
        <f>VLOOKUP(Sales_Details2[[#This Row],[Customer_ID]],Customer_Details[#All],9,0)</f>
        <v>Platinum</v>
      </c>
      <c r="H415" s="2" t="s">
        <v>1663</v>
      </c>
      <c r="I415" s="2" t="str">
        <f>VLOOKUP(Sales_Details2[[#This Row],[Product_ID]],Product_details[[#All],[Product_ID]:[Cost]],3,0)</f>
        <v>Beauty</v>
      </c>
      <c r="J415" s="2" t="str">
        <f>VLOOKUP(Sales_Details2[[#This Row],[Product_ID]],Product_details[[#All],[Product_ID]:[Cost]],4,0)</f>
        <v>Haircare</v>
      </c>
      <c r="K415" s="2" t="s">
        <v>1769</v>
      </c>
      <c r="L415" s="2" t="str">
        <f>_xlfn.XLOOKUP(Sales_Details2[[#This Row],[Store_ID]],Table2[Store_ID],Table2[Region],"Region not found")</f>
        <v>South</v>
      </c>
      <c r="M415" s="25">
        <v>1</v>
      </c>
      <c r="N415" s="36">
        <v>87.78</v>
      </c>
      <c r="O415" s="29">
        <v>0.06</v>
      </c>
      <c r="P415" s="2" t="s">
        <v>1807</v>
      </c>
      <c r="Q415" s="36">
        <v>82.513199999999998</v>
      </c>
    </row>
    <row r="416" spans="1:17" x14ac:dyDescent="0.3">
      <c r="A416" s="2" t="s">
        <v>2223</v>
      </c>
      <c r="B416" s="14">
        <v>45666</v>
      </c>
      <c r="C416" s="2">
        <f>YEAR(Sales_Details2[[#This Row],[Order_Date]])</f>
        <v>2025</v>
      </c>
      <c r="D416" s="2" t="s">
        <v>36</v>
      </c>
      <c r="E416" s="2" t="str">
        <f>VLOOKUP(Sales_Details2[[#This Row],[Customer_ID]],Customer_Details[#All],4,0)</f>
        <v>Adult</v>
      </c>
      <c r="F416" s="2" t="str">
        <f>VLOOKUP(Sales_Details2[[#This Row],[Customer_ID]],Customer_Details[#All],5,0)</f>
        <v>Female</v>
      </c>
      <c r="G416" s="2" t="str">
        <f>VLOOKUP(Sales_Details2[[#This Row],[Customer_ID]],Customer_Details[#All],9,0)</f>
        <v>Platinum</v>
      </c>
      <c r="H416" s="2" t="s">
        <v>1717</v>
      </c>
      <c r="I416" s="2" t="str">
        <f>VLOOKUP(Sales_Details2[[#This Row],[Product_ID]],Product_details[[#All],[Product_ID]:[Cost]],3,0)</f>
        <v>Electronics</v>
      </c>
      <c r="J416" s="2" t="str">
        <f>VLOOKUP(Sales_Details2[[#This Row],[Product_ID]],Product_details[[#All],[Product_ID]:[Cost]],4,0)</f>
        <v>Computer</v>
      </c>
      <c r="K416" s="2" t="s">
        <v>1752</v>
      </c>
      <c r="L416" s="2" t="str">
        <f>_xlfn.XLOOKUP(Sales_Details2[[#This Row],[Store_ID]],Table2[Store_ID],Table2[Region],"Region not found")</f>
        <v>South</v>
      </c>
      <c r="M416" s="25">
        <v>2</v>
      </c>
      <c r="N416" s="36">
        <v>772.24</v>
      </c>
      <c r="O416" s="29">
        <v>0.22</v>
      </c>
      <c r="P416" s="2" t="s">
        <v>1807</v>
      </c>
      <c r="Q416" s="36">
        <v>1204.6944000000001</v>
      </c>
    </row>
    <row r="417" spans="1:17" x14ac:dyDescent="0.3">
      <c r="A417" s="2" t="s">
        <v>2224</v>
      </c>
      <c r="B417" s="14">
        <v>45813</v>
      </c>
      <c r="C417" s="2">
        <f>YEAR(Sales_Details2[[#This Row],[Order_Date]])</f>
        <v>2025</v>
      </c>
      <c r="D417" s="2" t="s">
        <v>178</v>
      </c>
      <c r="E417" s="2" t="str">
        <f>VLOOKUP(Sales_Details2[[#This Row],[Customer_ID]],Customer_Details[#All],4,0)</f>
        <v>Senior</v>
      </c>
      <c r="F417" s="2" t="str">
        <f>VLOOKUP(Sales_Details2[[#This Row],[Customer_ID]],Customer_Details[#All],5,0)</f>
        <v>Female</v>
      </c>
      <c r="G417" s="2" t="str">
        <f>VLOOKUP(Sales_Details2[[#This Row],[Customer_ID]],Customer_Details[#All],9,0)</f>
        <v>Silver</v>
      </c>
      <c r="H417" s="2" t="s">
        <v>1671</v>
      </c>
      <c r="I417" s="2" t="str">
        <f>VLOOKUP(Sales_Details2[[#This Row],[Product_ID]],Product_details[[#All],[Product_ID]:[Cost]],3,0)</f>
        <v>Home</v>
      </c>
      <c r="J417" s="2" t="str">
        <f>VLOOKUP(Sales_Details2[[#This Row],[Product_ID]],Product_details[[#All],[Product_ID]:[Cost]],4,0)</f>
        <v>Storage</v>
      </c>
      <c r="K417" s="2" t="s">
        <v>1782</v>
      </c>
      <c r="L417" s="2" t="str">
        <f>_xlfn.XLOOKUP(Sales_Details2[[#This Row],[Store_ID]],Table2[Store_ID],Table2[Region],"Region not found")</f>
        <v>South</v>
      </c>
      <c r="M417" s="25">
        <v>1</v>
      </c>
      <c r="N417" s="36">
        <v>108.27</v>
      </c>
      <c r="O417" s="29">
        <v>0.1</v>
      </c>
      <c r="P417" s="2" t="s">
        <v>1812</v>
      </c>
      <c r="Q417" s="36">
        <v>97.442999999999998</v>
      </c>
    </row>
    <row r="418" spans="1:17" x14ac:dyDescent="0.3">
      <c r="A418" s="2" t="s">
        <v>2225</v>
      </c>
      <c r="B418" s="14">
        <v>45633</v>
      </c>
      <c r="C418" s="2">
        <f>YEAR(Sales_Details2[[#This Row],[Order_Date]])</f>
        <v>2024</v>
      </c>
      <c r="D418" s="2" t="s">
        <v>1078</v>
      </c>
      <c r="E418" s="2" t="str">
        <f>VLOOKUP(Sales_Details2[[#This Row],[Customer_ID]],Customer_Details[#All],4,0)</f>
        <v>Mid-Adult</v>
      </c>
      <c r="F418" s="2" t="str">
        <f>VLOOKUP(Sales_Details2[[#This Row],[Customer_ID]],Customer_Details[#All],5,0)</f>
        <v>Female</v>
      </c>
      <c r="G418" s="2" t="str">
        <f>VLOOKUP(Sales_Details2[[#This Row],[Customer_ID]],Customer_Details[#All],9,0)</f>
        <v>Gold</v>
      </c>
      <c r="H418" s="2" t="s">
        <v>1607</v>
      </c>
      <c r="I418" s="2" t="str">
        <f>VLOOKUP(Sales_Details2[[#This Row],[Product_ID]],Product_details[[#All],[Product_ID]:[Cost]],3,0)</f>
        <v>Sports</v>
      </c>
      <c r="J418" s="2" t="str">
        <f>VLOOKUP(Sales_Details2[[#This Row],[Product_ID]],Product_details[[#All],[Product_ID]:[Cost]],4,0)</f>
        <v>Outdoor</v>
      </c>
      <c r="K418" s="2" t="s">
        <v>1790</v>
      </c>
      <c r="L418" s="2" t="str">
        <f>_xlfn.XLOOKUP(Sales_Details2[[#This Row],[Store_ID]],Table2[Store_ID],Table2[Region],"Region not found")</f>
        <v>North</v>
      </c>
      <c r="M418" s="25">
        <v>2</v>
      </c>
      <c r="N418" s="36">
        <v>839.24</v>
      </c>
      <c r="O418" s="29">
        <v>0.21</v>
      </c>
      <c r="P418" s="2" t="s">
        <v>1809</v>
      </c>
      <c r="Q418" s="36">
        <v>1325.9992</v>
      </c>
    </row>
    <row r="419" spans="1:17" x14ac:dyDescent="0.3">
      <c r="A419" s="2" t="s">
        <v>2226</v>
      </c>
      <c r="B419" s="14">
        <v>45331</v>
      </c>
      <c r="C419" s="2">
        <f>YEAR(Sales_Details2[[#This Row],[Order_Date]])</f>
        <v>2024</v>
      </c>
      <c r="D419" s="2" t="s">
        <v>1183</v>
      </c>
      <c r="E419" s="2" t="str">
        <f>VLOOKUP(Sales_Details2[[#This Row],[Customer_ID]],Customer_Details[#All],4,0)</f>
        <v>Adult</v>
      </c>
      <c r="F419" s="2" t="str">
        <f>VLOOKUP(Sales_Details2[[#This Row],[Customer_ID]],Customer_Details[#All],5,0)</f>
        <v>Female</v>
      </c>
      <c r="G419" s="2" t="str">
        <f>VLOOKUP(Sales_Details2[[#This Row],[Customer_ID]],Customer_Details[#All],9,0)</f>
        <v>Silver</v>
      </c>
      <c r="H419" s="2" t="s">
        <v>1647</v>
      </c>
      <c r="I419" s="2" t="str">
        <f>VLOOKUP(Sales_Details2[[#This Row],[Product_ID]],Product_details[[#All],[Product_ID]:[Cost]],3,0)</f>
        <v>Clothing</v>
      </c>
      <c r="J419" s="2" t="str">
        <f>VLOOKUP(Sales_Details2[[#This Row],[Product_ID]],Product_details[[#All],[Product_ID]:[Cost]],4,0)</f>
        <v>Accessories</v>
      </c>
      <c r="K419" s="2" t="s">
        <v>1772</v>
      </c>
      <c r="L419" s="2" t="str">
        <f>_xlfn.XLOOKUP(Sales_Details2[[#This Row],[Store_ID]],Table2[Store_ID],Table2[Region],"Region not found")</f>
        <v>East</v>
      </c>
      <c r="M419" s="25">
        <v>2</v>
      </c>
      <c r="N419" s="36">
        <v>466.27</v>
      </c>
      <c r="O419" s="29">
        <v>0.11</v>
      </c>
      <c r="P419" s="2" t="s">
        <v>1809</v>
      </c>
      <c r="Q419" s="36">
        <v>829.9606</v>
      </c>
    </row>
    <row r="420" spans="1:17" x14ac:dyDescent="0.3">
      <c r="A420" s="2" t="s">
        <v>2227</v>
      </c>
      <c r="B420" s="14">
        <v>45942</v>
      </c>
      <c r="C420" s="2">
        <f>YEAR(Sales_Details2[[#This Row],[Order_Date]])</f>
        <v>2025</v>
      </c>
      <c r="D420" s="2" t="s">
        <v>1226</v>
      </c>
      <c r="E420" s="2" t="str">
        <f>VLOOKUP(Sales_Details2[[#This Row],[Customer_ID]],Customer_Details[#All],4,0)</f>
        <v>Senior</v>
      </c>
      <c r="F420" s="2" t="str">
        <f>VLOOKUP(Sales_Details2[[#This Row],[Customer_ID]],Customer_Details[#All],5,0)</f>
        <v>Male</v>
      </c>
      <c r="G420" s="2" t="str">
        <f>VLOOKUP(Sales_Details2[[#This Row],[Customer_ID]],Customer_Details[#All],9,0)</f>
        <v>Bronze</v>
      </c>
      <c r="H420" s="2" t="s">
        <v>1655</v>
      </c>
      <c r="I420" s="2" t="str">
        <f>VLOOKUP(Sales_Details2[[#This Row],[Product_ID]],Product_details[[#All],[Product_ID]:[Cost]],3,0)</f>
        <v>Electronics</v>
      </c>
      <c r="J420" s="2" t="str">
        <f>VLOOKUP(Sales_Details2[[#This Row],[Product_ID]],Product_details[[#All],[Product_ID]:[Cost]],4,0)</f>
        <v>Computer</v>
      </c>
      <c r="K420" s="2" t="s">
        <v>1782</v>
      </c>
      <c r="L420" s="2" t="str">
        <f>_xlfn.XLOOKUP(Sales_Details2[[#This Row],[Store_ID]],Table2[Store_ID],Table2[Region],"Region not found")</f>
        <v>South</v>
      </c>
      <c r="M420" s="25">
        <v>3</v>
      </c>
      <c r="N420" s="36">
        <v>969.83</v>
      </c>
      <c r="O420" s="29">
        <v>0.02</v>
      </c>
      <c r="P420" s="2" t="s">
        <v>1807</v>
      </c>
      <c r="Q420" s="36">
        <v>2851.3002000000001</v>
      </c>
    </row>
    <row r="421" spans="1:17" x14ac:dyDescent="0.3">
      <c r="A421" s="2" t="s">
        <v>2228</v>
      </c>
      <c r="B421" s="14">
        <v>45824</v>
      </c>
      <c r="C421" s="2">
        <f>YEAR(Sales_Details2[[#This Row],[Order_Date]])</f>
        <v>2025</v>
      </c>
      <c r="D421" s="2" t="s">
        <v>1281</v>
      </c>
      <c r="E421" s="2" t="str">
        <f>VLOOKUP(Sales_Details2[[#This Row],[Customer_ID]],Customer_Details[#All],4,0)</f>
        <v>Senior</v>
      </c>
      <c r="F421" s="2" t="str">
        <f>VLOOKUP(Sales_Details2[[#This Row],[Customer_ID]],Customer_Details[#All],5,0)</f>
        <v>Female</v>
      </c>
      <c r="G421" s="2" t="str">
        <f>VLOOKUP(Sales_Details2[[#This Row],[Customer_ID]],Customer_Details[#All],9,0)</f>
        <v>Bronze</v>
      </c>
      <c r="H421" s="2" t="s">
        <v>1713</v>
      </c>
      <c r="I421" s="2" t="str">
        <f>VLOOKUP(Sales_Details2[[#This Row],[Product_ID]],Product_details[[#All],[Product_ID]:[Cost]],3,0)</f>
        <v>Clothing</v>
      </c>
      <c r="J421" s="2" t="str">
        <f>VLOOKUP(Sales_Details2[[#This Row],[Product_ID]],Product_details[[#All],[Product_ID]:[Cost]],4,0)</f>
        <v>Footwear</v>
      </c>
      <c r="K421" s="2" t="s">
        <v>1796</v>
      </c>
      <c r="L421" s="2" t="str">
        <f>_xlfn.XLOOKUP(Sales_Details2[[#This Row],[Store_ID]],Table2[Store_ID],Table2[Region],"Region not found")</f>
        <v>East</v>
      </c>
      <c r="M421" s="25">
        <v>2</v>
      </c>
      <c r="N421" s="36">
        <v>782.11</v>
      </c>
      <c r="O421" s="29">
        <v>0.17</v>
      </c>
      <c r="P421" s="2" t="s">
        <v>1809</v>
      </c>
      <c r="Q421" s="36">
        <v>1298.3026</v>
      </c>
    </row>
    <row r="422" spans="1:17" x14ac:dyDescent="0.3">
      <c r="A422" s="2" t="s">
        <v>2229</v>
      </c>
      <c r="B422" s="14">
        <v>45921</v>
      </c>
      <c r="C422" s="2">
        <f>YEAR(Sales_Details2[[#This Row],[Order_Date]])</f>
        <v>2025</v>
      </c>
      <c r="D422" s="2" t="s">
        <v>1379</v>
      </c>
      <c r="E422" s="2" t="str">
        <f>VLOOKUP(Sales_Details2[[#This Row],[Customer_ID]],Customer_Details[#All],4,0)</f>
        <v>Mid-Adult</v>
      </c>
      <c r="F422" s="2" t="str">
        <f>VLOOKUP(Sales_Details2[[#This Row],[Customer_ID]],Customer_Details[#All],5,0)</f>
        <v>Male</v>
      </c>
      <c r="G422" s="2" t="str">
        <f>VLOOKUP(Sales_Details2[[#This Row],[Customer_ID]],Customer_Details[#All],9,0)</f>
        <v>Gold</v>
      </c>
      <c r="H422" s="2" t="s">
        <v>1611</v>
      </c>
      <c r="I422" s="2" t="str">
        <f>VLOOKUP(Sales_Details2[[#This Row],[Product_ID]],Product_details[[#All],[Product_ID]:[Cost]],3,0)</f>
        <v>Electronics</v>
      </c>
      <c r="J422" s="2" t="str">
        <f>VLOOKUP(Sales_Details2[[#This Row],[Product_ID]],Product_details[[#All],[Product_ID]:[Cost]],4,0)</f>
        <v>Audio</v>
      </c>
      <c r="K422" s="2" t="s">
        <v>1775</v>
      </c>
      <c r="L422" s="2" t="str">
        <f>_xlfn.XLOOKUP(Sales_Details2[[#This Row],[Store_ID]],Table2[Store_ID],Table2[Region],"Region not found")</f>
        <v>South</v>
      </c>
      <c r="M422" s="25">
        <v>2</v>
      </c>
      <c r="N422" s="36">
        <v>74.63</v>
      </c>
      <c r="O422" s="29">
        <v>0.01</v>
      </c>
      <c r="P422" s="2" t="s">
        <v>1809</v>
      </c>
      <c r="Q422" s="36">
        <v>147.76740000000001</v>
      </c>
    </row>
    <row r="423" spans="1:17" x14ac:dyDescent="0.3">
      <c r="A423" s="2" t="s">
        <v>2230</v>
      </c>
      <c r="B423" s="14">
        <v>45909</v>
      </c>
      <c r="C423" s="2">
        <f>YEAR(Sales_Details2[[#This Row],[Order_Date]])</f>
        <v>2025</v>
      </c>
      <c r="D423" s="2" t="s">
        <v>159</v>
      </c>
      <c r="E423" s="2" t="str">
        <f>VLOOKUP(Sales_Details2[[#This Row],[Customer_ID]],Customer_Details[#All],4,0)</f>
        <v>Adult</v>
      </c>
      <c r="F423" s="2" t="str">
        <f>VLOOKUP(Sales_Details2[[#This Row],[Customer_ID]],Customer_Details[#All],5,0)</f>
        <v>Male</v>
      </c>
      <c r="G423" s="2" t="str">
        <f>VLOOKUP(Sales_Details2[[#This Row],[Customer_ID]],Customer_Details[#All],9,0)</f>
        <v>Platinum</v>
      </c>
      <c r="H423" s="2" t="s">
        <v>1701</v>
      </c>
      <c r="I423" s="2" t="str">
        <f>VLOOKUP(Sales_Details2[[#This Row],[Product_ID]],Product_details[[#All],[Product_ID]:[Cost]],3,0)</f>
        <v>Clothing</v>
      </c>
      <c r="J423" s="2" t="str">
        <f>VLOOKUP(Sales_Details2[[#This Row],[Product_ID]],Product_details[[#All],[Product_ID]:[Cost]],4,0)</f>
        <v>Accessories</v>
      </c>
      <c r="K423" s="2" t="s">
        <v>1759</v>
      </c>
      <c r="L423" s="2" t="str">
        <f>_xlfn.XLOOKUP(Sales_Details2[[#This Row],[Store_ID]],Table2[Store_ID],Table2[Region],"Region not found")</f>
        <v>East</v>
      </c>
      <c r="M423" s="25">
        <v>3</v>
      </c>
      <c r="N423" s="36">
        <v>522.78</v>
      </c>
      <c r="O423" s="29">
        <v>0.25</v>
      </c>
      <c r="P423" s="2" t="s">
        <v>1809</v>
      </c>
      <c r="Q423" s="36">
        <v>1176.2550000000001</v>
      </c>
    </row>
    <row r="424" spans="1:17" x14ac:dyDescent="0.3">
      <c r="A424" s="2" t="s">
        <v>2231</v>
      </c>
      <c r="B424" s="14">
        <v>45853</v>
      </c>
      <c r="C424" s="2">
        <f>YEAR(Sales_Details2[[#This Row],[Order_Date]])</f>
        <v>2025</v>
      </c>
      <c r="D424" s="2" t="s">
        <v>1051</v>
      </c>
      <c r="E424" s="2" t="str">
        <f>VLOOKUP(Sales_Details2[[#This Row],[Customer_ID]],Customer_Details[#All],4,0)</f>
        <v>Mid-Adult</v>
      </c>
      <c r="F424" s="2" t="str">
        <f>VLOOKUP(Sales_Details2[[#This Row],[Customer_ID]],Customer_Details[#All],5,0)</f>
        <v>Female</v>
      </c>
      <c r="G424" s="2" t="str">
        <f>VLOOKUP(Sales_Details2[[#This Row],[Customer_ID]],Customer_Details[#All],9,0)</f>
        <v>Silver</v>
      </c>
      <c r="H424" s="2" t="s">
        <v>1557</v>
      </c>
      <c r="I424" s="2" t="str">
        <f>VLOOKUP(Sales_Details2[[#This Row],[Product_ID]],Product_details[[#All],[Product_ID]:[Cost]],3,0)</f>
        <v>Electronics</v>
      </c>
      <c r="J424" s="2" t="str">
        <f>VLOOKUP(Sales_Details2[[#This Row],[Product_ID]],Product_details[[#All],[Product_ID]:[Cost]],4,0)</f>
        <v>Accessories</v>
      </c>
      <c r="K424" s="2" t="s">
        <v>1784</v>
      </c>
      <c r="L424" s="2" t="str">
        <f>_xlfn.XLOOKUP(Sales_Details2[[#This Row],[Store_ID]],Table2[Store_ID],Table2[Region],"Region not found")</f>
        <v>North</v>
      </c>
      <c r="M424" s="25">
        <v>1</v>
      </c>
      <c r="N424" s="36">
        <v>206.45</v>
      </c>
      <c r="O424" s="29">
        <v>0.15</v>
      </c>
      <c r="P424" s="2" t="s">
        <v>1809</v>
      </c>
      <c r="Q424" s="36">
        <v>175.48249999999999</v>
      </c>
    </row>
    <row r="425" spans="1:17" x14ac:dyDescent="0.3">
      <c r="A425" s="2" t="s">
        <v>2232</v>
      </c>
      <c r="B425" s="14">
        <v>45580</v>
      </c>
      <c r="C425" s="2">
        <f>YEAR(Sales_Details2[[#This Row],[Order_Date]])</f>
        <v>2024</v>
      </c>
      <c r="D425" s="2" t="s">
        <v>485</v>
      </c>
      <c r="E425" s="2" t="str">
        <f>VLOOKUP(Sales_Details2[[#This Row],[Customer_ID]],Customer_Details[#All],4,0)</f>
        <v>Mid-Adult</v>
      </c>
      <c r="F425" s="2" t="str">
        <f>VLOOKUP(Sales_Details2[[#This Row],[Customer_ID]],Customer_Details[#All],5,0)</f>
        <v>Male</v>
      </c>
      <c r="G425" s="2" t="str">
        <f>VLOOKUP(Sales_Details2[[#This Row],[Customer_ID]],Customer_Details[#All],9,0)</f>
        <v>Platinum</v>
      </c>
      <c r="H425" s="2" t="s">
        <v>1669</v>
      </c>
      <c r="I425" s="2" t="str">
        <f>VLOOKUP(Sales_Details2[[#This Row],[Product_ID]],Product_details[[#All],[Product_ID]:[Cost]],3,0)</f>
        <v>Clothing</v>
      </c>
      <c r="J425" s="2" t="str">
        <f>VLOOKUP(Sales_Details2[[#This Row],[Product_ID]],Product_details[[#All],[Product_ID]:[Cost]],4,0)</f>
        <v>Bottoms</v>
      </c>
      <c r="K425" s="2" t="s">
        <v>1756</v>
      </c>
      <c r="L425" s="2" t="str">
        <f>_xlfn.XLOOKUP(Sales_Details2[[#This Row],[Store_ID]],Table2[Store_ID],Table2[Region],"Region not found")</f>
        <v>North</v>
      </c>
      <c r="M425" s="25">
        <v>1</v>
      </c>
      <c r="N425" s="36">
        <v>815.53</v>
      </c>
      <c r="O425" s="29">
        <v>0.3</v>
      </c>
      <c r="P425" s="2" t="s">
        <v>1809</v>
      </c>
      <c r="Q425" s="36">
        <v>570.87099999999998</v>
      </c>
    </row>
    <row r="426" spans="1:17" x14ac:dyDescent="0.3">
      <c r="A426" s="2" t="s">
        <v>2233</v>
      </c>
      <c r="B426" s="14">
        <v>45220</v>
      </c>
      <c r="C426" s="2">
        <f>YEAR(Sales_Details2[[#This Row],[Order_Date]])</f>
        <v>2023</v>
      </c>
      <c r="D426" s="2" t="s">
        <v>146</v>
      </c>
      <c r="E426" s="2" t="str">
        <f>VLOOKUP(Sales_Details2[[#This Row],[Customer_ID]],Customer_Details[#All],4,0)</f>
        <v>Adult</v>
      </c>
      <c r="F426" s="2" t="str">
        <f>VLOOKUP(Sales_Details2[[#This Row],[Customer_ID]],Customer_Details[#All],5,0)</f>
        <v>Female</v>
      </c>
      <c r="G426" s="2" t="str">
        <f>VLOOKUP(Sales_Details2[[#This Row],[Customer_ID]],Customer_Details[#All],9,0)</f>
        <v>Platinum</v>
      </c>
      <c r="H426" s="2" t="s">
        <v>1689</v>
      </c>
      <c r="I426" s="2" t="str">
        <f>VLOOKUP(Sales_Details2[[#This Row],[Product_ID]],Product_details[[#All],[Product_ID]:[Cost]],3,0)</f>
        <v>Home</v>
      </c>
      <c r="J426" s="2" t="str">
        <f>VLOOKUP(Sales_Details2[[#This Row],[Product_ID]],Product_details[[#All],[Product_ID]:[Cost]],4,0)</f>
        <v>Lighting</v>
      </c>
      <c r="K426" s="2" t="s">
        <v>1780</v>
      </c>
      <c r="L426" s="2" t="str">
        <f>_xlfn.XLOOKUP(Sales_Details2[[#This Row],[Store_ID]],Table2[Store_ID],Table2[Region],"Region not found")</f>
        <v>East</v>
      </c>
      <c r="M426" s="25">
        <v>1</v>
      </c>
      <c r="N426" s="36">
        <v>823.61</v>
      </c>
      <c r="O426" s="29">
        <v>0.28000000000000003</v>
      </c>
      <c r="P426" s="2" t="s">
        <v>1812</v>
      </c>
      <c r="Q426" s="36">
        <v>592.99919999999997</v>
      </c>
    </row>
    <row r="427" spans="1:17" x14ac:dyDescent="0.3">
      <c r="A427" s="2" t="s">
        <v>2234</v>
      </c>
      <c r="B427" s="14">
        <v>45807</v>
      </c>
      <c r="C427" s="2">
        <f>YEAR(Sales_Details2[[#This Row],[Order_Date]])</f>
        <v>2025</v>
      </c>
      <c r="D427" s="2" t="s">
        <v>1456</v>
      </c>
      <c r="E427" s="2" t="str">
        <f>VLOOKUP(Sales_Details2[[#This Row],[Customer_ID]],Customer_Details[#All],4,0)</f>
        <v>Senior</v>
      </c>
      <c r="F427" s="2" t="str">
        <f>VLOOKUP(Sales_Details2[[#This Row],[Customer_ID]],Customer_Details[#All],5,0)</f>
        <v>Male</v>
      </c>
      <c r="G427" s="2" t="str">
        <f>VLOOKUP(Sales_Details2[[#This Row],[Customer_ID]],Customer_Details[#All],9,0)</f>
        <v>Gold</v>
      </c>
      <c r="H427" s="2" t="s">
        <v>1705</v>
      </c>
      <c r="I427" s="2" t="str">
        <f>VLOOKUP(Sales_Details2[[#This Row],[Product_ID]],Product_details[[#All],[Product_ID]:[Cost]],3,0)</f>
        <v>Home</v>
      </c>
      <c r="J427" s="2" t="str">
        <f>VLOOKUP(Sales_Details2[[#This Row],[Product_ID]],Product_details[[#All],[Product_ID]:[Cost]],4,0)</f>
        <v>Lighting</v>
      </c>
      <c r="K427" s="2" t="s">
        <v>1769</v>
      </c>
      <c r="L427" s="2" t="str">
        <f>_xlfn.XLOOKUP(Sales_Details2[[#This Row],[Store_ID]],Table2[Store_ID],Table2[Region],"Region not found")</f>
        <v>South</v>
      </c>
      <c r="M427" s="25">
        <v>2</v>
      </c>
      <c r="N427" s="36">
        <v>209.96</v>
      </c>
      <c r="O427" s="29">
        <v>0</v>
      </c>
      <c r="P427" s="2" t="s">
        <v>1807</v>
      </c>
      <c r="Q427" s="36">
        <v>419.92</v>
      </c>
    </row>
    <row r="428" spans="1:17" x14ac:dyDescent="0.3">
      <c r="A428" s="2" t="s">
        <v>2235</v>
      </c>
      <c r="B428" s="14">
        <v>45462</v>
      </c>
      <c r="C428" s="2">
        <f>YEAR(Sales_Details2[[#This Row],[Order_Date]])</f>
        <v>2024</v>
      </c>
      <c r="D428" s="2" t="s">
        <v>573</v>
      </c>
      <c r="E428" s="2" t="str">
        <f>VLOOKUP(Sales_Details2[[#This Row],[Customer_ID]],Customer_Details[#All],4,0)</f>
        <v>Senior</v>
      </c>
      <c r="F428" s="2" t="str">
        <f>VLOOKUP(Sales_Details2[[#This Row],[Customer_ID]],Customer_Details[#All],5,0)</f>
        <v>Male</v>
      </c>
      <c r="G428" s="2" t="str">
        <f>VLOOKUP(Sales_Details2[[#This Row],[Customer_ID]],Customer_Details[#All],9,0)</f>
        <v>Platinum</v>
      </c>
      <c r="H428" s="2" t="s">
        <v>1526</v>
      </c>
      <c r="I428" s="2" t="str">
        <f>VLOOKUP(Sales_Details2[[#This Row],[Product_ID]],Product_details[[#All],[Product_ID]:[Cost]],3,0)</f>
        <v>Electronics</v>
      </c>
      <c r="J428" s="2" t="str">
        <f>VLOOKUP(Sales_Details2[[#This Row],[Product_ID]],Product_details[[#All],[Product_ID]:[Cost]],4,0)</f>
        <v>Computer</v>
      </c>
      <c r="K428" s="2" t="s">
        <v>1787</v>
      </c>
      <c r="L428" s="2" t="str">
        <f>_xlfn.XLOOKUP(Sales_Details2[[#This Row],[Store_ID]],Table2[Store_ID],Table2[Region],"Region not found")</f>
        <v>West</v>
      </c>
      <c r="M428" s="25">
        <v>4</v>
      </c>
      <c r="N428" s="36">
        <v>897.93</v>
      </c>
      <c r="O428" s="29">
        <v>0.05</v>
      </c>
      <c r="P428" s="2" t="s">
        <v>1812</v>
      </c>
      <c r="Q428" s="36">
        <v>3412.134</v>
      </c>
    </row>
    <row r="429" spans="1:17" x14ac:dyDescent="0.3">
      <c r="A429" s="2" t="s">
        <v>2236</v>
      </c>
      <c r="B429" s="14">
        <v>45646</v>
      </c>
      <c r="C429" s="2">
        <f>YEAR(Sales_Details2[[#This Row],[Order_Date]])</f>
        <v>2024</v>
      </c>
      <c r="D429" s="2" t="s">
        <v>592</v>
      </c>
      <c r="E429" s="2" t="str">
        <f>VLOOKUP(Sales_Details2[[#This Row],[Customer_ID]],Customer_Details[#All],4,0)</f>
        <v>Senior</v>
      </c>
      <c r="F429" s="2" t="str">
        <f>VLOOKUP(Sales_Details2[[#This Row],[Customer_ID]],Customer_Details[#All],5,0)</f>
        <v>Male</v>
      </c>
      <c r="G429" s="2" t="str">
        <f>VLOOKUP(Sales_Details2[[#This Row],[Customer_ID]],Customer_Details[#All],9,0)</f>
        <v>Bronze</v>
      </c>
      <c r="H429" s="2" t="s">
        <v>1657</v>
      </c>
      <c r="I429" s="2" t="str">
        <f>VLOOKUP(Sales_Details2[[#This Row],[Product_ID]],Product_details[[#All],[Product_ID]:[Cost]],3,0)</f>
        <v>Beauty</v>
      </c>
      <c r="J429" s="2" t="str">
        <f>VLOOKUP(Sales_Details2[[#This Row],[Product_ID]],Product_details[[#All],[Product_ID]:[Cost]],4,0)</f>
        <v>Skincare</v>
      </c>
      <c r="K429" s="2" t="s">
        <v>1735</v>
      </c>
      <c r="L429" s="2" t="str">
        <f>_xlfn.XLOOKUP(Sales_Details2[[#This Row],[Store_ID]],Table2[Store_ID],Table2[Region],"Region not found")</f>
        <v>East</v>
      </c>
      <c r="M429" s="25">
        <v>4</v>
      </c>
      <c r="N429" s="36">
        <v>925.95</v>
      </c>
      <c r="O429" s="29">
        <v>0.16</v>
      </c>
      <c r="P429" s="2" t="s">
        <v>1812</v>
      </c>
      <c r="Q429" s="36">
        <v>3111.192</v>
      </c>
    </row>
    <row r="430" spans="1:17" x14ac:dyDescent="0.3">
      <c r="A430" s="2" t="s">
        <v>2237</v>
      </c>
      <c r="B430" s="14">
        <v>45520</v>
      </c>
      <c r="C430" s="2">
        <f>YEAR(Sales_Details2[[#This Row],[Order_Date]])</f>
        <v>2024</v>
      </c>
      <c r="D430" s="2" t="s">
        <v>301</v>
      </c>
      <c r="E430" s="2" t="str">
        <f>VLOOKUP(Sales_Details2[[#This Row],[Customer_ID]],Customer_Details[#All],4,0)</f>
        <v>Adult</v>
      </c>
      <c r="F430" s="2" t="str">
        <f>VLOOKUP(Sales_Details2[[#This Row],[Customer_ID]],Customer_Details[#All],5,0)</f>
        <v>Female</v>
      </c>
      <c r="G430" s="2" t="str">
        <f>VLOOKUP(Sales_Details2[[#This Row],[Customer_ID]],Customer_Details[#All],9,0)</f>
        <v>Platinum</v>
      </c>
      <c r="H430" s="2" t="s">
        <v>1633</v>
      </c>
      <c r="I430" s="2" t="str">
        <f>VLOOKUP(Sales_Details2[[#This Row],[Product_ID]],Product_details[[#All],[Product_ID]:[Cost]],3,0)</f>
        <v>Electronics</v>
      </c>
      <c r="J430" s="2" t="str">
        <f>VLOOKUP(Sales_Details2[[#This Row],[Product_ID]],Product_details[[#All],[Product_ID]:[Cost]],4,0)</f>
        <v>Accessories</v>
      </c>
      <c r="K430" s="2" t="s">
        <v>1759</v>
      </c>
      <c r="L430" s="2" t="str">
        <f>_xlfn.XLOOKUP(Sales_Details2[[#This Row],[Store_ID]],Table2[Store_ID],Table2[Region],"Region not found")</f>
        <v>East</v>
      </c>
      <c r="M430" s="25">
        <v>2</v>
      </c>
      <c r="N430" s="36">
        <v>573.09</v>
      </c>
      <c r="O430" s="29">
        <v>0.03</v>
      </c>
      <c r="P430" s="2" t="s">
        <v>1812</v>
      </c>
      <c r="Q430" s="36">
        <v>1111.7945999999999</v>
      </c>
    </row>
    <row r="431" spans="1:17" x14ac:dyDescent="0.3">
      <c r="A431" s="2" t="s">
        <v>2238</v>
      </c>
      <c r="B431" s="14">
        <v>45731</v>
      </c>
      <c r="C431" s="2">
        <f>YEAR(Sales_Details2[[#This Row],[Order_Date]])</f>
        <v>2025</v>
      </c>
      <c r="D431" s="2" t="s">
        <v>598</v>
      </c>
      <c r="E431" s="2" t="str">
        <f>VLOOKUP(Sales_Details2[[#This Row],[Customer_ID]],Customer_Details[#All],4,0)</f>
        <v>Adult</v>
      </c>
      <c r="F431" s="2" t="str">
        <f>VLOOKUP(Sales_Details2[[#This Row],[Customer_ID]],Customer_Details[#All],5,0)</f>
        <v>Male</v>
      </c>
      <c r="G431" s="2" t="str">
        <f>VLOOKUP(Sales_Details2[[#This Row],[Customer_ID]],Customer_Details[#All],9,0)</f>
        <v>Platinum</v>
      </c>
      <c r="H431" s="2" t="s">
        <v>1543</v>
      </c>
      <c r="I431" s="2" t="str">
        <f>VLOOKUP(Sales_Details2[[#This Row],[Product_ID]],Product_details[[#All],[Product_ID]:[Cost]],3,0)</f>
        <v>Home</v>
      </c>
      <c r="J431" s="2" t="str">
        <f>VLOOKUP(Sales_Details2[[#This Row],[Product_ID]],Product_details[[#All],[Product_ID]:[Cost]],4,0)</f>
        <v>Lighting</v>
      </c>
      <c r="K431" s="2" t="s">
        <v>1752</v>
      </c>
      <c r="L431" s="2" t="str">
        <f>_xlfn.XLOOKUP(Sales_Details2[[#This Row],[Store_ID]],Table2[Store_ID],Table2[Region],"Region not found")</f>
        <v>South</v>
      </c>
      <c r="M431" s="25">
        <v>4</v>
      </c>
      <c r="N431" s="36">
        <v>149.83000000000001</v>
      </c>
      <c r="O431" s="29">
        <v>0.02</v>
      </c>
      <c r="P431" s="2" t="s">
        <v>1807</v>
      </c>
      <c r="Q431" s="36">
        <v>587.33360000000005</v>
      </c>
    </row>
    <row r="432" spans="1:17" x14ac:dyDescent="0.3">
      <c r="A432" s="2" t="s">
        <v>2239</v>
      </c>
      <c r="B432" s="14">
        <v>45445</v>
      </c>
      <c r="C432" s="2">
        <f>YEAR(Sales_Details2[[#This Row],[Order_Date]])</f>
        <v>2024</v>
      </c>
      <c r="D432" s="2" t="s">
        <v>14</v>
      </c>
      <c r="E432" s="2" t="str">
        <f>VLOOKUP(Sales_Details2[[#This Row],[Customer_ID]],Customer_Details[#All],4,0)</f>
        <v>Adult</v>
      </c>
      <c r="F432" s="2" t="str">
        <f>VLOOKUP(Sales_Details2[[#This Row],[Customer_ID]],Customer_Details[#All],5,0)</f>
        <v>Female</v>
      </c>
      <c r="G432" s="2" t="str">
        <f>VLOOKUP(Sales_Details2[[#This Row],[Customer_ID]],Customer_Details[#All],9,0)</f>
        <v>Platinum</v>
      </c>
      <c r="H432" s="2" t="s">
        <v>1633</v>
      </c>
      <c r="I432" s="2" t="str">
        <f>VLOOKUP(Sales_Details2[[#This Row],[Product_ID]],Product_details[[#All],[Product_ID]:[Cost]],3,0)</f>
        <v>Electronics</v>
      </c>
      <c r="J432" s="2" t="str">
        <f>VLOOKUP(Sales_Details2[[#This Row],[Product_ID]],Product_details[[#All],[Product_ID]:[Cost]],4,0)</f>
        <v>Accessories</v>
      </c>
      <c r="K432" s="2" t="s">
        <v>1782</v>
      </c>
      <c r="L432" s="2" t="str">
        <f>_xlfn.XLOOKUP(Sales_Details2[[#This Row],[Store_ID]],Table2[Store_ID],Table2[Region],"Region not found")</f>
        <v>South</v>
      </c>
      <c r="M432" s="25">
        <v>3</v>
      </c>
      <c r="N432" s="36">
        <v>287.70999999999998</v>
      </c>
      <c r="O432" s="29">
        <v>0.03</v>
      </c>
      <c r="P432" s="2" t="s">
        <v>1812</v>
      </c>
      <c r="Q432" s="36">
        <v>837.23609999999985</v>
      </c>
    </row>
    <row r="433" spans="1:17" x14ac:dyDescent="0.3">
      <c r="A433" s="2" t="s">
        <v>2240</v>
      </c>
      <c r="B433" s="14">
        <v>45860</v>
      </c>
      <c r="C433" s="2">
        <f>YEAR(Sales_Details2[[#This Row],[Order_Date]])</f>
        <v>2025</v>
      </c>
      <c r="D433" s="2" t="s">
        <v>333</v>
      </c>
      <c r="E433" s="2" t="str">
        <f>VLOOKUP(Sales_Details2[[#This Row],[Customer_ID]],Customer_Details[#All],4,0)</f>
        <v>Mid-Adult</v>
      </c>
      <c r="F433" s="2" t="str">
        <f>VLOOKUP(Sales_Details2[[#This Row],[Customer_ID]],Customer_Details[#All],5,0)</f>
        <v>Female</v>
      </c>
      <c r="G433" s="2" t="str">
        <f>VLOOKUP(Sales_Details2[[#This Row],[Customer_ID]],Customer_Details[#All],9,0)</f>
        <v>Gold</v>
      </c>
      <c r="H433" s="2" t="s">
        <v>1665</v>
      </c>
      <c r="I433" s="2" t="str">
        <f>VLOOKUP(Sales_Details2[[#This Row],[Product_ID]],Product_details[[#All],[Product_ID]:[Cost]],3,0)</f>
        <v>Electronics</v>
      </c>
      <c r="J433" s="2" t="str">
        <f>VLOOKUP(Sales_Details2[[#This Row],[Product_ID]],Product_details[[#All],[Product_ID]:[Cost]],4,0)</f>
        <v>Accessories</v>
      </c>
      <c r="K433" s="2" t="s">
        <v>1759</v>
      </c>
      <c r="L433" s="2" t="str">
        <f>_xlfn.XLOOKUP(Sales_Details2[[#This Row],[Store_ID]],Table2[Store_ID],Table2[Region],"Region not found")</f>
        <v>East</v>
      </c>
      <c r="M433" s="25">
        <v>2</v>
      </c>
      <c r="N433" s="36">
        <v>849.8</v>
      </c>
      <c r="O433" s="29">
        <v>0.06</v>
      </c>
      <c r="P433" s="2" t="s">
        <v>1812</v>
      </c>
      <c r="Q433" s="36">
        <v>1597.624</v>
      </c>
    </row>
    <row r="434" spans="1:17" x14ac:dyDescent="0.3">
      <c r="A434" s="2" t="s">
        <v>2241</v>
      </c>
      <c r="B434" s="14">
        <v>45725</v>
      </c>
      <c r="C434" s="2">
        <f>YEAR(Sales_Details2[[#This Row],[Order_Date]])</f>
        <v>2025</v>
      </c>
      <c r="D434" s="2" t="s">
        <v>75</v>
      </c>
      <c r="E434" s="2" t="str">
        <f>VLOOKUP(Sales_Details2[[#This Row],[Customer_ID]],Customer_Details[#All],4,0)</f>
        <v>Adult</v>
      </c>
      <c r="F434" s="2" t="str">
        <f>VLOOKUP(Sales_Details2[[#This Row],[Customer_ID]],Customer_Details[#All],5,0)</f>
        <v>Female</v>
      </c>
      <c r="G434" s="2" t="str">
        <f>VLOOKUP(Sales_Details2[[#This Row],[Customer_ID]],Customer_Details[#All],9,0)</f>
        <v>Bronze</v>
      </c>
      <c r="H434" s="2" t="s">
        <v>1613</v>
      </c>
      <c r="I434" s="2" t="str">
        <f>VLOOKUP(Sales_Details2[[#This Row],[Product_ID]],Product_details[[#All],[Product_ID]:[Cost]],3,0)</f>
        <v>Sports</v>
      </c>
      <c r="J434" s="2" t="str">
        <f>VLOOKUP(Sales_Details2[[#This Row],[Product_ID]],Product_details[[#All],[Product_ID]:[Cost]],4,0)</f>
        <v>Fitness</v>
      </c>
      <c r="K434" s="2" t="s">
        <v>1749</v>
      </c>
      <c r="L434" s="2" t="str">
        <f>_xlfn.XLOOKUP(Sales_Details2[[#This Row],[Store_ID]],Table2[Store_ID],Table2[Region],"Region not found")</f>
        <v>North</v>
      </c>
      <c r="M434" s="25">
        <v>3</v>
      </c>
      <c r="N434" s="36">
        <v>482.58</v>
      </c>
      <c r="O434" s="29">
        <v>0.28000000000000003</v>
      </c>
      <c r="P434" s="2" t="s">
        <v>1809</v>
      </c>
      <c r="Q434" s="36">
        <v>1042.3728000000001</v>
      </c>
    </row>
    <row r="435" spans="1:17" x14ac:dyDescent="0.3">
      <c r="A435" s="2" t="s">
        <v>2242</v>
      </c>
      <c r="B435" s="14">
        <v>45699</v>
      </c>
      <c r="C435" s="2">
        <f>YEAR(Sales_Details2[[#This Row],[Order_Date]])</f>
        <v>2025</v>
      </c>
      <c r="D435" s="2" t="s">
        <v>394</v>
      </c>
      <c r="E435" s="2" t="str">
        <f>VLOOKUP(Sales_Details2[[#This Row],[Customer_ID]],Customer_Details[#All],4,0)</f>
        <v>Adult</v>
      </c>
      <c r="F435" s="2" t="str">
        <f>VLOOKUP(Sales_Details2[[#This Row],[Customer_ID]],Customer_Details[#All],5,0)</f>
        <v>Male</v>
      </c>
      <c r="G435" s="2" t="str">
        <f>VLOOKUP(Sales_Details2[[#This Row],[Customer_ID]],Customer_Details[#All],9,0)</f>
        <v>Bronze</v>
      </c>
      <c r="H435" s="2" t="s">
        <v>1649</v>
      </c>
      <c r="I435" s="2" t="str">
        <f>VLOOKUP(Sales_Details2[[#This Row],[Product_ID]],Product_details[[#All],[Product_ID]:[Cost]],3,0)</f>
        <v>Beauty</v>
      </c>
      <c r="J435" s="2" t="str">
        <f>VLOOKUP(Sales_Details2[[#This Row],[Product_ID]],Product_details[[#All],[Product_ID]:[Cost]],4,0)</f>
        <v>Haircare</v>
      </c>
      <c r="K435" s="2" t="s">
        <v>1744</v>
      </c>
      <c r="L435" s="2" t="str">
        <f>_xlfn.XLOOKUP(Sales_Details2[[#This Row],[Store_ID]],Table2[Store_ID],Table2[Region],"Region not found")</f>
        <v>South</v>
      </c>
      <c r="M435" s="25">
        <v>2</v>
      </c>
      <c r="N435" s="36">
        <v>64.7</v>
      </c>
      <c r="O435" s="29">
        <v>0</v>
      </c>
      <c r="P435" s="2" t="s">
        <v>1807</v>
      </c>
      <c r="Q435" s="36">
        <v>129.4</v>
      </c>
    </row>
    <row r="436" spans="1:17" x14ac:dyDescent="0.3">
      <c r="A436" s="2" t="s">
        <v>2243</v>
      </c>
      <c r="B436" s="14">
        <v>45266</v>
      </c>
      <c r="C436" s="2">
        <f>YEAR(Sales_Details2[[#This Row],[Order_Date]])</f>
        <v>2023</v>
      </c>
      <c r="D436" s="2" t="s">
        <v>494</v>
      </c>
      <c r="E436" s="2" t="str">
        <f>VLOOKUP(Sales_Details2[[#This Row],[Customer_ID]],Customer_Details[#All],4,0)</f>
        <v>Mid-Adult</v>
      </c>
      <c r="F436" s="2" t="str">
        <f>VLOOKUP(Sales_Details2[[#This Row],[Customer_ID]],Customer_Details[#All],5,0)</f>
        <v>Female</v>
      </c>
      <c r="G436" s="2" t="str">
        <f>VLOOKUP(Sales_Details2[[#This Row],[Customer_ID]],Customer_Details[#All],9,0)</f>
        <v>Bronze</v>
      </c>
      <c r="H436" s="2" t="s">
        <v>1538</v>
      </c>
      <c r="I436" s="2" t="str">
        <f>VLOOKUP(Sales_Details2[[#This Row],[Product_ID]],Product_details[[#All],[Product_ID]:[Cost]],3,0)</f>
        <v>Clothing</v>
      </c>
      <c r="J436" s="2" t="str">
        <f>VLOOKUP(Sales_Details2[[#This Row],[Product_ID]],Product_details[[#All],[Product_ID]:[Cost]],4,0)</f>
        <v>Accessories</v>
      </c>
      <c r="K436" s="2" t="s">
        <v>1756</v>
      </c>
      <c r="L436" s="2" t="str">
        <f>_xlfn.XLOOKUP(Sales_Details2[[#This Row],[Store_ID]],Table2[Store_ID],Table2[Region],"Region not found")</f>
        <v>North</v>
      </c>
      <c r="M436" s="25">
        <v>3</v>
      </c>
      <c r="N436" s="36">
        <v>589.83000000000004</v>
      </c>
      <c r="O436" s="29">
        <v>0.26</v>
      </c>
      <c r="P436" s="2" t="s">
        <v>1807</v>
      </c>
      <c r="Q436" s="36">
        <v>1309.4226000000001</v>
      </c>
    </row>
    <row r="437" spans="1:17" x14ac:dyDescent="0.3">
      <c r="A437" s="2" t="s">
        <v>2244</v>
      </c>
      <c r="B437" s="14">
        <v>45889</v>
      </c>
      <c r="C437" s="2">
        <f>YEAR(Sales_Details2[[#This Row],[Order_Date]])</f>
        <v>2025</v>
      </c>
      <c r="D437" s="2" t="s">
        <v>906</v>
      </c>
      <c r="E437" s="2" t="str">
        <f>VLOOKUP(Sales_Details2[[#This Row],[Customer_ID]],Customer_Details[#All],4,0)</f>
        <v>Senior</v>
      </c>
      <c r="F437" s="2" t="str">
        <f>VLOOKUP(Sales_Details2[[#This Row],[Customer_ID]],Customer_Details[#All],5,0)</f>
        <v>Male</v>
      </c>
      <c r="G437" s="2" t="str">
        <f>VLOOKUP(Sales_Details2[[#This Row],[Customer_ID]],Customer_Details[#All],9,0)</f>
        <v>Gold</v>
      </c>
      <c r="H437" s="2" t="s">
        <v>1534</v>
      </c>
      <c r="I437" s="2" t="str">
        <f>VLOOKUP(Sales_Details2[[#This Row],[Product_ID]],Product_details[[#All],[Product_ID]:[Cost]],3,0)</f>
        <v>Clothing</v>
      </c>
      <c r="J437" s="2" t="str">
        <f>VLOOKUP(Sales_Details2[[#This Row],[Product_ID]],Product_details[[#All],[Product_ID]:[Cost]],4,0)</f>
        <v>Outerwear</v>
      </c>
      <c r="K437" s="2" t="s">
        <v>1769</v>
      </c>
      <c r="L437" s="2" t="str">
        <f>_xlfn.XLOOKUP(Sales_Details2[[#This Row],[Store_ID]],Table2[Store_ID],Table2[Region],"Region not found")</f>
        <v>South</v>
      </c>
      <c r="M437" s="25">
        <v>4</v>
      </c>
      <c r="N437" s="36">
        <v>758.49</v>
      </c>
      <c r="O437" s="29">
        <v>0.16</v>
      </c>
      <c r="P437" s="2" t="s">
        <v>1812</v>
      </c>
      <c r="Q437" s="36">
        <v>2548.5264000000002</v>
      </c>
    </row>
    <row r="438" spans="1:17" x14ac:dyDescent="0.3">
      <c r="A438" s="2" t="s">
        <v>2245</v>
      </c>
      <c r="B438" s="14">
        <v>45555</v>
      </c>
      <c r="C438" s="2">
        <f>YEAR(Sales_Details2[[#This Row],[Order_Date]])</f>
        <v>2024</v>
      </c>
      <c r="D438" s="2" t="s">
        <v>199</v>
      </c>
      <c r="E438" s="2" t="str">
        <f>VLOOKUP(Sales_Details2[[#This Row],[Customer_ID]],Customer_Details[#All],4,0)</f>
        <v>Mid-Adult</v>
      </c>
      <c r="F438" s="2" t="str">
        <f>VLOOKUP(Sales_Details2[[#This Row],[Customer_ID]],Customer_Details[#All],5,0)</f>
        <v>Female</v>
      </c>
      <c r="G438" s="2" t="str">
        <f>VLOOKUP(Sales_Details2[[#This Row],[Customer_ID]],Customer_Details[#All],9,0)</f>
        <v>Gold</v>
      </c>
      <c r="H438" s="2" t="s">
        <v>1605</v>
      </c>
      <c r="I438" s="2" t="str">
        <f>VLOOKUP(Sales_Details2[[#This Row],[Product_ID]],Product_details[[#All],[Product_ID]:[Cost]],3,0)</f>
        <v>Clothing</v>
      </c>
      <c r="J438" s="2" t="str">
        <f>VLOOKUP(Sales_Details2[[#This Row],[Product_ID]],Product_details[[#All],[Product_ID]:[Cost]],4,0)</f>
        <v>Footwear</v>
      </c>
      <c r="K438" s="2" t="s">
        <v>1777</v>
      </c>
      <c r="L438" s="2" t="str">
        <f>_xlfn.XLOOKUP(Sales_Details2[[#This Row],[Store_ID]],Table2[Store_ID],Table2[Region],"Region not found")</f>
        <v>North</v>
      </c>
      <c r="M438" s="25">
        <v>4</v>
      </c>
      <c r="N438" s="36">
        <v>747.56</v>
      </c>
      <c r="O438" s="29">
        <v>0.09</v>
      </c>
      <c r="P438" s="2" t="s">
        <v>1812</v>
      </c>
      <c r="Q438" s="36">
        <v>2721.1183999999998</v>
      </c>
    </row>
    <row r="439" spans="1:17" x14ac:dyDescent="0.3">
      <c r="A439" s="2" t="s">
        <v>2246</v>
      </c>
      <c r="B439" s="14">
        <v>45813</v>
      </c>
      <c r="C439" s="2">
        <f>YEAR(Sales_Details2[[#This Row],[Order_Date]])</f>
        <v>2025</v>
      </c>
      <c r="D439" s="2" t="s">
        <v>803</v>
      </c>
      <c r="E439" s="2" t="str">
        <f>VLOOKUP(Sales_Details2[[#This Row],[Customer_ID]],Customer_Details[#All],4,0)</f>
        <v>Mid-Adult</v>
      </c>
      <c r="F439" s="2" t="str">
        <f>VLOOKUP(Sales_Details2[[#This Row],[Customer_ID]],Customer_Details[#All],5,0)</f>
        <v>Male</v>
      </c>
      <c r="G439" s="2" t="str">
        <f>VLOOKUP(Sales_Details2[[#This Row],[Customer_ID]],Customer_Details[#All],9,0)</f>
        <v>Bronze</v>
      </c>
      <c r="H439" s="2" t="s">
        <v>1611</v>
      </c>
      <c r="I439" s="2" t="str">
        <f>VLOOKUP(Sales_Details2[[#This Row],[Product_ID]],Product_details[[#All],[Product_ID]:[Cost]],3,0)</f>
        <v>Electronics</v>
      </c>
      <c r="J439" s="2" t="str">
        <f>VLOOKUP(Sales_Details2[[#This Row],[Product_ID]],Product_details[[#All],[Product_ID]:[Cost]],4,0)</f>
        <v>Audio</v>
      </c>
      <c r="K439" s="2" t="s">
        <v>1790</v>
      </c>
      <c r="L439" s="2" t="str">
        <f>_xlfn.XLOOKUP(Sales_Details2[[#This Row],[Store_ID]],Table2[Store_ID],Table2[Region],"Region not found")</f>
        <v>North</v>
      </c>
      <c r="M439" s="25">
        <v>3</v>
      </c>
      <c r="N439" s="36">
        <v>551.22</v>
      </c>
      <c r="O439" s="29">
        <v>0.12</v>
      </c>
      <c r="P439" s="2" t="s">
        <v>1809</v>
      </c>
      <c r="Q439" s="36">
        <v>1455.2208000000001</v>
      </c>
    </row>
    <row r="440" spans="1:17" x14ac:dyDescent="0.3">
      <c r="A440" s="2" t="s">
        <v>2247</v>
      </c>
      <c r="B440" s="14">
        <v>45811</v>
      </c>
      <c r="C440" s="2">
        <f>YEAR(Sales_Details2[[#This Row],[Order_Date]])</f>
        <v>2025</v>
      </c>
      <c r="D440" s="2" t="s">
        <v>527</v>
      </c>
      <c r="E440" s="2" t="str">
        <f>VLOOKUP(Sales_Details2[[#This Row],[Customer_ID]],Customer_Details[#All],4,0)</f>
        <v>Mid-Adult</v>
      </c>
      <c r="F440" s="2" t="str">
        <f>VLOOKUP(Sales_Details2[[#This Row],[Customer_ID]],Customer_Details[#All],5,0)</f>
        <v>Female</v>
      </c>
      <c r="G440" s="2" t="str">
        <f>VLOOKUP(Sales_Details2[[#This Row],[Customer_ID]],Customer_Details[#All],9,0)</f>
        <v>Gold</v>
      </c>
      <c r="H440" s="2" t="s">
        <v>1669</v>
      </c>
      <c r="I440" s="2" t="str">
        <f>VLOOKUP(Sales_Details2[[#This Row],[Product_ID]],Product_details[[#All],[Product_ID]:[Cost]],3,0)</f>
        <v>Clothing</v>
      </c>
      <c r="J440" s="2" t="str">
        <f>VLOOKUP(Sales_Details2[[#This Row],[Product_ID]],Product_details[[#All],[Product_ID]:[Cost]],4,0)</f>
        <v>Bottoms</v>
      </c>
      <c r="K440" s="2" t="s">
        <v>1782</v>
      </c>
      <c r="L440" s="2" t="str">
        <f>_xlfn.XLOOKUP(Sales_Details2[[#This Row],[Store_ID]],Table2[Store_ID],Table2[Region],"Region not found")</f>
        <v>South</v>
      </c>
      <c r="M440" s="25">
        <v>2</v>
      </c>
      <c r="N440" s="36">
        <v>527.05999999999995</v>
      </c>
      <c r="O440" s="29">
        <v>0.17</v>
      </c>
      <c r="P440" s="2" t="s">
        <v>1809</v>
      </c>
      <c r="Q440" s="36">
        <v>874.91959999999983</v>
      </c>
    </row>
    <row r="441" spans="1:17" x14ac:dyDescent="0.3">
      <c r="A441" s="2" t="s">
        <v>2248</v>
      </c>
      <c r="B441" s="14">
        <v>45670</v>
      </c>
      <c r="C441" s="2">
        <f>YEAR(Sales_Details2[[#This Row],[Order_Date]])</f>
        <v>2025</v>
      </c>
      <c r="D441" s="2" t="s">
        <v>345</v>
      </c>
      <c r="E441" s="2" t="str">
        <f>VLOOKUP(Sales_Details2[[#This Row],[Customer_ID]],Customer_Details[#All],4,0)</f>
        <v>Adult</v>
      </c>
      <c r="F441" s="2" t="str">
        <f>VLOOKUP(Sales_Details2[[#This Row],[Customer_ID]],Customer_Details[#All],5,0)</f>
        <v>Male</v>
      </c>
      <c r="G441" s="2" t="str">
        <f>VLOOKUP(Sales_Details2[[#This Row],[Customer_ID]],Customer_Details[#All],9,0)</f>
        <v>Gold</v>
      </c>
      <c r="H441" s="2" t="s">
        <v>1655</v>
      </c>
      <c r="I441" s="2" t="str">
        <f>VLOOKUP(Sales_Details2[[#This Row],[Product_ID]],Product_details[[#All],[Product_ID]:[Cost]],3,0)</f>
        <v>Electronics</v>
      </c>
      <c r="J441" s="2" t="str">
        <f>VLOOKUP(Sales_Details2[[#This Row],[Product_ID]],Product_details[[#All],[Product_ID]:[Cost]],4,0)</f>
        <v>Computer</v>
      </c>
      <c r="K441" s="2" t="s">
        <v>1756</v>
      </c>
      <c r="L441" s="2" t="str">
        <f>_xlfn.XLOOKUP(Sales_Details2[[#This Row],[Store_ID]],Table2[Store_ID],Table2[Region],"Region not found")</f>
        <v>North</v>
      </c>
      <c r="M441" s="25">
        <v>4</v>
      </c>
      <c r="N441" s="36">
        <v>875.41</v>
      </c>
      <c r="O441" s="29">
        <v>0.27</v>
      </c>
      <c r="P441" s="2" t="s">
        <v>1807</v>
      </c>
      <c r="Q441" s="36">
        <v>2556.1972000000001</v>
      </c>
    </row>
    <row r="442" spans="1:17" x14ac:dyDescent="0.3">
      <c r="A442" s="2" t="s">
        <v>2249</v>
      </c>
      <c r="B442" s="14">
        <v>45736</v>
      </c>
      <c r="C442" s="2">
        <f>YEAR(Sales_Details2[[#This Row],[Order_Date]])</f>
        <v>2025</v>
      </c>
      <c r="D442" s="2" t="s">
        <v>40</v>
      </c>
      <c r="E442" s="2" t="str">
        <f>VLOOKUP(Sales_Details2[[#This Row],[Customer_ID]],Customer_Details[#All],4,0)</f>
        <v>Adult</v>
      </c>
      <c r="F442" s="2" t="str">
        <f>VLOOKUP(Sales_Details2[[#This Row],[Customer_ID]],Customer_Details[#All],5,0)</f>
        <v>Female</v>
      </c>
      <c r="G442" s="2" t="str">
        <f>VLOOKUP(Sales_Details2[[#This Row],[Customer_ID]],Customer_Details[#All],9,0)</f>
        <v>Bronze</v>
      </c>
      <c r="H442" s="2" t="s">
        <v>1701</v>
      </c>
      <c r="I442" s="2" t="str">
        <f>VLOOKUP(Sales_Details2[[#This Row],[Product_ID]],Product_details[[#All],[Product_ID]:[Cost]],3,0)</f>
        <v>Clothing</v>
      </c>
      <c r="J442" s="2" t="str">
        <f>VLOOKUP(Sales_Details2[[#This Row],[Product_ID]],Product_details[[#All],[Product_ID]:[Cost]],4,0)</f>
        <v>Accessories</v>
      </c>
      <c r="K442" s="2" t="s">
        <v>1735</v>
      </c>
      <c r="L442" s="2" t="str">
        <f>_xlfn.XLOOKUP(Sales_Details2[[#This Row],[Store_ID]],Table2[Store_ID],Table2[Region],"Region not found")</f>
        <v>East</v>
      </c>
      <c r="M442" s="25">
        <v>2</v>
      </c>
      <c r="N442" s="36">
        <v>226.43</v>
      </c>
      <c r="O442" s="29">
        <v>0.03</v>
      </c>
      <c r="P442" s="2" t="s">
        <v>1807</v>
      </c>
      <c r="Q442" s="36">
        <v>439.27420000000001</v>
      </c>
    </row>
    <row r="443" spans="1:17" x14ac:dyDescent="0.3">
      <c r="A443" s="2" t="s">
        <v>2250</v>
      </c>
      <c r="B443" s="14">
        <v>45480</v>
      </c>
      <c r="C443" s="2">
        <f>YEAR(Sales_Details2[[#This Row],[Order_Date]])</f>
        <v>2024</v>
      </c>
      <c r="D443" s="2" t="s">
        <v>140</v>
      </c>
      <c r="E443" s="2" t="str">
        <f>VLOOKUP(Sales_Details2[[#This Row],[Customer_ID]],Customer_Details[#All],4,0)</f>
        <v>Senior</v>
      </c>
      <c r="F443" s="2" t="str">
        <f>VLOOKUP(Sales_Details2[[#This Row],[Customer_ID]],Customer_Details[#All],5,0)</f>
        <v>Male</v>
      </c>
      <c r="G443" s="2" t="str">
        <f>VLOOKUP(Sales_Details2[[#This Row],[Customer_ID]],Customer_Details[#All],9,0)</f>
        <v>Silver</v>
      </c>
      <c r="H443" s="2" t="s">
        <v>1689</v>
      </c>
      <c r="I443" s="2" t="str">
        <f>VLOOKUP(Sales_Details2[[#This Row],[Product_ID]],Product_details[[#All],[Product_ID]:[Cost]],3,0)</f>
        <v>Home</v>
      </c>
      <c r="J443" s="2" t="str">
        <f>VLOOKUP(Sales_Details2[[#This Row],[Product_ID]],Product_details[[#All],[Product_ID]:[Cost]],4,0)</f>
        <v>Lighting</v>
      </c>
      <c r="K443" s="2" t="s">
        <v>1756</v>
      </c>
      <c r="L443" s="2" t="str">
        <f>_xlfn.XLOOKUP(Sales_Details2[[#This Row],[Store_ID]],Table2[Store_ID],Table2[Region],"Region not found")</f>
        <v>North</v>
      </c>
      <c r="M443" s="25">
        <v>2</v>
      </c>
      <c r="N443" s="36">
        <v>285.39</v>
      </c>
      <c r="O443" s="29">
        <v>0.1</v>
      </c>
      <c r="P443" s="2" t="s">
        <v>1807</v>
      </c>
      <c r="Q443" s="36">
        <v>513.702</v>
      </c>
    </row>
    <row r="444" spans="1:17" x14ac:dyDescent="0.3">
      <c r="A444" s="2" t="s">
        <v>2251</v>
      </c>
      <c r="B444" s="14">
        <v>45929</v>
      </c>
      <c r="C444" s="2">
        <f>YEAR(Sales_Details2[[#This Row],[Order_Date]])</f>
        <v>2025</v>
      </c>
      <c r="D444" s="2" t="s">
        <v>1039</v>
      </c>
      <c r="E444" s="2" t="str">
        <f>VLOOKUP(Sales_Details2[[#This Row],[Customer_ID]],Customer_Details[#All],4,0)</f>
        <v>Mid-Adult</v>
      </c>
      <c r="F444" s="2" t="str">
        <f>VLOOKUP(Sales_Details2[[#This Row],[Customer_ID]],Customer_Details[#All],5,0)</f>
        <v>Female</v>
      </c>
      <c r="G444" s="2" t="str">
        <f>VLOOKUP(Sales_Details2[[#This Row],[Customer_ID]],Customer_Details[#All],9,0)</f>
        <v>Silver</v>
      </c>
      <c r="H444" s="2" t="s">
        <v>1553</v>
      </c>
      <c r="I444" s="2" t="str">
        <f>VLOOKUP(Sales_Details2[[#This Row],[Product_ID]],Product_details[[#All],[Product_ID]:[Cost]],3,0)</f>
        <v>Electronics</v>
      </c>
      <c r="J444" s="2" t="str">
        <f>VLOOKUP(Sales_Details2[[#This Row],[Product_ID]],Product_details[[#All],[Product_ID]:[Cost]],4,0)</f>
        <v>Accessories</v>
      </c>
      <c r="K444" s="2" t="s">
        <v>1784</v>
      </c>
      <c r="L444" s="2" t="str">
        <f>_xlfn.XLOOKUP(Sales_Details2[[#This Row],[Store_ID]],Table2[Store_ID],Table2[Region],"Region not found")</f>
        <v>North</v>
      </c>
      <c r="M444" s="25">
        <v>2</v>
      </c>
      <c r="N444" s="36">
        <v>298.01</v>
      </c>
      <c r="O444" s="29">
        <v>0.05</v>
      </c>
      <c r="P444" s="2" t="s">
        <v>1807</v>
      </c>
      <c r="Q444" s="36">
        <v>566.21899999999994</v>
      </c>
    </row>
    <row r="445" spans="1:17" x14ac:dyDescent="0.3">
      <c r="A445" s="2" t="s">
        <v>2252</v>
      </c>
      <c r="B445" s="14">
        <v>45626</v>
      </c>
      <c r="C445" s="2">
        <f>YEAR(Sales_Details2[[#This Row],[Order_Date]])</f>
        <v>2024</v>
      </c>
      <c r="D445" s="2" t="s">
        <v>527</v>
      </c>
      <c r="E445" s="2" t="str">
        <f>VLOOKUP(Sales_Details2[[#This Row],[Customer_ID]],Customer_Details[#All],4,0)</f>
        <v>Mid-Adult</v>
      </c>
      <c r="F445" s="2" t="str">
        <f>VLOOKUP(Sales_Details2[[#This Row],[Customer_ID]],Customer_Details[#All],5,0)</f>
        <v>Female</v>
      </c>
      <c r="G445" s="2" t="str">
        <f>VLOOKUP(Sales_Details2[[#This Row],[Customer_ID]],Customer_Details[#All],9,0)</f>
        <v>Gold</v>
      </c>
      <c r="H445" s="2" t="s">
        <v>1611</v>
      </c>
      <c r="I445" s="2" t="str">
        <f>VLOOKUP(Sales_Details2[[#This Row],[Product_ID]],Product_details[[#All],[Product_ID]:[Cost]],3,0)</f>
        <v>Electronics</v>
      </c>
      <c r="J445" s="2" t="str">
        <f>VLOOKUP(Sales_Details2[[#This Row],[Product_ID]],Product_details[[#All],[Product_ID]:[Cost]],4,0)</f>
        <v>Audio</v>
      </c>
      <c r="K445" s="2" t="s">
        <v>1752</v>
      </c>
      <c r="L445" s="2" t="str">
        <f>_xlfn.XLOOKUP(Sales_Details2[[#This Row],[Store_ID]],Table2[Store_ID],Table2[Region],"Region not found")</f>
        <v>South</v>
      </c>
      <c r="M445" s="25">
        <v>4</v>
      </c>
      <c r="N445" s="36">
        <v>753.49</v>
      </c>
      <c r="O445" s="29">
        <v>0.26</v>
      </c>
      <c r="P445" s="2" t="s">
        <v>1812</v>
      </c>
      <c r="Q445" s="36">
        <v>2230.3303999999998</v>
      </c>
    </row>
    <row r="446" spans="1:17" x14ac:dyDescent="0.3">
      <c r="A446" s="2" t="s">
        <v>2253</v>
      </c>
      <c r="B446" s="14">
        <v>45460</v>
      </c>
      <c r="C446" s="2">
        <f>YEAR(Sales_Details2[[#This Row],[Order_Date]])</f>
        <v>2024</v>
      </c>
      <c r="D446" s="2" t="s">
        <v>1484</v>
      </c>
      <c r="E446" s="2" t="str">
        <f>VLOOKUP(Sales_Details2[[#This Row],[Customer_ID]],Customer_Details[#All],4,0)</f>
        <v>Adult</v>
      </c>
      <c r="F446" s="2" t="str">
        <f>VLOOKUP(Sales_Details2[[#This Row],[Customer_ID]],Customer_Details[#All],5,0)</f>
        <v>Female</v>
      </c>
      <c r="G446" s="2" t="str">
        <f>VLOOKUP(Sales_Details2[[#This Row],[Customer_ID]],Customer_Details[#All],9,0)</f>
        <v>Platinum</v>
      </c>
      <c r="H446" s="2" t="s">
        <v>1687</v>
      </c>
      <c r="I446" s="2" t="str">
        <f>VLOOKUP(Sales_Details2[[#This Row],[Product_ID]],Product_details[[#All],[Product_ID]:[Cost]],3,0)</f>
        <v>Home</v>
      </c>
      <c r="J446" s="2" t="str">
        <f>VLOOKUP(Sales_Details2[[#This Row],[Product_ID]],Product_details[[#All],[Product_ID]:[Cost]],4,0)</f>
        <v>Decor</v>
      </c>
      <c r="K446" s="2" t="s">
        <v>1777</v>
      </c>
      <c r="L446" s="2" t="str">
        <f>_xlfn.XLOOKUP(Sales_Details2[[#This Row],[Store_ID]],Table2[Store_ID],Table2[Region],"Region not found")</f>
        <v>North</v>
      </c>
      <c r="M446" s="25">
        <v>2</v>
      </c>
      <c r="N446" s="36">
        <v>130.38999999999999</v>
      </c>
      <c r="O446" s="29">
        <v>0.17</v>
      </c>
      <c r="P446" s="2" t="s">
        <v>1809</v>
      </c>
      <c r="Q446" s="36">
        <v>216.44739999999999</v>
      </c>
    </row>
    <row r="447" spans="1:17" x14ac:dyDescent="0.3">
      <c r="A447" s="2" t="s">
        <v>2254</v>
      </c>
      <c r="B447" s="14">
        <v>45709</v>
      </c>
      <c r="C447" s="2">
        <f>YEAR(Sales_Details2[[#This Row],[Order_Date]])</f>
        <v>2025</v>
      </c>
      <c r="D447" s="2" t="s">
        <v>1072</v>
      </c>
      <c r="E447" s="2" t="str">
        <f>VLOOKUP(Sales_Details2[[#This Row],[Customer_ID]],Customer_Details[#All],4,0)</f>
        <v>Mid-Adult</v>
      </c>
      <c r="F447" s="2" t="str">
        <f>VLOOKUP(Sales_Details2[[#This Row],[Customer_ID]],Customer_Details[#All],5,0)</f>
        <v>Male</v>
      </c>
      <c r="G447" s="2" t="str">
        <f>VLOOKUP(Sales_Details2[[#This Row],[Customer_ID]],Customer_Details[#All],9,0)</f>
        <v>Bronze</v>
      </c>
      <c r="H447" s="2" t="s">
        <v>1575</v>
      </c>
      <c r="I447" s="2" t="str">
        <f>VLOOKUP(Sales_Details2[[#This Row],[Product_ID]],Product_details[[#All],[Product_ID]:[Cost]],3,0)</f>
        <v>Sports</v>
      </c>
      <c r="J447" s="2" t="str">
        <f>VLOOKUP(Sales_Details2[[#This Row],[Product_ID]],Product_details[[#All],[Product_ID]:[Cost]],4,0)</f>
        <v>Equipment</v>
      </c>
      <c r="K447" s="2" t="s">
        <v>1769</v>
      </c>
      <c r="L447" s="2" t="str">
        <f>_xlfn.XLOOKUP(Sales_Details2[[#This Row],[Store_ID]],Table2[Store_ID],Table2[Region],"Region not found")</f>
        <v>South</v>
      </c>
      <c r="M447" s="25">
        <v>4</v>
      </c>
      <c r="N447" s="36">
        <v>164.02</v>
      </c>
      <c r="O447" s="29">
        <v>0.01</v>
      </c>
      <c r="P447" s="2" t="s">
        <v>1809</v>
      </c>
      <c r="Q447" s="36">
        <v>649.51920000000007</v>
      </c>
    </row>
    <row r="448" spans="1:17" x14ac:dyDescent="0.3">
      <c r="A448" s="2" t="s">
        <v>2255</v>
      </c>
      <c r="B448" s="14">
        <v>45551</v>
      </c>
      <c r="C448" s="2">
        <f>YEAR(Sales_Details2[[#This Row],[Order_Date]])</f>
        <v>2024</v>
      </c>
      <c r="D448" s="2" t="s">
        <v>542</v>
      </c>
      <c r="E448" s="2" t="str">
        <f>VLOOKUP(Sales_Details2[[#This Row],[Customer_ID]],Customer_Details[#All],4,0)</f>
        <v>Mid-Adult</v>
      </c>
      <c r="F448" s="2" t="str">
        <f>VLOOKUP(Sales_Details2[[#This Row],[Customer_ID]],Customer_Details[#All],5,0)</f>
        <v>Female</v>
      </c>
      <c r="G448" s="2" t="str">
        <f>VLOOKUP(Sales_Details2[[#This Row],[Customer_ID]],Customer_Details[#All],9,0)</f>
        <v>Silver</v>
      </c>
      <c r="H448" s="2" t="s">
        <v>1589</v>
      </c>
      <c r="I448" s="2" t="str">
        <f>VLOOKUP(Sales_Details2[[#This Row],[Product_ID]],Product_details[[#All],[Product_ID]:[Cost]],3,0)</f>
        <v>Home</v>
      </c>
      <c r="J448" s="2" t="str">
        <f>VLOOKUP(Sales_Details2[[#This Row],[Product_ID]],Product_details[[#All],[Product_ID]:[Cost]],4,0)</f>
        <v>Decor</v>
      </c>
      <c r="K448" s="2" t="s">
        <v>1752</v>
      </c>
      <c r="L448" s="2" t="str">
        <f>_xlfn.XLOOKUP(Sales_Details2[[#This Row],[Store_ID]],Table2[Store_ID],Table2[Region],"Region not found")</f>
        <v>South</v>
      </c>
      <c r="M448" s="25">
        <v>2</v>
      </c>
      <c r="N448" s="36">
        <v>527.51</v>
      </c>
      <c r="O448" s="29">
        <v>0.18</v>
      </c>
      <c r="P448" s="2" t="s">
        <v>1809</v>
      </c>
      <c r="Q448" s="36">
        <v>865.1164</v>
      </c>
    </row>
    <row r="449" spans="1:17" x14ac:dyDescent="0.3">
      <c r="A449" s="2" t="s">
        <v>2256</v>
      </c>
      <c r="B449" s="14">
        <v>45939</v>
      </c>
      <c r="C449" s="2">
        <f>YEAR(Sales_Details2[[#This Row],[Order_Date]])</f>
        <v>2025</v>
      </c>
      <c r="D449" s="2" t="s">
        <v>803</v>
      </c>
      <c r="E449" s="2" t="str">
        <f>VLOOKUP(Sales_Details2[[#This Row],[Customer_ID]],Customer_Details[#All],4,0)</f>
        <v>Mid-Adult</v>
      </c>
      <c r="F449" s="2" t="str">
        <f>VLOOKUP(Sales_Details2[[#This Row],[Customer_ID]],Customer_Details[#All],5,0)</f>
        <v>Male</v>
      </c>
      <c r="G449" s="2" t="str">
        <f>VLOOKUP(Sales_Details2[[#This Row],[Customer_ID]],Customer_Details[#All],9,0)</f>
        <v>Bronze</v>
      </c>
      <c r="H449" s="2" t="s">
        <v>1645</v>
      </c>
      <c r="I449" s="2" t="str">
        <f>VLOOKUP(Sales_Details2[[#This Row],[Product_ID]],Product_details[[#All],[Product_ID]:[Cost]],3,0)</f>
        <v>Sports</v>
      </c>
      <c r="J449" s="2" t="str">
        <f>VLOOKUP(Sales_Details2[[#This Row],[Product_ID]],Product_details[[#All],[Product_ID]:[Cost]],4,0)</f>
        <v>Fitness</v>
      </c>
      <c r="K449" s="2" t="s">
        <v>1780</v>
      </c>
      <c r="L449" s="2" t="str">
        <f>_xlfn.XLOOKUP(Sales_Details2[[#This Row],[Store_ID]],Table2[Store_ID],Table2[Region],"Region not found")</f>
        <v>East</v>
      </c>
      <c r="M449" s="25">
        <v>3</v>
      </c>
      <c r="N449" s="36">
        <v>628.17999999999995</v>
      </c>
      <c r="O449" s="29">
        <v>0.26</v>
      </c>
      <c r="P449" s="2" t="s">
        <v>1807</v>
      </c>
      <c r="Q449" s="36">
        <v>1394.5596</v>
      </c>
    </row>
    <row r="450" spans="1:17" x14ac:dyDescent="0.3">
      <c r="A450" s="2" t="s">
        <v>2257</v>
      </c>
      <c r="B450" s="14">
        <v>45553</v>
      </c>
      <c r="C450" s="2">
        <f>YEAR(Sales_Details2[[#This Row],[Order_Date]])</f>
        <v>2024</v>
      </c>
      <c r="D450" s="2" t="s">
        <v>850</v>
      </c>
      <c r="E450" s="2" t="str">
        <f>VLOOKUP(Sales_Details2[[#This Row],[Customer_ID]],Customer_Details[#All],4,0)</f>
        <v>Mid-Adult</v>
      </c>
      <c r="F450" s="2" t="str">
        <f>VLOOKUP(Sales_Details2[[#This Row],[Customer_ID]],Customer_Details[#All],5,0)</f>
        <v>Female</v>
      </c>
      <c r="G450" s="2" t="str">
        <f>VLOOKUP(Sales_Details2[[#This Row],[Customer_ID]],Customer_Details[#All],9,0)</f>
        <v>Silver</v>
      </c>
      <c r="H450" s="2" t="s">
        <v>1643</v>
      </c>
      <c r="I450" s="2" t="str">
        <f>VLOOKUP(Sales_Details2[[#This Row],[Product_ID]],Product_details[[#All],[Product_ID]:[Cost]],3,0)</f>
        <v>Home</v>
      </c>
      <c r="J450" s="2" t="str">
        <f>VLOOKUP(Sales_Details2[[#This Row],[Product_ID]],Product_details[[#All],[Product_ID]:[Cost]],4,0)</f>
        <v>Decor</v>
      </c>
      <c r="K450" s="2" t="s">
        <v>1749</v>
      </c>
      <c r="L450" s="2" t="str">
        <f>_xlfn.XLOOKUP(Sales_Details2[[#This Row],[Store_ID]],Table2[Store_ID],Table2[Region],"Region not found")</f>
        <v>North</v>
      </c>
      <c r="M450" s="25">
        <v>1</v>
      </c>
      <c r="N450" s="36">
        <v>862.31</v>
      </c>
      <c r="O450" s="29">
        <v>0.06</v>
      </c>
      <c r="P450" s="2" t="s">
        <v>1807</v>
      </c>
      <c r="Q450" s="36">
        <v>810.57139999999993</v>
      </c>
    </row>
    <row r="451" spans="1:17" x14ac:dyDescent="0.3">
      <c r="A451" s="2" t="s">
        <v>2258</v>
      </c>
      <c r="B451" s="14">
        <v>45806</v>
      </c>
      <c r="C451" s="2">
        <f>YEAR(Sales_Details2[[#This Row],[Order_Date]])</f>
        <v>2025</v>
      </c>
      <c r="D451" s="2" t="s">
        <v>258</v>
      </c>
      <c r="E451" s="2" t="str">
        <f>VLOOKUP(Sales_Details2[[#This Row],[Customer_ID]],Customer_Details[#All],4,0)</f>
        <v>Senior</v>
      </c>
      <c r="F451" s="2" t="str">
        <f>VLOOKUP(Sales_Details2[[#This Row],[Customer_ID]],Customer_Details[#All],5,0)</f>
        <v>Female</v>
      </c>
      <c r="G451" s="2" t="str">
        <f>VLOOKUP(Sales_Details2[[#This Row],[Customer_ID]],Customer_Details[#All],9,0)</f>
        <v>Gold</v>
      </c>
      <c r="H451" s="2" t="s">
        <v>1697</v>
      </c>
      <c r="I451" s="2" t="str">
        <f>VLOOKUP(Sales_Details2[[#This Row],[Product_ID]],Product_details[[#All],[Product_ID]:[Cost]],3,0)</f>
        <v>Beauty</v>
      </c>
      <c r="J451" s="2" t="str">
        <f>VLOOKUP(Sales_Details2[[#This Row],[Product_ID]],Product_details[[#All],[Product_ID]:[Cost]],4,0)</f>
        <v>Skincare</v>
      </c>
      <c r="K451" s="2" t="s">
        <v>1782</v>
      </c>
      <c r="L451" s="2" t="str">
        <f>_xlfn.XLOOKUP(Sales_Details2[[#This Row],[Store_ID]],Table2[Store_ID],Table2[Region],"Region not found")</f>
        <v>South</v>
      </c>
      <c r="M451" s="25">
        <v>2</v>
      </c>
      <c r="N451" s="36">
        <v>541.39</v>
      </c>
      <c r="O451" s="29">
        <v>0.03</v>
      </c>
      <c r="P451" s="2" t="s">
        <v>1812</v>
      </c>
      <c r="Q451" s="36">
        <v>1050.2965999999999</v>
      </c>
    </row>
    <row r="452" spans="1:17" x14ac:dyDescent="0.3">
      <c r="A452" s="2" t="s">
        <v>2259</v>
      </c>
      <c r="B452" s="14">
        <v>45811</v>
      </c>
      <c r="C452" s="2">
        <f>YEAR(Sales_Details2[[#This Row],[Order_Date]])</f>
        <v>2025</v>
      </c>
      <c r="D452" s="2" t="s">
        <v>1453</v>
      </c>
      <c r="E452" s="2" t="str">
        <f>VLOOKUP(Sales_Details2[[#This Row],[Customer_ID]],Customer_Details[#All],4,0)</f>
        <v>Mid-Adult</v>
      </c>
      <c r="F452" s="2" t="str">
        <f>VLOOKUP(Sales_Details2[[#This Row],[Customer_ID]],Customer_Details[#All],5,0)</f>
        <v>Female</v>
      </c>
      <c r="G452" s="2" t="str">
        <f>VLOOKUP(Sales_Details2[[#This Row],[Customer_ID]],Customer_Details[#All],9,0)</f>
        <v>Platinum</v>
      </c>
      <c r="H452" s="2" t="s">
        <v>1683</v>
      </c>
      <c r="I452" s="2" t="str">
        <f>VLOOKUP(Sales_Details2[[#This Row],[Product_ID]],Product_details[[#All],[Product_ID]:[Cost]],3,0)</f>
        <v>Electronics</v>
      </c>
      <c r="J452" s="2" t="str">
        <f>VLOOKUP(Sales_Details2[[#This Row],[Product_ID]],Product_details[[#All],[Product_ID]:[Cost]],4,0)</f>
        <v>Computer</v>
      </c>
      <c r="K452" s="2" t="s">
        <v>1787</v>
      </c>
      <c r="L452" s="2" t="str">
        <f>_xlfn.XLOOKUP(Sales_Details2[[#This Row],[Store_ID]],Table2[Store_ID],Table2[Region],"Region not found")</f>
        <v>West</v>
      </c>
      <c r="M452" s="25">
        <v>3</v>
      </c>
      <c r="N452" s="36">
        <v>761.8</v>
      </c>
      <c r="O452" s="29">
        <v>0.06</v>
      </c>
      <c r="P452" s="2" t="s">
        <v>1812</v>
      </c>
      <c r="Q452" s="36">
        <v>2148.2759999999989</v>
      </c>
    </row>
    <row r="453" spans="1:17" x14ac:dyDescent="0.3">
      <c r="A453" s="2" t="s">
        <v>2260</v>
      </c>
      <c r="B453" s="14">
        <v>45508</v>
      </c>
      <c r="C453" s="2">
        <f>YEAR(Sales_Details2[[#This Row],[Order_Date]])</f>
        <v>2024</v>
      </c>
      <c r="D453" s="2" t="s">
        <v>1295</v>
      </c>
      <c r="E453" s="2" t="str">
        <f>VLOOKUP(Sales_Details2[[#This Row],[Customer_ID]],Customer_Details[#All],4,0)</f>
        <v>Mid-Adult</v>
      </c>
      <c r="F453" s="2" t="str">
        <f>VLOOKUP(Sales_Details2[[#This Row],[Customer_ID]],Customer_Details[#All],5,0)</f>
        <v>Female</v>
      </c>
      <c r="G453" s="2" t="str">
        <f>VLOOKUP(Sales_Details2[[#This Row],[Customer_ID]],Customer_Details[#All],9,0)</f>
        <v>Platinum</v>
      </c>
      <c r="H453" s="2" t="s">
        <v>1629</v>
      </c>
      <c r="I453" s="2" t="str">
        <f>VLOOKUP(Sales_Details2[[#This Row],[Product_ID]],Product_details[[#All],[Product_ID]:[Cost]],3,0)</f>
        <v>Beauty</v>
      </c>
      <c r="J453" s="2" t="str">
        <f>VLOOKUP(Sales_Details2[[#This Row],[Product_ID]],Product_details[[#All],[Product_ID]:[Cost]],4,0)</f>
        <v>Fragrance</v>
      </c>
      <c r="K453" s="2" t="s">
        <v>1744</v>
      </c>
      <c r="L453" s="2" t="str">
        <f>_xlfn.XLOOKUP(Sales_Details2[[#This Row],[Store_ID]],Table2[Store_ID],Table2[Region],"Region not found")</f>
        <v>South</v>
      </c>
      <c r="M453" s="25">
        <v>4</v>
      </c>
      <c r="N453" s="36">
        <v>829.36</v>
      </c>
      <c r="O453" s="29">
        <v>0.11</v>
      </c>
      <c r="P453" s="2" t="s">
        <v>1809</v>
      </c>
      <c r="Q453" s="36">
        <v>2952.5216</v>
      </c>
    </row>
    <row r="454" spans="1:17" x14ac:dyDescent="0.3">
      <c r="A454" s="2" t="s">
        <v>2261</v>
      </c>
      <c r="B454" s="14">
        <v>45460</v>
      </c>
      <c r="C454" s="2">
        <f>YEAR(Sales_Details2[[#This Row],[Order_Date]])</f>
        <v>2024</v>
      </c>
      <c r="D454" s="2" t="s">
        <v>1243</v>
      </c>
      <c r="E454" s="2" t="str">
        <f>VLOOKUP(Sales_Details2[[#This Row],[Customer_ID]],Customer_Details[#All],4,0)</f>
        <v>Adult</v>
      </c>
      <c r="F454" s="2" t="str">
        <f>VLOOKUP(Sales_Details2[[#This Row],[Customer_ID]],Customer_Details[#All],5,0)</f>
        <v>Female</v>
      </c>
      <c r="G454" s="2" t="str">
        <f>VLOOKUP(Sales_Details2[[#This Row],[Customer_ID]],Customer_Details[#All],9,0)</f>
        <v>Silver</v>
      </c>
      <c r="H454" s="2" t="s">
        <v>1577</v>
      </c>
      <c r="I454" s="2" t="str">
        <f>VLOOKUP(Sales_Details2[[#This Row],[Product_ID]],Product_details[[#All],[Product_ID]:[Cost]],3,0)</f>
        <v>Clothing</v>
      </c>
      <c r="J454" s="2" t="str">
        <f>VLOOKUP(Sales_Details2[[#This Row],[Product_ID]],Product_details[[#All],[Product_ID]:[Cost]],4,0)</f>
        <v>Tops</v>
      </c>
      <c r="K454" s="2" t="s">
        <v>1787</v>
      </c>
      <c r="L454" s="2" t="str">
        <f>_xlfn.XLOOKUP(Sales_Details2[[#This Row],[Store_ID]],Table2[Store_ID],Table2[Region],"Region not found")</f>
        <v>West</v>
      </c>
      <c r="M454" s="25">
        <v>2</v>
      </c>
      <c r="N454" s="36">
        <v>425.06</v>
      </c>
      <c r="O454" s="29">
        <v>0.09</v>
      </c>
      <c r="P454" s="2" t="s">
        <v>1809</v>
      </c>
      <c r="Q454" s="36">
        <v>773.60919999999999</v>
      </c>
    </row>
    <row r="455" spans="1:17" x14ac:dyDescent="0.3">
      <c r="A455" s="2" t="s">
        <v>2262</v>
      </c>
      <c r="B455" s="14">
        <v>45311</v>
      </c>
      <c r="C455" s="2">
        <f>YEAR(Sales_Details2[[#This Row],[Order_Date]])</f>
        <v>2024</v>
      </c>
      <c r="D455" s="2" t="s">
        <v>433</v>
      </c>
      <c r="E455" s="2" t="str">
        <f>VLOOKUP(Sales_Details2[[#This Row],[Customer_ID]],Customer_Details[#All],4,0)</f>
        <v>Mid-Adult</v>
      </c>
      <c r="F455" s="2" t="str">
        <f>VLOOKUP(Sales_Details2[[#This Row],[Customer_ID]],Customer_Details[#All],5,0)</f>
        <v>Male</v>
      </c>
      <c r="G455" s="2" t="str">
        <f>VLOOKUP(Sales_Details2[[#This Row],[Customer_ID]],Customer_Details[#All],9,0)</f>
        <v>Platinum</v>
      </c>
      <c r="H455" s="2" t="s">
        <v>1641</v>
      </c>
      <c r="I455" s="2" t="str">
        <f>VLOOKUP(Sales_Details2[[#This Row],[Product_ID]],Product_details[[#All],[Product_ID]:[Cost]],3,0)</f>
        <v>Home</v>
      </c>
      <c r="J455" s="2" t="str">
        <f>VLOOKUP(Sales_Details2[[#This Row],[Product_ID]],Product_details[[#All],[Product_ID]:[Cost]],4,0)</f>
        <v>Decor</v>
      </c>
      <c r="K455" s="2" t="s">
        <v>1735</v>
      </c>
      <c r="L455" s="2" t="str">
        <f>_xlfn.XLOOKUP(Sales_Details2[[#This Row],[Store_ID]],Table2[Store_ID],Table2[Region],"Region not found")</f>
        <v>East</v>
      </c>
      <c r="M455" s="25">
        <v>2</v>
      </c>
      <c r="N455" s="36">
        <v>911.14</v>
      </c>
      <c r="O455" s="29">
        <v>0.1</v>
      </c>
      <c r="P455" s="2" t="s">
        <v>1807</v>
      </c>
      <c r="Q455" s="36">
        <v>1640.0519999999999</v>
      </c>
    </row>
    <row r="456" spans="1:17" x14ac:dyDescent="0.3">
      <c r="A456" s="2" t="s">
        <v>2263</v>
      </c>
      <c r="B456" s="14">
        <v>45906</v>
      </c>
      <c r="C456" s="2">
        <f>YEAR(Sales_Details2[[#This Row],[Order_Date]])</f>
        <v>2025</v>
      </c>
      <c r="D456" s="2" t="s">
        <v>301</v>
      </c>
      <c r="E456" s="2" t="str">
        <f>VLOOKUP(Sales_Details2[[#This Row],[Customer_ID]],Customer_Details[#All],4,0)</f>
        <v>Adult</v>
      </c>
      <c r="F456" s="2" t="str">
        <f>VLOOKUP(Sales_Details2[[#This Row],[Customer_ID]],Customer_Details[#All],5,0)</f>
        <v>Female</v>
      </c>
      <c r="G456" s="2" t="str">
        <f>VLOOKUP(Sales_Details2[[#This Row],[Customer_ID]],Customer_Details[#All],9,0)</f>
        <v>Platinum</v>
      </c>
      <c r="H456" s="2" t="s">
        <v>1667</v>
      </c>
      <c r="I456" s="2" t="str">
        <f>VLOOKUP(Sales_Details2[[#This Row],[Product_ID]],Product_details[[#All],[Product_ID]:[Cost]],3,0)</f>
        <v>Home</v>
      </c>
      <c r="J456" s="2" t="str">
        <f>VLOOKUP(Sales_Details2[[#This Row],[Product_ID]],Product_details[[#All],[Product_ID]:[Cost]],4,0)</f>
        <v>Furniture</v>
      </c>
      <c r="K456" s="2" t="s">
        <v>1765</v>
      </c>
      <c r="L456" s="2" t="str">
        <f>_xlfn.XLOOKUP(Sales_Details2[[#This Row],[Store_ID]],Table2[Store_ID],Table2[Region],"Region not found")</f>
        <v>West</v>
      </c>
      <c r="M456" s="25">
        <v>3</v>
      </c>
      <c r="N456" s="36">
        <v>811.96</v>
      </c>
      <c r="O456" s="29">
        <v>0.28999999999999998</v>
      </c>
      <c r="P456" s="2" t="s">
        <v>1807</v>
      </c>
      <c r="Q456" s="36">
        <v>1729.4748</v>
      </c>
    </row>
    <row r="457" spans="1:17" x14ac:dyDescent="0.3">
      <c r="A457" s="2" t="s">
        <v>2264</v>
      </c>
      <c r="B457" s="14">
        <v>45380</v>
      </c>
      <c r="C457" s="2">
        <f>YEAR(Sales_Details2[[#This Row],[Order_Date]])</f>
        <v>2024</v>
      </c>
      <c r="D457" s="2" t="s">
        <v>861</v>
      </c>
      <c r="E457" s="2" t="str">
        <f>VLOOKUP(Sales_Details2[[#This Row],[Customer_ID]],Customer_Details[#All],4,0)</f>
        <v>Adult</v>
      </c>
      <c r="F457" s="2" t="str">
        <f>VLOOKUP(Sales_Details2[[#This Row],[Customer_ID]],Customer_Details[#All],5,0)</f>
        <v>Male</v>
      </c>
      <c r="G457" s="2" t="str">
        <f>VLOOKUP(Sales_Details2[[#This Row],[Customer_ID]],Customer_Details[#All],9,0)</f>
        <v>Bronze</v>
      </c>
      <c r="H457" s="2" t="s">
        <v>1593</v>
      </c>
      <c r="I457" s="2" t="str">
        <f>VLOOKUP(Sales_Details2[[#This Row],[Product_ID]],Product_details[[#All],[Product_ID]:[Cost]],3,0)</f>
        <v>Sports</v>
      </c>
      <c r="J457" s="2" t="str">
        <f>VLOOKUP(Sales_Details2[[#This Row],[Product_ID]],Product_details[[#All],[Product_ID]:[Cost]],4,0)</f>
        <v>Team Sports</v>
      </c>
      <c r="K457" s="2" t="s">
        <v>1772</v>
      </c>
      <c r="L457" s="2" t="str">
        <f>_xlfn.XLOOKUP(Sales_Details2[[#This Row],[Store_ID]],Table2[Store_ID],Table2[Region],"Region not found")</f>
        <v>East</v>
      </c>
      <c r="M457" s="25">
        <v>2</v>
      </c>
      <c r="N457" s="36">
        <v>780.05</v>
      </c>
      <c r="O457" s="29">
        <v>0.12</v>
      </c>
      <c r="P457" s="2" t="s">
        <v>1812</v>
      </c>
      <c r="Q457" s="36">
        <v>1372.8879999999999</v>
      </c>
    </row>
    <row r="458" spans="1:17" x14ac:dyDescent="0.3">
      <c r="A458" s="2" t="s">
        <v>2265</v>
      </c>
      <c r="B458" s="14">
        <v>45527</v>
      </c>
      <c r="C458" s="2">
        <f>YEAR(Sales_Details2[[#This Row],[Order_Date]])</f>
        <v>2024</v>
      </c>
      <c r="D458" s="2" t="s">
        <v>693</v>
      </c>
      <c r="E458" s="2" t="str">
        <f>VLOOKUP(Sales_Details2[[#This Row],[Customer_ID]],Customer_Details[#All],4,0)</f>
        <v>Mid-Adult</v>
      </c>
      <c r="F458" s="2" t="str">
        <f>VLOOKUP(Sales_Details2[[#This Row],[Customer_ID]],Customer_Details[#All],5,0)</f>
        <v>Female</v>
      </c>
      <c r="G458" s="2" t="str">
        <f>VLOOKUP(Sales_Details2[[#This Row],[Customer_ID]],Customer_Details[#All],9,0)</f>
        <v>Gold</v>
      </c>
      <c r="H458" s="2" t="s">
        <v>1595</v>
      </c>
      <c r="I458" s="2" t="str">
        <f>VLOOKUP(Sales_Details2[[#This Row],[Product_ID]],Product_details[[#All],[Product_ID]:[Cost]],3,0)</f>
        <v>Beauty</v>
      </c>
      <c r="J458" s="2" t="str">
        <f>VLOOKUP(Sales_Details2[[#This Row],[Product_ID]],Product_details[[#All],[Product_ID]:[Cost]],4,0)</f>
        <v>Skincare</v>
      </c>
      <c r="K458" s="2" t="s">
        <v>1769</v>
      </c>
      <c r="L458" s="2" t="str">
        <f>_xlfn.XLOOKUP(Sales_Details2[[#This Row],[Store_ID]],Table2[Store_ID],Table2[Region],"Region not found")</f>
        <v>South</v>
      </c>
      <c r="M458" s="25">
        <v>4</v>
      </c>
      <c r="N458" s="36">
        <v>315.95</v>
      </c>
      <c r="O458" s="29">
        <v>0.19</v>
      </c>
      <c r="P458" s="2" t="s">
        <v>1812</v>
      </c>
      <c r="Q458" s="36">
        <v>1023.678</v>
      </c>
    </row>
    <row r="459" spans="1:17" x14ac:dyDescent="0.3">
      <c r="A459" s="2" t="s">
        <v>2266</v>
      </c>
      <c r="B459" s="14">
        <v>45796</v>
      </c>
      <c r="C459" s="2">
        <f>YEAR(Sales_Details2[[#This Row],[Order_Date]])</f>
        <v>2025</v>
      </c>
      <c r="D459" s="2" t="s">
        <v>731</v>
      </c>
      <c r="E459" s="2" t="str">
        <f>VLOOKUP(Sales_Details2[[#This Row],[Customer_ID]],Customer_Details[#All],4,0)</f>
        <v>Mid-Adult</v>
      </c>
      <c r="F459" s="2" t="str">
        <f>VLOOKUP(Sales_Details2[[#This Row],[Customer_ID]],Customer_Details[#All],5,0)</f>
        <v>Female</v>
      </c>
      <c r="G459" s="2" t="str">
        <f>VLOOKUP(Sales_Details2[[#This Row],[Customer_ID]],Customer_Details[#All],9,0)</f>
        <v>Bronze</v>
      </c>
      <c r="H459" s="2" t="s">
        <v>1635</v>
      </c>
      <c r="I459" s="2" t="str">
        <f>VLOOKUP(Sales_Details2[[#This Row],[Product_ID]],Product_details[[#All],[Product_ID]:[Cost]],3,0)</f>
        <v>Sports</v>
      </c>
      <c r="J459" s="2" t="str">
        <f>VLOOKUP(Sales_Details2[[#This Row],[Product_ID]],Product_details[[#All],[Product_ID]:[Cost]],4,0)</f>
        <v>Team Sports</v>
      </c>
      <c r="K459" s="2" t="s">
        <v>1769</v>
      </c>
      <c r="L459" s="2" t="str">
        <f>_xlfn.XLOOKUP(Sales_Details2[[#This Row],[Store_ID]],Table2[Store_ID],Table2[Region],"Region not found")</f>
        <v>South</v>
      </c>
      <c r="M459" s="25">
        <v>2</v>
      </c>
      <c r="N459" s="36">
        <v>810.17</v>
      </c>
      <c r="O459" s="29">
        <v>0.27</v>
      </c>
      <c r="P459" s="2" t="s">
        <v>1807</v>
      </c>
      <c r="Q459" s="36">
        <v>1182.8481999999999</v>
      </c>
    </row>
    <row r="460" spans="1:17" x14ac:dyDescent="0.3">
      <c r="A460" s="2" t="s">
        <v>2267</v>
      </c>
      <c r="B460" s="14">
        <v>45389</v>
      </c>
      <c r="C460" s="2">
        <f>YEAR(Sales_Details2[[#This Row],[Order_Date]])</f>
        <v>2024</v>
      </c>
      <c r="D460" s="2" t="s">
        <v>663</v>
      </c>
      <c r="E460" s="2" t="str">
        <f>VLOOKUP(Sales_Details2[[#This Row],[Customer_ID]],Customer_Details[#All],4,0)</f>
        <v>Mid-Adult</v>
      </c>
      <c r="F460" s="2" t="str">
        <f>VLOOKUP(Sales_Details2[[#This Row],[Customer_ID]],Customer_Details[#All],5,0)</f>
        <v>Female</v>
      </c>
      <c r="G460" s="2" t="str">
        <f>VLOOKUP(Sales_Details2[[#This Row],[Customer_ID]],Customer_Details[#All],9,0)</f>
        <v>Gold</v>
      </c>
      <c r="H460" s="2" t="s">
        <v>1699</v>
      </c>
      <c r="I460" s="2" t="str">
        <f>VLOOKUP(Sales_Details2[[#This Row],[Product_ID]],Product_details[[#All],[Product_ID]:[Cost]],3,0)</f>
        <v>Home</v>
      </c>
      <c r="J460" s="2" t="str">
        <f>VLOOKUP(Sales_Details2[[#This Row],[Product_ID]],Product_details[[#All],[Product_ID]:[Cost]],4,0)</f>
        <v>Furniture</v>
      </c>
      <c r="K460" s="2" t="s">
        <v>1752</v>
      </c>
      <c r="L460" s="2" t="str">
        <f>_xlfn.XLOOKUP(Sales_Details2[[#This Row],[Store_ID]],Table2[Store_ID],Table2[Region],"Region not found")</f>
        <v>South</v>
      </c>
      <c r="M460" s="25">
        <v>3</v>
      </c>
      <c r="N460" s="36">
        <v>505.01</v>
      </c>
      <c r="O460" s="29">
        <v>0.02</v>
      </c>
      <c r="P460" s="2" t="s">
        <v>1809</v>
      </c>
      <c r="Q460" s="36">
        <v>1484.7293999999999</v>
      </c>
    </row>
    <row r="461" spans="1:17" x14ac:dyDescent="0.3">
      <c r="A461" s="2" t="s">
        <v>2268</v>
      </c>
      <c r="B461" s="14">
        <v>45315</v>
      </c>
      <c r="C461" s="2">
        <f>YEAR(Sales_Details2[[#This Row],[Order_Date]])</f>
        <v>2024</v>
      </c>
      <c r="D461" s="2" t="s">
        <v>1424</v>
      </c>
      <c r="E461" s="2" t="str">
        <f>VLOOKUP(Sales_Details2[[#This Row],[Customer_ID]],Customer_Details[#All],4,0)</f>
        <v>Senior</v>
      </c>
      <c r="F461" s="2" t="str">
        <f>VLOOKUP(Sales_Details2[[#This Row],[Customer_ID]],Customer_Details[#All],5,0)</f>
        <v>Female</v>
      </c>
      <c r="G461" s="2" t="str">
        <f>VLOOKUP(Sales_Details2[[#This Row],[Customer_ID]],Customer_Details[#All],9,0)</f>
        <v>Gold</v>
      </c>
      <c r="H461" s="2" t="s">
        <v>1675</v>
      </c>
      <c r="I461" s="2" t="str">
        <f>VLOOKUP(Sales_Details2[[#This Row],[Product_ID]],Product_details[[#All],[Product_ID]:[Cost]],3,0)</f>
        <v>Sports</v>
      </c>
      <c r="J461" s="2" t="str">
        <f>VLOOKUP(Sales_Details2[[#This Row],[Product_ID]],Product_details[[#All],[Product_ID]:[Cost]],4,0)</f>
        <v>Fitness</v>
      </c>
      <c r="K461" s="2" t="s">
        <v>1790</v>
      </c>
      <c r="L461" s="2" t="str">
        <f>_xlfn.XLOOKUP(Sales_Details2[[#This Row],[Store_ID]],Table2[Store_ID],Table2[Region],"Region not found")</f>
        <v>North</v>
      </c>
      <c r="M461" s="25">
        <v>2</v>
      </c>
      <c r="N461" s="36">
        <v>736.75</v>
      </c>
      <c r="O461" s="29">
        <v>0.18</v>
      </c>
      <c r="P461" s="2" t="s">
        <v>1807</v>
      </c>
      <c r="Q461" s="36">
        <v>1208.27</v>
      </c>
    </row>
    <row r="462" spans="1:17" x14ac:dyDescent="0.3">
      <c r="A462" s="2" t="s">
        <v>2269</v>
      </c>
      <c r="B462" s="14">
        <v>45311</v>
      </c>
      <c r="C462" s="2">
        <f>YEAR(Sales_Details2[[#This Row],[Order_Date]])</f>
        <v>2024</v>
      </c>
      <c r="D462" s="2" t="s">
        <v>114</v>
      </c>
      <c r="E462" s="2" t="str">
        <f>VLOOKUP(Sales_Details2[[#This Row],[Customer_ID]],Customer_Details[#All],4,0)</f>
        <v>Mid-Adult</v>
      </c>
      <c r="F462" s="2" t="str">
        <f>VLOOKUP(Sales_Details2[[#This Row],[Customer_ID]],Customer_Details[#All],5,0)</f>
        <v>Male</v>
      </c>
      <c r="G462" s="2" t="str">
        <f>VLOOKUP(Sales_Details2[[#This Row],[Customer_ID]],Customer_Details[#All],9,0)</f>
        <v>Platinum</v>
      </c>
      <c r="H462" s="2" t="s">
        <v>1685</v>
      </c>
      <c r="I462" s="2" t="str">
        <f>VLOOKUP(Sales_Details2[[#This Row],[Product_ID]],Product_details[[#All],[Product_ID]:[Cost]],3,0)</f>
        <v>Electronics</v>
      </c>
      <c r="J462" s="2" t="str">
        <f>VLOOKUP(Sales_Details2[[#This Row],[Product_ID]],Product_details[[#All],[Product_ID]:[Cost]],4,0)</f>
        <v>Appliances</v>
      </c>
      <c r="K462" s="2" t="s">
        <v>1769</v>
      </c>
      <c r="L462" s="2" t="str">
        <f>_xlfn.XLOOKUP(Sales_Details2[[#This Row],[Store_ID]],Table2[Store_ID],Table2[Region],"Region not found")</f>
        <v>South</v>
      </c>
      <c r="M462" s="25">
        <v>4</v>
      </c>
      <c r="N462" s="36">
        <v>700.31</v>
      </c>
      <c r="O462" s="29">
        <v>0.2</v>
      </c>
      <c r="P462" s="2" t="s">
        <v>1809</v>
      </c>
      <c r="Q462" s="36">
        <v>2240.9920000000002</v>
      </c>
    </row>
    <row r="463" spans="1:17" x14ac:dyDescent="0.3">
      <c r="A463" s="2" t="s">
        <v>2270</v>
      </c>
      <c r="B463" s="14">
        <v>45270</v>
      </c>
      <c r="C463" s="2">
        <f>YEAR(Sales_Details2[[#This Row],[Order_Date]])</f>
        <v>2023</v>
      </c>
      <c r="D463" s="2" t="s">
        <v>439</v>
      </c>
      <c r="E463" s="2" t="str">
        <f>VLOOKUP(Sales_Details2[[#This Row],[Customer_ID]],Customer_Details[#All],4,0)</f>
        <v>Mid-Adult</v>
      </c>
      <c r="F463" s="2" t="str">
        <f>VLOOKUP(Sales_Details2[[#This Row],[Customer_ID]],Customer_Details[#All],5,0)</f>
        <v>Female</v>
      </c>
      <c r="G463" s="2" t="str">
        <f>VLOOKUP(Sales_Details2[[#This Row],[Customer_ID]],Customer_Details[#All],9,0)</f>
        <v>Silver</v>
      </c>
      <c r="H463" s="2" t="s">
        <v>1713</v>
      </c>
      <c r="I463" s="2" t="str">
        <f>VLOOKUP(Sales_Details2[[#This Row],[Product_ID]],Product_details[[#All],[Product_ID]:[Cost]],3,0)</f>
        <v>Clothing</v>
      </c>
      <c r="J463" s="2" t="str">
        <f>VLOOKUP(Sales_Details2[[#This Row],[Product_ID]],Product_details[[#All],[Product_ID]:[Cost]],4,0)</f>
        <v>Footwear</v>
      </c>
      <c r="K463" s="2" t="s">
        <v>1775</v>
      </c>
      <c r="L463" s="2" t="str">
        <f>_xlfn.XLOOKUP(Sales_Details2[[#This Row],[Store_ID]],Table2[Store_ID],Table2[Region],"Region not found")</f>
        <v>South</v>
      </c>
      <c r="M463" s="25">
        <v>4</v>
      </c>
      <c r="N463" s="36">
        <v>202.46</v>
      </c>
      <c r="O463" s="29">
        <v>0.24</v>
      </c>
      <c r="P463" s="2" t="s">
        <v>1807</v>
      </c>
      <c r="Q463" s="36">
        <v>615.47840000000008</v>
      </c>
    </row>
    <row r="464" spans="1:17" x14ac:dyDescent="0.3">
      <c r="A464" s="2" t="s">
        <v>2271</v>
      </c>
      <c r="B464" s="14">
        <v>45279</v>
      </c>
      <c r="C464" s="2">
        <f>YEAR(Sales_Details2[[#This Row],[Order_Date]])</f>
        <v>2023</v>
      </c>
      <c r="D464" s="2" t="s">
        <v>839</v>
      </c>
      <c r="E464" s="2" t="str">
        <f>VLOOKUP(Sales_Details2[[#This Row],[Customer_ID]],Customer_Details[#All],4,0)</f>
        <v>Mid-Adult</v>
      </c>
      <c r="F464" s="2" t="str">
        <f>VLOOKUP(Sales_Details2[[#This Row],[Customer_ID]],Customer_Details[#All],5,0)</f>
        <v>Male</v>
      </c>
      <c r="G464" s="2" t="str">
        <f>VLOOKUP(Sales_Details2[[#This Row],[Customer_ID]],Customer_Details[#All],9,0)</f>
        <v>Silver</v>
      </c>
      <c r="H464" s="2" t="s">
        <v>1705</v>
      </c>
      <c r="I464" s="2" t="str">
        <f>VLOOKUP(Sales_Details2[[#This Row],[Product_ID]],Product_details[[#All],[Product_ID]:[Cost]],3,0)</f>
        <v>Home</v>
      </c>
      <c r="J464" s="2" t="str">
        <f>VLOOKUP(Sales_Details2[[#This Row],[Product_ID]],Product_details[[#All],[Product_ID]:[Cost]],4,0)</f>
        <v>Lighting</v>
      </c>
      <c r="K464" s="2" t="s">
        <v>1740</v>
      </c>
      <c r="L464" s="2" t="str">
        <f>_xlfn.XLOOKUP(Sales_Details2[[#This Row],[Store_ID]],Table2[Store_ID],Table2[Region],"Region not found")</f>
        <v>North</v>
      </c>
      <c r="M464" s="25">
        <v>2</v>
      </c>
      <c r="N464" s="36">
        <v>291.83999999999997</v>
      </c>
      <c r="O464" s="29">
        <v>0.25</v>
      </c>
      <c r="P464" s="2" t="s">
        <v>1809</v>
      </c>
      <c r="Q464" s="36">
        <v>437.76</v>
      </c>
    </row>
    <row r="465" spans="1:17" x14ac:dyDescent="0.3">
      <c r="A465" s="2" t="s">
        <v>2272</v>
      </c>
      <c r="B465" s="14">
        <v>45252</v>
      </c>
      <c r="C465" s="2">
        <f>YEAR(Sales_Details2[[#This Row],[Order_Date]])</f>
        <v>2023</v>
      </c>
      <c r="D465" s="2" t="s">
        <v>539</v>
      </c>
      <c r="E465" s="2" t="str">
        <f>VLOOKUP(Sales_Details2[[#This Row],[Customer_ID]],Customer_Details[#All],4,0)</f>
        <v>Adult</v>
      </c>
      <c r="F465" s="2" t="str">
        <f>VLOOKUP(Sales_Details2[[#This Row],[Customer_ID]],Customer_Details[#All],5,0)</f>
        <v>Male</v>
      </c>
      <c r="G465" s="2" t="str">
        <f>VLOOKUP(Sales_Details2[[#This Row],[Customer_ID]],Customer_Details[#All],9,0)</f>
        <v>Bronze</v>
      </c>
      <c r="H465" s="2" t="s">
        <v>1725</v>
      </c>
      <c r="I465" s="2" t="str">
        <f>VLOOKUP(Sales_Details2[[#This Row],[Product_ID]],Product_details[[#All],[Product_ID]:[Cost]],3,0)</f>
        <v>Sports</v>
      </c>
      <c r="J465" s="2" t="str">
        <f>VLOOKUP(Sales_Details2[[#This Row],[Product_ID]],Product_details[[#All],[Product_ID]:[Cost]],4,0)</f>
        <v>Team Sports</v>
      </c>
      <c r="K465" s="2" t="s">
        <v>1756</v>
      </c>
      <c r="L465" s="2" t="str">
        <f>_xlfn.XLOOKUP(Sales_Details2[[#This Row],[Store_ID]],Table2[Store_ID],Table2[Region],"Region not found")</f>
        <v>North</v>
      </c>
      <c r="M465" s="25">
        <v>2</v>
      </c>
      <c r="N465" s="36">
        <v>261.48</v>
      </c>
      <c r="O465" s="29">
        <v>0.17</v>
      </c>
      <c r="P465" s="2" t="s">
        <v>1807</v>
      </c>
      <c r="Q465" s="36">
        <v>434.05680000000001</v>
      </c>
    </row>
    <row r="466" spans="1:17" x14ac:dyDescent="0.3">
      <c r="A466" s="2" t="s">
        <v>2273</v>
      </c>
      <c r="B466" s="14">
        <v>45938</v>
      </c>
      <c r="C466" s="2">
        <f>YEAR(Sales_Details2[[#This Row],[Order_Date]])</f>
        <v>2025</v>
      </c>
      <c r="D466" s="2" t="s">
        <v>939</v>
      </c>
      <c r="E466" s="2" t="str">
        <f>VLOOKUP(Sales_Details2[[#This Row],[Customer_ID]],Customer_Details[#All],4,0)</f>
        <v>Adult</v>
      </c>
      <c r="F466" s="2" t="str">
        <f>VLOOKUP(Sales_Details2[[#This Row],[Customer_ID]],Customer_Details[#All],5,0)</f>
        <v>Male</v>
      </c>
      <c r="G466" s="2" t="str">
        <f>VLOOKUP(Sales_Details2[[#This Row],[Customer_ID]],Customer_Details[#All],9,0)</f>
        <v>Silver</v>
      </c>
      <c r="H466" s="2" t="s">
        <v>1603</v>
      </c>
      <c r="I466" s="2" t="str">
        <f>VLOOKUP(Sales_Details2[[#This Row],[Product_ID]],Product_details[[#All],[Product_ID]:[Cost]],3,0)</f>
        <v>Clothing</v>
      </c>
      <c r="J466" s="2" t="str">
        <f>VLOOKUP(Sales_Details2[[#This Row],[Product_ID]],Product_details[[#All],[Product_ID]:[Cost]],4,0)</f>
        <v>Tops</v>
      </c>
      <c r="K466" s="2" t="s">
        <v>1782</v>
      </c>
      <c r="L466" s="2" t="str">
        <f>_xlfn.XLOOKUP(Sales_Details2[[#This Row],[Store_ID]],Table2[Store_ID],Table2[Region],"Region not found")</f>
        <v>South</v>
      </c>
      <c r="M466" s="25">
        <v>1</v>
      </c>
      <c r="N466" s="36">
        <v>850.83</v>
      </c>
      <c r="O466" s="29">
        <v>0.28000000000000003</v>
      </c>
      <c r="P466" s="2" t="s">
        <v>1809</v>
      </c>
      <c r="Q466" s="36">
        <v>612.59760000000006</v>
      </c>
    </row>
    <row r="467" spans="1:17" x14ac:dyDescent="0.3">
      <c r="A467" s="2" t="s">
        <v>2274</v>
      </c>
      <c r="B467" s="14">
        <v>45711</v>
      </c>
      <c r="C467" s="2">
        <f>YEAR(Sales_Details2[[#This Row],[Order_Date]])</f>
        <v>2025</v>
      </c>
      <c r="D467" s="2" t="s">
        <v>1246</v>
      </c>
      <c r="E467" s="2" t="str">
        <f>VLOOKUP(Sales_Details2[[#This Row],[Customer_ID]],Customer_Details[#All],4,0)</f>
        <v>Adult</v>
      </c>
      <c r="F467" s="2" t="str">
        <f>VLOOKUP(Sales_Details2[[#This Row],[Customer_ID]],Customer_Details[#All],5,0)</f>
        <v>Female</v>
      </c>
      <c r="G467" s="2" t="str">
        <f>VLOOKUP(Sales_Details2[[#This Row],[Customer_ID]],Customer_Details[#All],9,0)</f>
        <v>Gold</v>
      </c>
      <c r="H467" s="2" t="s">
        <v>1623</v>
      </c>
      <c r="I467" s="2" t="str">
        <f>VLOOKUP(Sales_Details2[[#This Row],[Product_ID]],Product_details[[#All],[Product_ID]:[Cost]],3,0)</f>
        <v>Clothing</v>
      </c>
      <c r="J467" s="2" t="str">
        <f>VLOOKUP(Sales_Details2[[#This Row],[Product_ID]],Product_details[[#All],[Product_ID]:[Cost]],4,0)</f>
        <v>Outerwear</v>
      </c>
      <c r="K467" s="2" t="s">
        <v>1769</v>
      </c>
      <c r="L467" s="2" t="str">
        <f>_xlfn.XLOOKUP(Sales_Details2[[#This Row],[Store_ID]],Table2[Store_ID],Table2[Region],"Region not found")</f>
        <v>South</v>
      </c>
      <c r="M467" s="25">
        <v>1</v>
      </c>
      <c r="N467" s="36">
        <v>83.83</v>
      </c>
      <c r="O467" s="29">
        <v>0.05</v>
      </c>
      <c r="P467" s="2" t="s">
        <v>1807</v>
      </c>
      <c r="Q467" s="36">
        <v>79.638499999999993</v>
      </c>
    </row>
    <row r="468" spans="1:17" x14ac:dyDescent="0.3">
      <c r="A468" s="2" t="s">
        <v>2275</v>
      </c>
      <c r="B468" s="14">
        <v>45713</v>
      </c>
      <c r="C468" s="2">
        <f>YEAR(Sales_Details2[[#This Row],[Order_Date]])</f>
        <v>2025</v>
      </c>
      <c r="D468" s="2" t="s">
        <v>36</v>
      </c>
      <c r="E468" s="2" t="str">
        <f>VLOOKUP(Sales_Details2[[#This Row],[Customer_ID]],Customer_Details[#All],4,0)</f>
        <v>Adult</v>
      </c>
      <c r="F468" s="2" t="str">
        <f>VLOOKUP(Sales_Details2[[#This Row],[Customer_ID]],Customer_Details[#All],5,0)</f>
        <v>Female</v>
      </c>
      <c r="G468" s="2" t="str">
        <f>VLOOKUP(Sales_Details2[[#This Row],[Customer_ID]],Customer_Details[#All],9,0)</f>
        <v>Platinum</v>
      </c>
      <c r="H468" s="2" t="s">
        <v>1707</v>
      </c>
      <c r="I468" s="2" t="str">
        <f>VLOOKUP(Sales_Details2[[#This Row],[Product_ID]],Product_details[[#All],[Product_ID]:[Cost]],3,0)</f>
        <v>Sports</v>
      </c>
      <c r="J468" s="2" t="str">
        <f>VLOOKUP(Sales_Details2[[#This Row],[Product_ID]],Product_details[[#All],[Product_ID]:[Cost]],4,0)</f>
        <v>Accessories</v>
      </c>
      <c r="K468" s="2" t="s">
        <v>1787</v>
      </c>
      <c r="L468" s="2" t="str">
        <f>_xlfn.XLOOKUP(Sales_Details2[[#This Row],[Store_ID]],Table2[Store_ID],Table2[Region],"Region not found")</f>
        <v>West</v>
      </c>
      <c r="M468" s="25">
        <v>3</v>
      </c>
      <c r="N468" s="36">
        <v>649.95000000000005</v>
      </c>
      <c r="O468" s="29">
        <v>0.28000000000000003</v>
      </c>
      <c r="P468" s="2" t="s">
        <v>1812</v>
      </c>
      <c r="Q468" s="36">
        <v>1403.8920000000001</v>
      </c>
    </row>
    <row r="469" spans="1:17" x14ac:dyDescent="0.3">
      <c r="A469" s="2" t="s">
        <v>2276</v>
      </c>
      <c r="B469" s="14">
        <v>45565</v>
      </c>
      <c r="C469" s="2">
        <f>YEAR(Sales_Details2[[#This Row],[Order_Date]])</f>
        <v>2024</v>
      </c>
      <c r="D469" s="2" t="s">
        <v>1132</v>
      </c>
      <c r="E469" s="2" t="str">
        <f>VLOOKUP(Sales_Details2[[#This Row],[Customer_ID]],Customer_Details[#All],4,0)</f>
        <v>Mid-Adult</v>
      </c>
      <c r="F469" s="2" t="str">
        <f>VLOOKUP(Sales_Details2[[#This Row],[Customer_ID]],Customer_Details[#All],5,0)</f>
        <v>Female</v>
      </c>
      <c r="G469" s="2" t="str">
        <f>VLOOKUP(Sales_Details2[[#This Row],[Customer_ID]],Customer_Details[#All],9,0)</f>
        <v>Platinum</v>
      </c>
      <c r="H469" s="2" t="s">
        <v>1677</v>
      </c>
      <c r="I469" s="2" t="str">
        <f>VLOOKUP(Sales_Details2[[#This Row],[Product_ID]],Product_details[[#All],[Product_ID]:[Cost]],3,0)</f>
        <v>Sports</v>
      </c>
      <c r="J469" s="2" t="str">
        <f>VLOOKUP(Sales_Details2[[#This Row],[Product_ID]],Product_details[[#All],[Product_ID]:[Cost]],4,0)</f>
        <v>Team Sports</v>
      </c>
      <c r="K469" s="2" t="s">
        <v>1759</v>
      </c>
      <c r="L469" s="2" t="str">
        <f>_xlfn.XLOOKUP(Sales_Details2[[#This Row],[Store_ID]],Table2[Store_ID],Table2[Region],"Region not found")</f>
        <v>East</v>
      </c>
      <c r="M469" s="25">
        <v>4</v>
      </c>
      <c r="N469" s="36">
        <v>934.96</v>
      </c>
      <c r="O469" s="29">
        <v>0.18</v>
      </c>
      <c r="P469" s="2" t="s">
        <v>1809</v>
      </c>
      <c r="Q469" s="36">
        <v>3066.6687999999999</v>
      </c>
    </row>
    <row r="470" spans="1:17" x14ac:dyDescent="0.3">
      <c r="A470" s="2" t="s">
        <v>2277</v>
      </c>
      <c r="B470" s="14">
        <v>45279</v>
      </c>
      <c r="C470" s="2">
        <f>YEAR(Sales_Details2[[#This Row],[Order_Date]])</f>
        <v>2023</v>
      </c>
      <c r="D470" s="2" t="s">
        <v>666</v>
      </c>
      <c r="E470" s="2" t="str">
        <f>VLOOKUP(Sales_Details2[[#This Row],[Customer_ID]],Customer_Details[#All],4,0)</f>
        <v>Adult</v>
      </c>
      <c r="F470" s="2" t="str">
        <f>VLOOKUP(Sales_Details2[[#This Row],[Customer_ID]],Customer_Details[#All],5,0)</f>
        <v>Female</v>
      </c>
      <c r="G470" s="2" t="str">
        <f>VLOOKUP(Sales_Details2[[#This Row],[Customer_ID]],Customer_Details[#All],9,0)</f>
        <v>Silver</v>
      </c>
      <c r="H470" s="2" t="s">
        <v>1565</v>
      </c>
      <c r="I470" s="2" t="str">
        <f>VLOOKUP(Sales_Details2[[#This Row],[Product_ID]],Product_details[[#All],[Product_ID]:[Cost]],3,0)</f>
        <v>Sports</v>
      </c>
      <c r="J470" s="2" t="str">
        <f>VLOOKUP(Sales_Details2[[#This Row],[Product_ID]],Product_details[[#All],[Product_ID]:[Cost]],4,0)</f>
        <v>Accessories</v>
      </c>
      <c r="K470" s="2" t="s">
        <v>1782</v>
      </c>
      <c r="L470" s="2" t="str">
        <f>_xlfn.XLOOKUP(Sales_Details2[[#This Row],[Store_ID]],Table2[Store_ID],Table2[Region],"Region not found")</f>
        <v>South</v>
      </c>
      <c r="M470" s="25">
        <v>1</v>
      </c>
      <c r="N470" s="36">
        <v>880.89</v>
      </c>
      <c r="O470" s="29">
        <v>0.13</v>
      </c>
      <c r="P470" s="2" t="s">
        <v>1812</v>
      </c>
      <c r="Q470" s="36">
        <v>766.37429999999995</v>
      </c>
    </row>
    <row r="471" spans="1:17" x14ac:dyDescent="0.3">
      <c r="A471" s="2" t="s">
        <v>2278</v>
      </c>
      <c r="B471" s="14">
        <v>45614</v>
      </c>
      <c r="C471" s="2">
        <f>YEAR(Sales_Details2[[#This Row],[Order_Date]])</f>
        <v>2024</v>
      </c>
      <c r="D471" s="2" t="s">
        <v>1453</v>
      </c>
      <c r="E471" s="2" t="str">
        <f>VLOOKUP(Sales_Details2[[#This Row],[Customer_ID]],Customer_Details[#All],4,0)</f>
        <v>Mid-Adult</v>
      </c>
      <c r="F471" s="2" t="str">
        <f>VLOOKUP(Sales_Details2[[#This Row],[Customer_ID]],Customer_Details[#All],5,0)</f>
        <v>Female</v>
      </c>
      <c r="G471" s="2" t="str">
        <f>VLOOKUP(Sales_Details2[[#This Row],[Customer_ID]],Customer_Details[#All],9,0)</f>
        <v>Platinum</v>
      </c>
      <c r="H471" s="2" t="s">
        <v>1727</v>
      </c>
      <c r="I471" s="2" t="str">
        <f>VLOOKUP(Sales_Details2[[#This Row],[Product_ID]],Product_details[[#All],[Product_ID]:[Cost]],3,0)</f>
        <v>Electronics</v>
      </c>
      <c r="J471" s="2" t="str">
        <f>VLOOKUP(Sales_Details2[[#This Row],[Product_ID]],Product_details[[#All],[Product_ID]:[Cost]],4,0)</f>
        <v>Audio</v>
      </c>
      <c r="K471" s="2" t="s">
        <v>1765</v>
      </c>
      <c r="L471" s="2" t="str">
        <f>_xlfn.XLOOKUP(Sales_Details2[[#This Row],[Store_ID]],Table2[Store_ID],Table2[Region],"Region not found")</f>
        <v>West</v>
      </c>
      <c r="M471" s="25">
        <v>4</v>
      </c>
      <c r="N471" s="36">
        <v>610.6</v>
      </c>
      <c r="O471" s="29">
        <v>0.1</v>
      </c>
      <c r="P471" s="2" t="s">
        <v>1809</v>
      </c>
      <c r="Q471" s="36">
        <v>2198.16</v>
      </c>
    </row>
    <row r="472" spans="1:17" x14ac:dyDescent="0.3">
      <c r="A472" s="2" t="s">
        <v>2279</v>
      </c>
      <c r="B472" s="14">
        <v>45912</v>
      </c>
      <c r="C472" s="2">
        <f>YEAR(Sales_Details2[[#This Row],[Order_Date]])</f>
        <v>2025</v>
      </c>
      <c r="D472" s="2" t="s">
        <v>272</v>
      </c>
      <c r="E472" s="2" t="str">
        <f>VLOOKUP(Sales_Details2[[#This Row],[Customer_ID]],Customer_Details[#All],4,0)</f>
        <v>Senior</v>
      </c>
      <c r="F472" s="2" t="str">
        <f>VLOOKUP(Sales_Details2[[#This Row],[Customer_ID]],Customer_Details[#All],5,0)</f>
        <v>Female</v>
      </c>
      <c r="G472" s="2" t="str">
        <f>VLOOKUP(Sales_Details2[[#This Row],[Customer_ID]],Customer_Details[#All],9,0)</f>
        <v>Gold</v>
      </c>
      <c r="H472" s="2" t="s">
        <v>1587</v>
      </c>
      <c r="I472" s="2" t="str">
        <f>VLOOKUP(Sales_Details2[[#This Row],[Product_ID]],Product_details[[#All],[Product_ID]:[Cost]],3,0)</f>
        <v>Sports</v>
      </c>
      <c r="J472" s="2" t="str">
        <f>VLOOKUP(Sales_Details2[[#This Row],[Product_ID]],Product_details[[#All],[Product_ID]:[Cost]],4,0)</f>
        <v>Accessories</v>
      </c>
      <c r="K472" s="2" t="s">
        <v>1793</v>
      </c>
      <c r="L472" s="2" t="str">
        <f>_xlfn.XLOOKUP(Sales_Details2[[#This Row],[Store_ID]],Table2[Store_ID],Table2[Region],"Region not found")</f>
        <v>East</v>
      </c>
      <c r="M472" s="25">
        <v>1</v>
      </c>
      <c r="N472" s="36">
        <v>514.19000000000005</v>
      </c>
      <c r="O472" s="29">
        <v>0.2</v>
      </c>
      <c r="P472" s="2" t="s">
        <v>1807</v>
      </c>
      <c r="Q472" s="36">
        <v>411.35200000000009</v>
      </c>
    </row>
    <row r="473" spans="1:17" x14ac:dyDescent="0.3">
      <c r="A473" s="2" t="s">
        <v>2280</v>
      </c>
      <c r="B473" s="14">
        <v>45688</v>
      </c>
      <c r="C473" s="2">
        <f>YEAR(Sales_Details2[[#This Row],[Order_Date]])</f>
        <v>2025</v>
      </c>
      <c r="D473" s="2" t="s">
        <v>1229</v>
      </c>
      <c r="E473" s="2" t="str">
        <f>VLOOKUP(Sales_Details2[[#This Row],[Customer_ID]],Customer_Details[#All],4,0)</f>
        <v>Adult</v>
      </c>
      <c r="F473" s="2" t="str">
        <f>VLOOKUP(Sales_Details2[[#This Row],[Customer_ID]],Customer_Details[#All],5,0)</f>
        <v>Male</v>
      </c>
      <c r="G473" s="2" t="str">
        <f>VLOOKUP(Sales_Details2[[#This Row],[Customer_ID]],Customer_Details[#All],9,0)</f>
        <v>Bronze</v>
      </c>
      <c r="H473" s="2" t="s">
        <v>1605</v>
      </c>
      <c r="I473" s="2" t="str">
        <f>VLOOKUP(Sales_Details2[[#This Row],[Product_ID]],Product_details[[#All],[Product_ID]:[Cost]],3,0)</f>
        <v>Clothing</v>
      </c>
      <c r="J473" s="2" t="str">
        <f>VLOOKUP(Sales_Details2[[#This Row],[Product_ID]],Product_details[[#All],[Product_ID]:[Cost]],4,0)</f>
        <v>Footwear</v>
      </c>
      <c r="K473" s="2" t="s">
        <v>1780</v>
      </c>
      <c r="L473" s="2" t="str">
        <f>_xlfn.XLOOKUP(Sales_Details2[[#This Row],[Store_ID]],Table2[Store_ID],Table2[Region],"Region not found")</f>
        <v>East</v>
      </c>
      <c r="M473" s="25">
        <v>1</v>
      </c>
      <c r="N473" s="36">
        <v>546.20000000000005</v>
      </c>
      <c r="O473" s="29">
        <v>0.22</v>
      </c>
      <c r="P473" s="2" t="s">
        <v>1809</v>
      </c>
      <c r="Q473" s="36">
        <v>426.03600000000012</v>
      </c>
    </row>
    <row r="474" spans="1:17" x14ac:dyDescent="0.3">
      <c r="A474" s="2" t="s">
        <v>2281</v>
      </c>
      <c r="B474" s="14">
        <v>45591</v>
      </c>
      <c r="C474" s="2">
        <f>YEAR(Sales_Details2[[#This Row],[Order_Date]])</f>
        <v>2024</v>
      </c>
      <c r="D474" s="2" t="s">
        <v>640</v>
      </c>
      <c r="E474" s="2" t="str">
        <f>VLOOKUP(Sales_Details2[[#This Row],[Customer_ID]],Customer_Details[#All],4,0)</f>
        <v>Mid-Adult</v>
      </c>
      <c r="F474" s="2" t="str">
        <f>VLOOKUP(Sales_Details2[[#This Row],[Customer_ID]],Customer_Details[#All],5,0)</f>
        <v>Female</v>
      </c>
      <c r="G474" s="2" t="str">
        <f>VLOOKUP(Sales_Details2[[#This Row],[Customer_ID]],Customer_Details[#All],9,0)</f>
        <v>Platinum</v>
      </c>
      <c r="H474" s="2" t="s">
        <v>1605</v>
      </c>
      <c r="I474" s="2" t="str">
        <f>VLOOKUP(Sales_Details2[[#This Row],[Product_ID]],Product_details[[#All],[Product_ID]:[Cost]],3,0)</f>
        <v>Clothing</v>
      </c>
      <c r="J474" s="2" t="str">
        <f>VLOOKUP(Sales_Details2[[#This Row],[Product_ID]],Product_details[[#All],[Product_ID]:[Cost]],4,0)</f>
        <v>Footwear</v>
      </c>
      <c r="K474" s="2" t="s">
        <v>1735</v>
      </c>
      <c r="L474" s="2" t="str">
        <f>_xlfn.XLOOKUP(Sales_Details2[[#This Row],[Store_ID]],Table2[Store_ID],Table2[Region],"Region not found")</f>
        <v>East</v>
      </c>
      <c r="M474" s="25">
        <v>3</v>
      </c>
      <c r="N474" s="36">
        <v>416.01</v>
      </c>
      <c r="O474" s="29">
        <v>0.02</v>
      </c>
      <c r="P474" s="2" t="s">
        <v>1807</v>
      </c>
      <c r="Q474" s="36">
        <v>1223.0694000000001</v>
      </c>
    </row>
    <row r="475" spans="1:17" x14ac:dyDescent="0.3">
      <c r="A475" s="2" t="s">
        <v>2282</v>
      </c>
      <c r="B475" s="14">
        <v>45864</v>
      </c>
      <c r="C475" s="2">
        <f>YEAR(Sales_Details2[[#This Row],[Order_Date]])</f>
        <v>2025</v>
      </c>
      <c r="D475" s="2" t="s">
        <v>1186</v>
      </c>
      <c r="E475" s="2" t="str">
        <f>VLOOKUP(Sales_Details2[[#This Row],[Customer_ID]],Customer_Details[#All],4,0)</f>
        <v>Senior</v>
      </c>
      <c r="F475" s="2" t="str">
        <f>VLOOKUP(Sales_Details2[[#This Row],[Customer_ID]],Customer_Details[#All],5,0)</f>
        <v>Female</v>
      </c>
      <c r="G475" s="2" t="str">
        <f>VLOOKUP(Sales_Details2[[#This Row],[Customer_ID]],Customer_Details[#All],9,0)</f>
        <v>Bronze</v>
      </c>
      <c r="H475" s="2" t="s">
        <v>1679</v>
      </c>
      <c r="I475" s="2" t="str">
        <f>VLOOKUP(Sales_Details2[[#This Row],[Product_ID]],Product_details[[#All],[Product_ID]:[Cost]],3,0)</f>
        <v>Electronics</v>
      </c>
      <c r="J475" s="2" t="str">
        <f>VLOOKUP(Sales_Details2[[#This Row],[Product_ID]],Product_details[[#All],[Product_ID]:[Cost]],4,0)</f>
        <v>Audio</v>
      </c>
      <c r="K475" s="2" t="s">
        <v>1772</v>
      </c>
      <c r="L475" s="2" t="str">
        <f>_xlfn.XLOOKUP(Sales_Details2[[#This Row],[Store_ID]],Table2[Store_ID],Table2[Region],"Region not found")</f>
        <v>East</v>
      </c>
      <c r="M475" s="25">
        <v>1</v>
      </c>
      <c r="N475" s="36">
        <v>30.94</v>
      </c>
      <c r="O475" s="29">
        <v>0.21</v>
      </c>
      <c r="P475" s="2" t="s">
        <v>1812</v>
      </c>
      <c r="Q475" s="36">
        <v>24.442599999999999</v>
      </c>
    </row>
    <row r="476" spans="1:17" x14ac:dyDescent="0.3">
      <c r="A476" s="2" t="s">
        <v>2283</v>
      </c>
      <c r="B476" s="14">
        <v>45875</v>
      </c>
      <c r="C476" s="2">
        <f>YEAR(Sales_Details2[[#This Row],[Order_Date]])</f>
        <v>2025</v>
      </c>
      <c r="D476" s="2" t="s">
        <v>648</v>
      </c>
      <c r="E476" s="2" t="str">
        <f>VLOOKUP(Sales_Details2[[#This Row],[Customer_ID]],Customer_Details[#All],4,0)</f>
        <v>Adult</v>
      </c>
      <c r="F476" s="2" t="str">
        <f>VLOOKUP(Sales_Details2[[#This Row],[Customer_ID]],Customer_Details[#All],5,0)</f>
        <v>Male</v>
      </c>
      <c r="G476" s="2" t="str">
        <f>VLOOKUP(Sales_Details2[[#This Row],[Customer_ID]],Customer_Details[#All],9,0)</f>
        <v>Platinum</v>
      </c>
      <c r="H476" s="2" t="s">
        <v>1647</v>
      </c>
      <c r="I476" s="2" t="str">
        <f>VLOOKUP(Sales_Details2[[#This Row],[Product_ID]],Product_details[[#All],[Product_ID]:[Cost]],3,0)</f>
        <v>Clothing</v>
      </c>
      <c r="J476" s="2" t="str">
        <f>VLOOKUP(Sales_Details2[[#This Row],[Product_ID]],Product_details[[#All],[Product_ID]:[Cost]],4,0)</f>
        <v>Accessories</v>
      </c>
      <c r="K476" s="2" t="s">
        <v>1787</v>
      </c>
      <c r="L476" s="2" t="str">
        <f>_xlfn.XLOOKUP(Sales_Details2[[#This Row],[Store_ID]],Table2[Store_ID],Table2[Region],"Region not found")</f>
        <v>West</v>
      </c>
      <c r="M476" s="25">
        <v>3</v>
      </c>
      <c r="N476" s="36">
        <v>666.39</v>
      </c>
      <c r="O476" s="29">
        <v>0.21</v>
      </c>
      <c r="P476" s="2" t="s">
        <v>1812</v>
      </c>
      <c r="Q476" s="36">
        <v>1579.3443</v>
      </c>
    </row>
    <row r="477" spans="1:17" x14ac:dyDescent="0.3">
      <c r="A477" s="2" t="s">
        <v>2284</v>
      </c>
      <c r="B477" s="14">
        <v>45797</v>
      </c>
      <c r="C477" s="2">
        <f>YEAR(Sales_Details2[[#This Row],[Order_Date]])</f>
        <v>2025</v>
      </c>
      <c r="D477" s="2" t="s">
        <v>548</v>
      </c>
      <c r="E477" s="2" t="str">
        <f>VLOOKUP(Sales_Details2[[#This Row],[Customer_ID]],Customer_Details[#All],4,0)</f>
        <v>Adult</v>
      </c>
      <c r="F477" s="2" t="str">
        <f>VLOOKUP(Sales_Details2[[#This Row],[Customer_ID]],Customer_Details[#All],5,0)</f>
        <v>Female</v>
      </c>
      <c r="G477" s="2" t="str">
        <f>VLOOKUP(Sales_Details2[[#This Row],[Customer_ID]],Customer_Details[#All],9,0)</f>
        <v>Silver</v>
      </c>
      <c r="H477" s="2" t="s">
        <v>1693</v>
      </c>
      <c r="I477" s="2" t="str">
        <f>VLOOKUP(Sales_Details2[[#This Row],[Product_ID]],Product_details[[#All],[Product_ID]:[Cost]],3,0)</f>
        <v>Sports</v>
      </c>
      <c r="J477" s="2" t="str">
        <f>VLOOKUP(Sales_Details2[[#This Row],[Product_ID]],Product_details[[#All],[Product_ID]:[Cost]],4,0)</f>
        <v>Equipment</v>
      </c>
      <c r="K477" s="2" t="s">
        <v>1772</v>
      </c>
      <c r="L477" s="2" t="str">
        <f>_xlfn.XLOOKUP(Sales_Details2[[#This Row],[Store_ID]],Table2[Store_ID],Table2[Region],"Region not found")</f>
        <v>East</v>
      </c>
      <c r="M477" s="25">
        <v>2</v>
      </c>
      <c r="N477" s="36">
        <v>145.26</v>
      </c>
      <c r="O477" s="29">
        <v>0.19</v>
      </c>
      <c r="P477" s="2" t="s">
        <v>1809</v>
      </c>
      <c r="Q477" s="36">
        <v>235.3212</v>
      </c>
    </row>
    <row r="478" spans="1:17" x14ac:dyDescent="0.3">
      <c r="A478" s="2" t="s">
        <v>2285</v>
      </c>
      <c r="B478" s="14">
        <v>45364</v>
      </c>
      <c r="C478" s="2">
        <f>YEAR(Sales_Details2[[#This Row],[Order_Date]])</f>
        <v>2024</v>
      </c>
      <c r="D478" s="2" t="s">
        <v>406</v>
      </c>
      <c r="E478" s="2" t="str">
        <f>VLOOKUP(Sales_Details2[[#This Row],[Customer_ID]],Customer_Details[#All],4,0)</f>
        <v>Mid-Adult</v>
      </c>
      <c r="F478" s="2" t="str">
        <f>VLOOKUP(Sales_Details2[[#This Row],[Customer_ID]],Customer_Details[#All],5,0)</f>
        <v>Male</v>
      </c>
      <c r="G478" s="2" t="str">
        <f>VLOOKUP(Sales_Details2[[#This Row],[Customer_ID]],Customer_Details[#All],9,0)</f>
        <v>Platinum</v>
      </c>
      <c r="H478" s="2" t="s">
        <v>1713</v>
      </c>
      <c r="I478" s="2" t="str">
        <f>VLOOKUP(Sales_Details2[[#This Row],[Product_ID]],Product_details[[#All],[Product_ID]:[Cost]],3,0)</f>
        <v>Clothing</v>
      </c>
      <c r="J478" s="2" t="str">
        <f>VLOOKUP(Sales_Details2[[#This Row],[Product_ID]],Product_details[[#All],[Product_ID]:[Cost]],4,0)</f>
        <v>Footwear</v>
      </c>
      <c r="K478" s="2" t="s">
        <v>1756</v>
      </c>
      <c r="L478" s="2" t="str">
        <f>_xlfn.XLOOKUP(Sales_Details2[[#This Row],[Store_ID]],Table2[Store_ID],Table2[Region],"Region not found")</f>
        <v>North</v>
      </c>
      <c r="M478" s="25">
        <v>4</v>
      </c>
      <c r="N478" s="36">
        <v>940.77</v>
      </c>
      <c r="O478" s="29">
        <v>0.24</v>
      </c>
      <c r="P478" s="2" t="s">
        <v>1812</v>
      </c>
      <c r="Q478" s="36">
        <v>2859.9407999999999</v>
      </c>
    </row>
    <row r="479" spans="1:17" x14ac:dyDescent="0.3">
      <c r="A479" s="2" t="s">
        <v>2286</v>
      </c>
      <c r="B479" s="14">
        <v>45700</v>
      </c>
      <c r="C479" s="2">
        <f>YEAR(Sales_Details2[[#This Row],[Order_Date]])</f>
        <v>2025</v>
      </c>
      <c r="D479" s="2" t="s">
        <v>1430</v>
      </c>
      <c r="E479" s="2" t="str">
        <f>VLOOKUP(Sales_Details2[[#This Row],[Customer_ID]],Customer_Details[#All],4,0)</f>
        <v>Adult</v>
      </c>
      <c r="F479" s="2" t="str">
        <f>VLOOKUP(Sales_Details2[[#This Row],[Customer_ID]],Customer_Details[#All],5,0)</f>
        <v>Male</v>
      </c>
      <c r="G479" s="2" t="str">
        <f>VLOOKUP(Sales_Details2[[#This Row],[Customer_ID]],Customer_Details[#All],9,0)</f>
        <v>Gold</v>
      </c>
      <c r="H479" s="2" t="s">
        <v>1623</v>
      </c>
      <c r="I479" s="2" t="str">
        <f>VLOOKUP(Sales_Details2[[#This Row],[Product_ID]],Product_details[[#All],[Product_ID]:[Cost]],3,0)</f>
        <v>Clothing</v>
      </c>
      <c r="J479" s="2" t="str">
        <f>VLOOKUP(Sales_Details2[[#This Row],[Product_ID]],Product_details[[#All],[Product_ID]:[Cost]],4,0)</f>
        <v>Outerwear</v>
      </c>
      <c r="K479" s="2" t="s">
        <v>1790</v>
      </c>
      <c r="L479" s="2" t="str">
        <f>_xlfn.XLOOKUP(Sales_Details2[[#This Row],[Store_ID]],Table2[Store_ID],Table2[Region],"Region not found")</f>
        <v>North</v>
      </c>
      <c r="M479" s="25">
        <v>1</v>
      </c>
      <c r="N479" s="36">
        <v>708.88</v>
      </c>
      <c r="O479" s="29">
        <v>0.09</v>
      </c>
      <c r="P479" s="2" t="s">
        <v>1807</v>
      </c>
      <c r="Q479" s="36">
        <v>645.08080000000007</v>
      </c>
    </row>
    <row r="480" spans="1:17" x14ac:dyDescent="0.3">
      <c r="A480" s="2" t="s">
        <v>2287</v>
      </c>
      <c r="B480" s="14">
        <v>45924</v>
      </c>
      <c r="C480" s="2">
        <f>YEAR(Sales_Details2[[#This Row],[Order_Date]])</f>
        <v>2025</v>
      </c>
      <c r="D480" s="2" t="s">
        <v>959</v>
      </c>
      <c r="E480" s="2" t="str">
        <f>VLOOKUP(Sales_Details2[[#This Row],[Customer_ID]],Customer_Details[#All],4,0)</f>
        <v>Senior</v>
      </c>
      <c r="F480" s="2" t="str">
        <f>VLOOKUP(Sales_Details2[[#This Row],[Customer_ID]],Customer_Details[#All],5,0)</f>
        <v>Female</v>
      </c>
      <c r="G480" s="2" t="str">
        <f>VLOOKUP(Sales_Details2[[#This Row],[Customer_ID]],Customer_Details[#All],9,0)</f>
        <v>Bronze</v>
      </c>
      <c r="H480" s="2" t="s">
        <v>1591</v>
      </c>
      <c r="I480" s="2" t="str">
        <f>VLOOKUP(Sales_Details2[[#This Row],[Product_ID]],Product_details[[#All],[Product_ID]:[Cost]],3,0)</f>
        <v>Home</v>
      </c>
      <c r="J480" s="2" t="str">
        <f>VLOOKUP(Sales_Details2[[#This Row],[Product_ID]],Product_details[[#All],[Product_ID]:[Cost]],4,0)</f>
        <v>Kitchen</v>
      </c>
      <c r="K480" s="2" t="s">
        <v>1744</v>
      </c>
      <c r="L480" s="2" t="str">
        <f>_xlfn.XLOOKUP(Sales_Details2[[#This Row],[Store_ID]],Table2[Store_ID],Table2[Region],"Region not found")</f>
        <v>South</v>
      </c>
      <c r="M480" s="25">
        <v>1</v>
      </c>
      <c r="N480" s="36">
        <v>790.73</v>
      </c>
      <c r="O480" s="29">
        <v>0.24</v>
      </c>
      <c r="P480" s="2" t="s">
        <v>1809</v>
      </c>
      <c r="Q480" s="36">
        <v>600.95479999999998</v>
      </c>
    </row>
    <row r="481" spans="1:17" x14ac:dyDescent="0.3">
      <c r="A481" s="2" t="s">
        <v>2288</v>
      </c>
      <c r="B481" s="14">
        <v>45574</v>
      </c>
      <c r="C481" s="2">
        <f>YEAR(Sales_Details2[[#This Row],[Order_Date]])</f>
        <v>2024</v>
      </c>
      <c r="D481" s="2" t="s">
        <v>1373</v>
      </c>
      <c r="E481" s="2" t="str">
        <f>VLOOKUP(Sales_Details2[[#This Row],[Customer_ID]],Customer_Details[#All],4,0)</f>
        <v>Adult</v>
      </c>
      <c r="F481" s="2" t="str">
        <f>VLOOKUP(Sales_Details2[[#This Row],[Customer_ID]],Customer_Details[#All],5,0)</f>
        <v>Male</v>
      </c>
      <c r="G481" s="2" t="str">
        <f>VLOOKUP(Sales_Details2[[#This Row],[Customer_ID]],Customer_Details[#All],9,0)</f>
        <v>Bronze</v>
      </c>
      <c r="H481" s="2" t="s">
        <v>1561</v>
      </c>
      <c r="I481" s="2" t="str">
        <f>VLOOKUP(Sales_Details2[[#This Row],[Product_ID]],Product_details[[#All],[Product_ID]:[Cost]],3,0)</f>
        <v>Electronics</v>
      </c>
      <c r="J481" s="2" t="str">
        <f>VLOOKUP(Sales_Details2[[#This Row],[Product_ID]],Product_details[[#All],[Product_ID]:[Cost]],4,0)</f>
        <v>Appliances</v>
      </c>
      <c r="K481" s="2" t="s">
        <v>1769</v>
      </c>
      <c r="L481" s="2" t="str">
        <f>_xlfn.XLOOKUP(Sales_Details2[[#This Row],[Store_ID]],Table2[Store_ID],Table2[Region],"Region not found")</f>
        <v>South</v>
      </c>
      <c r="M481" s="25">
        <v>3</v>
      </c>
      <c r="N481" s="36">
        <v>635.13</v>
      </c>
      <c r="O481" s="29">
        <v>0.09</v>
      </c>
      <c r="P481" s="2" t="s">
        <v>1809</v>
      </c>
      <c r="Q481" s="36">
        <v>1733.9049</v>
      </c>
    </row>
    <row r="482" spans="1:17" x14ac:dyDescent="0.3">
      <c r="A482" s="2" t="s">
        <v>2289</v>
      </c>
      <c r="B482" s="14">
        <v>45233</v>
      </c>
      <c r="C482" s="2">
        <f>YEAR(Sales_Details2[[#This Row],[Order_Date]])</f>
        <v>2023</v>
      </c>
      <c r="D482" s="2" t="s">
        <v>842</v>
      </c>
      <c r="E482" s="2" t="str">
        <f>VLOOKUP(Sales_Details2[[#This Row],[Customer_ID]],Customer_Details[#All],4,0)</f>
        <v>Mid-Adult</v>
      </c>
      <c r="F482" s="2" t="str">
        <f>VLOOKUP(Sales_Details2[[#This Row],[Customer_ID]],Customer_Details[#All],5,0)</f>
        <v>Female</v>
      </c>
      <c r="G482" s="2" t="str">
        <f>VLOOKUP(Sales_Details2[[#This Row],[Customer_ID]],Customer_Details[#All],9,0)</f>
        <v>Bronze</v>
      </c>
      <c r="H482" s="2" t="s">
        <v>1717</v>
      </c>
      <c r="I482" s="2" t="str">
        <f>VLOOKUP(Sales_Details2[[#This Row],[Product_ID]],Product_details[[#All],[Product_ID]:[Cost]],3,0)</f>
        <v>Electronics</v>
      </c>
      <c r="J482" s="2" t="str">
        <f>VLOOKUP(Sales_Details2[[#This Row],[Product_ID]],Product_details[[#All],[Product_ID]:[Cost]],4,0)</f>
        <v>Computer</v>
      </c>
      <c r="K482" s="2" t="s">
        <v>1782</v>
      </c>
      <c r="L482" s="2" t="str">
        <f>_xlfn.XLOOKUP(Sales_Details2[[#This Row],[Store_ID]],Table2[Store_ID],Table2[Region],"Region not found")</f>
        <v>South</v>
      </c>
      <c r="M482" s="25">
        <v>1</v>
      </c>
      <c r="N482" s="36">
        <v>744.88</v>
      </c>
      <c r="O482" s="29">
        <v>0.15</v>
      </c>
      <c r="P482" s="2" t="s">
        <v>1812</v>
      </c>
      <c r="Q482" s="36">
        <v>633.14800000000002</v>
      </c>
    </row>
    <row r="483" spans="1:17" x14ac:dyDescent="0.3">
      <c r="A483" s="2" t="s">
        <v>2290</v>
      </c>
      <c r="B483" s="14">
        <v>45745</v>
      </c>
      <c r="C483" s="2">
        <f>YEAR(Sales_Details2[[#This Row],[Order_Date]])</f>
        <v>2025</v>
      </c>
      <c r="D483" s="2" t="s">
        <v>598</v>
      </c>
      <c r="E483" s="2" t="str">
        <f>VLOOKUP(Sales_Details2[[#This Row],[Customer_ID]],Customer_Details[#All],4,0)</f>
        <v>Adult</v>
      </c>
      <c r="F483" s="2" t="str">
        <f>VLOOKUP(Sales_Details2[[#This Row],[Customer_ID]],Customer_Details[#All],5,0)</f>
        <v>Male</v>
      </c>
      <c r="G483" s="2" t="str">
        <f>VLOOKUP(Sales_Details2[[#This Row],[Customer_ID]],Customer_Details[#All],9,0)</f>
        <v>Platinum</v>
      </c>
      <c r="H483" s="2" t="s">
        <v>1587</v>
      </c>
      <c r="I483" s="2" t="str">
        <f>VLOOKUP(Sales_Details2[[#This Row],[Product_ID]],Product_details[[#All],[Product_ID]:[Cost]],3,0)</f>
        <v>Sports</v>
      </c>
      <c r="J483" s="2" t="str">
        <f>VLOOKUP(Sales_Details2[[#This Row],[Product_ID]],Product_details[[#All],[Product_ID]:[Cost]],4,0)</f>
        <v>Accessories</v>
      </c>
      <c r="K483" s="2" t="s">
        <v>1740</v>
      </c>
      <c r="L483" s="2" t="str">
        <f>_xlfn.XLOOKUP(Sales_Details2[[#This Row],[Store_ID]],Table2[Store_ID],Table2[Region],"Region not found")</f>
        <v>North</v>
      </c>
      <c r="M483" s="25">
        <v>3</v>
      </c>
      <c r="N483" s="36">
        <v>205.34</v>
      </c>
      <c r="O483" s="29">
        <v>0.25</v>
      </c>
      <c r="P483" s="2" t="s">
        <v>1807</v>
      </c>
      <c r="Q483" s="36">
        <v>462.01499999999999</v>
      </c>
    </row>
    <row r="484" spans="1:17" x14ac:dyDescent="0.3">
      <c r="A484" s="2" t="s">
        <v>2291</v>
      </c>
      <c r="B484" s="14">
        <v>45851</v>
      </c>
      <c r="C484" s="2">
        <f>YEAR(Sales_Details2[[#This Row],[Order_Date]])</f>
        <v>2025</v>
      </c>
      <c r="D484" s="2" t="s">
        <v>1287</v>
      </c>
      <c r="E484" s="2" t="str">
        <f>VLOOKUP(Sales_Details2[[#This Row],[Customer_ID]],Customer_Details[#All],4,0)</f>
        <v>Mid-Adult</v>
      </c>
      <c r="F484" s="2" t="str">
        <f>VLOOKUP(Sales_Details2[[#This Row],[Customer_ID]],Customer_Details[#All],5,0)</f>
        <v>Male</v>
      </c>
      <c r="G484" s="2" t="str">
        <f>VLOOKUP(Sales_Details2[[#This Row],[Customer_ID]],Customer_Details[#All],9,0)</f>
        <v>Gold</v>
      </c>
      <c r="H484" s="2" t="s">
        <v>1589</v>
      </c>
      <c r="I484" s="2" t="str">
        <f>VLOOKUP(Sales_Details2[[#This Row],[Product_ID]],Product_details[[#All],[Product_ID]:[Cost]],3,0)</f>
        <v>Home</v>
      </c>
      <c r="J484" s="2" t="str">
        <f>VLOOKUP(Sales_Details2[[#This Row],[Product_ID]],Product_details[[#All],[Product_ID]:[Cost]],4,0)</f>
        <v>Decor</v>
      </c>
      <c r="K484" s="2" t="s">
        <v>1765</v>
      </c>
      <c r="L484" s="2" t="str">
        <f>_xlfn.XLOOKUP(Sales_Details2[[#This Row],[Store_ID]],Table2[Store_ID],Table2[Region],"Region not found")</f>
        <v>West</v>
      </c>
      <c r="M484" s="25">
        <v>2</v>
      </c>
      <c r="N484" s="36">
        <v>756.8</v>
      </c>
      <c r="O484" s="29">
        <v>0.15</v>
      </c>
      <c r="P484" s="2" t="s">
        <v>1807</v>
      </c>
      <c r="Q484" s="36">
        <v>1286.56</v>
      </c>
    </row>
    <row r="485" spans="1:17" x14ac:dyDescent="0.3">
      <c r="A485" s="2" t="s">
        <v>2292</v>
      </c>
      <c r="B485" s="14">
        <v>45308</v>
      </c>
      <c r="C485" s="2">
        <f>YEAR(Sales_Details2[[#This Row],[Order_Date]])</f>
        <v>2024</v>
      </c>
      <c r="D485" s="2" t="s">
        <v>171</v>
      </c>
      <c r="E485" s="2" t="str">
        <f>VLOOKUP(Sales_Details2[[#This Row],[Customer_ID]],Customer_Details[#All],4,0)</f>
        <v>Mid-Adult</v>
      </c>
      <c r="F485" s="2" t="str">
        <f>VLOOKUP(Sales_Details2[[#This Row],[Customer_ID]],Customer_Details[#All],5,0)</f>
        <v>Male</v>
      </c>
      <c r="G485" s="2" t="str">
        <f>VLOOKUP(Sales_Details2[[#This Row],[Customer_ID]],Customer_Details[#All],9,0)</f>
        <v>Bronze</v>
      </c>
      <c r="H485" s="2" t="s">
        <v>1573</v>
      </c>
      <c r="I485" s="2" t="str">
        <f>VLOOKUP(Sales_Details2[[#This Row],[Product_ID]],Product_details[[#All],[Product_ID]:[Cost]],3,0)</f>
        <v>Home</v>
      </c>
      <c r="J485" s="2" t="str">
        <f>VLOOKUP(Sales_Details2[[#This Row],[Product_ID]],Product_details[[#All],[Product_ID]:[Cost]],4,0)</f>
        <v>Storage</v>
      </c>
      <c r="K485" s="2" t="s">
        <v>1772</v>
      </c>
      <c r="L485" s="2" t="str">
        <f>_xlfn.XLOOKUP(Sales_Details2[[#This Row],[Store_ID]],Table2[Store_ID],Table2[Region],"Region not found")</f>
        <v>East</v>
      </c>
      <c r="M485" s="25">
        <v>1</v>
      </c>
      <c r="N485" s="36">
        <v>771.73</v>
      </c>
      <c r="O485" s="29">
        <v>0.2</v>
      </c>
      <c r="P485" s="2" t="s">
        <v>1807</v>
      </c>
      <c r="Q485" s="36">
        <v>617.38400000000001</v>
      </c>
    </row>
    <row r="486" spans="1:17" x14ac:dyDescent="0.3">
      <c r="A486" s="2" t="s">
        <v>2293</v>
      </c>
      <c r="B486" s="14">
        <v>45639</v>
      </c>
      <c r="C486" s="2">
        <f>YEAR(Sales_Details2[[#This Row],[Order_Date]])</f>
        <v>2024</v>
      </c>
      <c r="D486" s="2" t="s">
        <v>1458</v>
      </c>
      <c r="E486" s="2" t="str">
        <f>VLOOKUP(Sales_Details2[[#This Row],[Customer_ID]],Customer_Details[#All],4,0)</f>
        <v>Mid-Adult</v>
      </c>
      <c r="F486" s="2" t="str">
        <f>VLOOKUP(Sales_Details2[[#This Row],[Customer_ID]],Customer_Details[#All],5,0)</f>
        <v>Male</v>
      </c>
      <c r="G486" s="2" t="str">
        <f>VLOOKUP(Sales_Details2[[#This Row],[Customer_ID]],Customer_Details[#All],9,0)</f>
        <v>Bronze</v>
      </c>
      <c r="H486" s="2" t="s">
        <v>1663</v>
      </c>
      <c r="I486" s="2" t="str">
        <f>VLOOKUP(Sales_Details2[[#This Row],[Product_ID]],Product_details[[#All],[Product_ID]:[Cost]],3,0)</f>
        <v>Beauty</v>
      </c>
      <c r="J486" s="2" t="str">
        <f>VLOOKUP(Sales_Details2[[#This Row],[Product_ID]],Product_details[[#All],[Product_ID]:[Cost]],4,0)</f>
        <v>Haircare</v>
      </c>
      <c r="K486" s="2" t="s">
        <v>1790</v>
      </c>
      <c r="L486" s="2" t="str">
        <f>_xlfn.XLOOKUP(Sales_Details2[[#This Row],[Store_ID]],Table2[Store_ID],Table2[Region],"Region not found")</f>
        <v>North</v>
      </c>
      <c r="M486" s="25">
        <v>1</v>
      </c>
      <c r="N486" s="36">
        <v>440.19</v>
      </c>
      <c r="O486" s="29">
        <v>0.03</v>
      </c>
      <c r="P486" s="2" t="s">
        <v>1809</v>
      </c>
      <c r="Q486" s="36">
        <v>426.98430000000002</v>
      </c>
    </row>
    <row r="487" spans="1:17" x14ac:dyDescent="0.3">
      <c r="A487" s="2" t="s">
        <v>2294</v>
      </c>
      <c r="B487" s="14">
        <v>45919</v>
      </c>
      <c r="C487" s="2">
        <f>YEAR(Sales_Details2[[#This Row],[Order_Date]])</f>
        <v>2025</v>
      </c>
      <c r="D487" s="2" t="s">
        <v>178</v>
      </c>
      <c r="E487" s="2" t="str">
        <f>VLOOKUP(Sales_Details2[[#This Row],[Customer_ID]],Customer_Details[#All],4,0)</f>
        <v>Senior</v>
      </c>
      <c r="F487" s="2" t="str">
        <f>VLOOKUP(Sales_Details2[[#This Row],[Customer_ID]],Customer_Details[#All],5,0)</f>
        <v>Female</v>
      </c>
      <c r="G487" s="2" t="str">
        <f>VLOOKUP(Sales_Details2[[#This Row],[Customer_ID]],Customer_Details[#All],9,0)</f>
        <v>Silver</v>
      </c>
      <c r="H487" s="2" t="s">
        <v>1536</v>
      </c>
      <c r="I487" s="2" t="str">
        <f>VLOOKUP(Sales_Details2[[#This Row],[Product_ID]],Product_details[[#All],[Product_ID]:[Cost]],3,0)</f>
        <v>Clothing</v>
      </c>
      <c r="J487" s="2" t="str">
        <f>VLOOKUP(Sales_Details2[[#This Row],[Product_ID]],Product_details[[#All],[Product_ID]:[Cost]],4,0)</f>
        <v>Bottoms</v>
      </c>
      <c r="K487" s="2" t="s">
        <v>1744</v>
      </c>
      <c r="L487" s="2" t="str">
        <f>_xlfn.XLOOKUP(Sales_Details2[[#This Row],[Store_ID]],Table2[Store_ID],Table2[Region],"Region not found")</f>
        <v>South</v>
      </c>
      <c r="M487" s="25">
        <v>2</v>
      </c>
      <c r="N487" s="36">
        <v>409</v>
      </c>
      <c r="O487" s="29">
        <v>0.17</v>
      </c>
      <c r="P487" s="2" t="s">
        <v>1807</v>
      </c>
      <c r="Q487" s="36">
        <v>678.93999999999994</v>
      </c>
    </row>
    <row r="488" spans="1:17" x14ac:dyDescent="0.3">
      <c r="A488" s="2" t="s">
        <v>2295</v>
      </c>
      <c r="B488" s="14">
        <v>45333</v>
      </c>
      <c r="C488" s="2">
        <f>YEAR(Sales_Details2[[#This Row],[Order_Date]])</f>
        <v>2024</v>
      </c>
      <c r="D488" s="2" t="s">
        <v>1066</v>
      </c>
      <c r="E488" s="2" t="str">
        <f>VLOOKUP(Sales_Details2[[#This Row],[Customer_ID]],Customer_Details[#All],4,0)</f>
        <v>Mid-Adult</v>
      </c>
      <c r="F488" s="2" t="str">
        <f>VLOOKUP(Sales_Details2[[#This Row],[Customer_ID]],Customer_Details[#All],5,0)</f>
        <v>Male</v>
      </c>
      <c r="G488" s="2" t="str">
        <f>VLOOKUP(Sales_Details2[[#This Row],[Customer_ID]],Customer_Details[#All],9,0)</f>
        <v>Bronze</v>
      </c>
      <c r="H488" s="2" t="s">
        <v>1607</v>
      </c>
      <c r="I488" s="2" t="str">
        <f>VLOOKUP(Sales_Details2[[#This Row],[Product_ID]],Product_details[[#All],[Product_ID]:[Cost]],3,0)</f>
        <v>Sports</v>
      </c>
      <c r="J488" s="2" t="str">
        <f>VLOOKUP(Sales_Details2[[#This Row],[Product_ID]],Product_details[[#All],[Product_ID]:[Cost]],4,0)</f>
        <v>Outdoor</v>
      </c>
      <c r="K488" s="2" t="s">
        <v>1796</v>
      </c>
      <c r="L488" s="2" t="str">
        <f>_xlfn.XLOOKUP(Sales_Details2[[#This Row],[Store_ID]],Table2[Store_ID],Table2[Region],"Region not found")</f>
        <v>East</v>
      </c>
      <c r="M488" s="25">
        <v>3</v>
      </c>
      <c r="N488" s="36">
        <v>134.58000000000001</v>
      </c>
      <c r="O488" s="29">
        <v>0.04</v>
      </c>
      <c r="P488" s="2" t="s">
        <v>1812</v>
      </c>
      <c r="Q488" s="36">
        <v>387.59039999999999</v>
      </c>
    </row>
    <row r="489" spans="1:17" x14ac:dyDescent="0.3">
      <c r="A489" s="2" t="s">
        <v>2296</v>
      </c>
      <c r="B489" s="14">
        <v>45811</v>
      </c>
      <c r="C489" s="2">
        <f>YEAR(Sales_Details2[[#This Row],[Order_Date]])</f>
        <v>2025</v>
      </c>
      <c r="D489" s="2" t="s">
        <v>1080</v>
      </c>
      <c r="E489" s="2" t="str">
        <f>VLOOKUP(Sales_Details2[[#This Row],[Customer_ID]],Customer_Details[#All],4,0)</f>
        <v>Senior</v>
      </c>
      <c r="F489" s="2" t="str">
        <f>VLOOKUP(Sales_Details2[[#This Row],[Customer_ID]],Customer_Details[#All],5,0)</f>
        <v>Male</v>
      </c>
      <c r="G489" s="2" t="str">
        <f>VLOOKUP(Sales_Details2[[#This Row],[Customer_ID]],Customer_Details[#All],9,0)</f>
        <v>Silver</v>
      </c>
      <c r="H489" s="2" t="s">
        <v>1609</v>
      </c>
      <c r="I489" s="2" t="str">
        <f>VLOOKUP(Sales_Details2[[#This Row],[Product_ID]],Product_details[[#All],[Product_ID]:[Cost]],3,0)</f>
        <v>Electronics</v>
      </c>
      <c r="J489" s="2" t="str">
        <f>VLOOKUP(Sales_Details2[[#This Row],[Product_ID]],Product_details[[#All],[Product_ID]:[Cost]],4,0)</f>
        <v>Mobile</v>
      </c>
      <c r="K489" s="2" t="s">
        <v>1762</v>
      </c>
      <c r="L489" s="2" t="str">
        <f>_xlfn.XLOOKUP(Sales_Details2[[#This Row],[Store_ID]],Table2[Store_ID],Table2[Region],"Region not found")</f>
        <v>South</v>
      </c>
      <c r="M489" s="25">
        <v>4</v>
      </c>
      <c r="N489" s="36">
        <v>284.44</v>
      </c>
      <c r="O489" s="29">
        <v>0.02</v>
      </c>
      <c r="P489" s="2" t="s">
        <v>1807</v>
      </c>
      <c r="Q489" s="36">
        <v>1115.0047999999999</v>
      </c>
    </row>
    <row r="490" spans="1:17" x14ac:dyDescent="0.3">
      <c r="A490" s="2" t="s">
        <v>2297</v>
      </c>
      <c r="B490" s="14">
        <v>45726</v>
      </c>
      <c r="C490" s="2">
        <f>YEAR(Sales_Details2[[#This Row],[Order_Date]])</f>
        <v>2025</v>
      </c>
      <c r="D490" s="2" t="s">
        <v>1246</v>
      </c>
      <c r="E490" s="2" t="str">
        <f>VLOOKUP(Sales_Details2[[#This Row],[Customer_ID]],Customer_Details[#All],4,0)</f>
        <v>Adult</v>
      </c>
      <c r="F490" s="2" t="str">
        <f>VLOOKUP(Sales_Details2[[#This Row],[Customer_ID]],Customer_Details[#All],5,0)</f>
        <v>Female</v>
      </c>
      <c r="G490" s="2" t="str">
        <f>VLOOKUP(Sales_Details2[[#This Row],[Customer_ID]],Customer_Details[#All],9,0)</f>
        <v>Gold</v>
      </c>
      <c r="H490" s="2" t="s">
        <v>1677</v>
      </c>
      <c r="I490" s="2" t="str">
        <f>VLOOKUP(Sales_Details2[[#This Row],[Product_ID]],Product_details[[#All],[Product_ID]:[Cost]],3,0)</f>
        <v>Sports</v>
      </c>
      <c r="J490" s="2" t="str">
        <f>VLOOKUP(Sales_Details2[[#This Row],[Product_ID]],Product_details[[#All],[Product_ID]:[Cost]],4,0)</f>
        <v>Team Sports</v>
      </c>
      <c r="K490" s="2" t="s">
        <v>1780</v>
      </c>
      <c r="L490" s="2" t="str">
        <f>_xlfn.XLOOKUP(Sales_Details2[[#This Row],[Store_ID]],Table2[Store_ID],Table2[Region],"Region not found")</f>
        <v>East</v>
      </c>
      <c r="M490" s="25">
        <v>4</v>
      </c>
      <c r="N490" s="36">
        <v>922.69</v>
      </c>
      <c r="O490" s="29">
        <v>0.16</v>
      </c>
      <c r="P490" s="2" t="s">
        <v>1807</v>
      </c>
      <c r="Q490" s="36">
        <v>3100.2384000000002</v>
      </c>
    </row>
    <row r="491" spans="1:17" x14ac:dyDescent="0.3">
      <c r="A491" s="2" t="s">
        <v>2298</v>
      </c>
      <c r="B491" s="14">
        <v>45644</v>
      </c>
      <c r="C491" s="2">
        <f>YEAR(Sales_Details2[[#This Row],[Order_Date]])</f>
        <v>2024</v>
      </c>
      <c r="D491" s="2" t="s">
        <v>867</v>
      </c>
      <c r="E491" s="2" t="str">
        <f>VLOOKUP(Sales_Details2[[#This Row],[Customer_ID]],Customer_Details[#All],4,0)</f>
        <v>Adult</v>
      </c>
      <c r="F491" s="2" t="str">
        <f>VLOOKUP(Sales_Details2[[#This Row],[Customer_ID]],Customer_Details[#All],5,0)</f>
        <v>Male</v>
      </c>
      <c r="G491" s="2" t="str">
        <f>VLOOKUP(Sales_Details2[[#This Row],[Customer_ID]],Customer_Details[#All],9,0)</f>
        <v>Gold</v>
      </c>
      <c r="H491" s="2" t="s">
        <v>1603</v>
      </c>
      <c r="I491" s="2" t="str">
        <f>VLOOKUP(Sales_Details2[[#This Row],[Product_ID]],Product_details[[#All],[Product_ID]:[Cost]],3,0)</f>
        <v>Clothing</v>
      </c>
      <c r="J491" s="2" t="str">
        <f>VLOOKUP(Sales_Details2[[#This Row],[Product_ID]],Product_details[[#All],[Product_ID]:[Cost]],4,0)</f>
        <v>Tops</v>
      </c>
      <c r="K491" s="2" t="s">
        <v>1759</v>
      </c>
      <c r="L491" s="2" t="str">
        <f>_xlfn.XLOOKUP(Sales_Details2[[#This Row],[Store_ID]],Table2[Store_ID],Table2[Region],"Region not found")</f>
        <v>East</v>
      </c>
      <c r="M491" s="25">
        <v>2</v>
      </c>
      <c r="N491" s="36">
        <v>992.55</v>
      </c>
      <c r="O491" s="29">
        <v>0.28000000000000003</v>
      </c>
      <c r="P491" s="2" t="s">
        <v>1807</v>
      </c>
      <c r="Q491" s="36">
        <v>1429.2719999999999</v>
      </c>
    </row>
    <row r="492" spans="1:17" x14ac:dyDescent="0.3">
      <c r="A492" s="2" t="s">
        <v>2299</v>
      </c>
      <c r="B492" s="14">
        <v>45371</v>
      </c>
      <c r="C492" s="2">
        <f>YEAR(Sales_Details2[[#This Row],[Order_Date]])</f>
        <v>2024</v>
      </c>
      <c r="D492" s="2" t="s">
        <v>1284</v>
      </c>
      <c r="E492" s="2" t="str">
        <f>VLOOKUP(Sales_Details2[[#This Row],[Customer_ID]],Customer_Details[#All],4,0)</f>
        <v>Senior</v>
      </c>
      <c r="F492" s="2" t="str">
        <f>VLOOKUP(Sales_Details2[[#This Row],[Customer_ID]],Customer_Details[#All],5,0)</f>
        <v>Female</v>
      </c>
      <c r="G492" s="2" t="str">
        <f>VLOOKUP(Sales_Details2[[#This Row],[Customer_ID]],Customer_Details[#All],9,0)</f>
        <v>Silver</v>
      </c>
      <c r="H492" s="2" t="s">
        <v>1709</v>
      </c>
      <c r="I492" s="2" t="str">
        <f>VLOOKUP(Sales_Details2[[#This Row],[Product_ID]],Product_details[[#All],[Product_ID]:[Cost]],3,0)</f>
        <v>Beauty</v>
      </c>
      <c r="J492" s="2" t="str">
        <f>VLOOKUP(Sales_Details2[[#This Row],[Product_ID]],Product_details[[#All],[Product_ID]:[Cost]],4,0)</f>
        <v>Makeup</v>
      </c>
      <c r="K492" s="2" t="s">
        <v>1793</v>
      </c>
      <c r="L492" s="2" t="str">
        <f>_xlfn.XLOOKUP(Sales_Details2[[#This Row],[Store_ID]],Table2[Store_ID],Table2[Region],"Region not found")</f>
        <v>East</v>
      </c>
      <c r="M492" s="25">
        <v>1</v>
      </c>
      <c r="N492" s="36">
        <v>170.43</v>
      </c>
      <c r="O492" s="29">
        <v>0.03</v>
      </c>
      <c r="P492" s="2" t="s">
        <v>1807</v>
      </c>
      <c r="Q492" s="36">
        <v>165.31710000000001</v>
      </c>
    </row>
    <row r="493" spans="1:17" x14ac:dyDescent="0.3">
      <c r="A493" s="2" t="s">
        <v>2300</v>
      </c>
      <c r="B493" s="14">
        <v>45462</v>
      </c>
      <c r="C493" s="2">
        <f>YEAR(Sales_Details2[[#This Row],[Order_Date]])</f>
        <v>2024</v>
      </c>
      <c r="D493" s="2" t="s">
        <v>716</v>
      </c>
      <c r="E493" s="2" t="str">
        <f>VLOOKUP(Sales_Details2[[#This Row],[Customer_ID]],Customer_Details[#All],4,0)</f>
        <v>Mid-Adult</v>
      </c>
      <c r="F493" s="2" t="str">
        <f>VLOOKUP(Sales_Details2[[#This Row],[Customer_ID]],Customer_Details[#All],5,0)</f>
        <v>Male</v>
      </c>
      <c r="G493" s="2" t="str">
        <f>VLOOKUP(Sales_Details2[[#This Row],[Customer_ID]],Customer_Details[#All],9,0)</f>
        <v>Platinum</v>
      </c>
      <c r="H493" s="2" t="s">
        <v>1675</v>
      </c>
      <c r="I493" s="2" t="str">
        <f>VLOOKUP(Sales_Details2[[#This Row],[Product_ID]],Product_details[[#All],[Product_ID]:[Cost]],3,0)</f>
        <v>Sports</v>
      </c>
      <c r="J493" s="2" t="str">
        <f>VLOOKUP(Sales_Details2[[#This Row],[Product_ID]],Product_details[[#All],[Product_ID]:[Cost]],4,0)</f>
        <v>Fitness</v>
      </c>
      <c r="K493" s="2" t="s">
        <v>1744</v>
      </c>
      <c r="L493" s="2" t="str">
        <f>_xlfn.XLOOKUP(Sales_Details2[[#This Row],[Store_ID]],Table2[Store_ID],Table2[Region],"Region not found")</f>
        <v>South</v>
      </c>
      <c r="M493" s="25">
        <v>3</v>
      </c>
      <c r="N493" s="36">
        <v>480.51</v>
      </c>
      <c r="O493" s="29">
        <v>0.03</v>
      </c>
      <c r="P493" s="2" t="s">
        <v>1807</v>
      </c>
      <c r="Q493" s="36">
        <v>1398.2841000000001</v>
      </c>
    </row>
    <row r="494" spans="1:17" x14ac:dyDescent="0.3">
      <c r="A494" s="2" t="s">
        <v>2301</v>
      </c>
      <c r="B494" s="14">
        <v>45632</v>
      </c>
      <c r="C494" s="2">
        <f>YEAR(Sales_Details2[[#This Row],[Order_Date]])</f>
        <v>2024</v>
      </c>
      <c r="D494" s="2" t="s">
        <v>518</v>
      </c>
      <c r="E494" s="2" t="str">
        <f>VLOOKUP(Sales_Details2[[#This Row],[Customer_ID]],Customer_Details[#All],4,0)</f>
        <v>Mid-Adult</v>
      </c>
      <c r="F494" s="2" t="str">
        <f>VLOOKUP(Sales_Details2[[#This Row],[Customer_ID]],Customer_Details[#All],5,0)</f>
        <v>Male</v>
      </c>
      <c r="G494" s="2" t="str">
        <f>VLOOKUP(Sales_Details2[[#This Row],[Customer_ID]],Customer_Details[#All],9,0)</f>
        <v>Bronze</v>
      </c>
      <c r="H494" s="2" t="s">
        <v>1629</v>
      </c>
      <c r="I494" s="2" t="str">
        <f>VLOOKUP(Sales_Details2[[#This Row],[Product_ID]],Product_details[[#All],[Product_ID]:[Cost]],3,0)</f>
        <v>Beauty</v>
      </c>
      <c r="J494" s="2" t="str">
        <f>VLOOKUP(Sales_Details2[[#This Row],[Product_ID]],Product_details[[#All],[Product_ID]:[Cost]],4,0)</f>
        <v>Fragrance</v>
      </c>
      <c r="K494" s="2" t="s">
        <v>1762</v>
      </c>
      <c r="L494" s="2" t="str">
        <f>_xlfn.XLOOKUP(Sales_Details2[[#This Row],[Store_ID]],Table2[Store_ID],Table2[Region],"Region not found")</f>
        <v>South</v>
      </c>
      <c r="M494" s="25">
        <v>2</v>
      </c>
      <c r="N494" s="36">
        <v>955.66</v>
      </c>
      <c r="O494" s="29">
        <v>0.28999999999999998</v>
      </c>
      <c r="P494" s="2" t="s">
        <v>1812</v>
      </c>
      <c r="Q494" s="36">
        <v>1357.0372</v>
      </c>
    </row>
    <row r="495" spans="1:17" x14ac:dyDescent="0.3">
      <c r="A495" s="2" t="s">
        <v>2302</v>
      </c>
      <c r="B495" s="14">
        <v>45863</v>
      </c>
      <c r="C495" s="2">
        <f>YEAR(Sales_Details2[[#This Row],[Order_Date]])</f>
        <v>2025</v>
      </c>
      <c r="D495" s="2" t="s">
        <v>1379</v>
      </c>
      <c r="E495" s="2" t="str">
        <f>VLOOKUP(Sales_Details2[[#This Row],[Customer_ID]],Customer_Details[#All],4,0)</f>
        <v>Mid-Adult</v>
      </c>
      <c r="F495" s="2" t="str">
        <f>VLOOKUP(Sales_Details2[[#This Row],[Customer_ID]],Customer_Details[#All],5,0)</f>
        <v>Male</v>
      </c>
      <c r="G495" s="2" t="str">
        <f>VLOOKUP(Sales_Details2[[#This Row],[Customer_ID]],Customer_Details[#All],9,0)</f>
        <v>Gold</v>
      </c>
      <c r="H495" s="2" t="s">
        <v>1675</v>
      </c>
      <c r="I495" s="2" t="str">
        <f>VLOOKUP(Sales_Details2[[#This Row],[Product_ID]],Product_details[[#All],[Product_ID]:[Cost]],3,0)</f>
        <v>Sports</v>
      </c>
      <c r="J495" s="2" t="str">
        <f>VLOOKUP(Sales_Details2[[#This Row],[Product_ID]],Product_details[[#All],[Product_ID]:[Cost]],4,0)</f>
        <v>Fitness</v>
      </c>
      <c r="K495" s="2" t="s">
        <v>1735</v>
      </c>
      <c r="L495" s="2" t="str">
        <f>_xlfn.XLOOKUP(Sales_Details2[[#This Row],[Store_ID]],Table2[Store_ID],Table2[Region],"Region not found")</f>
        <v>East</v>
      </c>
      <c r="M495" s="25">
        <v>2</v>
      </c>
      <c r="N495" s="36">
        <v>488.02</v>
      </c>
      <c r="O495" s="29">
        <v>0.27</v>
      </c>
      <c r="P495" s="2" t="s">
        <v>1809</v>
      </c>
      <c r="Q495" s="36">
        <v>712.50919999999996</v>
      </c>
    </row>
    <row r="496" spans="1:17" x14ac:dyDescent="0.3">
      <c r="A496" s="2" t="s">
        <v>2303</v>
      </c>
      <c r="B496" s="14">
        <v>45501</v>
      </c>
      <c r="C496" s="2">
        <f>YEAR(Sales_Details2[[#This Row],[Order_Date]])</f>
        <v>2024</v>
      </c>
      <c r="D496" s="2" t="s">
        <v>764</v>
      </c>
      <c r="E496" s="2" t="str">
        <f>VLOOKUP(Sales_Details2[[#This Row],[Customer_ID]],Customer_Details[#All],4,0)</f>
        <v>Senior</v>
      </c>
      <c r="F496" s="2" t="str">
        <f>VLOOKUP(Sales_Details2[[#This Row],[Customer_ID]],Customer_Details[#All],5,0)</f>
        <v>Female</v>
      </c>
      <c r="G496" s="2" t="str">
        <f>VLOOKUP(Sales_Details2[[#This Row],[Customer_ID]],Customer_Details[#All],9,0)</f>
        <v>Platinum</v>
      </c>
      <c r="H496" s="2" t="s">
        <v>1567</v>
      </c>
      <c r="I496" s="2" t="str">
        <f>VLOOKUP(Sales_Details2[[#This Row],[Product_ID]],Product_details[[#All],[Product_ID]:[Cost]],3,0)</f>
        <v>Clothing</v>
      </c>
      <c r="J496" s="2" t="str">
        <f>VLOOKUP(Sales_Details2[[#This Row],[Product_ID]],Product_details[[#All],[Product_ID]:[Cost]],4,0)</f>
        <v>Bottoms</v>
      </c>
      <c r="K496" s="2" t="s">
        <v>1735</v>
      </c>
      <c r="L496" s="2" t="str">
        <f>_xlfn.XLOOKUP(Sales_Details2[[#This Row],[Store_ID]],Table2[Store_ID],Table2[Region],"Region not found")</f>
        <v>East</v>
      </c>
      <c r="M496" s="25">
        <v>1</v>
      </c>
      <c r="N496" s="36">
        <v>917.17</v>
      </c>
      <c r="O496" s="29">
        <v>0.13</v>
      </c>
      <c r="P496" s="2" t="s">
        <v>1812</v>
      </c>
      <c r="Q496" s="36">
        <v>797.93790000000001</v>
      </c>
    </row>
    <row r="497" spans="1:17" x14ac:dyDescent="0.3">
      <c r="A497" s="2" t="s">
        <v>2304</v>
      </c>
      <c r="B497" s="14">
        <v>45568</v>
      </c>
      <c r="C497" s="2">
        <f>YEAR(Sales_Details2[[#This Row],[Order_Date]])</f>
        <v>2024</v>
      </c>
      <c r="D497" s="2" t="s">
        <v>1010</v>
      </c>
      <c r="E497" s="2" t="str">
        <f>VLOOKUP(Sales_Details2[[#This Row],[Customer_ID]],Customer_Details[#All],4,0)</f>
        <v>Senior</v>
      </c>
      <c r="F497" s="2" t="str">
        <f>VLOOKUP(Sales_Details2[[#This Row],[Customer_ID]],Customer_Details[#All],5,0)</f>
        <v>Male</v>
      </c>
      <c r="G497" s="2" t="str">
        <f>VLOOKUP(Sales_Details2[[#This Row],[Customer_ID]],Customer_Details[#All],9,0)</f>
        <v>Bronze</v>
      </c>
      <c r="H497" s="2" t="s">
        <v>1545</v>
      </c>
      <c r="I497" s="2" t="str">
        <f>VLOOKUP(Sales_Details2[[#This Row],[Product_ID]],Product_details[[#All],[Product_ID]:[Cost]],3,0)</f>
        <v>Electronics</v>
      </c>
      <c r="J497" s="2" t="str">
        <f>VLOOKUP(Sales_Details2[[#This Row],[Product_ID]],Product_details[[#All],[Product_ID]:[Cost]],4,0)</f>
        <v>Audio</v>
      </c>
      <c r="K497" s="2" t="s">
        <v>1756</v>
      </c>
      <c r="L497" s="2" t="str">
        <f>_xlfn.XLOOKUP(Sales_Details2[[#This Row],[Store_ID]],Table2[Store_ID],Table2[Region],"Region not found")</f>
        <v>North</v>
      </c>
      <c r="M497" s="25">
        <v>2</v>
      </c>
      <c r="N497" s="36">
        <v>406.46</v>
      </c>
      <c r="O497" s="29">
        <v>0.3</v>
      </c>
      <c r="P497" s="2" t="s">
        <v>1809</v>
      </c>
      <c r="Q497" s="36">
        <v>569.04399999999998</v>
      </c>
    </row>
    <row r="498" spans="1:17" x14ac:dyDescent="0.3">
      <c r="A498" s="2" t="s">
        <v>2305</v>
      </c>
      <c r="B498" s="14">
        <v>45238</v>
      </c>
      <c r="C498" s="2">
        <f>YEAR(Sales_Details2[[#This Row],[Order_Date]])</f>
        <v>2023</v>
      </c>
      <c r="D498" s="2" t="s">
        <v>740</v>
      </c>
      <c r="E498" s="2" t="str">
        <f>VLOOKUP(Sales_Details2[[#This Row],[Customer_ID]],Customer_Details[#All],4,0)</f>
        <v>Adult</v>
      </c>
      <c r="F498" s="2" t="str">
        <f>VLOOKUP(Sales_Details2[[#This Row],[Customer_ID]],Customer_Details[#All],5,0)</f>
        <v>Female</v>
      </c>
      <c r="G498" s="2" t="str">
        <f>VLOOKUP(Sales_Details2[[#This Row],[Customer_ID]],Customer_Details[#All],9,0)</f>
        <v>Platinum</v>
      </c>
      <c r="H498" s="2" t="s">
        <v>1721</v>
      </c>
      <c r="I498" s="2" t="str">
        <f>VLOOKUP(Sales_Details2[[#This Row],[Product_ID]],Product_details[[#All],[Product_ID]:[Cost]],3,0)</f>
        <v>Sports</v>
      </c>
      <c r="J498" s="2" t="str">
        <f>VLOOKUP(Sales_Details2[[#This Row],[Product_ID]],Product_details[[#All],[Product_ID]:[Cost]],4,0)</f>
        <v>Accessories</v>
      </c>
      <c r="K498" s="2" t="s">
        <v>1735</v>
      </c>
      <c r="L498" s="2" t="str">
        <f>_xlfn.XLOOKUP(Sales_Details2[[#This Row],[Store_ID]],Table2[Store_ID],Table2[Region],"Region not found")</f>
        <v>East</v>
      </c>
      <c r="M498" s="25">
        <v>2</v>
      </c>
      <c r="N498" s="36">
        <v>264.39</v>
      </c>
      <c r="O498" s="29">
        <v>0.11</v>
      </c>
      <c r="P498" s="2" t="s">
        <v>1812</v>
      </c>
      <c r="Q498" s="36">
        <v>470.61419999999998</v>
      </c>
    </row>
    <row r="499" spans="1:17" x14ac:dyDescent="0.3">
      <c r="A499" s="2" t="s">
        <v>2306</v>
      </c>
      <c r="B499" s="14">
        <v>45754</v>
      </c>
      <c r="C499" s="2">
        <f>YEAR(Sales_Details2[[#This Row],[Order_Date]])</f>
        <v>2025</v>
      </c>
      <c r="D499" s="2" t="s">
        <v>622</v>
      </c>
      <c r="E499" s="2" t="str">
        <f>VLOOKUP(Sales_Details2[[#This Row],[Customer_ID]],Customer_Details[#All],4,0)</f>
        <v>Adult</v>
      </c>
      <c r="F499" s="2" t="str">
        <f>VLOOKUP(Sales_Details2[[#This Row],[Customer_ID]],Customer_Details[#All],5,0)</f>
        <v>Female</v>
      </c>
      <c r="G499" s="2" t="str">
        <f>VLOOKUP(Sales_Details2[[#This Row],[Customer_ID]],Customer_Details[#All],9,0)</f>
        <v>Bronze</v>
      </c>
      <c r="H499" s="2" t="s">
        <v>1667</v>
      </c>
      <c r="I499" s="2" t="str">
        <f>VLOOKUP(Sales_Details2[[#This Row],[Product_ID]],Product_details[[#All],[Product_ID]:[Cost]],3,0)</f>
        <v>Home</v>
      </c>
      <c r="J499" s="2" t="str">
        <f>VLOOKUP(Sales_Details2[[#This Row],[Product_ID]],Product_details[[#All],[Product_ID]:[Cost]],4,0)</f>
        <v>Furniture</v>
      </c>
      <c r="K499" s="2" t="s">
        <v>1787</v>
      </c>
      <c r="L499" s="2" t="str">
        <f>_xlfn.XLOOKUP(Sales_Details2[[#This Row],[Store_ID]],Table2[Store_ID],Table2[Region],"Region not found")</f>
        <v>West</v>
      </c>
      <c r="M499" s="25">
        <v>1</v>
      </c>
      <c r="N499" s="36">
        <v>414.97</v>
      </c>
      <c r="O499" s="29">
        <v>0.22</v>
      </c>
      <c r="P499" s="2" t="s">
        <v>1809</v>
      </c>
      <c r="Q499" s="36">
        <v>323.67660000000001</v>
      </c>
    </row>
    <row r="500" spans="1:17" x14ac:dyDescent="0.3">
      <c r="A500" s="2" t="s">
        <v>2307</v>
      </c>
      <c r="B500" s="14">
        <v>45280</v>
      </c>
      <c r="C500" s="2">
        <f>YEAR(Sales_Details2[[#This Row],[Order_Date]])</f>
        <v>2023</v>
      </c>
      <c r="D500" s="2" t="s">
        <v>488</v>
      </c>
      <c r="E500" s="2" t="str">
        <f>VLOOKUP(Sales_Details2[[#This Row],[Customer_ID]],Customer_Details[#All],4,0)</f>
        <v>Mid-Adult</v>
      </c>
      <c r="F500" s="2" t="str">
        <f>VLOOKUP(Sales_Details2[[#This Row],[Customer_ID]],Customer_Details[#All],5,0)</f>
        <v>Female</v>
      </c>
      <c r="G500" s="2" t="str">
        <f>VLOOKUP(Sales_Details2[[#This Row],[Customer_ID]],Customer_Details[#All],9,0)</f>
        <v>Gold</v>
      </c>
      <c r="H500" s="2" t="s">
        <v>1581</v>
      </c>
      <c r="I500" s="2" t="str">
        <f>VLOOKUP(Sales_Details2[[#This Row],[Product_ID]],Product_details[[#All],[Product_ID]:[Cost]],3,0)</f>
        <v>Clothing</v>
      </c>
      <c r="J500" s="2" t="str">
        <f>VLOOKUP(Sales_Details2[[#This Row],[Product_ID]],Product_details[[#All],[Product_ID]:[Cost]],4,0)</f>
        <v>Accessories</v>
      </c>
      <c r="K500" s="2" t="s">
        <v>1777</v>
      </c>
      <c r="L500" s="2" t="str">
        <f>_xlfn.XLOOKUP(Sales_Details2[[#This Row],[Store_ID]],Table2[Store_ID],Table2[Region],"Region not found")</f>
        <v>North</v>
      </c>
      <c r="M500" s="25">
        <v>2</v>
      </c>
      <c r="N500" s="36">
        <v>583.51</v>
      </c>
      <c r="O500" s="29">
        <v>0.2</v>
      </c>
      <c r="P500" s="2" t="s">
        <v>1812</v>
      </c>
      <c r="Q500" s="36">
        <v>933.61599999999999</v>
      </c>
    </row>
    <row r="501" spans="1:17" x14ac:dyDescent="0.3">
      <c r="A501" s="2" t="s">
        <v>2308</v>
      </c>
      <c r="B501" s="14">
        <v>45911</v>
      </c>
      <c r="C501" s="2">
        <f>YEAR(Sales_Details2[[#This Row],[Order_Date]])</f>
        <v>2025</v>
      </c>
      <c r="D501" s="2" t="s">
        <v>55</v>
      </c>
      <c r="E501" s="2" t="str">
        <f>VLOOKUP(Sales_Details2[[#This Row],[Customer_ID]],Customer_Details[#All],4,0)</f>
        <v>Adult</v>
      </c>
      <c r="F501" s="2" t="str">
        <f>VLOOKUP(Sales_Details2[[#This Row],[Customer_ID]],Customer_Details[#All],5,0)</f>
        <v>Female</v>
      </c>
      <c r="G501" s="2" t="str">
        <f>VLOOKUP(Sales_Details2[[#This Row],[Customer_ID]],Customer_Details[#All],9,0)</f>
        <v>Gold</v>
      </c>
      <c r="H501" s="2" t="s">
        <v>1593</v>
      </c>
      <c r="I501" s="2" t="str">
        <f>VLOOKUP(Sales_Details2[[#This Row],[Product_ID]],Product_details[[#All],[Product_ID]:[Cost]],3,0)</f>
        <v>Sports</v>
      </c>
      <c r="J501" s="2" t="str">
        <f>VLOOKUP(Sales_Details2[[#This Row],[Product_ID]],Product_details[[#All],[Product_ID]:[Cost]],4,0)</f>
        <v>Team Sports</v>
      </c>
      <c r="K501" s="2" t="s">
        <v>1790</v>
      </c>
      <c r="L501" s="2" t="str">
        <f>_xlfn.XLOOKUP(Sales_Details2[[#This Row],[Store_ID]],Table2[Store_ID],Table2[Region],"Region not found")</f>
        <v>North</v>
      </c>
      <c r="M501" s="25">
        <v>1</v>
      </c>
      <c r="N501" s="36">
        <v>659.27</v>
      </c>
      <c r="O501" s="29">
        <v>0.15</v>
      </c>
      <c r="P501" s="2" t="s">
        <v>1809</v>
      </c>
      <c r="Q501" s="36">
        <v>560.37950000000001</v>
      </c>
    </row>
    <row r="502" spans="1:17" x14ac:dyDescent="0.3">
      <c r="A502" s="2" t="s">
        <v>2309</v>
      </c>
      <c r="B502" s="14">
        <v>45627</v>
      </c>
      <c r="C502" s="2">
        <f>YEAR(Sales_Details2[[#This Row],[Order_Date]])</f>
        <v>2024</v>
      </c>
      <c r="D502" s="2" t="s">
        <v>1361</v>
      </c>
      <c r="E502" s="2" t="str">
        <f>VLOOKUP(Sales_Details2[[#This Row],[Customer_ID]],Customer_Details[#All],4,0)</f>
        <v>Mid-Adult</v>
      </c>
      <c r="F502" s="2" t="str">
        <f>VLOOKUP(Sales_Details2[[#This Row],[Customer_ID]],Customer_Details[#All],5,0)</f>
        <v>Female</v>
      </c>
      <c r="G502" s="2" t="str">
        <f>VLOOKUP(Sales_Details2[[#This Row],[Customer_ID]],Customer_Details[#All],9,0)</f>
        <v>Platinum</v>
      </c>
      <c r="H502" s="2" t="s">
        <v>1532</v>
      </c>
      <c r="I502" s="2" t="str">
        <f>VLOOKUP(Sales_Details2[[#This Row],[Product_ID]],Product_details[[#All],[Product_ID]:[Cost]],3,0)</f>
        <v>Clothing</v>
      </c>
      <c r="J502" s="2" t="str">
        <f>VLOOKUP(Sales_Details2[[#This Row],[Product_ID]],Product_details[[#All],[Product_ID]:[Cost]],4,0)</f>
        <v>Outerwear</v>
      </c>
      <c r="K502" s="2" t="s">
        <v>1752</v>
      </c>
      <c r="L502" s="2" t="str">
        <f>_xlfn.XLOOKUP(Sales_Details2[[#This Row],[Store_ID]],Table2[Store_ID],Table2[Region],"Region not found")</f>
        <v>South</v>
      </c>
      <c r="M502" s="25">
        <v>4</v>
      </c>
      <c r="N502" s="36">
        <v>106.66</v>
      </c>
      <c r="O502" s="29">
        <v>0.2</v>
      </c>
      <c r="P502" s="2" t="s">
        <v>1812</v>
      </c>
      <c r="Q502" s="36">
        <v>341.31200000000001</v>
      </c>
    </row>
    <row r="503" spans="1:17" x14ac:dyDescent="0.3">
      <c r="A503" s="2" t="s">
        <v>2310</v>
      </c>
      <c r="B503" s="14">
        <v>45617</v>
      </c>
      <c r="C503" s="2">
        <f>YEAR(Sales_Details2[[#This Row],[Order_Date]])</f>
        <v>2024</v>
      </c>
      <c r="D503" s="2" t="s">
        <v>539</v>
      </c>
      <c r="E503" s="2" t="str">
        <f>VLOOKUP(Sales_Details2[[#This Row],[Customer_ID]],Customer_Details[#All],4,0)</f>
        <v>Adult</v>
      </c>
      <c r="F503" s="2" t="str">
        <f>VLOOKUP(Sales_Details2[[#This Row],[Customer_ID]],Customer_Details[#All],5,0)</f>
        <v>Male</v>
      </c>
      <c r="G503" s="2" t="str">
        <f>VLOOKUP(Sales_Details2[[#This Row],[Customer_ID]],Customer_Details[#All],9,0)</f>
        <v>Bronze</v>
      </c>
      <c r="H503" s="2" t="s">
        <v>1551</v>
      </c>
      <c r="I503" s="2" t="str">
        <f>VLOOKUP(Sales_Details2[[#This Row],[Product_ID]],Product_details[[#All],[Product_ID]:[Cost]],3,0)</f>
        <v>Home</v>
      </c>
      <c r="J503" s="2" t="str">
        <f>VLOOKUP(Sales_Details2[[#This Row],[Product_ID]],Product_details[[#All],[Product_ID]:[Cost]],4,0)</f>
        <v>Kitchen</v>
      </c>
      <c r="K503" s="2" t="s">
        <v>1756</v>
      </c>
      <c r="L503" s="2" t="str">
        <f>_xlfn.XLOOKUP(Sales_Details2[[#This Row],[Store_ID]],Table2[Store_ID],Table2[Region],"Region not found")</f>
        <v>North</v>
      </c>
      <c r="M503" s="25">
        <v>4</v>
      </c>
      <c r="N503" s="36">
        <v>168.55</v>
      </c>
      <c r="O503" s="29">
        <v>0.15</v>
      </c>
      <c r="P503" s="2" t="s">
        <v>1809</v>
      </c>
      <c r="Q503" s="36">
        <v>573.07000000000005</v>
      </c>
    </row>
    <row r="504" spans="1:17" x14ac:dyDescent="0.3">
      <c r="A504" s="2" t="s">
        <v>2311</v>
      </c>
      <c r="B504" s="14">
        <v>45899</v>
      </c>
      <c r="C504" s="2">
        <f>YEAR(Sales_Details2[[#This Row],[Order_Date]])</f>
        <v>2025</v>
      </c>
      <c r="D504" s="2" t="s">
        <v>1484</v>
      </c>
      <c r="E504" s="2" t="str">
        <f>VLOOKUP(Sales_Details2[[#This Row],[Customer_ID]],Customer_Details[#All],4,0)</f>
        <v>Adult</v>
      </c>
      <c r="F504" s="2" t="str">
        <f>VLOOKUP(Sales_Details2[[#This Row],[Customer_ID]],Customer_Details[#All],5,0)</f>
        <v>Female</v>
      </c>
      <c r="G504" s="2" t="str">
        <f>VLOOKUP(Sales_Details2[[#This Row],[Customer_ID]],Customer_Details[#All],9,0)</f>
        <v>Platinum</v>
      </c>
      <c r="H504" s="2" t="s">
        <v>1619</v>
      </c>
      <c r="I504" s="2" t="str">
        <f>VLOOKUP(Sales_Details2[[#This Row],[Product_ID]],Product_details[[#All],[Product_ID]:[Cost]],3,0)</f>
        <v>Sports</v>
      </c>
      <c r="J504" s="2" t="str">
        <f>VLOOKUP(Sales_Details2[[#This Row],[Product_ID]],Product_details[[#All],[Product_ID]:[Cost]],4,0)</f>
        <v>Fitness</v>
      </c>
      <c r="K504" s="2" t="s">
        <v>1744</v>
      </c>
      <c r="L504" s="2" t="str">
        <f>_xlfn.XLOOKUP(Sales_Details2[[#This Row],[Store_ID]],Table2[Store_ID],Table2[Region],"Region not found")</f>
        <v>South</v>
      </c>
      <c r="M504" s="25">
        <v>1</v>
      </c>
      <c r="N504" s="36">
        <v>230.53</v>
      </c>
      <c r="O504" s="29">
        <v>0.06</v>
      </c>
      <c r="P504" s="2" t="s">
        <v>1812</v>
      </c>
      <c r="Q504" s="36">
        <v>216.69820000000001</v>
      </c>
    </row>
    <row r="505" spans="1:17" x14ac:dyDescent="0.3">
      <c r="A505" s="2" t="s">
        <v>2312</v>
      </c>
      <c r="B505" s="14">
        <v>45889</v>
      </c>
      <c r="C505" s="2">
        <f>YEAR(Sales_Details2[[#This Row],[Order_Date]])</f>
        <v>2025</v>
      </c>
      <c r="D505" s="2" t="s">
        <v>40</v>
      </c>
      <c r="E505" s="2" t="str">
        <f>VLOOKUP(Sales_Details2[[#This Row],[Customer_ID]],Customer_Details[#All],4,0)</f>
        <v>Adult</v>
      </c>
      <c r="F505" s="2" t="str">
        <f>VLOOKUP(Sales_Details2[[#This Row],[Customer_ID]],Customer_Details[#All],5,0)</f>
        <v>Female</v>
      </c>
      <c r="G505" s="2" t="str">
        <f>VLOOKUP(Sales_Details2[[#This Row],[Customer_ID]],Customer_Details[#All],9,0)</f>
        <v>Bronze</v>
      </c>
      <c r="H505" s="2" t="s">
        <v>1639</v>
      </c>
      <c r="I505" s="2" t="str">
        <f>VLOOKUP(Sales_Details2[[#This Row],[Product_ID]],Product_details[[#All],[Product_ID]:[Cost]],3,0)</f>
        <v>Sports</v>
      </c>
      <c r="J505" s="2" t="str">
        <f>VLOOKUP(Sales_Details2[[#This Row],[Product_ID]],Product_details[[#All],[Product_ID]:[Cost]],4,0)</f>
        <v>Accessories</v>
      </c>
      <c r="K505" s="2" t="s">
        <v>1740</v>
      </c>
      <c r="L505" s="2" t="str">
        <f>_xlfn.XLOOKUP(Sales_Details2[[#This Row],[Store_ID]],Table2[Store_ID],Table2[Region],"Region not found")</f>
        <v>North</v>
      </c>
      <c r="M505" s="25">
        <v>2</v>
      </c>
      <c r="N505" s="36">
        <v>355.41</v>
      </c>
      <c r="O505" s="29">
        <v>0.13</v>
      </c>
      <c r="P505" s="2" t="s">
        <v>1812</v>
      </c>
      <c r="Q505" s="36">
        <v>618.41340000000002</v>
      </c>
    </row>
    <row r="506" spans="1:17" x14ac:dyDescent="0.3">
      <c r="A506" s="2" t="s">
        <v>2313</v>
      </c>
      <c r="B506" s="14">
        <v>45943</v>
      </c>
      <c r="C506" s="2">
        <f>YEAR(Sales_Details2[[#This Row],[Order_Date]])</f>
        <v>2025</v>
      </c>
      <c r="D506" s="2" t="s">
        <v>551</v>
      </c>
      <c r="E506" s="2" t="str">
        <f>VLOOKUP(Sales_Details2[[#This Row],[Customer_ID]],Customer_Details[#All],4,0)</f>
        <v>Mid-Adult</v>
      </c>
      <c r="F506" s="2" t="str">
        <f>VLOOKUP(Sales_Details2[[#This Row],[Customer_ID]],Customer_Details[#All],5,0)</f>
        <v>Female</v>
      </c>
      <c r="G506" s="2" t="str">
        <f>VLOOKUP(Sales_Details2[[#This Row],[Customer_ID]],Customer_Details[#All],9,0)</f>
        <v>Gold</v>
      </c>
      <c r="H506" s="2" t="s">
        <v>1625</v>
      </c>
      <c r="I506" s="2" t="str">
        <f>VLOOKUP(Sales_Details2[[#This Row],[Product_ID]],Product_details[[#All],[Product_ID]:[Cost]],3,0)</f>
        <v>Beauty</v>
      </c>
      <c r="J506" s="2" t="str">
        <f>VLOOKUP(Sales_Details2[[#This Row],[Product_ID]],Product_details[[#All],[Product_ID]:[Cost]],4,0)</f>
        <v>Makeup</v>
      </c>
      <c r="K506" s="2" t="s">
        <v>1744</v>
      </c>
      <c r="L506" s="2" t="str">
        <f>_xlfn.XLOOKUP(Sales_Details2[[#This Row],[Store_ID]],Table2[Store_ID],Table2[Region],"Region not found")</f>
        <v>South</v>
      </c>
      <c r="M506" s="25">
        <v>3</v>
      </c>
      <c r="N506" s="36">
        <v>843.44</v>
      </c>
      <c r="O506" s="29">
        <v>0.22</v>
      </c>
      <c r="P506" s="2" t="s">
        <v>1807</v>
      </c>
      <c r="Q506" s="36">
        <v>1973.6496</v>
      </c>
    </row>
    <row r="507" spans="1:17" x14ac:dyDescent="0.3">
      <c r="A507" s="2" t="s">
        <v>2314</v>
      </c>
      <c r="B507" s="14">
        <v>45306</v>
      </c>
      <c r="C507" s="2">
        <f>YEAR(Sales_Details2[[#This Row],[Order_Date]])</f>
        <v>2024</v>
      </c>
      <c r="D507" s="2" t="s">
        <v>539</v>
      </c>
      <c r="E507" s="2" t="str">
        <f>VLOOKUP(Sales_Details2[[#This Row],[Customer_ID]],Customer_Details[#All],4,0)</f>
        <v>Adult</v>
      </c>
      <c r="F507" s="2" t="str">
        <f>VLOOKUP(Sales_Details2[[#This Row],[Customer_ID]],Customer_Details[#All],5,0)</f>
        <v>Male</v>
      </c>
      <c r="G507" s="2" t="str">
        <f>VLOOKUP(Sales_Details2[[#This Row],[Customer_ID]],Customer_Details[#All],9,0)</f>
        <v>Bronze</v>
      </c>
      <c r="H507" s="2" t="s">
        <v>1721</v>
      </c>
      <c r="I507" s="2" t="str">
        <f>VLOOKUP(Sales_Details2[[#This Row],[Product_ID]],Product_details[[#All],[Product_ID]:[Cost]],3,0)</f>
        <v>Sports</v>
      </c>
      <c r="J507" s="2" t="str">
        <f>VLOOKUP(Sales_Details2[[#This Row],[Product_ID]],Product_details[[#All],[Product_ID]:[Cost]],4,0)</f>
        <v>Accessories</v>
      </c>
      <c r="K507" s="2" t="s">
        <v>1740</v>
      </c>
      <c r="L507" s="2" t="str">
        <f>_xlfn.XLOOKUP(Sales_Details2[[#This Row],[Store_ID]],Table2[Store_ID],Table2[Region],"Region not found")</f>
        <v>North</v>
      </c>
      <c r="M507" s="25">
        <v>1</v>
      </c>
      <c r="N507" s="36">
        <v>301.60000000000002</v>
      </c>
      <c r="O507" s="29">
        <v>0.27</v>
      </c>
      <c r="P507" s="2" t="s">
        <v>1807</v>
      </c>
      <c r="Q507" s="36">
        <v>220.16800000000001</v>
      </c>
    </row>
    <row r="508" spans="1:17" x14ac:dyDescent="0.3">
      <c r="A508" s="2" t="s">
        <v>2315</v>
      </c>
      <c r="B508" s="14">
        <v>45772</v>
      </c>
      <c r="C508" s="2">
        <f>YEAR(Sales_Details2[[#This Row],[Order_Date]])</f>
        <v>2025</v>
      </c>
      <c r="D508" s="2" t="s">
        <v>163</v>
      </c>
      <c r="E508" s="2" t="str">
        <f>VLOOKUP(Sales_Details2[[#This Row],[Customer_ID]],Customer_Details[#All],4,0)</f>
        <v>Adult</v>
      </c>
      <c r="F508" s="2" t="str">
        <f>VLOOKUP(Sales_Details2[[#This Row],[Customer_ID]],Customer_Details[#All],5,0)</f>
        <v>Male</v>
      </c>
      <c r="G508" s="2" t="str">
        <f>VLOOKUP(Sales_Details2[[#This Row],[Customer_ID]],Customer_Details[#All],9,0)</f>
        <v>Platinum</v>
      </c>
      <c r="H508" s="2" t="s">
        <v>1709</v>
      </c>
      <c r="I508" s="2" t="str">
        <f>VLOOKUP(Sales_Details2[[#This Row],[Product_ID]],Product_details[[#All],[Product_ID]:[Cost]],3,0)</f>
        <v>Beauty</v>
      </c>
      <c r="J508" s="2" t="str">
        <f>VLOOKUP(Sales_Details2[[#This Row],[Product_ID]],Product_details[[#All],[Product_ID]:[Cost]],4,0)</f>
        <v>Makeup</v>
      </c>
      <c r="K508" s="2" t="s">
        <v>1744</v>
      </c>
      <c r="L508" s="2" t="str">
        <f>_xlfn.XLOOKUP(Sales_Details2[[#This Row],[Store_ID]],Table2[Store_ID],Table2[Region],"Region not found")</f>
        <v>South</v>
      </c>
      <c r="M508" s="25">
        <v>3</v>
      </c>
      <c r="N508" s="36">
        <v>21.59</v>
      </c>
      <c r="O508" s="29">
        <v>0.16</v>
      </c>
      <c r="P508" s="2" t="s">
        <v>1812</v>
      </c>
      <c r="Q508" s="36">
        <v>54.406799999999997</v>
      </c>
    </row>
    <row r="509" spans="1:17" x14ac:dyDescent="0.3">
      <c r="A509" s="2" t="s">
        <v>2316</v>
      </c>
      <c r="B509" s="14">
        <v>45346</v>
      </c>
      <c r="C509" s="2">
        <f>YEAR(Sales_Details2[[#This Row],[Order_Date]])</f>
        <v>2024</v>
      </c>
      <c r="D509" s="2" t="s">
        <v>684</v>
      </c>
      <c r="E509" s="2" t="str">
        <f>VLOOKUP(Sales_Details2[[#This Row],[Customer_ID]],Customer_Details[#All],4,0)</f>
        <v>Senior</v>
      </c>
      <c r="F509" s="2" t="str">
        <f>VLOOKUP(Sales_Details2[[#This Row],[Customer_ID]],Customer_Details[#All],5,0)</f>
        <v>Female</v>
      </c>
      <c r="G509" s="2" t="str">
        <f>VLOOKUP(Sales_Details2[[#This Row],[Customer_ID]],Customer_Details[#All],9,0)</f>
        <v>Platinum</v>
      </c>
      <c r="H509" s="2" t="s">
        <v>1557</v>
      </c>
      <c r="I509" s="2" t="str">
        <f>VLOOKUP(Sales_Details2[[#This Row],[Product_ID]],Product_details[[#All],[Product_ID]:[Cost]],3,0)</f>
        <v>Electronics</v>
      </c>
      <c r="J509" s="2" t="str">
        <f>VLOOKUP(Sales_Details2[[#This Row],[Product_ID]],Product_details[[#All],[Product_ID]:[Cost]],4,0)</f>
        <v>Accessories</v>
      </c>
      <c r="K509" s="2" t="s">
        <v>1744</v>
      </c>
      <c r="L509" s="2" t="str">
        <f>_xlfn.XLOOKUP(Sales_Details2[[#This Row],[Store_ID]],Table2[Store_ID],Table2[Region],"Region not found")</f>
        <v>South</v>
      </c>
      <c r="M509" s="25">
        <v>4</v>
      </c>
      <c r="N509" s="36">
        <v>284.24</v>
      </c>
      <c r="O509" s="29">
        <v>0.09</v>
      </c>
      <c r="P509" s="2" t="s">
        <v>1807</v>
      </c>
      <c r="Q509" s="36">
        <v>1034.6335999999999</v>
      </c>
    </row>
    <row r="510" spans="1:17" x14ac:dyDescent="0.3">
      <c r="A510" s="2" t="s">
        <v>2317</v>
      </c>
      <c r="B510" s="14">
        <v>45656</v>
      </c>
      <c r="C510" s="2">
        <f>YEAR(Sales_Details2[[#This Row],[Order_Date]])</f>
        <v>2024</v>
      </c>
      <c r="D510" s="2" t="s">
        <v>1138</v>
      </c>
      <c r="E510" s="2" t="str">
        <f>VLOOKUP(Sales_Details2[[#This Row],[Customer_ID]],Customer_Details[#All],4,0)</f>
        <v>Mid-Adult</v>
      </c>
      <c r="F510" s="2" t="str">
        <f>VLOOKUP(Sales_Details2[[#This Row],[Customer_ID]],Customer_Details[#All],5,0)</f>
        <v>Female</v>
      </c>
      <c r="G510" s="2" t="str">
        <f>VLOOKUP(Sales_Details2[[#This Row],[Customer_ID]],Customer_Details[#All],9,0)</f>
        <v>Platinum</v>
      </c>
      <c r="H510" s="2" t="s">
        <v>1538</v>
      </c>
      <c r="I510" s="2" t="str">
        <f>VLOOKUP(Sales_Details2[[#This Row],[Product_ID]],Product_details[[#All],[Product_ID]:[Cost]],3,0)</f>
        <v>Clothing</v>
      </c>
      <c r="J510" s="2" t="str">
        <f>VLOOKUP(Sales_Details2[[#This Row],[Product_ID]],Product_details[[#All],[Product_ID]:[Cost]],4,0)</f>
        <v>Accessories</v>
      </c>
      <c r="K510" s="2" t="s">
        <v>1769</v>
      </c>
      <c r="L510" s="2" t="str">
        <f>_xlfn.XLOOKUP(Sales_Details2[[#This Row],[Store_ID]],Table2[Store_ID],Table2[Region],"Region not found")</f>
        <v>South</v>
      </c>
      <c r="M510" s="25">
        <v>1</v>
      </c>
      <c r="N510" s="36">
        <v>191.6</v>
      </c>
      <c r="O510" s="29">
        <v>0.27</v>
      </c>
      <c r="P510" s="2" t="s">
        <v>1809</v>
      </c>
      <c r="Q510" s="36">
        <v>139.86799999999999</v>
      </c>
    </row>
    <row r="511" spans="1:17" x14ac:dyDescent="0.3">
      <c r="A511" s="2" t="s">
        <v>2318</v>
      </c>
      <c r="B511" s="14">
        <v>45762</v>
      </c>
      <c r="C511" s="2">
        <f>YEAR(Sales_Details2[[#This Row],[Order_Date]])</f>
        <v>2025</v>
      </c>
      <c r="D511" s="2" t="s">
        <v>971</v>
      </c>
      <c r="E511" s="2" t="str">
        <f>VLOOKUP(Sales_Details2[[#This Row],[Customer_ID]],Customer_Details[#All],4,0)</f>
        <v>Mid-Adult</v>
      </c>
      <c r="F511" s="2" t="str">
        <f>VLOOKUP(Sales_Details2[[#This Row],[Customer_ID]],Customer_Details[#All],5,0)</f>
        <v>Male</v>
      </c>
      <c r="G511" s="2" t="str">
        <f>VLOOKUP(Sales_Details2[[#This Row],[Customer_ID]],Customer_Details[#All],9,0)</f>
        <v>Platinum</v>
      </c>
      <c r="H511" s="2" t="s">
        <v>1687</v>
      </c>
      <c r="I511" s="2" t="str">
        <f>VLOOKUP(Sales_Details2[[#This Row],[Product_ID]],Product_details[[#All],[Product_ID]:[Cost]],3,0)</f>
        <v>Home</v>
      </c>
      <c r="J511" s="2" t="str">
        <f>VLOOKUP(Sales_Details2[[#This Row],[Product_ID]],Product_details[[#All],[Product_ID]:[Cost]],4,0)</f>
        <v>Decor</v>
      </c>
      <c r="K511" s="2" t="s">
        <v>1777</v>
      </c>
      <c r="L511" s="2" t="str">
        <f>_xlfn.XLOOKUP(Sales_Details2[[#This Row],[Store_ID]],Table2[Store_ID],Table2[Region],"Region not found")</f>
        <v>North</v>
      </c>
      <c r="M511" s="25">
        <v>2</v>
      </c>
      <c r="N511" s="36">
        <v>616.97</v>
      </c>
      <c r="O511" s="29">
        <v>0.22</v>
      </c>
      <c r="P511" s="2" t="s">
        <v>1807</v>
      </c>
      <c r="Q511" s="36">
        <v>962.47320000000002</v>
      </c>
    </row>
    <row r="512" spans="1:17" x14ac:dyDescent="0.3">
      <c r="A512" s="2" t="s">
        <v>2319</v>
      </c>
      <c r="B512" s="14">
        <v>45580</v>
      </c>
      <c r="C512" s="2">
        <f>YEAR(Sales_Details2[[#This Row],[Order_Date]])</f>
        <v>2024</v>
      </c>
      <c r="D512" s="2" t="s">
        <v>554</v>
      </c>
      <c r="E512" s="2" t="str">
        <f>VLOOKUP(Sales_Details2[[#This Row],[Customer_ID]],Customer_Details[#All],4,0)</f>
        <v>Mid-Adult</v>
      </c>
      <c r="F512" s="2" t="str">
        <f>VLOOKUP(Sales_Details2[[#This Row],[Customer_ID]],Customer_Details[#All],5,0)</f>
        <v>Female</v>
      </c>
      <c r="G512" s="2" t="str">
        <f>VLOOKUP(Sales_Details2[[#This Row],[Customer_ID]],Customer_Details[#All],9,0)</f>
        <v>Platinum</v>
      </c>
      <c r="H512" s="2" t="s">
        <v>1587</v>
      </c>
      <c r="I512" s="2" t="str">
        <f>VLOOKUP(Sales_Details2[[#This Row],[Product_ID]],Product_details[[#All],[Product_ID]:[Cost]],3,0)</f>
        <v>Sports</v>
      </c>
      <c r="J512" s="2" t="str">
        <f>VLOOKUP(Sales_Details2[[#This Row],[Product_ID]],Product_details[[#All],[Product_ID]:[Cost]],4,0)</f>
        <v>Accessories</v>
      </c>
      <c r="K512" s="2" t="s">
        <v>1772</v>
      </c>
      <c r="L512" s="2" t="str">
        <f>_xlfn.XLOOKUP(Sales_Details2[[#This Row],[Store_ID]],Table2[Store_ID],Table2[Region],"Region not found")</f>
        <v>East</v>
      </c>
      <c r="M512" s="25">
        <v>3</v>
      </c>
      <c r="N512" s="36">
        <v>125.68</v>
      </c>
      <c r="O512" s="29">
        <v>0.26</v>
      </c>
      <c r="P512" s="2" t="s">
        <v>1812</v>
      </c>
      <c r="Q512" s="36">
        <v>279.00959999999998</v>
      </c>
    </row>
    <row r="513" spans="1:17" x14ac:dyDescent="0.3">
      <c r="A513" s="2" t="s">
        <v>2320</v>
      </c>
      <c r="B513" s="14">
        <v>45676</v>
      </c>
      <c r="C513" s="2">
        <f>YEAR(Sales_Details2[[#This Row],[Order_Date]])</f>
        <v>2025</v>
      </c>
      <c r="D513" s="2" t="s">
        <v>1092</v>
      </c>
      <c r="E513" s="2" t="str">
        <f>VLOOKUP(Sales_Details2[[#This Row],[Customer_ID]],Customer_Details[#All],4,0)</f>
        <v>Senior</v>
      </c>
      <c r="F513" s="2" t="str">
        <f>VLOOKUP(Sales_Details2[[#This Row],[Customer_ID]],Customer_Details[#All],5,0)</f>
        <v>Female</v>
      </c>
      <c r="G513" s="2" t="str">
        <f>VLOOKUP(Sales_Details2[[#This Row],[Customer_ID]],Customer_Details[#All],9,0)</f>
        <v>Silver</v>
      </c>
      <c r="H513" s="2" t="s">
        <v>1617</v>
      </c>
      <c r="I513" s="2" t="str">
        <f>VLOOKUP(Sales_Details2[[#This Row],[Product_ID]],Product_details[[#All],[Product_ID]:[Cost]],3,0)</f>
        <v>Electronics</v>
      </c>
      <c r="J513" s="2" t="str">
        <f>VLOOKUP(Sales_Details2[[#This Row],[Product_ID]],Product_details[[#All],[Product_ID]:[Cost]],4,0)</f>
        <v>Computer</v>
      </c>
      <c r="K513" s="2" t="s">
        <v>1752</v>
      </c>
      <c r="L513" s="2" t="str">
        <f>_xlfn.XLOOKUP(Sales_Details2[[#This Row],[Store_ID]],Table2[Store_ID],Table2[Region],"Region not found")</f>
        <v>South</v>
      </c>
      <c r="M513" s="25">
        <v>3</v>
      </c>
      <c r="N513" s="36">
        <v>307.48</v>
      </c>
      <c r="O513" s="29">
        <v>0.24</v>
      </c>
      <c r="P513" s="2" t="s">
        <v>1807</v>
      </c>
      <c r="Q513" s="36">
        <v>701.0544000000001</v>
      </c>
    </row>
    <row r="514" spans="1:17" x14ac:dyDescent="0.3">
      <c r="A514" s="2" t="s">
        <v>2321</v>
      </c>
      <c r="B514" s="14">
        <v>45495</v>
      </c>
      <c r="C514" s="2">
        <f>YEAR(Sales_Details2[[#This Row],[Order_Date]])</f>
        <v>2024</v>
      </c>
      <c r="D514" s="2" t="s">
        <v>933</v>
      </c>
      <c r="E514" s="2" t="str">
        <f>VLOOKUP(Sales_Details2[[#This Row],[Customer_ID]],Customer_Details[#All],4,0)</f>
        <v>Senior</v>
      </c>
      <c r="F514" s="2" t="str">
        <f>VLOOKUP(Sales_Details2[[#This Row],[Customer_ID]],Customer_Details[#All],5,0)</f>
        <v>Male</v>
      </c>
      <c r="G514" s="2" t="str">
        <f>VLOOKUP(Sales_Details2[[#This Row],[Customer_ID]],Customer_Details[#All],9,0)</f>
        <v>Platinum</v>
      </c>
      <c r="H514" s="2" t="s">
        <v>1532</v>
      </c>
      <c r="I514" s="2" t="str">
        <f>VLOOKUP(Sales_Details2[[#This Row],[Product_ID]],Product_details[[#All],[Product_ID]:[Cost]],3,0)</f>
        <v>Clothing</v>
      </c>
      <c r="J514" s="2" t="str">
        <f>VLOOKUP(Sales_Details2[[#This Row],[Product_ID]],Product_details[[#All],[Product_ID]:[Cost]],4,0)</f>
        <v>Outerwear</v>
      </c>
      <c r="K514" s="2" t="s">
        <v>1796</v>
      </c>
      <c r="L514" s="2" t="str">
        <f>_xlfn.XLOOKUP(Sales_Details2[[#This Row],[Store_ID]],Table2[Store_ID],Table2[Region],"Region not found")</f>
        <v>East</v>
      </c>
      <c r="M514" s="25">
        <v>1</v>
      </c>
      <c r="N514" s="36">
        <v>505.23</v>
      </c>
      <c r="O514" s="29">
        <v>0.11</v>
      </c>
      <c r="P514" s="2" t="s">
        <v>1807</v>
      </c>
      <c r="Q514" s="36">
        <v>449.65469999999999</v>
      </c>
    </row>
    <row r="515" spans="1:17" x14ac:dyDescent="0.3">
      <c r="A515" s="2" t="s">
        <v>2322</v>
      </c>
      <c r="B515" s="14">
        <v>45735</v>
      </c>
      <c r="C515" s="2">
        <f>YEAR(Sales_Details2[[#This Row],[Order_Date]])</f>
        <v>2025</v>
      </c>
      <c r="D515" s="2" t="s">
        <v>1129</v>
      </c>
      <c r="E515" s="2" t="str">
        <f>VLOOKUP(Sales_Details2[[#This Row],[Customer_ID]],Customer_Details[#All],4,0)</f>
        <v>Senior</v>
      </c>
      <c r="F515" s="2" t="str">
        <f>VLOOKUP(Sales_Details2[[#This Row],[Customer_ID]],Customer_Details[#All],5,0)</f>
        <v>Female</v>
      </c>
      <c r="G515" s="2" t="str">
        <f>VLOOKUP(Sales_Details2[[#This Row],[Customer_ID]],Customer_Details[#All],9,0)</f>
        <v>Platinum</v>
      </c>
      <c r="H515" s="2" t="s">
        <v>1621</v>
      </c>
      <c r="I515" s="2" t="str">
        <f>VLOOKUP(Sales_Details2[[#This Row],[Product_ID]],Product_details[[#All],[Product_ID]:[Cost]],3,0)</f>
        <v>Sports</v>
      </c>
      <c r="J515" s="2" t="str">
        <f>VLOOKUP(Sales_Details2[[#This Row],[Product_ID]],Product_details[[#All],[Product_ID]:[Cost]],4,0)</f>
        <v>Team Sports</v>
      </c>
      <c r="K515" s="2" t="s">
        <v>1787</v>
      </c>
      <c r="L515" s="2" t="str">
        <f>_xlfn.XLOOKUP(Sales_Details2[[#This Row],[Store_ID]],Table2[Store_ID],Table2[Region],"Region not found")</f>
        <v>West</v>
      </c>
      <c r="M515" s="25">
        <v>1</v>
      </c>
      <c r="N515" s="36">
        <v>853.12</v>
      </c>
      <c r="O515" s="29">
        <v>0.19</v>
      </c>
      <c r="P515" s="2" t="s">
        <v>1812</v>
      </c>
      <c r="Q515" s="36">
        <v>691.02719999999999</v>
      </c>
    </row>
    <row r="516" spans="1:17" x14ac:dyDescent="0.3">
      <c r="A516" s="2" t="s">
        <v>2323</v>
      </c>
      <c r="B516" s="14">
        <v>45312</v>
      </c>
      <c r="C516" s="2">
        <f>YEAR(Sales_Details2[[#This Row],[Order_Date]])</f>
        <v>2024</v>
      </c>
      <c r="D516" s="2" t="s">
        <v>439</v>
      </c>
      <c r="E516" s="2" t="str">
        <f>VLOOKUP(Sales_Details2[[#This Row],[Customer_ID]],Customer_Details[#All],4,0)</f>
        <v>Mid-Adult</v>
      </c>
      <c r="F516" s="2" t="str">
        <f>VLOOKUP(Sales_Details2[[#This Row],[Customer_ID]],Customer_Details[#All],5,0)</f>
        <v>Female</v>
      </c>
      <c r="G516" s="2" t="str">
        <f>VLOOKUP(Sales_Details2[[#This Row],[Customer_ID]],Customer_Details[#All],9,0)</f>
        <v>Silver</v>
      </c>
      <c r="H516" s="2" t="s">
        <v>1526</v>
      </c>
      <c r="I516" s="2" t="str">
        <f>VLOOKUP(Sales_Details2[[#This Row],[Product_ID]],Product_details[[#All],[Product_ID]:[Cost]],3,0)</f>
        <v>Electronics</v>
      </c>
      <c r="J516" s="2" t="str">
        <f>VLOOKUP(Sales_Details2[[#This Row],[Product_ID]],Product_details[[#All],[Product_ID]:[Cost]],4,0)</f>
        <v>Computer</v>
      </c>
      <c r="K516" s="2" t="s">
        <v>1762</v>
      </c>
      <c r="L516" s="2" t="str">
        <f>_xlfn.XLOOKUP(Sales_Details2[[#This Row],[Store_ID]],Table2[Store_ID],Table2[Region],"Region not found")</f>
        <v>South</v>
      </c>
      <c r="M516" s="25">
        <v>4</v>
      </c>
      <c r="N516" s="36">
        <v>191.65</v>
      </c>
      <c r="O516" s="29">
        <v>0.19</v>
      </c>
      <c r="P516" s="2" t="s">
        <v>1809</v>
      </c>
      <c r="Q516" s="36">
        <v>620.94600000000003</v>
      </c>
    </row>
    <row r="517" spans="1:17" x14ac:dyDescent="0.3">
      <c r="A517" s="2" t="s">
        <v>2324</v>
      </c>
      <c r="B517" s="14">
        <v>45286</v>
      </c>
      <c r="C517" s="2">
        <f>YEAR(Sales_Details2[[#This Row],[Order_Date]])</f>
        <v>2023</v>
      </c>
      <c r="D517" s="2" t="s">
        <v>530</v>
      </c>
      <c r="E517" s="2" t="str">
        <f>VLOOKUP(Sales_Details2[[#This Row],[Customer_ID]],Customer_Details[#All],4,0)</f>
        <v>Mid-Adult</v>
      </c>
      <c r="F517" s="2" t="str">
        <f>VLOOKUP(Sales_Details2[[#This Row],[Customer_ID]],Customer_Details[#All],5,0)</f>
        <v>Female</v>
      </c>
      <c r="G517" s="2" t="str">
        <f>VLOOKUP(Sales_Details2[[#This Row],[Customer_ID]],Customer_Details[#All],9,0)</f>
        <v>Platinum</v>
      </c>
      <c r="H517" s="2" t="s">
        <v>1625</v>
      </c>
      <c r="I517" s="2" t="str">
        <f>VLOOKUP(Sales_Details2[[#This Row],[Product_ID]],Product_details[[#All],[Product_ID]:[Cost]],3,0)</f>
        <v>Beauty</v>
      </c>
      <c r="J517" s="2" t="str">
        <f>VLOOKUP(Sales_Details2[[#This Row],[Product_ID]],Product_details[[#All],[Product_ID]:[Cost]],4,0)</f>
        <v>Makeup</v>
      </c>
      <c r="K517" s="2" t="s">
        <v>1749</v>
      </c>
      <c r="L517" s="2" t="str">
        <f>_xlfn.XLOOKUP(Sales_Details2[[#This Row],[Store_ID]],Table2[Store_ID],Table2[Region],"Region not found")</f>
        <v>North</v>
      </c>
      <c r="M517" s="25">
        <v>1</v>
      </c>
      <c r="N517" s="36">
        <v>169.69</v>
      </c>
      <c r="O517" s="29">
        <v>0.22</v>
      </c>
      <c r="P517" s="2" t="s">
        <v>1807</v>
      </c>
      <c r="Q517" s="36">
        <v>132.35820000000001</v>
      </c>
    </row>
    <row r="518" spans="1:17" x14ac:dyDescent="0.3">
      <c r="A518" s="2" t="s">
        <v>2325</v>
      </c>
      <c r="B518" s="14">
        <v>45372</v>
      </c>
      <c r="C518" s="2">
        <f>YEAR(Sales_Details2[[#This Row],[Order_Date]])</f>
        <v>2024</v>
      </c>
      <c r="D518" s="2" t="s">
        <v>573</v>
      </c>
      <c r="E518" s="2" t="str">
        <f>VLOOKUP(Sales_Details2[[#This Row],[Customer_ID]],Customer_Details[#All],4,0)</f>
        <v>Senior</v>
      </c>
      <c r="F518" s="2" t="str">
        <f>VLOOKUP(Sales_Details2[[#This Row],[Customer_ID]],Customer_Details[#All],5,0)</f>
        <v>Male</v>
      </c>
      <c r="G518" s="2" t="str">
        <f>VLOOKUP(Sales_Details2[[#This Row],[Customer_ID]],Customer_Details[#All],9,0)</f>
        <v>Platinum</v>
      </c>
      <c r="H518" s="2" t="s">
        <v>1655</v>
      </c>
      <c r="I518" s="2" t="str">
        <f>VLOOKUP(Sales_Details2[[#This Row],[Product_ID]],Product_details[[#All],[Product_ID]:[Cost]],3,0)</f>
        <v>Electronics</v>
      </c>
      <c r="J518" s="2" t="str">
        <f>VLOOKUP(Sales_Details2[[#This Row],[Product_ID]],Product_details[[#All],[Product_ID]:[Cost]],4,0)</f>
        <v>Computer</v>
      </c>
      <c r="K518" s="2" t="s">
        <v>1782</v>
      </c>
      <c r="L518" s="2" t="str">
        <f>_xlfn.XLOOKUP(Sales_Details2[[#This Row],[Store_ID]],Table2[Store_ID],Table2[Region],"Region not found")</f>
        <v>South</v>
      </c>
      <c r="M518" s="25">
        <v>1</v>
      </c>
      <c r="N518" s="36">
        <v>145.43</v>
      </c>
      <c r="O518" s="29">
        <v>0.08</v>
      </c>
      <c r="P518" s="2" t="s">
        <v>1807</v>
      </c>
      <c r="Q518" s="36">
        <v>133.79560000000001</v>
      </c>
    </row>
    <row r="519" spans="1:17" x14ac:dyDescent="0.3">
      <c r="A519" s="2" t="s">
        <v>2326</v>
      </c>
      <c r="B519" s="14">
        <v>45633</v>
      </c>
      <c r="C519" s="2">
        <f>YEAR(Sales_Details2[[#This Row],[Order_Date]])</f>
        <v>2024</v>
      </c>
      <c r="D519" s="2" t="s">
        <v>301</v>
      </c>
      <c r="E519" s="2" t="str">
        <f>VLOOKUP(Sales_Details2[[#This Row],[Customer_ID]],Customer_Details[#All],4,0)</f>
        <v>Adult</v>
      </c>
      <c r="F519" s="2" t="str">
        <f>VLOOKUP(Sales_Details2[[#This Row],[Customer_ID]],Customer_Details[#All],5,0)</f>
        <v>Female</v>
      </c>
      <c r="G519" s="2" t="str">
        <f>VLOOKUP(Sales_Details2[[#This Row],[Customer_ID]],Customer_Details[#All],9,0)</f>
        <v>Platinum</v>
      </c>
      <c r="H519" s="2" t="s">
        <v>1717</v>
      </c>
      <c r="I519" s="2" t="str">
        <f>VLOOKUP(Sales_Details2[[#This Row],[Product_ID]],Product_details[[#All],[Product_ID]:[Cost]],3,0)</f>
        <v>Electronics</v>
      </c>
      <c r="J519" s="2" t="str">
        <f>VLOOKUP(Sales_Details2[[#This Row],[Product_ID]],Product_details[[#All],[Product_ID]:[Cost]],4,0)</f>
        <v>Computer</v>
      </c>
      <c r="K519" s="2" t="s">
        <v>1777</v>
      </c>
      <c r="L519" s="2" t="str">
        <f>_xlfn.XLOOKUP(Sales_Details2[[#This Row],[Store_ID]],Table2[Store_ID],Table2[Region],"Region not found")</f>
        <v>North</v>
      </c>
      <c r="M519" s="25">
        <v>4</v>
      </c>
      <c r="N519" s="36">
        <v>828.35</v>
      </c>
      <c r="O519" s="29">
        <v>0.17</v>
      </c>
      <c r="P519" s="2" t="s">
        <v>1807</v>
      </c>
      <c r="Q519" s="36">
        <v>2750.1219999999998</v>
      </c>
    </row>
    <row r="520" spans="1:17" x14ac:dyDescent="0.3">
      <c r="A520" s="2" t="s">
        <v>2327</v>
      </c>
      <c r="B520" s="14">
        <v>45598</v>
      </c>
      <c r="C520" s="2">
        <f>YEAR(Sales_Details2[[#This Row],[Order_Date]])</f>
        <v>2024</v>
      </c>
      <c r="D520" s="2" t="s">
        <v>1121</v>
      </c>
      <c r="E520" s="2" t="str">
        <f>VLOOKUP(Sales_Details2[[#This Row],[Customer_ID]],Customer_Details[#All],4,0)</f>
        <v>Senior</v>
      </c>
      <c r="F520" s="2" t="str">
        <f>VLOOKUP(Sales_Details2[[#This Row],[Customer_ID]],Customer_Details[#All],5,0)</f>
        <v>Male</v>
      </c>
      <c r="G520" s="2" t="str">
        <f>VLOOKUP(Sales_Details2[[#This Row],[Customer_ID]],Customer_Details[#All],9,0)</f>
        <v>Gold</v>
      </c>
      <c r="H520" s="2" t="s">
        <v>1721</v>
      </c>
      <c r="I520" s="2" t="str">
        <f>VLOOKUP(Sales_Details2[[#This Row],[Product_ID]],Product_details[[#All],[Product_ID]:[Cost]],3,0)</f>
        <v>Sports</v>
      </c>
      <c r="J520" s="2" t="str">
        <f>VLOOKUP(Sales_Details2[[#This Row],[Product_ID]],Product_details[[#All],[Product_ID]:[Cost]],4,0)</f>
        <v>Accessories</v>
      </c>
      <c r="K520" s="2" t="s">
        <v>1762</v>
      </c>
      <c r="L520" s="2" t="str">
        <f>_xlfn.XLOOKUP(Sales_Details2[[#This Row],[Store_ID]],Table2[Store_ID],Table2[Region],"Region not found")</f>
        <v>South</v>
      </c>
      <c r="M520" s="25">
        <v>3</v>
      </c>
      <c r="N520" s="36">
        <v>268.76</v>
      </c>
      <c r="O520" s="29">
        <v>0.01</v>
      </c>
      <c r="P520" s="2" t="s">
        <v>1809</v>
      </c>
      <c r="Q520" s="36">
        <v>798.21719999999993</v>
      </c>
    </row>
    <row r="521" spans="1:17" x14ac:dyDescent="0.3">
      <c r="A521" s="2" t="s">
        <v>2328</v>
      </c>
      <c r="B521" s="14">
        <v>45495</v>
      </c>
      <c r="C521" s="2">
        <f>YEAR(Sales_Details2[[#This Row],[Order_Date]])</f>
        <v>2024</v>
      </c>
      <c r="D521" s="2" t="s">
        <v>743</v>
      </c>
      <c r="E521" s="2" t="str">
        <f>VLOOKUP(Sales_Details2[[#This Row],[Customer_ID]],Customer_Details[#All],4,0)</f>
        <v>Senior</v>
      </c>
      <c r="F521" s="2" t="str">
        <f>VLOOKUP(Sales_Details2[[#This Row],[Customer_ID]],Customer_Details[#All],5,0)</f>
        <v>Male</v>
      </c>
      <c r="G521" s="2" t="str">
        <f>VLOOKUP(Sales_Details2[[#This Row],[Customer_ID]],Customer_Details[#All],9,0)</f>
        <v>Silver</v>
      </c>
      <c r="H521" s="2" t="s">
        <v>1707</v>
      </c>
      <c r="I521" s="2" t="str">
        <f>VLOOKUP(Sales_Details2[[#This Row],[Product_ID]],Product_details[[#All],[Product_ID]:[Cost]],3,0)</f>
        <v>Sports</v>
      </c>
      <c r="J521" s="2" t="str">
        <f>VLOOKUP(Sales_Details2[[#This Row],[Product_ID]],Product_details[[#All],[Product_ID]:[Cost]],4,0)</f>
        <v>Accessories</v>
      </c>
      <c r="K521" s="2" t="s">
        <v>1735</v>
      </c>
      <c r="L521" s="2" t="str">
        <f>_xlfn.XLOOKUP(Sales_Details2[[#This Row],[Store_ID]],Table2[Store_ID],Table2[Region],"Region not found")</f>
        <v>East</v>
      </c>
      <c r="M521" s="25">
        <v>4</v>
      </c>
      <c r="N521" s="36">
        <v>370.09</v>
      </c>
      <c r="O521" s="29">
        <v>0.22</v>
      </c>
      <c r="P521" s="2" t="s">
        <v>1812</v>
      </c>
      <c r="Q521" s="36">
        <v>1154.6808000000001</v>
      </c>
    </row>
    <row r="522" spans="1:17" x14ac:dyDescent="0.3">
      <c r="A522" s="2" t="s">
        <v>2329</v>
      </c>
      <c r="B522" s="14">
        <v>45229</v>
      </c>
      <c r="C522" s="2">
        <f>YEAR(Sales_Details2[[#This Row],[Order_Date]])</f>
        <v>2023</v>
      </c>
      <c r="D522" s="2" t="s">
        <v>803</v>
      </c>
      <c r="E522" s="2" t="str">
        <f>VLOOKUP(Sales_Details2[[#This Row],[Customer_ID]],Customer_Details[#All],4,0)</f>
        <v>Mid-Adult</v>
      </c>
      <c r="F522" s="2" t="str">
        <f>VLOOKUP(Sales_Details2[[#This Row],[Customer_ID]],Customer_Details[#All],5,0)</f>
        <v>Male</v>
      </c>
      <c r="G522" s="2" t="str">
        <f>VLOOKUP(Sales_Details2[[#This Row],[Customer_ID]],Customer_Details[#All],9,0)</f>
        <v>Bronze</v>
      </c>
      <c r="H522" s="2" t="s">
        <v>1687</v>
      </c>
      <c r="I522" s="2" t="str">
        <f>VLOOKUP(Sales_Details2[[#This Row],[Product_ID]],Product_details[[#All],[Product_ID]:[Cost]],3,0)</f>
        <v>Home</v>
      </c>
      <c r="J522" s="2" t="str">
        <f>VLOOKUP(Sales_Details2[[#This Row],[Product_ID]],Product_details[[#All],[Product_ID]:[Cost]],4,0)</f>
        <v>Decor</v>
      </c>
      <c r="K522" s="2" t="s">
        <v>1759</v>
      </c>
      <c r="L522" s="2" t="str">
        <f>_xlfn.XLOOKUP(Sales_Details2[[#This Row],[Store_ID]],Table2[Store_ID],Table2[Region],"Region not found")</f>
        <v>East</v>
      </c>
      <c r="M522" s="25">
        <v>3</v>
      </c>
      <c r="N522" s="36">
        <v>679.22</v>
      </c>
      <c r="O522" s="29">
        <v>0.11</v>
      </c>
      <c r="P522" s="2" t="s">
        <v>1809</v>
      </c>
      <c r="Q522" s="36">
        <v>1813.5174</v>
      </c>
    </row>
    <row r="523" spans="1:17" x14ac:dyDescent="0.3">
      <c r="A523" s="2" t="s">
        <v>2330</v>
      </c>
      <c r="B523" s="14">
        <v>45433</v>
      </c>
      <c r="C523" s="2">
        <f>YEAR(Sales_Details2[[#This Row],[Order_Date]])</f>
        <v>2024</v>
      </c>
      <c r="D523" s="2" t="s">
        <v>1153</v>
      </c>
      <c r="E523" s="2" t="str">
        <f>VLOOKUP(Sales_Details2[[#This Row],[Customer_ID]],Customer_Details[#All],4,0)</f>
        <v>Mid-Adult</v>
      </c>
      <c r="F523" s="2" t="str">
        <f>VLOOKUP(Sales_Details2[[#This Row],[Customer_ID]],Customer_Details[#All],5,0)</f>
        <v>Female</v>
      </c>
      <c r="G523" s="2" t="str">
        <f>VLOOKUP(Sales_Details2[[#This Row],[Customer_ID]],Customer_Details[#All],9,0)</f>
        <v>Gold</v>
      </c>
      <c r="H523" s="2" t="s">
        <v>1677</v>
      </c>
      <c r="I523" s="2" t="str">
        <f>VLOOKUP(Sales_Details2[[#This Row],[Product_ID]],Product_details[[#All],[Product_ID]:[Cost]],3,0)</f>
        <v>Sports</v>
      </c>
      <c r="J523" s="2" t="str">
        <f>VLOOKUP(Sales_Details2[[#This Row],[Product_ID]],Product_details[[#All],[Product_ID]:[Cost]],4,0)</f>
        <v>Team Sports</v>
      </c>
      <c r="K523" s="2" t="s">
        <v>1735</v>
      </c>
      <c r="L523" s="2" t="str">
        <f>_xlfn.XLOOKUP(Sales_Details2[[#This Row],[Store_ID]],Table2[Store_ID],Table2[Region],"Region not found")</f>
        <v>East</v>
      </c>
      <c r="M523" s="25">
        <v>3</v>
      </c>
      <c r="N523" s="36">
        <v>780.69</v>
      </c>
      <c r="O523" s="29">
        <v>0.1</v>
      </c>
      <c r="P523" s="2" t="s">
        <v>1812</v>
      </c>
      <c r="Q523" s="36">
        <v>2107.8629999999998</v>
      </c>
    </row>
    <row r="524" spans="1:17" x14ac:dyDescent="0.3">
      <c r="A524" s="2" t="s">
        <v>2331</v>
      </c>
      <c r="B524" s="14">
        <v>45766</v>
      </c>
      <c r="C524" s="2">
        <f>YEAR(Sales_Details2[[#This Row],[Order_Date]])</f>
        <v>2025</v>
      </c>
      <c r="D524" s="2" t="s">
        <v>826</v>
      </c>
      <c r="E524" s="2" t="str">
        <f>VLOOKUP(Sales_Details2[[#This Row],[Customer_ID]],Customer_Details[#All],4,0)</f>
        <v>Adult</v>
      </c>
      <c r="F524" s="2" t="str">
        <f>VLOOKUP(Sales_Details2[[#This Row],[Customer_ID]],Customer_Details[#All],5,0)</f>
        <v>Female</v>
      </c>
      <c r="G524" s="2" t="str">
        <f>VLOOKUP(Sales_Details2[[#This Row],[Customer_ID]],Customer_Details[#All],9,0)</f>
        <v>Silver</v>
      </c>
      <c r="H524" s="2" t="s">
        <v>1615</v>
      </c>
      <c r="I524" s="2" t="str">
        <f>VLOOKUP(Sales_Details2[[#This Row],[Product_ID]],Product_details[[#All],[Product_ID]:[Cost]],3,0)</f>
        <v>Electronics</v>
      </c>
      <c r="J524" s="2" t="str">
        <f>VLOOKUP(Sales_Details2[[#This Row],[Product_ID]],Product_details[[#All],[Product_ID]:[Cost]],4,0)</f>
        <v>Accessories</v>
      </c>
      <c r="K524" s="2" t="s">
        <v>1744</v>
      </c>
      <c r="L524" s="2" t="str">
        <f>_xlfn.XLOOKUP(Sales_Details2[[#This Row],[Store_ID]],Table2[Store_ID],Table2[Region],"Region not found")</f>
        <v>South</v>
      </c>
      <c r="M524" s="25">
        <v>2</v>
      </c>
      <c r="N524" s="36">
        <v>42.97</v>
      </c>
      <c r="O524" s="29">
        <v>0.18</v>
      </c>
      <c r="P524" s="2" t="s">
        <v>1809</v>
      </c>
      <c r="Q524" s="36">
        <v>70.470799999999997</v>
      </c>
    </row>
    <row r="525" spans="1:17" x14ac:dyDescent="0.3">
      <c r="A525" s="2" t="s">
        <v>2332</v>
      </c>
      <c r="B525" s="14">
        <v>45639</v>
      </c>
      <c r="C525" s="2">
        <f>YEAR(Sales_Details2[[#This Row],[Order_Date]])</f>
        <v>2024</v>
      </c>
      <c r="D525" s="2" t="s">
        <v>900</v>
      </c>
      <c r="E525" s="2" t="str">
        <f>VLOOKUP(Sales_Details2[[#This Row],[Customer_ID]],Customer_Details[#All],4,0)</f>
        <v>Adult</v>
      </c>
      <c r="F525" s="2" t="str">
        <f>VLOOKUP(Sales_Details2[[#This Row],[Customer_ID]],Customer_Details[#All],5,0)</f>
        <v>Male</v>
      </c>
      <c r="G525" s="2" t="str">
        <f>VLOOKUP(Sales_Details2[[#This Row],[Customer_ID]],Customer_Details[#All],9,0)</f>
        <v>Silver</v>
      </c>
      <c r="H525" s="2" t="s">
        <v>1695</v>
      </c>
      <c r="I525" s="2" t="str">
        <f>VLOOKUP(Sales_Details2[[#This Row],[Product_ID]],Product_details[[#All],[Product_ID]:[Cost]],3,0)</f>
        <v>Sports</v>
      </c>
      <c r="J525" s="2" t="str">
        <f>VLOOKUP(Sales_Details2[[#This Row],[Product_ID]],Product_details[[#All],[Product_ID]:[Cost]],4,0)</f>
        <v>Fitness</v>
      </c>
      <c r="K525" s="2" t="s">
        <v>1735</v>
      </c>
      <c r="L525" s="2" t="str">
        <f>_xlfn.XLOOKUP(Sales_Details2[[#This Row],[Store_ID]],Table2[Store_ID],Table2[Region],"Region not found")</f>
        <v>East</v>
      </c>
      <c r="M525" s="25">
        <v>4</v>
      </c>
      <c r="N525" s="36">
        <v>854.37</v>
      </c>
      <c r="O525" s="29">
        <v>7.0000000000000007E-2</v>
      </c>
      <c r="P525" s="2" t="s">
        <v>1809</v>
      </c>
      <c r="Q525" s="36">
        <v>3178.2564000000002</v>
      </c>
    </row>
    <row r="526" spans="1:17" x14ac:dyDescent="0.3">
      <c r="A526" s="2" t="s">
        <v>2333</v>
      </c>
      <c r="B526" s="14">
        <v>45774</v>
      </c>
      <c r="C526" s="2">
        <f>YEAR(Sales_Details2[[#This Row],[Order_Date]])</f>
        <v>2025</v>
      </c>
      <c r="D526" s="2" t="s">
        <v>351</v>
      </c>
      <c r="E526" s="2" t="str">
        <f>VLOOKUP(Sales_Details2[[#This Row],[Customer_ID]],Customer_Details[#All],4,0)</f>
        <v>Senior</v>
      </c>
      <c r="F526" s="2" t="str">
        <f>VLOOKUP(Sales_Details2[[#This Row],[Customer_ID]],Customer_Details[#All],5,0)</f>
        <v>Female</v>
      </c>
      <c r="G526" s="2" t="str">
        <f>VLOOKUP(Sales_Details2[[#This Row],[Customer_ID]],Customer_Details[#All],9,0)</f>
        <v>Platinum</v>
      </c>
      <c r="H526" s="2" t="s">
        <v>1579</v>
      </c>
      <c r="I526" s="2" t="str">
        <f>VLOOKUP(Sales_Details2[[#This Row],[Product_ID]],Product_details[[#All],[Product_ID]:[Cost]],3,0)</f>
        <v>Sports</v>
      </c>
      <c r="J526" s="2" t="str">
        <f>VLOOKUP(Sales_Details2[[#This Row],[Product_ID]],Product_details[[#All],[Product_ID]:[Cost]],4,0)</f>
        <v>Outdoor</v>
      </c>
      <c r="K526" s="2" t="s">
        <v>1787</v>
      </c>
      <c r="L526" s="2" t="str">
        <f>_xlfn.XLOOKUP(Sales_Details2[[#This Row],[Store_ID]],Table2[Store_ID],Table2[Region],"Region not found")</f>
        <v>West</v>
      </c>
      <c r="M526" s="25">
        <v>2</v>
      </c>
      <c r="N526" s="36">
        <v>409.52</v>
      </c>
      <c r="O526" s="29">
        <v>0.06</v>
      </c>
      <c r="P526" s="2" t="s">
        <v>1812</v>
      </c>
      <c r="Q526" s="36">
        <v>769.8975999999999</v>
      </c>
    </row>
    <row r="527" spans="1:17" x14ac:dyDescent="0.3">
      <c r="A527" s="2" t="s">
        <v>2334</v>
      </c>
      <c r="B527" s="14">
        <v>45569</v>
      </c>
      <c r="C527" s="2">
        <f>YEAR(Sales_Details2[[#This Row],[Order_Date]])</f>
        <v>2024</v>
      </c>
      <c r="D527" s="2" t="s">
        <v>542</v>
      </c>
      <c r="E527" s="2" t="str">
        <f>VLOOKUP(Sales_Details2[[#This Row],[Customer_ID]],Customer_Details[#All],4,0)</f>
        <v>Mid-Adult</v>
      </c>
      <c r="F527" s="2" t="str">
        <f>VLOOKUP(Sales_Details2[[#This Row],[Customer_ID]],Customer_Details[#All],5,0)</f>
        <v>Female</v>
      </c>
      <c r="G527" s="2" t="str">
        <f>VLOOKUP(Sales_Details2[[#This Row],[Customer_ID]],Customer_Details[#All],9,0)</f>
        <v>Silver</v>
      </c>
      <c r="H527" s="2" t="s">
        <v>1679</v>
      </c>
      <c r="I527" s="2" t="str">
        <f>VLOOKUP(Sales_Details2[[#This Row],[Product_ID]],Product_details[[#All],[Product_ID]:[Cost]],3,0)</f>
        <v>Electronics</v>
      </c>
      <c r="J527" s="2" t="str">
        <f>VLOOKUP(Sales_Details2[[#This Row],[Product_ID]],Product_details[[#All],[Product_ID]:[Cost]],4,0)</f>
        <v>Audio</v>
      </c>
      <c r="K527" s="2" t="s">
        <v>1772</v>
      </c>
      <c r="L527" s="2" t="str">
        <f>_xlfn.XLOOKUP(Sales_Details2[[#This Row],[Store_ID]],Table2[Store_ID],Table2[Region],"Region not found")</f>
        <v>East</v>
      </c>
      <c r="M527" s="25">
        <v>2</v>
      </c>
      <c r="N527" s="36">
        <v>407.46</v>
      </c>
      <c r="O527" s="29">
        <v>0.21</v>
      </c>
      <c r="P527" s="2" t="s">
        <v>1807</v>
      </c>
      <c r="Q527" s="36">
        <v>643.78679999999997</v>
      </c>
    </row>
    <row r="528" spans="1:17" x14ac:dyDescent="0.3">
      <c r="A528" s="2" t="s">
        <v>2335</v>
      </c>
      <c r="B528" s="14">
        <v>45856</v>
      </c>
      <c r="C528" s="2">
        <f>YEAR(Sales_Details2[[#This Row],[Order_Date]])</f>
        <v>2025</v>
      </c>
      <c r="D528" s="2" t="s">
        <v>729</v>
      </c>
      <c r="E528" s="2" t="str">
        <f>VLOOKUP(Sales_Details2[[#This Row],[Customer_ID]],Customer_Details[#All],4,0)</f>
        <v>Senior</v>
      </c>
      <c r="F528" s="2" t="str">
        <f>VLOOKUP(Sales_Details2[[#This Row],[Customer_ID]],Customer_Details[#All],5,0)</f>
        <v>Female</v>
      </c>
      <c r="G528" s="2" t="str">
        <f>VLOOKUP(Sales_Details2[[#This Row],[Customer_ID]],Customer_Details[#All],9,0)</f>
        <v>Gold</v>
      </c>
      <c r="H528" s="2" t="s">
        <v>1536</v>
      </c>
      <c r="I528" s="2" t="str">
        <f>VLOOKUP(Sales_Details2[[#This Row],[Product_ID]],Product_details[[#All],[Product_ID]:[Cost]],3,0)</f>
        <v>Clothing</v>
      </c>
      <c r="J528" s="2" t="str">
        <f>VLOOKUP(Sales_Details2[[#This Row],[Product_ID]],Product_details[[#All],[Product_ID]:[Cost]],4,0)</f>
        <v>Bottoms</v>
      </c>
      <c r="K528" s="2" t="s">
        <v>1765</v>
      </c>
      <c r="L528" s="2" t="str">
        <f>_xlfn.XLOOKUP(Sales_Details2[[#This Row],[Store_ID]],Table2[Store_ID],Table2[Region],"Region not found")</f>
        <v>West</v>
      </c>
      <c r="M528" s="25">
        <v>1</v>
      </c>
      <c r="N528" s="36">
        <v>728.84</v>
      </c>
      <c r="O528" s="29">
        <v>0.28000000000000003</v>
      </c>
      <c r="P528" s="2" t="s">
        <v>1809</v>
      </c>
      <c r="Q528" s="36">
        <v>524.76480000000004</v>
      </c>
    </row>
    <row r="529" spans="1:17" x14ac:dyDescent="0.3">
      <c r="A529" s="2" t="s">
        <v>2336</v>
      </c>
      <c r="B529" s="14">
        <v>45362</v>
      </c>
      <c r="C529" s="2">
        <f>YEAR(Sales_Details2[[#This Row],[Order_Date]])</f>
        <v>2024</v>
      </c>
      <c r="D529" s="2" t="s">
        <v>1384</v>
      </c>
      <c r="E529" s="2" t="str">
        <f>VLOOKUP(Sales_Details2[[#This Row],[Customer_ID]],Customer_Details[#All],4,0)</f>
        <v>Senior</v>
      </c>
      <c r="F529" s="2" t="str">
        <f>VLOOKUP(Sales_Details2[[#This Row],[Customer_ID]],Customer_Details[#All],5,0)</f>
        <v>Female</v>
      </c>
      <c r="G529" s="2" t="str">
        <f>VLOOKUP(Sales_Details2[[#This Row],[Customer_ID]],Customer_Details[#All],9,0)</f>
        <v>Platinum</v>
      </c>
      <c r="H529" s="2" t="s">
        <v>1687</v>
      </c>
      <c r="I529" s="2" t="str">
        <f>VLOOKUP(Sales_Details2[[#This Row],[Product_ID]],Product_details[[#All],[Product_ID]:[Cost]],3,0)</f>
        <v>Home</v>
      </c>
      <c r="J529" s="2" t="str">
        <f>VLOOKUP(Sales_Details2[[#This Row],[Product_ID]],Product_details[[#All],[Product_ID]:[Cost]],4,0)</f>
        <v>Decor</v>
      </c>
      <c r="K529" s="2" t="s">
        <v>1759</v>
      </c>
      <c r="L529" s="2" t="str">
        <f>_xlfn.XLOOKUP(Sales_Details2[[#This Row],[Store_ID]],Table2[Store_ID],Table2[Region],"Region not found")</f>
        <v>East</v>
      </c>
      <c r="M529" s="25">
        <v>4</v>
      </c>
      <c r="N529" s="36">
        <v>467.24</v>
      </c>
      <c r="O529" s="29">
        <v>0.08</v>
      </c>
      <c r="P529" s="2" t="s">
        <v>1809</v>
      </c>
      <c r="Q529" s="36">
        <v>1719.4431999999999</v>
      </c>
    </row>
    <row r="530" spans="1:17" x14ac:dyDescent="0.3">
      <c r="A530" s="2" t="s">
        <v>2337</v>
      </c>
      <c r="B530" s="14">
        <v>45457</v>
      </c>
      <c r="C530" s="2">
        <f>YEAR(Sales_Details2[[#This Row],[Order_Date]])</f>
        <v>2024</v>
      </c>
      <c r="D530" s="2" t="s">
        <v>327</v>
      </c>
      <c r="E530" s="2" t="str">
        <f>VLOOKUP(Sales_Details2[[#This Row],[Customer_ID]],Customer_Details[#All],4,0)</f>
        <v>Mid-Adult</v>
      </c>
      <c r="F530" s="2" t="str">
        <f>VLOOKUP(Sales_Details2[[#This Row],[Customer_ID]],Customer_Details[#All],5,0)</f>
        <v>Female</v>
      </c>
      <c r="G530" s="2" t="str">
        <f>VLOOKUP(Sales_Details2[[#This Row],[Customer_ID]],Customer_Details[#All],9,0)</f>
        <v>Platinum</v>
      </c>
      <c r="H530" s="2" t="s">
        <v>1551</v>
      </c>
      <c r="I530" s="2" t="str">
        <f>VLOOKUP(Sales_Details2[[#This Row],[Product_ID]],Product_details[[#All],[Product_ID]:[Cost]],3,0)</f>
        <v>Home</v>
      </c>
      <c r="J530" s="2" t="str">
        <f>VLOOKUP(Sales_Details2[[#This Row],[Product_ID]],Product_details[[#All],[Product_ID]:[Cost]],4,0)</f>
        <v>Kitchen</v>
      </c>
      <c r="K530" s="2" t="s">
        <v>1775</v>
      </c>
      <c r="L530" s="2" t="str">
        <f>_xlfn.XLOOKUP(Sales_Details2[[#This Row],[Store_ID]],Table2[Store_ID],Table2[Region],"Region not found")</f>
        <v>South</v>
      </c>
      <c r="M530" s="25">
        <v>1</v>
      </c>
      <c r="N530" s="36">
        <v>57.94</v>
      </c>
      <c r="O530" s="29">
        <v>0.13</v>
      </c>
      <c r="P530" s="2" t="s">
        <v>1809</v>
      </c>
      <c r="Q530" s="36">
        <v>50.407799999999988</v>
      </c>
    </row>
    <row r="531" spans="1:17" x14ac:dyDescent="0.3">
      <c r="A531" s="2" t="s">
        <v>2338</v>
      </c>
      <c r="B531" s="14">
        <v>45338</v>
      </c>
      <c r="C531" s="2">
        <f>YEAR(Sales_Details2[[#This Row],[Order_Date]])</f>
        <v>2024</v>
      </c>
      <c r="D531" s="2" t="s">
        <v>1069</v>
      </c>
      <c r="E531" s="2" t="str">
        <f>VLOOKUP(Sales_Details2[[#This Row],[Customer_ID]],Customer_Details[#All],4,0)</f>
        <v>Mid-Adult</v>
      </c>
      <c r="F531" s="2" t="str">
        <f>VLOOKUP(Sales_Details2[[#This Row],[Customer_ID]],Customer_Details[#All],5,0)</f>
        <v>Male</v>
      </c>
      <c r="G531" s="2" t="str">
        <f>VLOOKUP(Sales_Details2[[#This Row],[Customer_ID]],Customer_Details[#All],9,0)</f>
        <v>Gold</v>
      </c>
      <c r="H531" s="2" t="s">
        <v>1629</v>
      </c>
      <c r="I531" s="2" t="str">
        <f>VLOOKUP(Sales_Details2[[#This Row],[Product_ID]],Product_details[[#All],[Product_ID]:[Cost]],3,0)</f>
        <v>Beauty</v>
      </c>
      <c r="J531" s="2" t="str">
        <f>VLOOKUP(Sales_Details2[[#This Row],[Product_ID]],Product_details[[#All],[Product_ID]:[Cost]],4,0)</f>
        <v>Fragrance</v>
      </c>
      <c r="K531" s="2" t="s">
        <v>1790</v>
      </c>
      <c r="L531" s="2" t="str">
        <f>_xlfn.XLOOKUP(Sales_Details2[[#This Row],[Store_ID]],Table2[Store_ID],Table2[Region],"Region not found")</f>
        <v>North</v>
      </c>
      <c r="M531" s="25">
        <v>1</v>
      </c>
      <c r="N531" s="36">
        <v>540.1</v>
      </c>
      <c r="O531" s="29">
        <v>0.22</v>
      </c>
      <c r="P531" s="2" t="s">
        <v>1807</v>
      </c>
      <c r="Q531" s="36">
        <v>421.27800000000002</v>
      </c>
    </row>
    <row r="532" spans="1:17" x14ac:dyDescent="0.3">
      <c r="A532" s="2" t="s">
        <v>2339</v>
      </c>
      <c r="B532" s="14">
        <v>45552</v>
      </c>
      <c r="C532" s="2">
        <f>YEAR(Sales_Details2[[#This Row],[Order_Date]])</f>
        <v>2024</v>
      </c>
      <c r="D532" s="2" t="s">
        <v>278</v>
      </c>
      <c r="E532" s="2" t="str">
        <f>VLOOKUP(Sales_Details2[[#This Row],[Customer_ID]],Customer_Details[#All],4,0)</f>
        <v>Adult</v>
      </c>
      <c r="F532" s="2" t="str">
        <f>VLOOKUP(Sales_Details2[[#This Row],[Customer_ID]],Customer_Details[#All],5,0)</f>
        <v>Male</v>
      </c>
      <c r="G532" s="2" t="str">
        <f>VLOOKUP(Sales_Details2[[#This Row],[Customer_ID]],Customer_Details[#All],9,0)</f>
        <v>Gold</v>
      </c>
      <c r="H532" s="2" t="s">
        <v>1545</v>
      </c>
      <c r="I532" s="2" t="str">
        <f>VLOOKUP(Sales_Details2[[#This Row],[Product_ID]],Product_details[[#All],[Product_ID]:[Cost]],3,0)</f>
        <v>Electronics</v>
      </c>
      <c r="J532" s="2" t="str">
        <f>VLOOKUP(Sales_Details2[[#This Row],[Product_ID]],Product_details[[#All],[Product_ID]:[Cost]],4,0)</f>
        <v>Audio</v>
      </c>
      <c r="K532" s="2" t="s">
        <v>1796</v>
      </c>
      <c r="L532" s="2" t="str">
        <f>_xlfn.XLOOKUP(Sales_Details2[[#This Row],[Store_ID]],Table2[Store_ID],Table2[Region],"Region not found")</f>
        <v>East</v>
      </c>
      <c r="M532" s="25">
        <v>4</v>
      </c>
      <c r="N532" s="36">
        <v>816.28</v>
      </c>
      <c r="O532" s="29">
        <v>0.15</v>
      </c>
      <c r="P532" s="2" t="s">
        <v>1812</v>
      </c>
      <c r="Q532" s="36">
        <v>2775.3519999999999</v>
      </c>
    </row>
    <row r="533" spans="1:17" x14ac:dyDescent="0.3">
      <c r="A533" s="2" t="s">
        <v>2340</v>
      </c>
      <c r="B533" s="14">
        <v>45895</v>
      </c>
      <c r="C533" s="2">
        <f>YEAR(Sales_Details2[[#This Row],[Order_Date]])</f>
        <v>2025</v>
      </c>
      <c r="D533" s="2" t="s">
        <v>583</v>
      </c>
      <c r="E533" s="2" t="str">
        <f>VLOOKUP(Sales_Details2[[#This Row],[Customer_ID]],Customer_Details[#All],4,0)</f>
        <v>Mid-Adult</v>
      </c>
      <c r="F533" s="2" t="str">
        <f>VLOOKUP(Sales_Details2[[#This Row],[Customer_ID]],Customer_Details[#All],5,0)</f>
        <v>Female</v>
      </c>
      <c r="G533" s="2" t="str">
        <f>VLOOKUP(Sales_Details2[[#This Row],[Customer_ID]],Customer_Details[#All],9,0)</f>
        <v>Bronze</v>
      </c>
      <c r="H533" s="2" t="s">
        <v>1615</v>
      </c>
      <c r="I533" s="2" t="str">
        <f>VLOOKUP(Sales_Details2[[#This Row],[Product_ID]],Product_details[[#All],[Product_ID]:[Cost]],3,0)</f>
        <v>Electronics</v>
      </c>
      <c r="J533" s="2" t="str">
        <f>VLOOKUP(Sales_Details2[[#This Row],[Product_ID]],Product_details[[#All],[Product_ID]:[Cost]],4,0)</f>
        <v>Accessories</v>
      </c>
      <c r="K533" s="2" t="s">
        <v>1765</v>
      </c>
      <c r="L533" s="2" t="str">
        <f>_xlfn.XLOOKUP(Sales_Details2[[#This Row],[Store_ID]],Table2[Store_ID],Table2[Region],"Region not found")</f>
        <v>West</v>
      </c>
      <c r="M533" s="25">
        <v>4</v>
      </c>
      <c r="N533" s="36">
        <v>727.49</v>
      </c>
      <c r="O533" s="29">
        <v>0.11</v>
      </c>
      <c r="P533" s="2" t="s">
        <v>1807</v>
      </c>
      <c r="Q533" s="36">
        <v>2589.8643999999999</v>
      </c>
    </row>
    <row r="534" spans="1:17" x14ac:dyDescent="0.3">
      <c r="A534" s="2" t="s">
        <v>2341</v>
      </c>
      <c r="B534" s="14">
        <v>45447</v>
      </c>
      <c r="C534" s="2">
        <f>YEAR(Sales_Details2[[#This Row],[Order_Date]])</f>
        <v>2024</v>
      </c>
      <c r="D534" s="2" t="s">
        <v>562</v>
      </c>
      <c r="E534" s="2" t="str">
        <f>VLOOKUP(Sales_Details2[[#This Row],[Customer_ID]],Customer_Details[#All],4,0)</f>
        <v>Mid-Adult</v>
      </c>
      <c r="F534" s="2" t="str">
        <f>VLOOKUP(Sales_Details2[[#This Row],[Customer_ID]],Customer_Details[#All],5,0)</f>
        <v>Female</v>
      </c>
      <c r="G534" s="2" t="str">
        <f>VLOOKUP(Sales_Details2[[#This Row],[Customer_ID]],Customer_Details[#All],9,0)</f>
        <v>Platinum</v>
      </c>
      <c r="H534" s="2" t="s">
        <v>1703</v>
      </c>
      <c r="I534" s="2" t="str">
        <f>VLOOKUP(Sales_Details2[[#This Row],[Product_ID]],Product_details[[#All],[Product_ID]:[Cost]],3,0)</f>
        <v>Home</v>
      </c>
      <c r="J534" s="2" t="str">
        <f>VLOOKUP(Sales_Details2[[#This Row],[Product_ID]],Product_details[[#All],[Product_ID]:[Cost]],4,0)</f>
        <v>Kitchen</v>
      </c>
      <c r="K534" s="2" t="s">
        <v>1780</v>
      </c>
      <c r="L534" s="2" t="str">
        <f>_xlfn.XLOOKUP(Sales_Details2[[#This Row],[Store_ID]],Table2[Store_ID],Table2[Region],"Region not found")</f>
        <v>East</v>
      </c>
      <c r="M534" s="25">
        <v>4</v>
      </c>
      <c r="N534" s="36">
        <v>817.92</v>
      </c>
      <c r="O534" s="29">
        <v>0.21</v>
      </c>
      <c r="P534" s="2" t="s">
        <v>1807</v>
      </c>
      <c r="Q534" s="36">
        <v>2584.6271999999999</v>
      </c>
    </row>
    <row r="535" spans="1:17" x14ac:dyDescent="0.3">
      <c r="A535" s="2" t="s">
        <v>2342</v>
      </c>
      <c r="B535" s="14">
        <v>45578</v>
      </c>
      <c r="C535" s="2">
        <f>YEAR(Sales_Details2[[#This Row],[Order_Date]])</f>
        <v>2024</v>
      </c>
      <c r="D535" s="2" t="s">
        <v>1012</v>
      </c>
      <c r="E535" s="2" t="str">
        <f>VLOOKUP(Sales_Details2[[#This Row],[Customer_ID]],Customer_Details[#All],4,0)</f>
        <v>Senior</v>
      </c>
      <c r="F535" s="2" t="str">
        <f>VLOOKUP(Sales_Details2[[#This Row],[Customer_ID]],Customer_Details[#All],5,0)</f>
        <v>Male</v>
      </c>
      <c r="G535" s="2" t="str">
        <f>VLOOKUP(Sales_Details2[[#This Row],[Customer_ID]],Customer_Details[#All],9,0)</f>
        <v>Bronze</v>
      </c>
      <c r="H535" s="2" t="s">
        <v>1607</v>
      </c>
      <c r="I535" s="2" t="str">
        <f>VLOOKUP(Sales_Details2[[#This Row],[Product_ID]],Product_details[[#All],[Product_ID]:[Cost]],3,0)</f>
        <v>Sports</v>
      </c>
      <c r="J535" s="2" t="str">
        <f>VLOOKUP(Sales_Details2[[#This Row],[Product_ID]],Product_details[[#All],[Product_ID]:[Cost]],4,0)</f>
        <v>Outdoor</v>
      </c>
      <c r="K535" s="2" t="s">
        <v>1762</v>
      </c>
      <c r="L535" s="2" t="str">
        <f>_xlfn.XLOOKUP(Sales_Details2[[#This Row],[Store_ID]],Table2[Store_ID],Table2[Region],"Region not found")</f>
        <v>South</v>
      </c>
      <c r="M535" s="25">
        <v>2</v>
      </c>
      <c r="N535" s="36">
        <v>358.45</v>
      </c>
      <c r="O535" s="29">
        <v>7.0000000000000007E-2</v>
      </c>
      <c r="P535" s="2" t="s">
        <v>1812</v>
      </c>
      <c r="Q535" s="36">
        <v>666.71699999999998</v>
      </c>
    </row>
    <row r="536" spans="1:17" x14ac:dyDescent="0.3">
      <c r="A536" s="2" t="s">
        <v>2343</v>
      </c>
      <c r="B536" s="14">
        <v>45697</v>
      </c>
      <c r="C536" s="2">
        <f>YEAR(Sales_Details2[[#This Row],[Order_Date]])</f>
        <v>2025</v>
      </c>
      <c r="D536" s="2" t="s">
        <v>651</v>
      </c>
      <c r="E536" s="2" t="str">
        <f>VLOOKUP(Sales_Details2[[#This Row],[Customer_ID]],Customer_Details[#All],4,0)</f>
        <v>Adult</v>
      </c>
      <c r="F536" s="2" t="str">
        <f>VLOOKUP(Sales_Details2[[#This Row],[Customer_ID]],Customer_Details[#All],5,0)</f>
        <v>Female</v>
      </c>
      <c r="G536" s="2" t="str">
        <f>VLOOKUP(Sales_Details2[[#This Row],[Customer_ID]],Customer_Details[#All],9,0)</f>
        <v>Bronze</v>
      </c>
      <c r="H536" s="2" t="s">
        <v>1705</v>
      </c>
      <c r="I536" s="2" t="str">
        <f>VLOOKUP(Sales_Details2[[#This Row],[Product_ID]],Product_details[[#All],[Product_ID]:[Cost]],3,0)</f>
        <v>Home</v>
      </c>
      <c r="J536" s="2" t="str">
        <f>VLOOKUP(Sales_Details2[[#This Row],[Product_ID]],Product_details[[#All],[Product_ID]:[Cost]],4,0)</f>
        <v>Lighting</v>
      </c>
      <c r="K536" s="2" t="s">
        <v>1769</v>
      </c>
      <c r="L536" s="2" t="str">
        <f>_xlfn.XLOOKUP(Sales_Details2[[#This Row],[Store_ID]],Table2[Store_ID],Table2[Region],"Region not found")</f>
        <v>South</v>
      </c>
      <c r="M536" s="25">
        <v>1</v>
      </c>
      <c r="N536" s="36">
        <v>972.06</v>
      </c>
      <c r="O536" s="29">
        <v>0.3</v>
      </c>
      <c r="P536" s="2" t="s">
        <v>1812</v>
      </c>
      <c r="Q536" s="36">
        <v>680.44199999999989</v>
      </c>
    </row>
    <row r="537" spans="1:17" x14ac:dyDescent="0.3">
      <c r="A537" s="2" t="s">
        <v>2344</v>
      </c>
      <c r="B537" s="14">
        <v>45281</v>
      </c>
      <c r="C537" s="2">
        <f>YEAR(Sales_Details2[[#This Row],[Order_Date]])</f>
        <v>2023</v>
      </c>
      <c r="D537" s="2" t="s">
        <v>130</v>
      </c>
      <c r="E537" s="2" t="str">
        <f>VLOOKUP(Sales_Details2[[#This Row],[Customer_ID]],Customer_Details[#All],4,0)</f>
        <v>Mid-Adult</v>
      </c>
      <c r="F537" s="2" t="str">
        <f>VLOOKUP(Sales_Details2[[#This Row],[Customer_ID]],Customer_Details[#All],5,0)</f>
        <v>Female</v>
      </c>
      <c r="G537" s="2" t="str">
        <f>VLOOKUP(Sales_Details2[[#This Row],[Customer_ID]],Customer_Details[#All],9,0)</f>
        <v>Gold</v>
      </c>
      <c r="H537" s="2" t="s">
        <v>1563</v>
      </c>
      <c r="I537" s="2" t="str">
        <f>VLOOKUP(Sales_Details2[[#This Row],[Product_ID]],Product_details[[#All],[Product_ID]:[Cost]],3,0)</f>
        <v>Beauty</v>
      </c>
      <c r="J537" s="2" t="str">
        <f>VLOOKUP(Sales_Details2[[#This Row],[Product_ID]],Product_details[[#All],[Product_ID]:[Cost]],4,0)</f>
        <v>Grooming</v>
      </c>
      <c r="K537" s="2" t="s">
        <v>1735</v>
      </c>
      <c r="L537" s="2" t="str">
        <f>_xlfn.XLOOKUP(Sales_Details2[[#This Row],[Store_ID]],Table2[Store_ID],Table2[Region],"Region not found")</f>
        <v>East</v>
      </c>
      <c r="M537" s="25">
        <v>1</v>
      </c>
      <c r="N537" s="36">
        <v>791.36</v>
      </c>
      <c r="O537" s="29">
        <v>0.06</v>
      </c>
      <c r="P537" s="2" t="s">
        <v>1809</v>
      </c>
      <c r="Q537" s="36">
        <v>743.87839999999994</v>
      </c>
    </row>
    <row r="538" spans="1:17" x14ac:dyDescent="0.3">
      <c r="A538" s="2" t="s">
        <v>2345</v>
      </c>
      <c r="B538" s="14">
        <v>45855</v>
      </c>
      <c r="C538" s="2">
        <f>YEAR(Sales_Details2[[#This Row],[Order_Date]])</f>
        <v>2025</v>
      </c>
      <c r="D538" s="2" t="s">
        <v>980</v>
      </c>
      <c r="E538" s="2" t="str">
        <f>VLOOKUP(Sales_Details2[[#This Row],[Customer_ID]],Customer_Details[#All],4,0)</f>
        <v>Senior</v>
      </c>
      <c r="F538" s="2" t="str">
        <f>VLOOKUP(Sales_Details2[[#This Row],[Customer_ID]],Customer_Details[#All],5,0)</f>
        <v>Female</v>
      </c>
      <c r="G538" s="2" t="str">
        <f>VLOOKUP(Sales_Details2[[#This Row],[Customer_ID]],Customer_Details[#All],9,0)</f>
        <v>Silver</v>
      </c>
      <c r="H538" s="2" t="s">
        <v>1659</v>
      </c>
      <c r="I538" s="2" t="str">
        <f>VLOOKUP(Sales_Details2[[#This Row],[Product_ID]],Product_details[[#All],[Product_ID]:[Cost]],3,0)</f>
        <v>Beauty</v>
      </c>
      <c r="J538" s="2" t="str">
        <f>VLOOKUP(Sales_Details2[[#This Row],[Product_ID]],Product_details[[#All],[Product_ID]:[Cost]],4,0)</f>
        <v>Makeup</v>
      </c>
      <c r="K538" s="2" t="s">
        <v>1756</v>
      </c>
      <c r="L538" s="2" t="str">
        <f>_xlfn.XLOOKUP(Sales_Details2[[#This Row],[Store_ID]],Table2[Store_ID],Table2[Region],"Region not found")</f>
        <v>North</v>
      </c>
      <c r="M538" s="25">
        <v>4</v>
      </c>
      <c r="N538" s="36">
        <v>839.65</v>
      </c>
      <c r="O538" s="29">
        <v>0.26</v>
      </c>
      <c r="P538" s="2" t="s">
        <v>1812</v>
      </c>
      <c r="Q538" s="36">
        <v>2485.364</v>
      </c>
    </row>
    <row r="539" spans="1:17" x14ac:dyDescent="0.3">
      <c r="A539" s="2" t="s">
        <v>2346</v>
      </c>
      <c r="B539" s="14">
        <v>45793</v>
      </c>
      <c r="C539" s="2">
        <f>YEAR(Sales_Details2[[#This Row],[Order_Date]])</f>
        <v>2025</v>
      </c>
      <c r="D539" s="2" t="s">
        <v>808</v>
      </c>
      <c r="E539" s="2" t="str">
        <f>VLOOKUP(Sales_Details2[[#This Row],[Customer_ID]],Customer_Details[#All],4,0)</f>
        <v>Adult</v>
      </c>
      <c r="F539" s="2" t="str">
        <f>VLOOKUP(Sales_Details2[[#This Row],[Customer_ID]],Customer_Details[#All],5,0)</f>
        <v>Male</v>
      </c>
      <c r="G539" s="2" t="str">
        <f>VLOOKUP(Sales_Details2[[#This Row],[Customer_ID]],Customer_Details[#All],9,0)</f>
        <v>Gold</v>
      </c>
      <c r="H539" s="2" t="s">
        <v>1675</v>
      </c>
      <c r="I539" s="2" t="str">
        <f>VLOOKUP(Sales_Details2[[#This Row],[Product_ID]],Product_details[[#All],[Product_ID]:[Cost]],3,0)</f>
        <v>Sports</v>
      </c>
      <c r="J539" s="2" t="str">
        <f>VLOOKUP(Sales_Details2[[#This Row],[Product_ID]],Product_details[[#All],[Product_ID]:[Cost]],4,0)</f>
        <v>Fitness</v>
      </c>
      <c r="K539" s="2" t="s">
        <v>1744</v>
      </c>
      <c r="L539" s="2" t="str">
        <f>_xlfn.XLOOKUP(Sales_Details2[[#This Row],[Store_ID]],Table2[Store_ID],Table2[Region],"Region not found")</f>
        <v>South</v>
      </c>
      <c r="M539" s="25">
        <v>2</v>
      </c>
      <c r="N539" s="36">
        <v>245.52</v>
      </c>
      <c r="O539" s="29">
        <v>0.11</v>
      </c>
      <c r="P539" s="2" t="s">
        <v>1812</v>
      </c>
      <c r="Q539" s="36">
        <v>437.0256</v>
      </c>
    </row>
    <row r="540" spans="1:17" x14ac:dyDescent="0.3">
      <c r="A540" s="2" t="s">
        <v>2347</v>
      </c>
      <c r="B540" s="14">
        <v>45881</v>
      </c>
      <c r="C540" s="2">
        <f>YEAR(Sales_Details2[[#This Row],[Order_Date]])</f>
        <v>2025</v>
      </c>
      <c r="D540" s="2" t="s">
        <v>1198</v>
      </c>
      <c r="E540" s="2" t="str">
        <f>VLOOKUP(Sales_Details2[[#This Row],[Customer_ID]],Customer_Details[#All],4,0)</f>
        <v>Senior</v>
      </c>
      <c r="F540" s="2" t="str">
        <f>VLOOKUP(Sales_Details2[[#This Row],[Customer_ID]],Customer_Details[#All],5,0)</f>
        <v>Male</v>
      </c>
      <c r="G540" s="2" t="str">
        <f>VLOOKUP(Sales_Details2[[#This Row],[Customer_ID]],Customer_Details[#All],9,0)</f>
        <v>Platinum</v>
      </c>
      <c r="H540" s="2" t="s">
        <v>1695</v>
      </c>
      <c r="I540" s="2" t="str">
        <f>VLOOKUP(Sales_Details2[[#This Row],[Product_ID]],Product_details[[#All],[Product_ID]:[Cost]],3,0)</f>
        <v>Sports</v>
      </c>
      <c r="J540" s="2" t="str">
        <f>VLOOKUP(Sales_Details2[[#This Row],[Product_ID]],Product_details[[#All],[Product_ID]:[Cost]],4,0)</f>
        <v>Fitness</v>
      </c>
      <c r="K540" s="2" t="s">
        <v>1765</v>
      </c>
      <c r="L540" s="2" t="str">
        <f>_xlfn.XLOOKUP(Sales_Details2[[#This Row],[Store_ID]],Table2[Store_ID],Table2[Region],"Region not found")</f>
        <v>West</v>
      </c>
      <c r="M540" s="25">
        <v>3</v>
      </c>
      <c r="N540" s="36">
        <v>787.91</v>
      </c>
      <c r="O540" s="29">
        <v>0.06</v>
      </c>
      <c r="P540" s="2" t="s">
        <v>1809</v>
      </c>
      <c r="Q540" s="36">
        <v>2221.9061999999999</v>
      </c>
    </row>
    <row r="541" spans="1:17" x14ac:dyDescent="0.3">
      <c r="A541" s="2" t="s">
        <v>2348</v>
      </c>
      <c r="B541" s="14">
        <v>45890</v>
      </c>
      <c r="C541" s="2">
        <f>YEAR(Sales_Details2[[#This Row],[Order_Date]])</f>
        <v>2025</v>
      </c>
      <c r="D541" s="2" t="s">
        <v>199</v>
      </c>
      <c r="E541" s="2" t="str">
        <f>VLOOKUP(Sales_Details2[[#This Row],[Customer_ID]],Customer_Details[#All],4,0)</f>
        <v>Mid-Adult</v>
      </c>
      <c r="F541" s="2" t="str">
        <f>VLOOKUP(Sales_Details2[[#This Row],[Customer_ID]],Customer_Details[#All],5,0)</f>
        <v>Female</v>
      </c>
      <c r="G541" s="2" t="str">
        <f>VLOOKUP(Sales_Details2[[#This Row],[Customer_ID]],Customer_Details[#All],9,0)</f>
        <v>Gold</v>
      </c>
      <c r="H541" s="2" t="s">
        <v>1681</v>
      </c>
      <c r="I541" s="2" t="str">
        <f>VLOOKUP(Sales_Details2[[#This Row],[Product_ID]],Product_details[[#All],[Product_ID]:[Cost]],3,0)</f>
        <v>Clothing</v>
      </c>
      <c r="J541" s="2" t="str">
        <f>VLOOKUP(Sales_Details2[[#This Row],[Product_ID]],Product_details[[#All],[Product_ID]:[Cost]],4,0)</f>
        <v>Footwear</v>
      </c>
      <c r="K541" s="2" t="s">
        <v>1752</v>
      </c>
      <c r="L541" s="2" t="str">
        <f>_xlfn.XLOOKUP(Sales_Details2[[#This Row],[Store_ID]],Table2[Store_ID],Table2[Region],"Region not found")</f>
        <v>South</v>
      </c>
      <c r="M541" s="25">
        <v>2</v>
      </c>
      <c r="N541" s="36">
        <v>709.17</v>
      </c>
      <c r="O541" s="29">
        <v>0.22</v>
      </c>
      <c r="P541" s="2" t="s">
        <v>1807</v>
      </c>
      <c r="Q541" s="36">
        <v>1106.3052</v>
      </c>
    </row>
    <row r="542" spans="1:17" x14ac:dyDescent="0.3">
      <c r="A542" s="2" t="s">
        <v>2349</v>
      </c>
      <c r="B542" s="14">
        <v>45251</v>
      </c>
      <c r="C542" s="2">
        <f>YEAR(Sales_Details2[[#This Row],[Order_Date]])</f>
        <v>2023</v>
      </c>
      <c r="D542" s="2" t="s">
        <v>749</v>
      </c>
      <c r="E542" s="2" t="str">
        <f>VLOOKUP(Sales_Details2[[#This Row],[Customer_ID]],Customer_Details[#All],4,0)</f>
        <v>Adult</v>
      </c>
      <c r="F542" s="2" t="str">
        <f>VLOOKUP(Sales_Details2[[#This Row],[Customer_ID]],Customer_Details[#All],5,0)</f>
        <v>Female</v>
      </c>
      <c r="G542" s="2" t="str">
        <f>VLOOKUP(Sales_Details2[[#This Row],[Customer_ID]],Customer_Details[#All],9,0)</f>
        <v>Bronze</v>
      </c>
      <c r="H542" s="2" t="s">
        <v>1713</v>
      </c>
      <c r="I542" s="2" t="str">
        <f>VLOOKUP(Sales_Details2[[#This Row],[Product_ID]],Product_details[[#All],[Product_ID]:[Cost]],3,0)</f>
        <v>Clothing</v>
      </c>
      <c r="J542" s="2" t="str">
        <f>VLOOKUP(Sales_Details2[[#This Row],[Product_ID]],Product_details[[#All],[Product_ID]:[Cost]],4,0)</f>
        <v>Footwear</v>
      </c>
      <c r="K542" s="2" t="s">
        <v>1762</v>
      </c>
      <c r="L542" s="2" t="str">
        <f>_xlfn.XLOOKUP(Sales_Details2[[#This Row],[Store_ID]],Table2[Store_ID],Table2[Region],"Region not found")</f>
        <v>South</v>
      </c>
      <c r="M542" s="25">
        <v>2</v>
      </c>
      <c r="N542" s="36">
        <v>533.91999999999996</v>
      </c>
      <c r="O542" s="29">
        <v>0.13</v>
      </c>
      <c r="P542" s="2" t="s">
        <v>1807</v>
      </c>
      <c r="Q542" s="36">
        <v>929.02079999999989</v>
      </c>
    </row>
    <row r="543" spans="1:17" x14ac:dyDescent="0.3">
      <c r="A543" s="2" t="s">
        <v>2350</v>
      </c>
      <c r="B543" s="14">
        <v>45695</v>
      </c>
      <c r="C543" s="2">
        <f>YEAR(Sales_Details2[[#This Row],[Order_Date]])</f>
        <v>2025</v>
      </c>
      <c r="D543" s="2" t="s">
        <v>1496</v>
      </c>
      <c r="E543" s="2" t="str">
        <f>VLOOKUP(Sales_Details2[[#This Row],[Customer_ID]],Customer_Details[#All],4,0)</f>
        <v>Senior</v>
      </c>
      <c r="F543" s="2" t="str">
        <f>VLOOKUP(Sales_Details2[[#This Row],[Customer_ID]],Customer_Details[#All],5,0)</f>
        <v>Female</v>
      </c>
      <c r="G543" s="2" t="str">
        <f>VLOOKUP(Sales_Details2[[#This Row],[Customer_ID]],Customer_Details[#All],9,0)</f>
        <v>Platinum</v>
      </c>
      <c r="H543" s="2" t="s">
        <v>1615</v>
      </c>
      <c r="I543" s="2" t="str">
        <f>VLOOKUP(Sales_Details2[[#This Row],[Product_ID]],Product_details[[#All],[Product_ID]:[Cost]],3,0)</f>
        <v>Electronics</v>
      </c>
      <c r="J543" s="2" t="str">
        <f>VLOOKUP(Sales_Details2[[#This Row],[Product_ID]],Product_details[[#All],[Product_ID]:[Cost]],4,0)</f>
        <v>Accessories</v>
      </c>
      <c r="K543" s="2" t="s">
        <v>1735</v>
      </c>
      <c r="L543" s="2" t="str">
        <f>_xlfn.XLOOKUP(Sales_Details2[[#This Row],[Store_ID]],Table2[Store_ID],Table2[Region],"Region not found")</f>
        <v>East</v>
      </c>
      <c r="M543" s="25">
        <v>1</v>
      </c>
      <c r="N543" s="36">
        <v>878.84</v>
      </c>
      <c r="O543" s="29">
        <v>0.28000000000000003</v>
      </c>
      <c r="P543" s="2" t="s">
        <v>1812</v>
      </c>
      <c r="Q543" s="36">
        <v>632.76480000000004</v>
      </c>
    </row>
    <row r="544" spans="1:17" x14ac:dyDescent="0.3">
      <c r="A544" s="2" t="s">
        <v>2351</v>
      </c>
      <c r="B544" s="14">
        <v>45287</v>
      </c>
      <c r="C544" s="2">
        <f>YEAR(Sales_Details2[[#This Row],[Order_Date]])</f>
        <v>2023</v>
      </c>
      <c r="D544" s="2" t="s">
        <v>660</v>
      </c>
      <c r="E544" s="2" t="str">
        <f>VLOOKUP(Sales_Details2[[#This Row],[Customer_ID]],Customer_Details[#All],4,0)</f>
        <v>Senior</v>
      </c>
      <c r="F544" s="2" t="str">
        <f>VLOOKUP(Sales_Details2[[#This Row],[Customer_ID]],Customer_Details[#All],5,0)</f>
        <v>Male</v>
      </c>
      <c r="G544" s="2" t="str">
        <f>VLOOKUP(Sales_Details2[[#This Row],[Customer_ID]],Customer_Details[#All],9,0)</f>
        <v>Platinum</v>
      </c>
      <c r="H544" s="2" t="s">
        <v>1619</v>
      </c>
      <c r="I544" s="2" t="str">
        <f>VLOOKUP(Sales_Details2[[#This Row],[Product_ID]],Product_details[[#All],[Product_ID]:[Cost]],3,0)</f>
        <v>Sports</v>
      </c>
      <c r="J544" s="2" t="str">
        <f>VLOOKUP(Sales_Details2[[#This Row],[Product_ID]],Product_details[[#All],[Product_ID]:[Cost]],4,0)</f>
        <v>Fitness</v>
      </c>
      <c r="K544" s="2" t="s">
        <v>1787</v>
      </c>
      <c r="L544" s="2" t="str">
        <f>_xlfn.XLOOKUP(Sales_Details2[[#This Row],[Store_ID]],Table2[Store_ID],Table2[Region],"Region not found")</f>
        <v>West</v>
      </c>
      <c r="M544" s="25">
        <v>1</v>
      </c>
      <c r="N544" s="36">
        <v>442.36</v>
      </c>
      <c r="O544" s="29">
        <v>0.14000000000000001</v>
      </c>
      <c r="P544" s="2" t="s">
        <v>1807</v>
      </c>
      <c r="Q544" s="36">
        <v>380.42959999999999</v>
      </c>
    </row>
    <row r="545" spans="1:17" x14ac:dyDescent="0.3">
      <c r="A545" s="2" t="s">
        <v>2352</v>
      </c>
      <c r="B545" s="14">
        <v>45711</v>
      </c>
      <c r="C545" s="2">
        <f>YEAR(Sales_Details2[[#This Row],[Order_Date]])</f>
        <v>2025</v>
      </c>
      <c r="D545" s="2" t="s">
        <v>1036</v>
      </c>
      <c r="E545" s="2" t="str">
        <f>VLOOKUP(Sales_Details2[[#This Row],[Customer_ID]],Customer_Details[#All],4,0)</f>
        <v>Senior</v>
      </c>
      <c r="F545" s="2" t="str">
        <f>VLOOKUP(Sales_Details2[[#This Row],[Customer_ID]],Customer_Details[#All],5,0)</f>
        <v>Female</v>
      </c>
      <c r="G545" s="2" t="str">
        <f>VLOOKUP(Sales_Details2[[#This Row],[Customer_ID]],Customer_Details[#All],9,0)</f>
        <v>Gold</v>
      </c>
      <c r="H545" s="2" t="s">
        <v>1601</v>
      </c>
      <c r="I545" s="2" t="str">
        <f>VLOOKUP(Sales_Details2[[#This Row],[Product_ID]],Product_details[[#All],[Product_ID]:[Cost]],3,0)</f>
        <v>Home</v>
      </c>
      <c r="J545" s="2" t="str">
        <f>VLOOKUP(Sales_Details2[[#This Row],[Product_ID]],Product_details[[#All],[Product_ID]:[Cost]],4,0)</f>
        <v>Lighting</v>
      </c>
      <c r="K545" s="2" t="s">
        <v>1759</v>
      </c>
      <c r="L545" s="2" t="str">
        <f>_xlfn.XLOOKUP(Sales_Details2[[#This Row],[Store_ID]],Table2[Store_ID],Table2[Region],"Region not found")</f>
        <v>East</v>
      </c>
      <c r="M545" s="25">
        <v>1</v>
      </c>
      <c r="N545" s="36">
        <v>763.34</v>
      </c>
      <c r="O545" s="29">
        <v>0.11</v>
      </c>
      <c r="P545" s="2" t="s">
        <v>1812</v>
      </c>
      <c r="Q545" s="36">
        <v>679.37260000000003</v>
      </c>
    </row>
    <row r="546" spans="1:17" x14ac:dyDescent="0.3">
      <c r="A546" s="2" t="s">
        <v>2353</v>
      </c>
      <c r="B546" s="14">
        <v>45842</v>
      </c>
      <c r="C546" s="2">
        <f>YEAR(Sales_Details2[[#This Row],[Order_Date]])</f>
        <v>2025</v>
      </c>
      <c r="D546" s="2" t="s">
        <v>548</v>
      </c>
      <c r="E546" s="2" t="str">
        <f>VLOOKUP(Sales_Details2[[#This Row],[Customer_ID]],Customer_Details[#All],4,0)</f>
        <v>Adult</v>
      </c>
      <c r="F546" s="2" t="str">
        <f>VLOOKUP(Sales_Details2[[#This Row],[Customer_ID]],Customer_Details[#All],5,0)</f>
        <v>Female</v>
      </c>
      <c r="G546" s="2" t="str">
        <f>VLOOKUP(Sales_Details2[[#This Row],[Customer_ID]],Customer_Details[#All],9,0)</f>
        <v>Silver</v>
      </c>
      <c r="H546" s="2" t="s">
        <v>1649</v>
      </c>
      <c r="I546" s="2" t="str">
        <f>VLOOKUP(Sales_Details2[[#This Row],[Product_ID]],Product_details[[#All],[Product_ID]:[Cost]],3,0)</f>
        <v>Beauty</v>
      </c>
      <c r="J546" s="2" t="str">
        <f>VLOOKUP(Sales_Details2[[#This Row],[Product_ID]],Product_details[[#All],[Product_ID]:[Cost]],4,0)</f>
        <v>Haircare</v>
      </c>
      <c r="K546" s="2" t="s">
        <v>1793</v>
      </c>
      <c r="L546" s="2" t="str">
        <f>_xlfn.XLOOKUP(Sales_Details2[[#This Row],[Store_ID]],Table2[Store_ID],Table2[Region],"Region not found")</f>
        <v>East</v>
      </c>
      <c r="M546" s="25">
        <v>3</v>
      </c>
      <c r="N546" s="36">
        <v>178.22</v>
      </c>
      <c r="O546" s="29">
        <v>0.15</v>
      </c>
      <c r="P546" s="2" t="s">
        <v>1812</v>
      </c>
      <c r="Q546" s="36">
        <v>454.46100000000001</v>
      </c>
    </row>
    <row r="547" spans="1:17" x14ac:dyDescent="0.3">
      <c r="A547" s="2" t="s">
        <v>2354</v>
      </c>
      <c r="B547" s="14">
        <v>45255</v>
      </c>
      <c r="C547" s="2">
        <f>YEAR(Sales_Details2[[#This Row],[Order_Date]])</f>
        <v>2023</v>
      </c>
      <c r="D547" s="2" t="s">
        <v>361</v>
      </c>
      <c r="E547" s="2" t="str">
        <f>VLOOKUP(Sales_Details2[[#This Row],[Customer_ID]],Customer_Details[#All],4,0)</f>
        <v>Adult</v>
      </c>
      <c r="F547" s="2" t="str">
        <f>VLOOKUP(Sales_Details2[[#This Row],[Customer_ID]],Customer_Details[#All],5,0)</f>
        <v>Male</v>
      </c>
      <c r="G547" s="2" t="str">
        <f>VLOOKUP(Sales_Details2[[#This Row],[Customer_ID]],Customer_Details[#All],9,0)</f>
        <v>Bronze</v>
      </c>
      <c r="H547" s="2" t="s">
        <v>1583</v>
      </c>
      <c r="I547" s="2" t="str">
        <f>VLOOKUP(Sales_Details2[[#This Row],[Product_ID]],Product_details[[#All],[Product_ID]:[Cost]],3,0)</f>
        <v>Electronics</v>
      </c>
      <c r="J547" s="2" t="str">
        <f>VLOOKUP(Sales_Details2[[#This Row],[Product_ID]],Product_details[[#All],[Product_ID]:[Cost]],4,0)</f>
        <v>Audio</v>
      </c>
      <c r="K547" s="2" t="s">
        <v>1740</v>
      </c>
      <c r="L547" s="2" t="str">
        <f>_xlfn.XLOOKUP(Sales_Details2[[#This Row],[Store_ID]],Table2[Store_ID],Table2[Region],"Region not found")</f>
        <v>North</v>
      </c>
      <c r="M547" s="25">
        <v>4</v>
      </c>
      <c r="N547" s="36">
        <v>90.32</v>
      </c>
      <c r="O547" s="29">
        <v>0.08</v>
      </c>
      <c r="P547" s="2" t="s">
        <v>1809</v>
      </c>
      <c r="Q547" s="36">
        <v>332.37759999999997</v>
      </c>
    </row>
    <row r="548" spans="1:17" x14ac:dyDescent="0.3">
      <c r="A548" s="2" t="s">
        <v>2355</v>
      </c>
      <c r="B548" s="14">
        <v>45695</v>
      </c>
      <c r="C548" s="2">
        <f>YEAR(Sales_Details2[[#This Row],[Order_Date]])</f>
        <v>2025</v>
      </c>
      <c r="D548" s="2" t="s">
        <v>1168</v>
      </c>
      <c r="E548" s="2" t="str">
        <f>VLOOKUP(Sales_Details2[[#This Row],[Customer_ID]],Customer_Details[#All],4,0)</f>
        <v>Mid-Adult</v>
      </c>
      <c r="F548" s="2" t="str">
        <f>VLOOKUP(Sales_Details2[[#This Row],[Customer_ID]],Customer_Details[#All],5,0)</f>
        <v>Female</v>
      </c>
      <c r="G548" s="2" t="str">
        <f>VLOOKUP(Sales_Details2[[#This Row],[Customer_ID]],Customer_Details[#All],9,0)</f>
        <v>Bronze</v>
      </c>
      <c r="H548" s="2" t="s">
        <v>1551</v>
      </c>
      <c r="I548" s="2" t="str">
        <f>VLOOKUP(Sales_Details2[[#This Row],[Product_ID]],Product_details[[#All],[Product_ID]:[Cost]],3,0)</f>
        <v>Home</v>
      </c>
      <c r="J548" s="2" t="str">
        <f>VLOOKUP(Sales_Details2[[#This Row],[Product_ID]],Product_details[[#All],[Product_ID]:[Cost]],4,0)</f>
        <v>Kitchen</v>
      </c>
      <c r="K548" s="2" t="s">
        <v>1759</v>
      </c>
      <c r="L548" s="2" t="str">
        <f>_xlfn.XLOOKUP(Sales_Details2[[#This Row],[Store_ID]],Table2[Store_ID],Table2[Region],"Region not found")</f>
        <v>East</v>
      </c>
      <c r="M548" s="25">
        <v>3</v>
      </c>
      <c r="N548" s="36">
        <v>370.93</v>
      </c>
      <c r="O548" s="29">
        <v>0</v>
      </c>
      <c r="P548" s="2" t="s">
        <v>1807</v>
      </c>
      <c r="Q548" s="36">
        <v>1112.79</v>
      </c>
    </row>
    <row r="549" spans="1:17" x14ac:dyDescent="0.3">
      <c r="A549" s="2" t="s">
        <v>2356</v>
      </c>
      <c r="B549" s="14">
        <v>45281</v>
      </c>
      <c r="C549" s="2">
        <f>YEAR(Sales_Details2[[#This Row],[Order_Date]])</f>
        <v>2023</v>
      </c>
      <c r="D549" s="2" t="s">
        <v>176</v>
      </c>
      <c r="E549" s="2" t="str">
        <f>VLOOKUP(Sales_Details2[[#This Row],[Customer_ID]],Customer_Details[#All],4,0)</f>
        <v>Senior</v>
      </c>
      <c r="F549" s="2" t="str">
        <f>VLOOKUP(Sales_Details2[[#This Row],[Customer_ID]],Customer_Details[#All],5,0)</f>
        <v>Female</v>
      </c>
      <c r="G549" s="2" t="str">
        <f>VLOOKUP(Sales_Details2[[#This Row],[Customer_ID]],Customer_Details[#All],9,0)</f>
        <v>Platinum</v>
      </c>
      <c r="H549" s="2" t="s">
        <v>1577</v>
      </c>
      <c r="I549" s="2" t="str">
        <f>VLOOKUP(Sales_Details2[[#This Row],[Product_ID]],Product_details[[#All],[Product_ID]:[Cost]],3,0)</f>
        <v>Clothing</v>
      </c>
      <c r="J549" s="2" t="str">
        <f>VLOOKUP(Sales_Details2[[#This Row],[Product_ID]],Product_details[[#All],[Product_ID]:[Cost]],4,0)</f>
        <v>Tops</v>
      </c>
      <c r="K549" s="2" t="s">
        <v>1784</v>
      </c>
      <c r="L549" s="2" t="str">
        <f>_xlfn.XLOOKUP(Sales_Details2[[#This Row],[Store_ID]],Table2[Store_ID],Table2[Region],"Region not found")</f>
        <v>North</v>
      </c>
      <c r="M549" s="25">
        <v>1</v>
      </c>
      <c r="N549" s="36">
        <v>352.43</v>
      </c>
      <c r="O549" s="29">
        <v>0.14000000000000001</v>
      </c>
      <c r="P549" s="2" t="s">
        <v>1809</v>
      </c>
      <c r="Q549" s="36">
        <v>303.08980000000003</v>
      </c>
    </row>
    <row r="550" spans="1:17" x14ac:dyDescent="0.3">
      <c r="A550" s="2" t="s">
        <v>2357</v>
      </c>
      <c r="B550" s="14">
        <v>45295</v>
      </c>
      <c r="C550" s="2">
        <f>YEAR(Sales_Details2[[#This Row],[Order_Date]])</f>
        <v>2024</v>
      </c>
      <c r="D550" s="2" t="s">
        <v>420</v>
      </c>
      <c r="E550" s="2" t="str">
        <f>VLOOKUP(Sales_Details2[[#This Row],[Customer_ID]],Customer_Details[#All],4,0)</f>
        <v>Mid-Adult</v>
      </c>
      <c r="F550" s="2" t="str">
        <f>VLOOKUP(Sales_Details2[[#This Row],[Customer_ID]],Customer_Details[#All],5,0)</f>
        <v>Male</v>
      </c>
      <c r="G550" s="2" t="str">
        <f>VLOOKUP(Sales_Details2[[#This Row],[Customer_ID]],Customer_Details[#All],9,0)</f>
        <v>Silver</v>
      </c>
      <c r="H550" s="2" t="s">
        <v>1555</v>
      </c>
      <c r="I550" s="2" t="str">
        <f>VLOOKUP(Sales_Details2[[#This Row],[Product_ID]],Product_details[[#All],[Product_ID]:[Cost]],3,0)</f>
        <v>Beauty</v>
      </c>
      <c r="J550" s="2" t="str">
        <f>VLOOKUP(Sales_Details2[[#This Row],[Product_ID]],Product_details[[#All],[Product_ID]:[Cost]],4,0)</f>
        <v>Haircare</v>
      </c>
      <c r="K550" s="2" t="s">
        <v>1784</v>
      </c>
      <c r="L550" s="2" t="str">
        <f>_xlfn.XLOOKUP(Sales_Details2[[#This Row],[Store_ID]],Table2[Store_ID],Table2[Region],"Region not found")</f>
        <v>North</v>
      </c>
      <c r="M550" s="25">
        <v>2</v>
      </c>
      <c r="N550" s="36">
        <v>562.97</v>
      </c>
      <c r="O550" s="29">
        <v>0.2</v>
      </c>
      <c r="P550" s="2" t="s">
        <v>1807</v>
      </c>
      <c r="Q550" s="36">
        <v>900.75200000000007</v>
      </c>
    </row>
    <row r="551" spans="1:17" x14ac:dyDescent="0.3">
      <c r="A551" s="2" t="s">
        <v>2358</v>
      </c>
      <c r="B551" s="14">
        <v>45260</v>
      </c>
      <c r="C551" s="2">
        <f>YEAR(Sales_Details2[[#This Row],[Order_Date]])</f>
        <v>2023</v>
      </c>
      <c r="D551" s="2" t="s">
        <v>521</v>
      </c>
      <c r="E551" s="2" t="str">
        <f>VLOOKUP(Sales_Details2[[#This Row],[Customer_ID]],Customer_Details[#All],4,0)</f>
        <v>Senior</v>
      </c>
      <c r="F551" s="2" t="str">
        <f>VLOOKUP(Sales_Details2[[#This Row],[Customer_ID]],Customer_Details[#All],5,0)</f>
        <v>Male</v>
      </c>
      <c r="G551" s="2" t="str">
        <f>VLOOKUP(Sales_Details2[[#This Row],[Customer_ID]],Customer_Details[#All],9,0)</f>
        <v>Platinum</v>
      </c>
      <c r="H551" s="2" t="s">
        <v>1641</v>
      </c>
      <c r="I551" s="2" t="str">
        <f>VLOOKUP(Sales_Details2[[#This Row],[Product_ID]],Product_details[[#All],[Product_ID]:[Cost]],3,0)</f>
        <v>Home</v>
      </c>
      <c r="J551" s="2" t="str">
        <f>VLOOKUP(Sales_Details2[[#This Row],[Product_ID]],Product_details[[#All],[Product_ID]:[Cost]],4,0)</f>
        <v>Decor</v>
      </c>
      <c r="K551" s="2" t="s">
        <v>1762</v>
      </c>
      <c r="L551" s="2" t="str">
        <f>_xlfn.XLOOKUP(Sales_Details2[[#This Row],[Store_ID]],Table2[Store_ID],Table2[Region],"Region not found")</f>
        <v>South</v>
      </c>
      <c r="M551" s="25">
        <v>1</v>
      </c>
      <c r="N551" s="36">
        <v>522.85</v>
      </c>
      <c r="O551" s="29">
        <v>0.12</v>
      </c>
      <c r="P551" s="2" t="s">
        <v>1809</v>
      </c>
      <c r="Q551" s="36">
        <v>460.108</v>
      </c>
    </row>
    <row r="552" spans="1:17" x14ac:dyDescent="0.3">
      <c r="A552" s="2" t="s">
        <v>2359</v>
      </c>
      <c r="B552" s="14">
        <v>45851</v>
      </c>
      <c r="C552" s="2">
        <f>YEAR(Sales_Details2[[#This Row],[Order_Date]])</f>
        <v>2025</v>
      </c>
      <c r="D552" s="2" t="s">
        <v>1083</v>
      </c>
      <c r="E552" s="2" t="str">
        <f>VLOOKUP(Sales_Details2[[#This Row],[Customer_ID]],Customer_Details[#All],4,0)</f>
        <v>Mid-Adult</v>
      </c>
      <c r="F552" s="2" t="str">
        <f>VLOOKUP(Sales_Details2[[#This Row],[Customer_ID]],Customer_Details[#All],5,0)</f>
        <v>Male</v>
      </c>
      <c r="G552" s="2" t="str">
        <f>VLOOKUP(Sales_Details2[[#This Row],[Customer_ID]],Customer_Details[#All],9,0)</f>
        <v>Bronze</v>
      </c>
      <c r="H552" s="2" t="s">
        <v>1573</v>
      </c>
      <c r="I552" s="2" t="str">
        <f>VLOOKUP(Sales_Details2[[#This Row],[Product_ID]],Product_details[[#All],[Product_ID]:[Cost]],3,0)</f>
        <v>Home</v>
      </c>
      <c r="J552" s="2" t="str">
        <f>VLOOKUP(Sales_Details2[[#This Row],[Product_ID]],Product_details[[#All],[Product_ID]:[Cost]],4,0)</f>
        <v>Storage</v>
      </c>
      <c r="K552" s="2" t="s">
        <v>1787</v>
      </c>
      <c r="L552" s="2" t="str">
        <f>_xlfn.XLOOKUP(Sales_Details2[[#This Row],[Store_ID]],Table2[Store_ID],Table2[Region],"Region not found")</f>
        <v>West</v>
      </c>
      <c r="M552" s="25">
        <v>4</v>
      </c>
      <c r="N552" s="36">
        <v>714.89</v>
      </c>
      <c r="O552" s="29">
        <v>0.15</v>
      </c>
      <c r="P552" s="2" t="s">
        <v>1807</v>
      </c>
      <c r="Q552" s="36">
        <v>2430.6260000000002</v>
      </c>
    </row>
    <row r="553" spans="1:17" x14ac:dyDescent="0.3">
      <c r="A553" s="2" t="s">
        <v>2360</v>
      </c>
      <c r="B553" s="14">
        <v>45222</v>
      </c>
      <c r="C553" s="2">
        <f>YEAR(Sales_Details2[[#This Row],[Order_Date]])</f>
        <v>2023</v>
      </c>
      <c r="D553" s="2" t="s">
        <v>610</v>
      </c>
      <c r="E553" s="2" t="str">
        <f>VLOOKUP(Sales_Details2[[#This Row],[Customer_ID]],Customer_Details[#All],4,0)</f>
        <v>Senior</v>
      </c>
      <c r="F553" s="2" t="str">
        <f>VLOOKUP(Sales_Details2[[#This Row],[Customer_ID]],Customer_Details[#All],5,0)</f>
        <v>Female</v>
      </c>
      <c r="G553" s="2" t="str">
        <f>VLOOKUP(Sales_Details2[[#This Row],[Customer_ID]],Customer_Details[#All],9,0)</f>
        <v>Platinum</v>
      </c>
      <c r="H553" s="2" t="s">
        <v>1617</v>
      </c>
      <c r="I553" s="2" t="str">
        <f>VLOOKUP(Sales_Details2[[#This Row],[Product_ID]],Product_details[[#All],[Product_ID]:[Cost]],3,0)</f>
        <v>Electronics</v>
      </c>
      <c r="J553" s="2" t="str">
        <f>VLOOKUP(Sales_Details2[[#This Row],[Product_ID]],Product_details[[#All],[Product_ID]:[Cost]],4,0)</f>
        <v>Computer</v>
      </c>
      <c r="K553" s="2" t="s">
        <v>1744</v>
      </c>
      <c r="L553" s="2" t="str">
        <f>_xlfn.XLOOKUP(Sales_Details2[[#This Row],[Store_ID]],Table2[Store_ID],Table2[Region],"Region not found")</f>
        <v>South</v>
      </c>
      <c r="M553" s="25">
        <v>3</v>
      </c>
      <c r="N553" s="36">
        <v>137.77000000000001</v>
      </c>
      <c r="O553" s="29">
        <v>0.26</v>
      </c>
      <c r="P553" s="2" t="s">
        <v>1809</v>
      </c>
      <c r="Q553" s="36">
        <v>305.84940000000012</v>
      </c>
    </row>
    <row r="554" spans="1:17" x14ac:dyDescent="0.3">
      <c r="A554" s="2" t="s">
        <v>2361</v>
      </c>
      <c r="B554" s="14">
        <v>45940</v>
      </c>
      <c r="C554" s="2">
        <f>YEAR(Sales_Details2[[#This Row],[Order_Date]])</f>
        <v>2025</v>
      </c>
      <c r="D554" s="2" t="s">
        <v>114</v>
      </c>
      <c r="E554" s="2" t="str">
        <f>VLOOKUP(Sales_Details2[[#This Row],[Customer_ID]],Customer_Details[#All],4,0)</f>
        <v>Mid-Adult</v>
      </c>
      <c r="F554" s="2" t="str">
        <f>VLOOKUP(Sales_Details2[[#This Row],[Customer_ID]],Customer_Details[#All],5,0)</f>
        <v>Male</v>
      </c>
      <c r="G554" s="2" t="str">
        <f>VLOOKUP(Sales_Details2[[#This Row],[Customer_ID]],Customer_Details[#All],9,0)</f>
        <v>Platinum</v>
      </c>
      <c r="H554" s="2" t="s">
        <v>1715</v>
      </c>
      <c r="I554" s="2" t="str">
        <f>VLOOKUP(Sales_Details2[[#This Row],[Product_ID]],Product_details[[#All],[Product_ID]:[Cost]],3,0)</f>
        <v>Home</v>
      </c>
      <c r="J554" s="2" t="str">
        <f>VLOOKUP(Sales_Details2[[#This Row],[Product_ID]],Product_details[[#All],[Product_ID]:[Cost]],4,0)</f>
        <v>Appliances</v>
      </c>
      <c r="K554" s="2" t="s">
        <v>1775</v>
      </c>
      <c r="L554" s="2" t="str">
        <f>_xlfn.XLOOKUP(Sales_Details2[[#This Row],[Store_ID]],Table2[Store_ID],Table2[Region],"Region not found")</f>
        <v>South</v>
      </c>
      <c r="M554" s="25">
        <v>3</v>
      </c>
      <c r="N554" s="36">
        <v>862.18</v>
      </c>
      <c r="O554" s="29">
        <v>0.22</v>
      </c>
      <c r="P554" s="2" t="s">
        <v>1809</v>
      </c>
      <c r="Q554" s="36">
        <v>2017.5011999999999</v>
      </c>
    </row>
    <row r="555" spans="1:17" x14ac:dyDescent="0.3">
      <c r="A555" s="2" t="s">
        <v>2362</v>
      </c>
      <c r="B555" s="14">
        <v>45822</v>
      </c>
      <c r="C555" s="2">
        <f>YEAR(Sales_Details2[[#This Row],[Order_Date]])</f>
        <v>2025</v>
      </c>
      <c r="D555" s="2" t="s">
        <v>211</v>
      </c>
      <c r="E555" s="2" t="str">
        <f>VLOOKUP(Sales_Details2[[#This Row],[Customer_ID]],Customer_Details[#All],4,0)</f>
        <v>Mid-Adult</v>
      </c>
      <c r="F555" s="2" t="str">
        <f>VLOOKUP(Sales_Details2[[#This Row],[Customer_ID]],Customer_Details[#All],5,0)</f>
        <v>Female</v>
      </c>
      <c r="G555" s="2" t="str">
        <f>VLOOKUP(Sales_Details2[[#This Row],[Customer_ID]],Customer_Details[#All],9,0)</f>
        <v>Platinum</v>
      </c>
      <c r="H555" s="2" t="s">
        <v>1607</v>
      </c>
      <c r="I555" s="2" t="str">
        <f>VLOOKUP(Sales_Details2[[#This Row],[Product_ID]],Product_details[[#All],[Product_ID]:[Cost]],3,0)</f>
        <v>Sports</v>
      </c>
      <c r="J555" s="2" t="str">
        <f>VLOOKUP(Sales_Details2[[#This Row],[Product_ID]],Product_details[[#All],[Product_ID]:[Cost]],4,0)</f>
        <v>Outdoor</v>
      </c>
      <c r="K555" s="2" t="s">
        <v>1782</v>
      </c>
      <c r="L555" s="2" t="str">
        <f>_xlfn.XLOOKUP(Sales_Details2[[#This Row],[Store_ID]],Table2[Store_ID],Table2[Region],"Region not found")</f>
        <v>South</v>
      </c>
      <c r="M555" s="25">
        <v>2</v>
      </c>
      <c r="N555" s="36">
        <v>833.64</v>
      </c>
      <c r="O555" s="29">
        <v>0.24</v>
      </c>
      <c r="P555" s="2" t="s">
        <v>1809</v>
      </c>
      <c r="Q555" s="36">
        <v>1267.1328000000001</v>
      </c>
    </row>
    <row r="556" spans="1:17" x14ac:dyDescent="0.3">
      <c r="A556" s="2" t="s">
        <v>2363</v>
      </c>
      <c r="B556" s="14">
        <v>45752</v>
      </c>
      <c r="C556" s="2">
        <f>YEAR(Sales_Details2[[#This Row],[Order_Date]])</f>
        <v>2025</v>
      </c>
      <c r="D556" s="2" t="s">
        <v>853</v>
      </c>
      <c r="E556" s="2" t="str">
        <f>VLOOKUP(Sales_Details2[[#This Row],[Customer_ID]],Customer_Details[#All],4,0)</f>
        <v>Mid-Adult</v>
      </c>
      <c r="F556" s="2" t="str">
        <f>VLOOKUP(Sales_Details2[[#This Row],[Customer_ID]],Customer_Details[#All],5,0)</f>
        <v>Female</v>
      </c>
      <c r="G556" s="2" t="str">
        <f>VLOOKUP(Sales_Details2[[#This Row],[Customer_ID]],Customer_Details[#All],9,0)</f>
        <v>Gold</v>
      </c>
      <c r="H556" s="2" t="s">
        <v>1569</v>
      </c>
      <c r="I556" s="2" t="str">
        <f>VLOOKUP(Sales_Details2[[#This Row],[Product_ID]],Product_details[[#All],[Product_ID]:[Cost]],3,0)</f>
        <v>Sports</v>
      </c>
      <c r="J556" s="2" t="str">
        <f>VLOOKUP(Sales_Details2[[#This Row],[Product_ID]],Product_details[[#All],[Product_ID]:[Cost]],4,0)</f>
        <v>Equipment</v>
      </c>
      <c r="K556" s="2" t="s">
        <v>1784</v>
      </c>
      <c r="L556" s="2" t="str">
        <f>_xlfn.XLOOKUP(Sales_Details2[[#This Row],[Store_ID]],Table2[Store_ID],Table2[Region],"Region not found")</f>
        <v>North</v>
      </c>
      <c r="M556" s="25">
        <v>3</v>
      </c>
      <c r="N556" s="36">
        <v>543.22</v>
      </c>
      <c r="O556" s="29">
        <v>0.05</v>
      </c>
      <c r="P556" s="2" t="s">
        <v>1812</v>
      </c>
      <c r="Q556" s="36">
        <v>1548.1769999999999</v>
      </c>
    </row>
    <row r="557" spans="1:17" x14ac:dyDescent="0.3">
      <c r="A557" s="2" t="s">
        <v>2364</v>
      </c>
      <c r="B557" s="14">
        <v>45677</v>
      </c>
      <c r="C557" s="2">
        <f>YEAR(Sales_Details2[[#This Row],[Order_Date]])</f>
        <v>2025</v>
      </c>
      <c r="D557" s="2" t="s">
        <v>876</v>
      </c>
      <c r="E557" s="2" t="str">
        <f>VLOOKUP(Sales_Details2[[#This Row],[Customer_ID]],Customer_Details[#All],4,0)</f>
        <v>Mid-Adult</v>
      </c>
      <c r="F557" s="2" t="str">
        <f>VLOOKUP(Sales_Details2[[#This Row],[Customer_ID]],Customer_Details[#All],5,0)</f>
        <v>Female</v>
      </c>
      <c r="G557" s="2" t="str">
        <f>VLOOKUP(Sales_Details2[[#This Row],[Customer_ID]],Customer_Details[#All],9,0)</f>
        <v>Platinum</v>
      </c>
      <c r="H557" s="2" t="s">
        <v>1707</v>
      </c>
      <c r="I557" s="2" t="str">
        <f>VLOOKUP(Sales_Details2[[#This Row],[Product_ID]],Product_details[[#All],[Product_ID]:[Cost]],3,0)</f>
        <v>Sports</v>
      </c>
      <c r="J557" s="2" t="str">
        <f>VLOOKUP(Sales_Details2[[#This Row],[Product_ID]],Product_details[[#All],[Product_ID]:[Cost]],4,0)</f>
        <v>Accessories</v>
      </c>
      <c r="K557" s="2" t="s">
        <v>1744</v>
      </c>
      <c r="L557" s="2" t="str">
        <f>_xlfn.XLOOKUP(Sales_Details2[[#This Row],[Store_ID]],Table2[Store_ID],Table2[Region],"Region not found")</f>
        <v>South</v>
      </c>
      <c r="M557" s="25">
        <v>3</v>
      </c>
      <c r="N557" s="36">
        <v>691.02</v>
      </c>
      <c r="O557" s="29">
        <v>0.12</v>
      </c>
      <c r="P557" s="2" t="s">
        <v>1812</v>
      </c>
      <c r="Q557" s="36">
        <v>1824.2927999999999</v>
      </c>
    </row>
    <row r="558" spans="1:17" x14ac:dyDescent="0.3">
      <c r="A558" s="2" t="s">
        <v>2365</v>
      </c>
      <c r="B558" s="14">
        <v>45253</v>
      </c>
      <c r="C558" s="2">
        <f>YEAR(Sales_Details2[[#This Row],[Order_Date]])</f>
        <v>2023</v>
      </c>
      <c r="D558" s="2" t="s">
        <v>310</v>
      </c>
      <c r="E558" s="2" t="str">
        <f>VLOOKUP(Sales_Details2[[#This Row],[Customer_ID]],Customer_Details[#All],4,0)</f>
        <v>Senior</v>
      </c>
      <c r="F558" s="2" t="str">
        <f>VLOOKUP(Sales_Details2[[#This Row],[Customer_ID]],Customer_Details[#All],5,0)</f>
        <v>Female</v>
      </c>
      <c r="G558" s="2" t="str">
        <f>VLOOKUP(Sales_Details2[[#This Row],[Customer_ID]],Customer_Details[#All],9,0)</f>
        <v>Bronze</v>
      </c>
      <c r="H558" s="2" t="s">
        <v>1703</v>
      </c>
      <c r="I558" s="2" t="str">
        <f>VLOOKUP(Sales_Details2[[#This Row],[Product_ID]],Product_details[[#All],[Product_ID]:[Cost]],3,0)</f>
        <v>Home</v>
      </c>
      <c r="J558" s="2" t="str">
        <f>VLOOKUP(Sales_Details2[[#This Row],[Product_ID]],Product_details[[#All],[Product_ID]:[Cost]],4,0)</f>
        <v>Kitchen</v>
      </c>
      <c r="K558" s="2" t="s">
        <v>1790</v>
      </c>
      <c r="L558" s="2" t="str">
        <f>_xlfn.XLOOKUP(Sales_Details2[[#This Row],[Store_ID]],Table2[Store_ID],Table2[Region],"Region not found")</f>
        <v>North</v>
      </c>
      <c r="M558" s="25">
        <v>4</v>
      </c>
      <c r="N558" s="36">
        <v>338.73</v>
      </c>
      <c r="O558" s="29">
        <v>0.18</v>
      </c>
      <c r="P558" s="2" t="s">
        <v>1807</v>
      </c>
      <c r="Q558" s="36">
        <v>1111.0344</v>
      </c>
    </row>
    <row r="559" spans="1:17" x14ac:dyDescent="0.3">
      <c r="A559" s="2" t="s">
        <v>2366</v>
      </c>
      <c r="B559" s="14">
        <v>45389</v>
      </c>
      <c r="C559" s="2">
        <f>YEAR(Sales_Details2[[#This Row],[Order_Date]])</f>
        <v>2024</v>
      </c>
      <c r="D559" s="2" t="s">
        <v>227</v>
      </c>
      <c r="E559" s="2" t="str">
        <f>VLOOKUP(Sales_Details2[[#This Row],[Customer_ID]],Customer_Details[#All],4,0)</f>
        <v>Mid-Adult</v>
      </c>
      <c r="F559" s="2" t="str">
        <f>VLOOKUP(Sales_Details2[[#This Row],[Customer_ID]],Customer_Details[#All],5,0)</f>
        <v>Male</v>
      </c>
      <c r="G559" s="2" t="str">
        <f>VLOOKUP(Sales_Details2[[#This Row],[Customer_ID]],Customer_Details[#All],9,0)</f>
        <v>Bronze</v>
      </c>
      <c r="H559" s="2" t="s">
        <v>1699</v>
      </c>
      <c r="I559" s="2" t="str">
        <f>VLOOKUP(Sales_Details2[[#This Row],[Product_ID]],Product_details[[#All],[Product_ID]:[Cost]],3,0)</f>
        <v>Home</v>
      </c>
      <c r="J559" s="2" t="str">
        <f>VLOOKUP(Sales_Details2[[#This Row],[Product_ID]],Product_details[[#All],[Product_ID]:[Cost]],4,0)</f>
        <v>Furniture</v>
      </c>
      <c r="K559" s="2" t="s">
        <v>1787</v>
      </c>
      <c r="L559" s="2" t="str">
        <f>_xlfn.XLOOKUP(Sales_Details2[[#This Row],[Store_ID]],Table2[Store_ID],Table2[Region],"Region not found")</f>
        <v>West</v>
      </c>
      <c r="M559" s="25">
        <v>3</v>
      </c>
      <c r="N559" s="36">
        <v>366.08</v>
      </c>
      <c r="O559" s="29">
        <v>0.05</v>
      </c>
      <c r="P559" s="2" t="s">
        <v>1807</v>
      </c>
      <c r="Q559" s="36">
        <v>1043.328</v>
      </c>
    </row>
    <row r="560" spans="1:17" x14ac:dyDescent="0.3">
      <c r="A560" s="2" t="s">
        <v>2367</v>
      </c>
      <c r="B560" s="14">
        <v>45840</v>
      </c>
      <c r="C560" s="2">
        <f>YEAR(Sales_Details2[[#This Row],[Order_Date]])</f>
        <v>2025</v>
      </c>
      <c r="D560" s="2" t="s">
        <v>367</v>
      </c>
      <c r="E560" s="2" t="str">
        <f>VLOOKUP(Sales_Details2[[#This Row],[Customer_ID]],Customer_Details[#All],4,0)</f>
        <v>Mid-Adult</v>
      </c>
      <c r="F560" s="2" t="str">
        <f>VLOOKUP(Sales_Details2[[#This Row],[Customer_ID]],Customer_Details[#All],5,0)</f>
        <v>Female</v>
      </c>
      <c r="G560" s="2" t="str">
        <f>VLOOKUP(Sales_Details2[[#This Row],[Customer_ID]],Customer_Details[#All],9,0)</f>
        <v>Gold</v>
      </c>
      <c r="H560" s="2" t="s">
        <v>1557</v>
      </c>
      <c r="I560" s="2" t="str">
        <f>VLOOKUP(Sales_Details2[[#This Row],[Product_ID]],Product_details[[#All],[Product_ID]:[Cost]],3,0)</f>
        <v>Electronics</v>
      </c>
      <c r="J560" s="2" t="str">
        <f>VLOOKUP(Sales_Details2[[#This Row],[Product_ID]],Product_details[[#All],[Product_ID]:[Cost]],4,0)</f>
        <v>Accessories</v>
      </c>
      <c r="K560" s="2" t="s">
        <v>1780</v>
      </c>
      <c r="L560" s="2" t="str">
        <f>_xlfn.XLOOKUP(Sales_Details2[[#This Row],[Store_ID]],Table2[Store_ID],Table2[Region],"Region not found")</f>
        <v>East</v>
      </c>
      <c r="M560" s="25">
        <v>4</v>
      </c>
      <c r="N560" s="36">
        <v>539.48</v>
      </c>
      <c r="O560" s="29">
        <v>0.28000000000000003</v>
      </c>
      <c r="P560" s="2" t="s">
        <v>1812</v>
      </c>
      <c r="Q560" s="36">
        <v>1553.7023999999999</v>
      </c>
    </row>
    <row r="561" spans="1:17" x14ac:dyDescent="0.3">
      <c r="A561" s="2" t="s">
        <v>2368</v>
      </c>
      <c r="B561" s="14">
        <v>45256</v>
      </c>
      <c r="C561" s="2">
        <f>YEAR(Sales_Details2[[#This Row],[Order_Date]])</f>
        <v>2023</v>
      </c>
      <c r="D561" s="2" t="s">
        <v>1201</v>
      </c>
      <c r="E561" s="2" t="str">
        <f>VLOOKUP(Sales_Details2[[#This Row],[Customer_ID]],Customer_Details[#All],4,0)</f>
        <v>Mid-Adult</v>
      </c>
      <c r="F561" s="2" t="str">
        <f>VLOOKUP(Sales_Details2[[#This Row],[Customer_ID]],Customer_Details[#All],5,0)</f>
        <v>Male</v>
      </c>
      <c r="G561" s="2" t="str">
        <f>VLOOKUP(Sales_Details2[[#This Row],[Customer_ID]],Customer_Details[#All],9,0)</f>
        <v>Platinum</v>
      </c>
      <c r="H561" s="2" t="s">
        <v>1713</v>
      </c>
      <c r="I561" s="2" t="str">
        <f>VLOOKUP(Sales_Details2[[#This Row],[Product_ID]],Product_details[[#All],[Product_ID]:[Cost]],3,0)</f>
        <v>Clothing</v>
      </c>
      <c r="J561" s="2" t="str">
        <f>VLOOKUP(Sales_Details2[[#This Row],[Product_ID]],Product_details[[#All],[Product_ID]:[Cost]],4,0)</f>
        <v>Footwear</v>
      </c>
      <c r="K561" s="2" t="s">
        <v>1787</v>
      </c>
      <c r="L561" s="2" t="str">
        <f>_xlfn.XLOOKUP(Sales_Details2[[#This Row],[Store_ID]],Table2[Store_ID],Table2[Region],"Region not found")</f>
        <v>West</v>
      </c>
      <c r="M561" s="25">
        <v>1</v>
      </c>
      <c r="N561" s="36">
        <v>499.59</v>
      </c>
      <c r="O561" s="29">
        <v>0.03</v>
      </c>
      <c r="P561" s="2" t="s">
        <v>1812</v>
      </c>
      <c r="Q561" s="36">
        <v>484.60230000000001</v>
      </c>
    </row>
    <row r="562" spans="1:17" x14ac:dyDescent="0.3">
      <c r="A562" s="2" t="s">
        <v>2369</v>
      </c>
      <c r="B562" s="14">
        <v>45326</v>
      </c>
      <c r="C562" s="2">
        <f>YEAR(Sales_Details2[[#This Row],[Order_Date]])</f>
        <v>2024</v>
      </c>
      <c r="D562" s="2" t="s">
        <v>613</v>
      </c>
      <c r="E562" s="2" t="str">
        <f>VLOOKUP(Sales_Details2[[#This Row],[Customer_ID]],Customer_Details[#All],4,0)</f>
        <v>Mid-Adult</v>
      </c>
      <c r="F562" s="2" t="str">
        <f>VLOOKUP(Sales_Details2[[#This Row],[Customer_ID]],Customer_Details[#All],5,0)</f>
        <v>Male</v>
      </c>
      <c r="G562" s="2" t="str">
        <f>VLOOKUP(Sales_Details2[[#This Row],[Customer_ID]],Customer_Details[#All],9,0)</f>
        <v>Silver</v>
      </c>
      <c r="H562" s="2" t="s">
        <v>1591</v>
      </c>
      <c r="I562" s="2" t="str">
        <f>VLOOKUP(Sales_Details2[[#This Row],[Product_ID]],Product_details[[#All],[Product_ID]:[Cost]],3,0)</f>
        <v>Home</v>
      </c>
      <c r="J562" s="2" t="str">
        <f>VLOOKUP(Sales_Details2[[#This Row],[Product_ID]],Product_details[[#All],[Product_ID]:[Cost]],4,0)</f>
        <v>Kitchen</v>
      </c>
      <c r="K562" s="2" t="s">
        <v>1765</v>
      </c>
      <c r="L562" s="2" t="str">
        <f>_xlfn.XLOOKUP(Sales_Details2[[#This Row],[Store_ID]],Table2[Store_ID],Table2[Region],"Region not found")</f>
        <v>West</v>
      </c>
      <c r="M562" s="25">
        <v>3</v>
      </c>
      <c r="N562" s="36">
        <v>330.04</v>
      </c>
      <c r="O562" s="29">
        <v>0.2</v>
      </c>
      <c r="P562" s="2" t="s">
        <v>1807</v>
      </c>
      <c r="Q562" s="36">
        <v>792.09600000000012</v>
      </c>
    </row>
    <row r="563" spans="1:17" x14ac:dyDescent="0.3">
      <c r="A563" s="2" t="s">
        <v>2370</v>
      </c>
      <c r="B563" s="14">
        <v>45459</v>
      </c>
      <c r="C563" s="2">
        <f>YEAR(Sales_Details2[[#This Row],[Order_Date]])</f>
        <v>2024</v>
      </c>
      <c r="D563" s="2" t="s">
        <v>595</v>
      </c>
      <c r="E563" s="2" t="str">
        <f>VLOOKUP(Sales_Details2[[#This Row],[Customer_ID]],Customer_Details[#All],4,0)</f>
        <v>Adult</v>
      </c>
      <c r="F563" s="2" t="str">
        <f>VLOOKUP(Sales_Details2[[#This Row],[Customer_ID]],Customer_Details[#All],5,0)</f>
        <v>Female</v>
      </c>
      <c r="G563" s="2" t="str">
        <f>VLOOKUP(Sales_Details2[[#This Row],[Customer_ID]],Customer_Details[#All],9,0)</f>
        <v>Silver</v>
      </c>
      <c r="H563" s="2" t="s">
        <v>1553</v>
      </c>
      <c r="I563" s="2" t="str">
        <f>VLOOKUP(Sales_Details2[[#This Row],[Product_ID]],Product_details[[#All],[Product_ID]:[Cost]],3,0)</f>
        <v>Electronics</v>
      </c>
      <c r="J563" s="2" t="str">
        <f>VLOOKUP(Sales_Details2[[#This Row],[Product_ID]],Product_details[[#All],[Product_ID]:[Cost]],4,0)</f>
        <v>Accessories</v>
      </c>
      <c r="K563" s="2" t="s">
        <v>1790</v>
      </c>
      <c r="L563" s="2" t="str">
        <f>_xlfn.XLOOKUP(Sales_Details2[[#This Row],[Store_ID]],Table2[Store_ID],Table2[Region],"Region not found")</f>
        <v>North</v>
      </c>
      <c r="M563" s="25">
        <v>2</v>
      </c>
      <c r="N563" s="36">
        <v>813.01</v>
      </c>
      <c r="O563" s="29">
        <v>0.06</v>
      </c>
      <c r="P563" s="2" t="s">
        <v>1809</v>
      </c>
      <c r="Q563" s="36">
        <v>1528.4588000000001</v>
      </c>
    </row>
    <row r="564" spans="1:17" x14ac:dyDescent="0.3">
      <c r="A564" s="2" t="s">
        <v>2371</v>
      </c>
      <c r="B564" s="14">
        <v>45715</v>
      </c>
      <c r="C564" s="2">
        <f>YEAR(Sales_Details2[[#This Row],[Order_Date]])</f>
        <v>2025</v>
      </c>
      <c r="D564" s="2" t="s">
        <v>110</v>
      </c>
      <c r="E564" s="2" t="str">
        <f>VLOOKUP(Sales_Details2[[#This Row],[Customer_ID]],Customer_Details[#All],4,0)</f>
        <v>Adult</v>
      </c>
      <c r="F564" s="2" t="str">
        <f>VLOOKUP(Sales_Details2[[#This Row],[Customer_ID]],Customer_Details[#All],5,0)</f>
        <v>Female</v>
      </c>
      <c r="G564" s="2" t="str">
        <f>VLOOKUP(Sales_Details2[[#This Row],[Customer_ID]],Customer_Details[#All],9,0)</f>
        <v>Gold</v>
      </c>
      <c r="H564" s="2" t="s">
        <v>1529</v>
      </c>
      <c r="I564" s="2" t="str">
        <f>VLOOKUP(Sales_Details2[[#This Row],[Product_ID]],Product_details[[#All],[Product_ID]:[Cost]],3,0)</f>
        <v>Clothing</v>
      </c>
      <c r="J564" s="2" t="str">
        <f>VLOOKUP(Sales_Details2[[#This Row],[Product_ID]],Product_details[[#All],[Product_ID]:[Cost]],4,0)</f>
        <v>Tops</v>
      </c>
      <c r="K564" s="2" t="s">
        <v>1744</v>
      </c>
      <c r="L564" s="2" t="str">
        <f>_xlfn.XLOOKUP(Sales_Details2[[#This Row],[Store_ID]],Table2[Store_ID],Table2[Region],"Region not found")</f>
        <v>South</v>
      </c>
      <c r="M564" s="25">
        <v>4</v>
      </c>
      <c r="N564" s="36">
        <v>204.8</v>
      </c>
      <c r="O564" s="29">
        <v>0.03</v>
      </c>
      <c r="P564" s="2" t="s">
        <v>1809</v>
      </c>
      <c r="Q564" s="36">
        <v>794.62400000000002</v>
      </c>
    </row>
    <row r="565" spans="1:17" x14ac:dyDescent="0.3">
      <c r="A565" s="2" t="s">
        <v>2372</v>
      </c>
      <c r="B565" s="14">
        <v>45223</v>
      </c>
      <c r="C565" s="2">
        <f>YEAR(Sales_Details2[[#This Row],[Order_Date]])</f>
        <v>2023</v>
      </c>
      <c r="D565" s="2" t="s">
        <v>55</v>
      </c>
      <c r="E565" s="2" t="str">
        <f>VLOOKUP(Sales_Details2[[#This Row],[Customer_ID]],Customer_Details[#All],4,0)</f>
        <v>Adult</v>
      </c>
      <c r="F565" s="2" t="str">
        <f>VLOOKUP(Sales_Details2[[#This Row],[Customer_ID]],Customer_Details[#All],5,0)</f>
        <v>Female</v>
      </c>
      <c r="G565" s="2" t="str">
        <f>VLOOKUP(Sales_Details2[[#This Row],[Customer_ID]],Customer_Details[#All],9,0)</f>
        <v>Gold</v>
      </c>
      <c r="H565" s="2" t="s">
        <v>1534</v>
      </c>
      <c r="I565" s="2" t="str">
        <f>VLOOKUP(Sales_Details2[[#This Row],[Product_ID]],Product_details[[#All],[Product_ID]:[Cost]],3,0)</f>
        <v>Clothing</v>
      </c>
      <c r="J565" s="2" t="str">
        <f>VLOOKUP(Sales_Details2[[#This Row],[Product_ID]],Product_details[[#All],[Product_ID]:[Cost]],4,0)</f>
        <v>Outerwear</v>
      </c>
      <c r="K565" s="2" t="s">
        <v>1749</v>
      </c>
      <c r="L565" s="2" t="str">
        <f>_xlfn.XLOOKUP(Sales_Details2[[#This Row],[Store_ID]],Table2[Store_ID],Table2[Region],"Region not found")</f>
        <v>North</v>
      </c>
      <c r="M565" s="25">
        <v>3</v>
      </c>
      <c r="N565" s="36">
        <v>728.32</v>
      </c>
      <c r="O565" s="29">
        <v>0.01</v>
      </c>
      <c r="P565" s="2" t="s">
        <v>1807</v>
      </c>
      <c r="Q565" s="36">
        <v>2163.1104</v>
      </c>
    </row>
    <row r="566" spans="1:17" x14ac:dyDescent="0.3">
      <c r="A566" s="2" t="s">
        <v>2373</v>
      </c>
      <c r="B566" s="14">
        <v>45507</v>
      </c>
      <c r="C566" s="2">
        <f>YEAR(Sales_Details2[[#This Row],[Order_Date]])</f>
        <v>2024</v>
      </c>
      <c r="D566" s="2" t="s">
        <v>1381</v>
      </c>
      <c r="E566" s="2" t="str">
        <f>VLOOKUP(Sales_Details2[[#This Row],[Customer_ID]],Customer_Details[#All],4,0)</f>
        <v>Senior</v>
      </c>
      <c r="F566" s="2" t="str">
        <f>VLOOKUP(Sales_Details2[[#This Row],[Customer_ID]],Customer_Details[#All],5,0)</f>
        <v>Female</v>
      </c>
      <c r="G566" s="2" t="str">
        <f>VLOOKUP(Sales_Details2[[#This Row],[Customer_ID]],Customer_Details[#All],9,0)</f>
        <v>Bronze</v>
      </c>
      <c r="H566" s="2" t="s">
        <v>1649</v>
      </c>
      <c r="I566" s="2" t="str">
        <f>VLOOKUP(Sales_Details2[[#This Row],[Product_ID]],Product_details[[#All],[Product_ID]:[Cost]],3,0)</f>
        <v>Beauty</v>
      </c>
      <c r="J566" s="2" t="str">
        <f>VLOOKUP(Sales_Details2[[#This Row],[Product_ID]],Product_details[[#All],[Product_ID]:[Cost]],4,0)</f>
        <v>Haircare</v>
      </c>
      <c r="K566" s="2" t="s">
        <v>1762</v>
      </c>
      <c r="L566" s="2" t="str">
        <f>_xlfn.XLOOKUP(Sales_Details2[[#This Row],[Store_ID]],Table2[Store_ID],Table2[Region],"Region not found")</f>
        <v>South</v>
      </c>
      <c r="M566" s="25">
        <v>3</v>
      </c>
      <c r="N566" s="36">
        <v>836.4</v>
      </c>
      <c r="O566" s="29">
        <v>0</v>
      </c>
      <c r="P566" s="2" t="s">
        <v>1807</v>
      </c>
      <c r="Q566" s="36">
        <v>2509.1999999999998</v>
      </c>
    </row>
    <row r="567" spans="1:17" x14ac:dyDescent="0.3">
      <c r="A567" s="2" t="s">
        <v>2374</v>
      </c>
      <c r="B567" s="14">
        <v>45843</v>
      </c>
      <c r="C567" s="2">
        <f>YEAR(Sales_Details2[[#This Row],[Order_Date]])</f>
        <v>2025</v>
      </c>
      <c r="D567" s="2" t="s">
        <v>497</v>
      </c>
      <c r="E567" s="2" t="str">
        <f>VLOOKUP(Sales_Details2[[#This Row],[Customer_ID]],Customer_Details[#All],4,0)</f>
        <v>Mid-Adult</v>
      </c>
      <c r="F567" s="2" t="str">
        <f>VLOOKUP(Sales_Details2[[#This Row],[Customer_ID]],Customer_Details[#All],5,0)</f>
        <v>Male</v>
      </c>
      <c r="G567" s="2" t="str">
        <f>VLOOKUP(Sales_Details2[[#This Row],[Customer_ID]],Customer_Details[#All],9,0)</f>
        <v>Platinum</v>
      </c>
      <c r="H567" s="2" t="s">
        <v>1711</v>
      </c>
      <c r="I567" s="2" t="str">
        <f>VLOOKUP(Sales_Details2[[#This Row],[Product_ID]],Product_details[[#All],[Product_ID]:[Cost]],3,0)</f>
        <v>Electronics</v>
      </c>
      <c r="J567" s="2" t="str">
        <f>VLOOKUP(Sales_Details2[[#This Row],[Product_ID]],Product_details[[#All],[Product_ID]:[Cost]],4,0)</f>
        <v>Accessories</v>
      </c>
      <c r="K567" s="2" t="s">
        <v>1777</v>
      </c>
      <c r="L567" s="2" t="str">
        <f>_xlfn.XLOOKUP(Sales_Details2[[#This Row],[Store_ID]],Table2[Store_ID],Table2[Region],"Region not found")</f>
        <v>North</v>
      </c>
      <c r="M567" s="25">
        <v>1</v>
      </c>
      <c r="N567" s="36">
        <v>780.16</v>
      </c>
      <c r="O567" s="29">
        <v>0.02</v>
      </c>
      <c r="P567" s="2" t="s">
        <v>1812</v>
      </c>
      <c r="Q567" s="36">
        <v>764.55679999999995</v>
      </c>
    </row>
    <row r="568" spans="1:17" x14ac:dyDescent="0.3">
      <c r="A568" s="2" t="s">
        <v>2375</v>
      </c>
      <c r="B568" s="14">
        <v>45804</v>
      </c>
      <c r="C568" s="2">
        <f>YEAR(Sales_Details2[[#This Row],[Order_Date]])</f>
        <v>2025</v>
      </c>
      <c r="D568" s="2" t="s">
        <v>1433</v>
      </c>
      <c r="E568" s="2" t="str">
        <f>VLOOKUP(Sales_Details2[[#This Row],[Customer_ID]],Customer_Details[#All],4,0)</f>
        <v>Adult</v>
      </c>
      <c r="F568" s="2" t="str">
        <f>VLOOKUP(Sales_Details2[[#This Row],[Customer_ID]],Customer_Details[#All],5,0)</f>
        <v>Female</v>
      </c>
      <c r="G568" s="2" t="str">
        <f>VLOOKUP(Sales_Details2[[#This Row],[Customer_ID]],Customer_Details[#All],9,0)</f>
        <v>Gold</v>
      </c>
      <c r="H568" s="2" t="s">
        <v>1623</v>
      </c>
      <c r="I568" s="2" t="str">
        <f>VLOOKUP(Sales_Details2[[#This Row],[Product_ID]],Product_details[[#All],[Product_ID]:[Cost]],3,0)</f>
        <v>Clothing</v>
      </c>
      <c r="J568" s="2" t="str">
        <f>VLOOKUP(Sales_Details2[[#This Row],[Product_ID]],Product_details[[#All],[Product_ID]:[Cost]],4,0)</f>
        <v>Outerwear</v>
      </c>
      <c r="K568" s="2" t="s">
        <v>1780</v>
      </c>
      <c r="L568" s="2" t="str">
        <f>_xlfn.XLOOKUP(Sales_Details2[[#This Row],[Store_ID]],Table2[Store_ID],Table2[Region],"Region not found")</f>
        <v>East</v>
      </c>
      <c r="M568" s="25">
        <v>4</v>
      </c>
      <c r="N568" s="36">
        <v>354.12</v>
      </c>
      <c r="O568" s="29">
        <v>0.06</v>
      </c>
      <c r="P568" s="2" t="s">
        <v>1809</v>
      </c>
      <c r="Q568" s="36">
        <v>1331.4911999999999</v>
      </c>
    </row>
    <row r="569" spans="1:17" x14ac:dyDescent="0.3">
      <c r="A569" s="2" t="s">
        <v>2376</v>
      </c>
      <c r="B569" s="14">
        <v>45602</v>
      </c>
      <c r="C569" s="2">
        <f>YEAR(Sales_Details2[[#This Row],[Order_Date]])</f>
        <v>2024</v>
      </c>
      <c r="D569" s="2" t="s">
        <v>1381</v>
      </c>
      <c r="E569" s="2" t="str">
        <f>VLOOKUP(Sales_Details2[[#This Row],[Customer_ID]],Customer_Details[#All],4,0)</f>
        <v>Senior</v>
      </c>
      <c r="F569" s="2" t="str">
        <f>VLOOKUP(Sales_Details2[[#This Row],[Customer_ID]],Customer_Details[#All],5,0)</f>
        <v>Female</v>
      </c>
      <c r="G569" s="2" t="str">
        <f>VLOOKUP(Sales_Details2[[#This Row],[Customer_ID]],Customer_Details[#All],9,0)</f>
        <v>Bronze</v>
      </c>
      <c r="H569" s="2" t="s">
        <v>1657</v>
      </c>
      <c r="I569" s="2" t="str">
        <f>VLOOKUP(Sales_Details2[[#This Row],[Product_ID]],Product_details[[#All],[Product_ID]:[Cost]],3,0)</f>
        <v>Beauty</v>
      </c>
      <c r="J569" s="2" t="str">
        <f>VLOOKUP(Sales_Details2[[#This Row],[Product_ID]],Product_details[[#All],[Product_ID]:[Cost]],4,0)</f>
        <v>Skincare</v>
      </c>
      <c r="K569" s="2" t="s">
        <v>1744</v>
      </c>
      <c r="L569" s="2" t="str">
        <f>_xlfn.XLOOKUP(Sales_Details2[[#This Row],[Store_ID]],Table2[Store_ID],Table2[Region],"Region not found")</f>
        <v>South</v>
      </c>
      <c r="M569" s="25">
        <v>4</v>
      </c>
      <c r="N569" s="36">
        <v>282.48</v>
      </c>
      <c r="O569" s="29">
        <v>0.11</v>
      </c>
      <c r="P569" s="2" t="s">
        <v>1809</v>
      </c>
      <c r="Q569" s="36">
        <v>1005.6288</v>
      </c>
    </row>
    <row r="570" spans="1:17" x14ac:dyDescent="0.3">
      <c r="A570" s="2" t="s">
        <v>2377</v>
      </c>
      <c r="B570" s="14">
        <v>45446</v>
      </c>
      <c r="C570" s="2">
        <f>YEAR(Sales_Details2[[#This Row],[Order_Date]])</f>
        <v>2024</v>
      </c>
      <c r="D570" s="2" t="s">
        <v>1021</v>
      </c>
      <c r="E570" s="2" t="str">
        <f>VLOOKUP(Sales_Details2[[#This Row],[Customer_ID]],Customer_Details[#All],4,0)</f>
        <v>Mid-Adult</v>
      </c>
      <c r="F570" s="2" t="str">
        <f>VLOOKUP(Sales_Details2[[#This Row],[Customer_ID]],Customer_Details[#All],5,0)</f>
        <v>Male</v>
      </c>
      <c r="G570" s="2" t="str">
        <f>VLOOKUP(Sales_Details2[[#This Row],[Customer_ID]],Customer_Details[#All],9,0)</f>
        <v>Platinum</v>
      </c>
      <c r="H570" s="2" t="s">
        <v>1571</v>
      </c>
      <c r="I570" s="2" t="str">
        <f>VLOOKUP(Sales_Details2[[#This Row],[Product_ID]],Product_details[[#All],[Product_ID]:[Cost]],3,0)</f>
        <v>Sports</v>
      </c>
      <c r="J570" s="2" t="str">
        <f>VLOOKUP(Sales_Details2[[#This Row],[Product_ID]],Product_details[[#All],[Product_ID]:[Cost]],4,0)</f>
        <v>Accessories</v>
      </c>
      <c r="K570" s="2" t="s">
        <v>1759</v>
      </c>
      <c r="L570" s="2" t="str">
        <f>_xlfn.XLOOKUP(Sales_Details2[[#This Row],[Store_ID]],Table2[Store_ID],Table2[Region],"Region not found")</f>
        <v>East</v>
      </c>
      <c r="M570" s="25">
        <v>2</v>
      </c>
      <c r="N570" s="36">
        <v>740.68</v>
      </c>
      <c r="O570" s="29">
        <v>0.02</v>
      </c>
      <c r="P570" s="2" t="s">
        <v>1809</v>
      </c>
      <c r="Q570" s="36">
        <v>1451.7328</v>
      </c>
    </row>
    <row r="571" spans="1:17" x14ac:dyDescent="0.3">
      <c r="A571" s="2" t="s">
        <v>2378</v>
      </c>
      <c r="B571" s="14">
        <v>45384</v>
      </c>
      <c r="C571" s="2">
        <f>YEAR(Sales_Details2[[#This Row],[Order_Date]])</f>
        <v>2024</v>
      </c>
      <c r="D571" s="2" t="s">
        <v>367</v>
      </c>
      <c r="E571" s="2" t="str">
        <f>VLOOKUP(Sales_Details2[[#This Row],[Customer_ID]],Customer_Details[#All],4,0)</f>
        <v>Mid-Adult</v>
      </c>
      <c r="F571" s="2" t="str">
        <f>VLOOKUP(Sales_Details2[[#This Row],[Customer_ID]],Customer_Details[#All],5,0)</f>
        <v>Female</v>
      </c>
      <c r="G571" s="2" t="str">
        <f>VLOOKUP(Sales_Details2[[#This Row],[Customer_ID]],Customer_Details[#All],9,0)</f>
        <v>Gold</v>
      </c>
      <c r="H571" s="2" t="s">
        <v>1643</v>
      </c>
      <c r="I571" s="2" t="str">
        <f>VLOOKUP(Sales_Details2[[#This Row],[Product_ID]],Product_details[[#All],[Product_ID]:[Cost]],3,0)</f>
        <v>Home</v>
      </c>
      <c r="J571" s="2" t="str">
        <f>VLOOKUP(Sales_Details2[[#This Row],[Product_ID]],Product_details[[#All],[Product_ID]:[Cost]],4,0)</f>
        <v>Decor</v>
      </c>
      <c r="K571" s="2" t="s">
        <v>1769</v>
      </c>
      <c r="L571" s="2" t="str">
        <f>_xlfn.XLOOKUP(Sales_Details2[[#This Row],[Store_ID]],Table2[Store_ID],Table2[Region],"Region not found")</f>
        <v>South</v>
      </c>
      <c r="M571" s="25">
        <v>3</v>
      </c>
      <c r="N571" s="36">
        <v>600.58000000000004</v>
      </c>
      <c r="O571" s="29">
        <v>0.28999999999999998</v>
      </c>
      <c r="P571" s="2" t="s">
        <v>1812</v>
      </c>
      <c r="Q571" s="36">
        <v>1279.2354</v>
      </c>
    </row>
    <row r="572" spans="1:17" x14ac:dyDescent="0.3">
      <c r="A572" s="2" t="s">
        <v>2379</v>
      </c>
      <c r="B572" s="14">
        <v>45348</v>
      </c>
      <c r="C572" s="2">
        <f>YEAR(Sales_Details2[[#This Row],[Order_Date]])</f>
        <v>2024</v>
      </c>
      <c r="D572" s="2" t="s">
        <v>1406</v>
      </c>
      <c r="E572" s="2" t="str">
        <f>VLOOKUP(Sales_Details2[[#This Row],[Customer_ID]],Customer_Details[#All],4,0)</f>
        <v>Senior</v>
      </c>
      <c r="F572" s="2" t="str">
        <f>VLOOKUP(Sales_Details2[[#This Row],[Customer_ID]],Customer_Details[#All],5,0)</f>
        <v>Female</v>
      </c>
      <c r="G572" s="2" t="str">
        <f>VLOOKUP(Sales_Details2[[#This Row],[Customer_ID]],Customer_Details[#All],9,0)</f>
        <v>Silver</v>
      </c>
      <c r="H572" s="2" t="s">
        <v>1661</v>
      </c>
      <c r="I572" s="2" t="str">
        <f>VLOOKUP(Sales_Details2[[#This Row],[Product_ID]],Product_details[[#All],[Product_ID]:[Cost]],3,0)</f>
        <v>Sports</v>
      </c>
      <c r="J572" s="2" t="str">
        <f>VLOOKUP(Sales_Details2[[#This Row],[Product_ID]],Product_details[[#All],[Product_ID]:[Cost]],4,0)</f>
        <v>Fitness</v>
      </c>
      <c r="K572" s="2" t="s">
        <v>1749</v>
      </c>
      <c r="L572" s="2" t="str">
        <f>_xlfn.XLOOKUP(Sales_Details2[[#This Row],[Store_ID]],Table2[Store_ID],Table2[Region],"Region not found")</f>
        <v>North</v>
      </c>
      <c r="M572" s="25">
        <v>3</v>
      </c>
      <c r="N572" s="36">
        <v>345.58</v>
      </c>
      <c r="O572" s="29">
        <v>0.22</v>
      </c>
      <c r="P572" s="2" t="s">
        <v>1807</v>
      </c>
      <c r="Q572" s="36">
        <v>808.65719999999999</v>
      </c>
    </row>
    <row r="573" spans="1:17" x14ac:dyDescent="0.3">
      <c r="A573" s="2" t="s">
        <v>2380</v>
      </c>
      <c r="B573" s="14">
        <v>45688</v>
      </c>
      <c r="C573" s="2">
        <f>YEAR(Sales_Details2[[#This Row],[Order_Date]])</f>
        <v>2025</v>
      </c>
      <c r="D573" s="2" t="s">
        <v>894</v>
      </c>
      <c r="E573" s="2" t="str">
        <f>VLOOKUP(Sales_Details2[[#This Row],[Customer_ID]],Customer_Details[#All],4,0)</f>
        <v>Senior</v>
      </c>
      <c r="F573" s="2" t="str">
        <f>VLOOKUP(Sales_Details2[[#This Row],[Customer_ID]],Customer_Details[#All],5,0)</f>
        <v>Male</v>
      </c>
      <c r="G573" s="2" t="str">
        <f>VLOOKUP(Sales_Details2[[#This Row],[Customer_ID]],Customer_Details[#All],9,0)</f>
        <v>Gold</v>
      </c>
      <c r="H573" s="2" t="s">
        <v>1567</v>
      </c>
      <c r="I573" s="2" t="str">
        <f>VLOOKUP(Sales_Details2[[#This Row],[Product_ID]],Product_details[[#All],[Product_ID]:[Cost]],3,0)</f>
        <v>Clothing</v>
      </c>
      <c r="J573" s="2" t="str">
        <f>VLOOKUP(Sales_Details2[[#This Row],[Product_ID]],Product_details[[#All],[Product_ID]:[Cost]],4,0)</f>
        <v>Bottoms</v>
      </c>
      <c r="K573" s="2" t="s">
        <v>1775</v>
      </c>
      <c r="L573" s="2" t="str">
        <f>_xlfn.XLOOKUP(Sales_Details2[[#This Row],[Store_ID]],Table2[Store_ID],Table2[Region],"Region not found")</f>
        <v>South</v>
      </c>
      <c r="M573" s="25">
        <v>1</v>
      </c>
      <c r="N573" s="36">
        <v>974.52</v>
      </c>
      <c r="O573" s="29">
        <v>0.01</v>
      </c>
      <c r="P573" s="2" t="s">
        <v>1809</v>
      </c>
      <c r="Q573" s="36">
        <v>964.77480000000003</v>
      </c>
    </row>
    <row r="574" spans="1:17" x14ac:dyDescent="0.3">
      <c r="A574" s="2" t="s">
        <v>2381</v>
      </c>
      <c r="B574" s="14">
        <v>45249</v>
      </c>
      <c r="C574" s="2">
        <f>YEAR(Sales_Details2[[#This Row],[Order_Date]])</f>
        <v>2023</v>
      </c>
      <c r="D574" s="2" t="s">
        <v>156</v>
      </c>
      <c r="E574" s="2" t="str">
        <f>VLOOKUP(Sales_Details2[[#This Row],[Customer_ID]],Customer_Details[#All],4,0)</f>
        <v>Mid-Adult</v>
      </c>
      <c r="F574" s="2" t="str">
        <f>VLOOKUP(Sales_Details2[[#This Row],[Customer_ID]],Customer_Details[#All],5,0)</f>
        <v>Male</v>
      </c>
      <c r="G574" s="2" t="str">
        <f>VLOOKUP(Sales_Details2[[#This Row],[Customer_ID]],Customer_Details[#All],9,0)</f>
        <v>Gold</v>
      </c>
      <c r="H574" s="2" t="s">
        <v>1565</v>
      </c>
      <c r="I574" s="2" t="str">
        <f>VLOOKUP(Sales_Details2[[#This Row],[Product_ID]],Product_details[[#All],[Product_ID]:[Cost]],3,0)</f>
        <v>Sports</v>
      </c>
      <c r="J574" s="2" t="str">
        <f>VLOOKUP(Sales_Details2[[#This Row],[Product_ID]],Product_details[[#All],[Product_ID]:[Cost]],4,0)</f>
        <v>Accessories</v>
      </c>
      <c r="K574" s="2" t="s">
        <v>1740</v>
      </c>
      <c r="L574" s="2" t="str">
        <f>_xlfn.XLOOKUP(Sales_Details2[[#This Row],[Store_ID]],Table2[Store_ID],Table2[Region],"Region not found")</f>
        <v>North</v>
      </c>
      <c r="M574" s="25">
        <v>3</v>
      </c>
      <c r="N574" s="36">
        <v>282.33</v>
      </c>
      <c r="O574" s="29">
        <v>7.0000000000000007E-2</v>
      </c>
      <c r="P574" s="2" t="s">
        <v>1807</v>
      </c>
      <c r="Q574" s="36">
        <v>787.70069999999998</v>
      </c>
    </row>
    <row r="575" spans="1:17" x14ac:dyDescent="0.3">
      <c r="A575" s="2" t="s">
        <v>2382</v>
      </c>
      <c r="B575" s="14">
        <v>45726</v>
      </c>
      <c r="C575" s="2">
        <f>YEAR(Sales_Details2[[#This Row],[Order_Date]])</f>
        <v>2025</v>
      </c>
      <c r="D575" s="2" t="s">
        <v>1180</v>
      </c>
      <c r="E575" s="2" t="str">
        <f>VLOOKUP(Sales_Details2[[#This Row],[Customer_ID]],Customer_Details[#All],4,0)</f>
        <v>Adult</v>
      </c>
      <c r="F575" s="2" t="str">
        <f>VLOOKUP(Sales_Details2[[#This Row],[Customer_ID]],Customer_Details[#All],5,0)</f>
        <v>Female</v>
      </c>
      <c r="G575" s="2" t="str">
        <f>VLOOKUP(Sales_Details2[[#This Row],[Customer_ID]],Customer_Details[#All],9,0)</f>
        <v>Gold</v>
      </c>
      <c r="H575" s="2" t="s">
        <v>1683</v>
      </c>
      <c r="I575" s="2" t="str">
        <f>VLOOKUP(Sales_Details2[[#This Row],[Product_ID]],Product_details[[#All],[Product_ID]:[Cost]],3,0)</f>
        <v>Electronics</v>
      </c>
      <c r="J575" s="2" t="str">
        <f>VLOOKUP(Sales_Details2[[#This Row],[Product_ID]],Product_details[[#All],[Product_ID]:[Cost]],4,0)</f>
        <v>Computer</v>
      </c>
      <c r="K575" s="2" t="s">
        <v>1796</v>
      </c>
      <c r="L575" s="2" t="str">
        <f>_xlfn.XLOOKUP(Sales_Details2[[#This Row],[Store_ID]],Table2[Store_ID],Table2[Region],"Region not found")</f>
        <v>East</v>
      </c>
      <c r="M575" s="25">
        <v>4</v>
      </c>
      <c r="N575" s="36">
        <v>158.46</v>
      </c>
      <c r="O575" s="29">
        <v>0.09</v>
      </c>
      <c r="P575" s="2" t="s">
        <v>1809</v>
      </c>
      <c r="Q575" s="36">
        <v>576.7944</v>
      </c>
    </row>
    <row r="576" spans="1:17" x14ac:dyDescent="0.3">
      <c r="A576" s="2" t="s">
        <v>2383</v>
      </c>
      <c r="B576" s="14">
        <v>45283</v>
      </c>
      <c r="C576" s="2">
        <f>YEAR(Sales_Details2[[#This Row],[Order_Date]])</f>
        <v>2023</v>
      </c>
      <c r="D576" s="2" t="s">
        <v>1066</v>
      </c>
      <c r="E576" s="2" t="str">
        <f>VLOOKUP(Sales_Details2[[#This Row],[Customer_ID]],Customer_Details[#All],4,0)</f>
        <v>Mid-Adult</v>
      </c>
      <c r="F576" s="2" t="str">
        <f>VLOOKUP(Sales_Details2[[#This Row],[Customer_ID]],Customer_Details[#All],5,0)</f>
        <v>Male</v>
      </c>
      <c r="G576" s="2" t="str">
        <f>VLOOKUP(Sales_Details2[[#This Row],[Customer_ID]],Customer_Details[#All],9,0)</f>
        <v>Bronze</v>
      </c>
      <c r="H576" s="2" t="s">
        <v>1641</v>
      </c>
      <c r="I576" s="2" t="str">
        <f>VLOOKUP(Sales_Details2[[#This Row],[Product_ID]],Product_details[[#All],[Product_ID]:[Cost]],3,0)</f>
        <v>Home</v>
      </c>
      <c r="J576" s="2" t="str">
        <f>VLOOKUP(Sales_Details2[[#This Row],[Product_ID]],Product_details[[#All],[Product_ID]:[Cost]],4,0)</f>
        <v>Decor</v>
      </c>
      <c r="K576" s="2" t="s">
        <v>1762</v>
      </c>
      <c r="L576" s="2" t="str">
        <f>_xlfn.XLOOKUP(Sales_Details2[[#This Row],[Store_ID]],Table2[Store_ID],Table2[Region],"Region not found")</f>
        <v>South</v>
      </c>
      <c r="M576" s="25">
        <v>2</v>
      </c>
      <c r="N576" s="36">
        <v>778.56</v>
      </c>
      <c r="O576" s="29">
        <v>0.11</v>
      </c>
      <c r="P576" s="2" t="s">
        <v>1812</v>
      </c>
      <c r="Q576" s="36">
        <v>1385.8368</v>
      </c>
    </row>
    <row r="577" spans="1:17" x14ac:dyDescent="0.3">
      <c r="A577" s="2" t="s">
        <v>2384</v>
      </c>
      <c r="B577" s="14">
        <v>45353</v>
      </c>
      <c r="C577" s="2">
        <f>YEAR(Sales_Details2[[#This Row],[Order_Date]])</f>
        <v>2024</v>
      </c>
      <c r="D577" s="2" t="s">
        <v>755</v>
      </c>
      <c r="E577" s="2" t="str">
        <f>VLOOKUP(Sales_Details2[[#This Row],[Customer_ID]],Customer_Details[#All],4,0)</f>
        <v>Mid-Adult</v>
      </c>
      <c r="F577" s="2" t="str">
        <f>VLOOKUP(Sales_Details2[[#This Row],[Customer_ID]],Customer_Details[#All],5,0)</f>
        <v>Female</v>
      </c>
      <c r="G577" s="2" t="str">
        <f>VLOOKUP(Sales_Details2[[#This Row],[Customer_ID]],Customer_Details[#All],9,0)</f>
        <v>Gold</v>
      </c>
      <c r="H577" s="2" t="s">
        <v>1631</v>
      </c>
      <c r="I577" s="2" t="str">
        <f>VLOOKUP(Sales_Details2[[#This Row],[Product_ID]],Product_details[[#All],[Product_ID]:[Cost]],3,0)</f>
        <v>Sports</v>
      </c>
      <c r="J577" s="2" t="str">
        <f>VLOOKUP(Sales_Details2[[#This Row],[Product_ID]],Product_details[[#All],[Product_ID]:[Cost]],4,0)</f>
        <v>Fitness</v>
      </c>
      <c r="K577" s="2" t="s">
        <v>1796</v>
      </c>
      <c r="L577" s="2" t="str">
        <f>_xlfn.XLOOKUP(Sales_Details2[[#This Row],[Store_ID]],Table2[Store_ID],Table2[Region],"Region not found")</f>
        <v>East</v>
      </c>
      <c r="M577" s="25">
        <v>4</v>
      </c>
      <c r="N577" s="36">
        <v>280.16000000000003</v>
      </c>
      <c r="O577" s="29">
        <v>0.18</v>
      </c>
      <c r="P577" s="2" t="s">
        <v>1812</v>
      </c>
      <c r="Q577" s="36">
        <v>918.92480000000012</v>
      </c>
    </row>
    <row r="578" spans="1:17" x14ac:dyDescent="0.3">
      <c r="A578" s="2" t="s">
        <v>2385</v>
      </c>
      <c r="B578" s="14">
        <v>45592</v>
      </c>
      <c r="C578" s="2">
        <f>YEAR(Sales_Details2[[#This Row],[Order_Date]])</f>
        <v>2024</v>
      </c>
      <c r="D578" s="2" t="s">
        <v>903</v>
      </c>
      <c r="E578" s="2" t="str">
        <f>VLOOKUP(Sales_Details2[[#This Row],[Customer_ID]],Customer_Details[#All],4,0)</f>
        <v>Adult</v>
      </c>
      <c r="F578" s="2" t="str">
        <f>VLOOKUP(Sales_Details2[[#This Row],[Customer_ID]],Customer_Details[#All],5,0)</f>
        <v>Female</v>
      </c>
      <c r="G578" s="2" t="str">
        <f>VLOOKUP(Sales_Details2[[#This Row],[Customer_ID]],Customer_Details[#All],9,0)</f>
        <v>Gold</v>
      </c>
      <c r="H578" s="2" t="s">
        <v>1673</v>
      </c>
      <c r="I578" s="2" t="str">
        <f>VLOOKUP(Sales_Details2[[#This Row],[Product_ID]],Product_details[[#All],[Product_ID]:[Cost]],3,0)</f>
        <v>Beauty</v>
      </c>
      <c r="J578" s="2" t="str">
        <f>VLOOKUP(Sales_Details2[[#This Row],[Product_ID]],Product_details[[#All],[Product_ID]:[Cost]],4,0)</f>
        <v>Haircare</v>
      </c>
      <c r="K578" s="2" t="s">
        <v>1780</v>
      </c>
      <c r="L578" s="2" t="str">
        <f>_xlfn.XLOOKUP(Sales_Details2[[#This Row],[Store_ID]],Table2[Store_ID],Table2[Region],"Region not found")</f>
        <v>East</v>
      </c>
      <c r="M578" s="25">
        <v>2</v>
      </c>
      <c r="N578" s="36">
        <v>649.54999999999995</v>
      </c>
      <c r="O578" s="29">
        <v>0.28999999999999998</v>
      </c>
      <c r="P578" s="2" t="s">
        <v>1809</v>
      </c>
      <c r="Q578" s="36">
        <v>922.36099999999988</v>
      </c>
    </row>
    <row r="579" spans="1:17" x14ac:dyDescent="0.3">
      <c r="A579" s="2" t="s">
        <v>2386</v>
      </c>
      <c r="B579" s="14">
        <v>45360</v>
      </c>
      <c r="C579" s="2">
        <f>YEAR(Sales_Details2[[#This Row],[Order_Date]])</f>
        <v>2024</v>
      </c>
      <c r="D579" s="2" t="s">
        <v>40</v>
      </c>
      <c r="E579" s="2" t="str">
        <f>VLOOKUP(Sales_Details2[[#This Row],[Customer_ID]],Customer_Details[#All],4,0)</f>
        <v>Adult</v>
      </c>
      <c r="F579" s="2" t="str">
        <f>VLOOKUP(Sales_Details2[[#This Row],[Customer_ID]],Customer_Details[#All],5,0)</f>
        <v>Female</v>
      </c>
      <c r="G579" s="2" t="str">
        <f>VLOOKUP(Sales_Details2[[#This Row],[Customer_ID]],Customer_Details[#All],9,0)</f>
        <v>Bronze</v>
      </c>
      <c r="H579" s="2" t="s">
        <v>1707</v>
      </c>
      <c r="I579" s="2" t="str">
        <f>VLOOKUP(Sales_Details2[[#This Row],[Product_ID]],Product_details[[#All],[Product_ID]:[Cost]],3,0)</f>
        <v>Sports</v>
      </c>
      <c r="J579" s="2" t="str">
        <f>VLOOKUP(Sales_Details2[[#This Row],[Product_ID]],Product_details[[#All],[Product_ID]:[Cost]],4,0)</f>
        <v>Accessories</v>
      </c>
      <c r="K579" s="2" t="s">
        <v>1744</v>
      </c>
      <c r="L579" s="2" t="str">
        <f>_xlfn.XLOOKUP(Sales_Details2[[#This Row],[Store_ID]],Table2[Store_ID],Table2[Region],"Region not found")</f>
        <v>South</v>
      </c>
      <c r="M579" s="25">
        <v>2</v>
      </c>
      <c r="N579" s="36">
        <v>994.32</v>
      </c>
      <c r="O579" s="29">
        <v>0.27</v>
      </c>
      <c r="P579" s="2" t="s">
        <v>1809</v>
      </c>
      <c r="Q579" s="36">
        <v>1451.7072000000001</v>
      </c>
    </row>
    <row r="580" spans="1:17" x14ac:dyDescent="0.3">
      <c r="A580" s="2" t="s">
        <v>2387</v>
      </c>
      <c r="B580" s="14">
        <v>45649</v>
      </c>
      <c r="C580" s="2">
        <f>YEAR(Sales_Details2[[#This Row],[Order_Date]])</f>
        <v>2024</v>
      </c>
      <c r="D580" s="2" t="s">
        <v>716</v>
      </c>
      <c r="E580" s="2" t="str">
        <f>VLOOKUP(Sales_Details2[[#This Row],[Customer_ID]],Customer_Details[#All],4,0)</f>
        <v>Mid-Adult</v>
      </c>
      <c r="F580" s="2" t="str">
        <f>VLOOKUP(Sales_Details2[[#This Row],[Customer_ID]],Customer_Details[#All],5,0)</f>
        <v>Male</v>
      </c>
      <c r="G580" s="2" t="str">
        <f>VLOOKUP(Sales_Details2[[#This Row],[Customer_ID]],Customer_Details[#All],9,0)</f>
        <v>Platinum</v>
      </c>
      <c r="H580" s="2" t="s">
        <v>1693</v>
      </c>
      <c r="I580" s="2" t="str">
        <f>VLOOKUP(Sales_Details2[[#This Row],[Product_ID]],Product_details[[#All],[Product_ID]:[Cost]],3,0)</f>
        <v>Sports</v>
      </c>
      <c r="J580" s="2" t="str">
        <f>VLOOKUP(Sales_Details2[[#This Row],[Product_ID]],Product_details[[#All],[Product_ID]:[Cost]],4,0)</f>
        <v>Equipment</v>
      </c>
      <c r="K580" s="2" t="s">
        <v>1777</v>
      </c>
      <c r="L580" s="2" t="str">
        <f>_xlfn.XLOOKUP(Sales_Details2[[#This Row],[Store_ID]],Table2[Store_ID],Table2[Region],"Region not found")</f>
        <v>North</v>
      </c>
      <c r="M580" s="25">
        <v>1</v>
      </c>
      <c r="N580" s="36">
        <v>64.94</v>
      </c>
      <c r="O580" s="29">
        <v>0.21</v>
      </c>
      <c r="P580" s="2" t="s">
        <v>1809</v>
      </c>
      <c r="Q580" s="36">
        <v>51.302599999999998</v>
      </c>
    </row>
    <row r="581" spans="1:17" x14ac:dyDescent="0.3">
      <c r="A581" s="2" t="s">
        <v>2388</v>
      </c>
      <c r="B581" s="14">
        <v>45709</v>
      </c>
      <c r="C581" s="2">
        <f>YEAR(Sales_Details2[[#This Row],[Order_Date]])</f>
        <v>2025</v>
      </c>
      <c r="D581" s="2" t="s">
        <v>459</v>
      </c>
      <c r="E581" s="2" t="str">
        <f>VLOOKUP(Sales_Details2[[#This Row],[Customer_ID]],Customer_Details[#All],4,0)</f>
        <v>Adult</v>
      </c>
      <c r="F581" s="2" t="str">
        <f>VLOOKUP(Sales_Details2[[#This Row],[Customer_ID]],Customer_Details[#All],5,0)</f>
        <v>Male</v>
      </c>
      <c r="G581" s="2" t="str">
        <f>VLOOKUP(Sales_Details2[[#This Row],[Customer_ID]],Customer_Details[#All],9,0)</f>
        <v>Silver</v>
      </c>
      <c r="H581" s="2" t="s">
        <v>1609</v>
      </c>
      <c r="I581" s="2" t="str">
        <f>VLOOKUP(Sales_Details2[[#This Row],[Product_ID]],Product_details[[#All],[Product_ID]:[Cost]],3,0)</f>
        <v>Electronics</v>
      </c>
      <c r="J581" s="2" t="str">
        <f>VLOOKUP(Sales_Details2[[#This Row],[Product_ID]],Product_details[[#All],[Product_ID]:[Cost]],4,0)</f>
        <v>Mobile</v>
      </c>
      <c r="K581" s="2" t="s">
        <v>1762</v>
      </c>
      <c r="L581" s="2" t="str">
        <f>_xlfn.XLOOKUP(Sales_Details2[[#This Row],[Store_ID]],Table2[Store_ID],Table2[Region],"Region not found")</f>
        <v>South</v>
      </c>
      <c r="M581" s="25">
        <v>2</v>
      </c>
      <c r="N581" s="36">
        <v>507.66</v>
      </c>
      <c r="O581" s="29">
        <v>0</v>
      </c>
      <c r="P581" s="2" t="s">
        <v>1812</v>
      </c>
      <c r="Q581" s="36">
        <v>1015.32</v>
      </c>
    </row>
    <row r="582" spans="1:17" x14ac:dyDescent="0.3">
      <c r="A582" s="2" t="s">
        <v>2389</v>
      </c>
      <c r="B582" s="14">
        <v>45273</v>
      </c>
      <c r="C582" s="2">
        <f>YEAR(Sales_Details2[[#This Row],[Order_Date]])</f>
        <v>2023</v>
      </c>
      <c r="D582" s="2" t="s">
        <v>770</v>
      </c>
      <c r="E582" s="2" t="str">
        <f>VLOOKUP(Sales_Details2[[#This Row],[Customer_ID]],Customer_Details[#All],4,0)</f>
        <v>Senior</v>
      </c>
      <c r="F582" s="2" t="str">
        <f>VLOOKUP(Sales_Details2[[#This Row],[Customer_ID]],Customer_Details[#All],5,0)</f>
        <v>Female</v>
      </c>
      <c r="G582" s="2" t="str">
        <f>VLOOKUP(Sales_Details2[[#This Row],[Customer_ID]],Customer_Details[#All],9,0)</f>
        <v>Silver</v>
      </c>
      <c r="H582" s="2" t="s">
        <v>1693</v>
      </c>
      <c r="I582" s="2" t="str">
        <f>VLOOKUP(Sales_Details2[[#This Row],[Product_ID]],Product_details[[#All],[Product_ID]:[Cost]],3,0)</f>
        <v>Sports</v>
      </c>
      <c r="J582" s="2" t="str">
        <f>VLOOKUP(Sales_Details2[[#This Row],[Product_ID]],Product_details[[#All],[Product_ID]:[Cost]],4,0)</f>
        <v>Equipment</v>
      </c>
      <c r="K582" s="2" t="s">
        <v>1752</v>
      </c>
      <c r="L582" s="2" t="str">
        <f>_xlfn.XLOOKUP(Sales_Details2[[#This Row],[Store_ID]],Table2[Store_ID],Table2[Region],"Region not found")</f>
        <v>South</v>
      </c>
      <c r="M582" s="25">
        <v>4</v>
      </c>
      <c r="N582" s="36">
        <v>968.27</v>
      </c>
      <c r="O582" s="29">
        <v>0.03</v>
      </c>
      <c r="P582" s="2" t="s">
        <v>1809</v>
      </c>
      <c r="Q582" s="36">
        <v>3756.8876</v>
      </c>
    </row>
    <row r="583" spans="1:17" x14ac:dyDescent="0.3">
      <c r="A583" s="2" t="s">
        <v>2390</v>
      </c>
      <c r="B583" s="14">
        <v>45250</v>
      </c>
      <c r="C583" s="2">
        <f>YEAR(Sales_Details2[[#This Row],[Order_Date]])</f>
        <v>2023</v>
      </c>
      <c r="D583" s="2" t="s">
        <v>78</v>
      </c>
      <c r="E583" s="2" t="str">
        <f>VLOOKUP(Sales_Details2[[#This Row],[Customer_ID]],Customer_Details[#All],4,0)</f>
        <v>Senior</v>
      </c>
      <c r="F583" s="2" t="str">
        <f>VLOOKUP(Sales_Details2[[#This Row],[Customer_ID]],Customer_Details[#All],5,0)</f>
        <v>Female</v>
      </c>
      <c r="G583" s="2" t="str">
        <f>VLOOKUP(Sales_Details2[[#This Row],[Customer_ID]],Customer_Details[#All],9,0)</f>
        <v>Platinum</v>
      </c>
      <c r="H583" s="2" t="s">
        <v>1707</v>
      </c>
      <c r="I583" s="2" t="str">
        <f>VLOOKUP(Sales_Details2[[#This Row],[Product_ID]],Product_details[[#All],[Product_ID]:[Cost]],3,0)</f>
        <v>Sports</v>
      </c>
      <c r="J583" s="2" t="str">
        <f>VLOOKUP(Sales_Details2[[#This Row],[Product_ID]],Product_details[[#All],[Product_ID]:[Cost]],4,0)</f>
        <v>Accessories</v>
      </c>
      <c r="K583" s="2" t="s">
        <v>1756</v>
      </c>
      <c r="L583" s="2" t="str">
        <f>_xlfn.XLOOKUP(Sales_Details2[[#This Row],[Store_ID]],Table2[Store_ID],Table2[Region],"Region not found")</f>
        <v>North</v>
      </c>
      <c r="M583" s="25">
        <v>4</v>
      </c>
      <c r="N583" s="36">
        <v>510.33</v>
      </c>
      <c r="O583" s="29">
        <v>0.2</v>
      </c>
      <c r="P583" s="2" t="s">
        <v>1809</v>
      </c>
      <c r="Q583" s="36">
        <v>1633.056</v>
      </c>
    </row>
    <row r="584" spans="1:17" x14ac:dyDescent="0.3">
      <c r="A584" s="2" t="s">
        <v>2391</v>
      </c>
      <c r="B584" s="14">
        <v>45539</v>
      </c>
      <c r="C584" s="2">
        <f>YEAR(Sales_Details2[[#This Row],[Order_Date]])</f>
        <v>2024</v>
      </c>
      <c r="D584" s="2" t="s">
        <v>55</v>
      </c>
      <c r="E584" s="2" t="str">
        <f>VLOOKUP(Sales_Details2[[#This Row],[Customer_ID]],Customer_Details[#All],4,0)</f>
        <v>Adult</v>
      </c>
      <c r="F584" s="2" t="str">
        <f>VLOOKUP(Sales_Details2[[#This Row],[Customer_ID]],Customer_Details[#All],5,0)</f>
        <v>Female</v>
      </c>
      <c r="G584" s="2" t="str">
        <f>VLOOKUP(Sales_Details2[[#This Row],[Customer_ID]],Customer_Details[#All],9,0)</f>
        <v>Gold</v>
      </c>
      <c r="H584" s="2" t="s">
        <v>1619</v>
      </c>
      <c r="I584" s="2" t="str">
        <f>VLOOKUP(Sales_Details2[[#This Row],[Product_ID]],Product_details[[#All],[Product_ID]:[Cost]],3,0)</f>
        <v>Sports</v>
      </c>
      <c r="J584" s="2" t="str">
        <f>VLOOKUP(Sales_Details2[[#This Row],[Product_ID]],Product_details[[#All],[Product_ID]:[Cost]],4,0)</f>
        <v>Fitness</v>
      </c>
      <c r="K584" s="2" t="s">
        <v>1796</v>
      </c>
      <c r="L584" s="2" t="str">
        <f>_xlfn.XLOOKUP(Sales_Details2[[#This Row],[Store_ID]],Table2[Store_ID],Table2[Region],"Region not found")</f>
        <v>East</v>
      </c>
      <c r="M584" s="25">
        <v>2</v>
      </c>
      <c r="N584" s="36">
        <v>156.72999999999999</v>
      </c>
      <c r="O584" s="29">
        <v>0.18</v>
      </c>
      <c r="P584" s="2" t="s">
        <v>1812</v>
      </c>
      <c r="Q584" s="36">
        <v>257.03719999999998</v>
      </c>
    </row>
    <row r="585" spans="1:17" x14ac:dyDescent="0.3">
      <c r="A585" s="2" t="s">
        <v>2392</v>
      </c>
      <c r="B585" s="14">
        <v>45810</v>
      </c>
      <c r="C585" s="2">
        <f>YEAR(Sales_Details2[[#This Row],[Order_Date]])</f>
        <v>2025</v>
      </c>
      <c r="D585" s="2" t="s">
        <v>476</v>
      </c>
      <c r="E585" s="2" t="str">
        <f>VLOOKUP(Sales_Details2[[#This Row],[Customer_ID]],Customer_Details[#All],4,0)</f>
        <v>Mid-Adult</v>
      </c>
      <c r="F585" s="2" t="str">
        <f>VLOOKUP(Sales_Details2[[#This Row],[Customer_ID]],Customer_Details[#All],5,0)</f>
        <v>Male</v>
      </c>
      <c r="G585" s="2" t="str">
        <f>VLOOKUP(Sales_Details2[[#This Row],[Customer_ID]],Customer_Details[#All],9,0)</f>
        <v>Bronze</v>
      </c>
      <c r="H585" s="2" t="s">
        <v>1729</v>
      </c>
      <c r="I585" s="2" t="str">
        <f>VLOOKUP(Sales_Details2[[#This Row],[Product_ID]],Product_details[[#All],[Product_ID]:[Cost]],3,0)</f>
        <v>Home</v>
      </c>
      <c r="J585" s="2" t="str">
        <f>VLOOKUP(Sales_Details2[[#This Row],[Product_ID]],Product_details[[#All],[Product_ID]:[Cost]],4,0)</f>
        <v>Kitchen</v>
      </c>
      <c r="K585" s="2" t="s">
        <v>1772</v>
      </c>
      <c r="L585" s="2" t="str">
        <f>_xlfn.XLOOKUP(Sales_Details2[[#This Row],[Store_ID]],Table2[Store_ID],Table2[Region],"Region not found")</f>
        <v>East</v>
      </c>
      <c r="M585" s="25">
        <v>3</v>
      </c>
      <c r="N585" s="36">
        <v>53.83</v>
      </c>
      <c r="O585" s="29">
        <v>0.24</v>
      </c>
      <c r="P585" s="2" t="s">
        <v>1807</v>
      </c>
      <c r="Q585" s="36">
        <v>122.7324</v>
      </c>
    </row>
    <row r="586" spans="1:17" x14ac:dyDescent="0.3">
      <c r="A586" s="2" t="s">
        <v>2393</v>
      </c>
      <c r="B586" s="14">
        <v>45350</v>
      </c>
      <c r="C586" s="2">
        <f>YEAR(Sales_Details2[[#This Row],[Order_Date]])</f>
        <v>2024</v>
      </c>
      <c r="D586" s="2" t="s">
        <v>1165</v>
      </c>
      <c r="E586" s="2" t="str">
        <f>VLOOKUP(Sales_Details2[[#This Row],[Customer_ID]],Customer_Details[#All],4,0)</f>
        <v>Mid-Adult</v>
      </c>
      <c r="F586" s="2" t="str">
        <f>VLOOKUP(Sales_Details2[[#This Row],[Customer_ID]],Customer_Details[#All],5,0)</f>
        <v>Female</v>
      </c>
      <c r="G586" s="2" t="str">
        <f>VLOOKUP(Sales_Details2[[#This Row],[Customer_ID]],Customer_Details[#All],9,0)</f>
        <v>Gold</v>
      </c>
      <c r="H586" s="2" t="s">
        <v>1687</v>
      </c>
      <c r="I586" s="2" t="str">
        <f>VLOOKUP(Sales_Details2[[#This Row],[Product_ID]],Product_details[[#All],[Product_ID]:[Cost]],3,0)</f>
        <v>Home</v>
      </c>
      <c r="J586" s="2" t="str">
        <f>VLOOKUP(Sales_Details2[[#This Row],[Product_ID]],Product_details[[#All],[Product_ID]:[Cost]],4,0)</f>
        <v>Decor</v>
      </c>
      <c r="K586" s="2" t="s">
        <v>1752</v>
      </c>
      <c r="L586" s="2" t="str">
        <f>_xlfn.XLOOKUP(Sales_Details2[[#This Row],[Store_ID]],Table2[Store_ID],Table2[Region],"Region not found")</f>
        <v>South</v>
      </c>
      <c r="M586" s="25">
        <v>1</v>
      </c>
      <c r="N586" s="36">
        <v>34.71</v>
      </c>
      <c r="O586" s="29">
        <v>0.1</v>
      </c>
      <c r="P586" s="2" t="s">
        <v>1812</v>
      </c>
      <c r="Q586" s="36">
        <v>31.239000000000001</v>
      </c>
    </row>
    <row r="587" spans="1:17" x14ac:dyDescent="0.3">
      <c r="A587" s="2" t="s">
        <v>2394</v>
      </c>
      <c r="B587" s="14">
        <v>45633</v>
      </c>
      <c r="C587" s="2">
        <f>YEAR(Sales_Details2[[#This Row],[Order_Date]])</f>
        <v>2024</v>
      </c>
      <c r="D587" s="2" t="s">
        <v>731</v>
      </c>
      <c r="E587" s="2" t="str">
        <f>VLOOKUP(Sales_Details2[[#This Row],[Customer_ID]],Customer_Details[#All],4,0)</f>
        <v>Mid-Adult</v>
      </c>
      <c r="F587" s="2" t="str">
        <f>VLOOKUP(Sales_Details2[[#This Row],[Customer_ID]],Customer_Details[#All],5,0)</f>
        <v>Female</v>
      </c>
      <c r="G587" s="2" t="str">
        <f>VLOOKUP(Sales_Details2[[#This Row],[Customer_ID]],Customer_Details[#All],9,0)</f>
        <v>Bronze</v>
      </c>
      <c r="H587" s="2" t="s">
        <v>1685</v>
      </c>
      <c r="I587" s="2" t="str">
        <f>VLOOKUP(Sales_Details2[[#This Row],[Product_ID]],Product_details[[#All],[Product_ID]:[Cost]],3,0)</f>
        <v>Electronics</v>
      </c>
      <c r="J587" s="2" t="str">
        <f>VLOOKUP(Sales_Details2[[#This Row],[Product_ID]],Product_details[[#All],[Product_ID]:[Cost]],4,0)</f>
        <v>Appliances</v>
      </c>
      <c r="K587" s="2" t="s">
        <v>1740</v>
      </c>
      <c r="L587" s="2" t="str">
        <f>_xlfn.XLOOKUP(Sales_Details2[[#This Row],[Store_ID]],Table2[Store_ID],Table2[Region],"Region not found")</f>
        <v>North</v>
      </c>
      <c r="M587" s="25">
        <v>2</v>
      </c>
      <c r="N587" s="36">
        <v>829.15</v>
      </c>
      <c r="O587" s="29">
        <v>0.11</v>
      </c>
      <c r="P587" s="2" t="s">
        <v>1809</v>
      </c>
      <c r="Q587" s="36">
        <v>1475.8869999999999</v>
      </c>
    </row>
    <row r="588" spans="1:17" x14ac:dyDescent="0.3">
      <c r="A588" s="2" t="s">
        <v>2395</v>
      </c>
      <c r="B588" s="14">
        <v>45798</v>
      </c>
      <c r="C588" s="2">
        <f>YEAR(Sales_Details2[[#This Row],[Order_Date]])</f>
        <v>2025</v>
      </c>
      <c r="D588" s="2" t="s">
        <v>835</v>
      </c>
      <c r="E588" s="2" t="str">
        <f>VLOOKUP(Sales_Details2[[#This Row],[Customer_ID]],Customer_Details[#All],4,0)</f>
        <v>Adult</v>
      </c>
      <c r="F588" s="2" t="str">
        <f>VLOOKUP(Sales_Details2[[#This Row],[Customer_ID]],Customer_Details[#All],5,0)</f>
        <v>Male</v>
      </c>
      <c r="G588" s="2" t="str">
        <f>VLOOKUP(Sales_Details2[[#This Row],[Customer_ID]],Customer_Details[#All],9,0)</f>
        <v>Gold</v>
      </c>
      <c r="H588" s="2" t="s">
        <v>1727</v>
      </c>
      <c r="I588" s="2" t="str">
        <f>VLOOKUP(Sales_Details2[[#This Row],[Product_ID]],Product_details[[#All],[Product_ID]:[Cost]],3,0)</f>
        <v>Electronics</v>
      </c>
      <c r="J588" s="2" t="str">
        <f>VLOOKUP(Sales_Details2[[#This Row],[Product_ID]],Product_details[[#All],[Product_ID]:[Cost]],4,0)</f>
        <v>Audio</v>
      </c>
      <c r="K588" s="2" t="s">
        <v>1749</v>
      </c>
      <c r="L588" s="2" t="str">
        <f>_xlfn.XLOOKUP(Sales_Details2[[#This Row],[Store_ID]],Table2[Store_ID],Table2[Region],"Region not found")</f>
        <v>North</v>
      </c>
      <c r="M588" s="25">
        <v>2</v>
      </c>
      <c r="N588" s="36">
        <v>481.86</v>
      </c>
      <c r="O588" s="29">
        <v>0.1</v>
      </c>
      <c r="P588" s="2" t="s">
        <v>1812</v>
      </c>
      <c r="Q588" s="36">
        <v>867.34800000000007</v>
      </c>
    </row>
    <row r="589" spans="1:17" x14ac:dyDescent="0.3">
      <c r="A589" s="2" t="s">
        <v>2396</v>
      </c>
      <c r="B589" s="14">
        <v>45354</v>
      </c>
      <c r="C589" s="2">
        <f>YEAR(Sales_Details2[[#This Row],[Order_Date]])</f>
        <v>2024</v>
      </c>
      <c r="D589" s="2" t="s">
        <v>491</v>
      </c>
      <c r="E589" s="2" t="str">
        <f>VLOOKUP(Sales_Details2[[#This Row],[Customer_ID]],Customer_Details[#All],4,0)</f>
        <v>Mid-Adult</v>
      </c>
      <c r="F589" s="2" t="str">
        <f>VLOOKUP(Sales_Details2[[#This Row],[Customer_ID]],Customer_Details[#All],5,0)</f>
        <v>Female</v>
      </c>
      <c r="G589" s="2" t="str">
        <f>VLOOKUP(Sales_Details2[[#This Row],[Customer_ID]],Customer_Details[#All],9,0)</f>
        <v>Platinum</v>
      </c>
      <c r="H589" s="2" t="s">
        <v>1635</v>
      </c>
      <c r="I589" s="2" t="str">
        <f>VLOOKUP(Sales_Details2[[#This Row],[Product_ID]],Product_details[[#All],[Product_ID]:[Cost]],3,0)</f>
        <v>Sports</v>
      </c>
      <c r="J589" s="2" t="str">
        <f>VLOOKUP(Sales_Details2[[#This Row],[Product_ID]],Product_details[[#All],[Product_ID]:[Cost]],4,0)</f>
        <v>Team Sports</v>
      </c>
      <c r="K589" s="2" t="s">
        <v>1762</v>
      </c>
      <c r="L589" s="2" t="str">
        <f>_xlfn.XLOOKUP(Sales_Details2[[#This Row],[Store_ID]],Table2[Store_ID],Table2[Region],"Region not found")</f>
        <v>South</v>
      </c>
      <c r="M589" s="25">
        <v>4</v>
      </c>
      <c r="N589" s="36">
        <v>915.17</v>
      </c>
      <c r="O589" s="29">
        <v>0.19</v>
      </c>
      <c r="P589" s="2" t="s">
        <v>1812</v>
      </c>
      <c r="Q589" s="36">
        <v>2965.1507999999999</v>
      </c>
    </row>
    <row r="590" spans="1:17" x14ac:dyDescent="0.3">
      <c r="A590" s="2" t="s">
        <v>2397</v>
      </c>
      <c r="B590" s="14">
        <v>45357</v>
      </c>
      <c r="C590" s="2">
        <f>YEAR(Sales_Details2[[#This Row],[Order_Date]])</f>
        <v>2024</v>
      </c>
      <c r="D590" s="2" t="s">
        <v>690</v>
      </c>
      <c r="E590" s="2" t="str">
        <f>VLOOKUP(Sales_Details2[[#This Row],[Customer_ID]],Customer_Details[#All],4,0)</f>
        <v>Senior</v>
      </c>
      <c r="F590" s="2" t="str">
        <f>VLOOKUP(Sales_Details2[[#This Row],[Customer_ID]],Customer_Details[#All],5,0)</f>
        <v>Male</v>
      </c>
      <c r="G590" s="2" t="str">
        <f>VLOOKUP(Sales_Details2[[#This Row],[Customer_ID]],Customer_Details[#All],9,0)</f>
        <v>Gold</v>
      </c>
      <c r="H590" s="2" t="s">
        <v>1673</v>
      </c>
      <c r="I590" s="2" t="str">
        <f>VLOOKUP(Sales_Details2[[#This Row],[Product_ID]],Product_details[[#All],[Product_ID]:[Cost]],3,0)</f>
        <v>Beauty</v>
      </c>
      <c r="J590" s="2" t="str">
        <f>VLOOKUP(Sales_Details2[[#This Row],[Product_ID]],Product_details[[#All],[Product_ID]:[Cost]],4,0)</f>
        <v>Haircare</v>
      </c>
      <c r="K590" s="2" t="s">
        <v>1793</v>
      </c>
      <c r="L590" s="2" t="str">
        <f>_xlfn.XLOOKUP(Sales_Details2[[#This Row],[Store_ID]],Table2[Store_ID],Table2[Region],"Region not found")</f>
        <v>East</v>
      </c>
      <c r="M590" s="25">
        <v>1</v>
      </c>
      <c r="N590" s="36">
        <v>250.95</v>
      </c>
      <c r="O590" s="29">
        <v>0.03</v>
      </c>
      <c r="P590" s="2" t="s">
        <v>1809</v>
      </c>
      <c r="Q590" s="36">
        <v>243.42150000000001</v>
      </c>
    </row>
    <row r="591" spans="1:17" x14ac:dyDescent="0.3">
      <c r="A591" s="2" t="s">
        <v>2398</v>
      </c>
      <c r="B591" s="14">
        <v>45257</v>
      </c>
      <c r="C591" s="2">
        <f>YEAR(Sales_Details2[[#This Row],[Order_Date]])</f>
        <v>2023</v>
      </c>
      <c r="D591" s="2" t="s">
        <v>1012</v>
      </c>
      <c r="E591" s="2" t="str">
        <f>VLOOKUP(Sales_Details2[[#This Row],[Customer_ID]],Customer_Details[#All],4,0)</f>
        <v>Senior</v>
      </c>
      <c r="F591" s="2" t="str">
        <f>VLOOKUP(Sales_Details2[[#This Row],[Customer_ID]],Customer_Details[#All],5,0)</f>
        <v>Male</v>
      </c>
      <c r="G591" s="2" t="str">
        <f>VLOOKUP(Sales_Details2[[#This Row],[Customer_ID]],Customer_Details[#All],9,0)</f>
        <v>Bronze</v>
      </c>
      <c r="H591" s="2" t="s">
        <v>1723</v>
      </c>
      <c r="I591" s="2" t="str">
        <f>VLOOKUP(Sales_Details2[[#This Row],[Product_ID]],Product_details[[#All],[Product_ID]:[Cost]],3,0)</f>
        <v>Clothing</v>
      </c>
      <c r="J591" s="2" t="str">
        <f>VLOOKUP(Sales_Details2[[#This Row],[Product_ID]],Product_details[[#All],[Product_ID]:[Cost]],4,0)</f>
        <v>Outerwear</v>
      </c>
      <c r="K591" s="2" t="s">
        <v>1756</v>
      </c>
      <c r="L591" s="2" t="str">
        <f>_xlfn.XLOOKUP(Sales_Details2[[#This Row],[Store_ID]],Table2[Store_ID],Table2[Region],"Region not found")</f>
        <v>North</v>
      </c>
      <c r="M591" s="25">
        <v>3</v>
      </c>
      <c r="N591" s="36">
        <v>882.84</v>
      </c>
      <c r="O591" s="29">
        <v>0.1</v>
      </c>
      <c r="P591" s="2" t="s">
        <v>1807</v>
      </c>
      <c r="Q591" s="36">
        <v>2383.6680000000001</v>
      </c>
    </row>
    <row r="592" spans="1:17" x14ac:dyDescent="0.3">
      <c r="A592" s="2" t="s">
        <v>2399</v>
      </c>
      <c r="B592" s="14">
        <v>45702</v>
      </c>
      <c r="C592" s="2">
        <f>YEAR(Sales_Details2[[#This Row],[Order_Date]])</f>
        <v>2025</v>
      </c>
      <c r="D592" s="2" t="s">
        <v>465</v>
      </c>
      <c r="E592" s="2" t="str">
        <f>VLOOKUP(Sales_Details2[[#This Row],[Customer_ID]],Customer_Details[#All],4,0)</f>
        <v>Mid-Adult</v>
      </c>
      <c r="F592" s="2" t="str">
        <f>VLOOKUP(Sales_Details2[[#This Row],[Customer_ID]],Customer_Details[#All],5,0)</f>
        <v>Male</v>
      </c>
      <c r="G592" s="2" t="str">
        <f>VLOOKUP(Sales_Details2[[#This Row],[Customer_ID]],Customer_Details[#All],9,0)</f>
        <v>Gold</v>
      </c>
      <c r="H592" s="2" t="s">
        <v>1569</v>
      </c>
      <c r="I592" s="2" t="str">
        <f>VLOOKUP(Sales_Details2[[#This Row],[Product_ID]],Product_details[[#All],[Product_ID]:[Cost]],3,0)</f>
        <v>Sports</v>
      </c>
      <c r="J592" s="2" t="str">
        <f>VLOOKUP(Sales_Details2[[#This Row],[Product_ID]],Product_details[[#All],[Product_ID]:[Cost]],4,0)</f>
        <v>Equipment</v>
      </c>
      <c r="K592" s="2" t="s">
        <v>1793</v>
      </c>
      <c r="L592" s="2" t="str">
        <f>_xlfn.XLOOKUP(Sales_Details2[[#This Row],[Store_ID]],Table2[Store_ID],Table2[Region],"Region not found")</f>
        <v>East</v>
      </c>
      <c r="M592" s="25">
        <v>4</v>
      </c>
      <c r="N592" s="36">
        <v>573.37</v>
      </c>
      <c r="O592" s="29">
        <v>0.04</v>
      </c>
      <c r="P592" s="2" t="s">
        <v>1812</v>
      </c>
      <c r="Q592" s="36">
        <v>2201.7408</v>
      </c>
    </row>
    <row r="593" spans="1:17" x14ac:dyDescent="0.3">
      <c r="A593" s="2" t="s">
        <v>2400</v>
      </c>
      <c r="B593" s="14">
        <v>45318</v>
      </c>
      <c r="C593" s="2">
        <f>YEAR(Sales_Details2[[#This Row],[Order_Date]])</f>
        <v>2024</v>
      </c>
      <c r="D593" s="2" t="s">
        <v>215</v>
      </c>
      <c r="E593" s="2" t="str">
        <f>VLOOKUP(Sales_Details2[[#This Row],[Customer_ID]],Customer_Details[#All],4,0)</f>
        <v>Senior</v>
      </c>
      <c r="F593" s="2" t="str">
        <f>VLOOKUP(Sales_Details2[[#This Row],[Customer_ID]],Customer_Details[#All],5,0)</f>
        <v>Male</v>
      </c>
      <c r="G593" s="2" t="str">
        <f>VLOOKUP(Sales_Details2[[#This Row],[Customer_ID]],Customer_Details[#All],9,0)</f>
        <v>Platinum</v>
      </c>
      <c r="H593" s="2" t="s">
        <v>1595</v>
      </c>
      <c r="I593" s="2" t="str">
        <f>VLOOKUP(Sales_Details2[[#This Row],[Product_ID]],Product_details[[#All],[Product_ID]:[Cost]],3,0)</f>
        <v>Beauty</v>
      </c>
      <c r="J593" s="2" t="str">
        <f>VLOOKUP(Sales_Details2[[#This Row],[Product_ID]],Product_details[[#All],[Product_ID]:[Cost]],4,0)</f>
        <v>Skincare</v>
      </c>
      <c r="K593" s="2" t="s">
        <v>1777</v>
      </c>
      <c r="L593" s="2" t="str">
        <f>_xlfn.XLOOKUP(Sales_Details2[[#This Row],[Store_ID]],Table2[Store_ID],Table2[Region],"Region not found")</f>
        <v>North</v>
      </c>
      <c r="M593" s="25">
        <v>3</v>
      </c>
      <c r="N593" s="36">
        <v>622.72</v>
      </c>
      <c r="O593" s="29">
        <v>0.04</v>
      </c>
      <c r="P593" s="2" t="s">
        <v>1807</v>
      </c>
      <c r="Q593" s="36">
        <v>1793.4336000000001</v>
      </c>
    </row>
    <row r="594" spans="1:17" x14ac:dyDescent="0.3">
      <c r="A594" s="2" t="s">
        <v>2401</v>
      </c>
      <c r="B594" s="14">
        <v>45943</v>
      </c>
      <c r="C594" s="2">
        <f>YEAR(Sales_Details2[[#This Row],[Order_Date]])</f>
        <v>2025</v>
      </c>
      <c r="D594" s="2" t="s">
        <v>1198</v>
      </c>
      <c r="E594" s="2" t="str">
        <f>VLOOKUP(Sales_Details2[[#This Row],[Customer_ID]],Customer_Details[#All],4,0)</f>
        <v>Senior</v>
      </c>
      <c r="F594" s="2" t="str">
        <f>VLOOKUP(Sales_Details2[[#This Row],[Customer_ID]],Customer_Details[#All],5,0)</f>
        <v>Male</v>
      </c>
      <c r="G594" s="2" t="str">
        <f>VLOOKUP(Sales_Details2[[#This Row],[Customer_ID]],Customer_Details[#All],9,0)</f>
        <v>Platinum</v>
      </c>
      <c r="H594" s="2" t="s">
        <v>1715</v>
      </c>
      <c r="I594" s="2" t="str">
        <f>VLOOKUP(Sales_Details2[[#This Row],[Product_ID]],Product_details[[#All],[Product_ID]:[Cost]],3,0)</f>
        <v>Home</v>
      </c>
      <c r="J594" s="2" t="str">
        <f>VLOOKUP(Sales_Details2[[#This Row],[Product_ID]],Product_details[[#All],[Product_ID]:[Cost]],4,0)</f>
        <v>Appliances</v>
      </c>
      <c r="K594" s="2" t="s">
        <v>1790</v>
      </c>
      <c r="L594" s="2" t="str">
        <f>_xlfn.XLOOKUP(Sales_Details2[[#This Row],[Store_ID]],Table2[Store_ID],Table2[Region],"Region not found")</f>
        <v>North</v>
      </c>
      <c r="M594" s="25">
        <v>3</v>
      </c>
      <c r="N594" s="36">
        <v>259.74</v>
      </c>
      <c r="O594" s="29">
        <v>0.24</v>
      </c>
      <c r="P594" s="2" t="s">
        <v>1807</v>
      </c>
      <c r="Q594" s="36">
        <v>592.20720000000006</v>
      </c>
    </row>
    <row r="595" spans="1:17" x14ac:dyDescent="0.3">
      <c r="A595" s="2" t="s">
        <v>2402</v>
      </c>
      <c r="B595" s="14">
        <v>45769</v>
      </c>
      <c r="C595" s="2">
        <f>YEAR(Sales_Details2[[#This Row],[Order_Date]])</f>
        <v>2025</v>
      </c>
      <c r="D595" s="2" t="s">
        <v>202</v>
      </c>
      <c r="E595" s="2" t="str">
        <f>VLOOKUP(Sales_Details2[[#This Row],[Customer_ID]],Customer_Details[#All],4,0)</f>
        <v>Adult</v>
      </c>
      <c r="F595" s="2" t="str">
        <f>VLOOKUP(Sales_Details2[[#This Row],[Customer_ID]],Customer_Details[#All],5,0)</f>
        <v>Male</v>
      </c>
      <c r="G595" s="2" t="str">
        <f>VLOOKUP(Sales_Details2[[#This Row],[Customer_ID]],Customer_Details[#All],9,0)</f>
        <v>Platinum</v>
      </c>
      <c r="H595" s="2" t="s">
        <v>1587</v>
      </c>
      <c r="I595" s="2" t="str">
        <f>VLOOKUP(Sales_Details2[[#This Row],[Product_ID]],Product_details[[#All],[Product_ID]:[Cost]],3,0)</f>
        <v>Sports</v>
      </c>
      <c r="J595" s="2" t="str">
        <f>VLOOKUP(Sales_Details2[[#This Row],[Product_ID]],Product_details[[#All],[Product_ID]:[Cost]],4,0)</f>
        <v>Accessories</v>
      </c>
      <c r="K595" s="2" t="s">
        <v>1780</v>
      </c>
      <c r="L595" s="2" t="str">
        <f>_xlfn.XLOOKUP(Sales_Details2[[#This Row],[Store_ID]],Table2[Store_ID],Table2[Region],"Region not found")</f>
        <v>East</v>
      </c>
      <c r="M595" s="25">
        <v>4</v>
      </c>
      <c r="N595" s="36">
        <v>951.09</v>
      </c>
      <c r="O595" s="29">
        <v>0.14000000000000001</v>
      </c>
      <c r="P595" s="2" t="s">
        <v>1812</v>
      </c>
      <c r="Q595" s="36">
        <v>3271.7496000000001</v>
      </c>
    </row>
    <row r="596" spans="1:17" x14ac:dyDescent="0.3">
      <c r="A596" s="2" t="s">
        <v>2403</v>
      </c>
      <c r="B596" s="14">
        <v>45765</v>
      </c>
      <c r="C596" s="2">
        <f>YEAR(Sales_Details2[[#This Row],[Order_Date]])</f>
        <v>2025</v>
      </c>
      <c r="D596" s="2" t="s">
        <v>645</v>
      </c>
      <c r="E596" s="2" t="str">
        <f>VLOOKUP(Sales_Details2[[#This Row],[Customer_ID]],Customer_Details[#All],4,0)</f>
        <v>Mid-Adult</v>
      </c>
      <c r="F596" s="2" t="str">
        <f>VLOOKUP(Sales_Details2[[#This Row],[Customer_ID]],Customer_Details[#All],5,0)</f>
        <v>Male</v>
      </c>
      <c r="G596" s="2" t="str">
        <f>VLOOKUP(Sales_Details2[[#This Row],[Customer_ID]],Customer_Details[#All],9,0)</f>
        <v>Bronze</v>
      </c>
      <c r="H596" s="2" t="s">
        <v>1729</v>
      </c>
      <c r="I596" s="2" t="str">
        <f>VLOOKUP(Sales_Details2[[#This Row],[Product_ID]],Product_details[[#All],[Product_ID]:[Cost]],3,0)</f>
        <v>Home</v>
      </c>
      <c r="J596" s="2" t="str">
        <f>VLOOKUP(Sales_Details2[[#This Row],[Product_ID]],Product_details[[#All],[Product_ID]:[Cost]],4,0)</f>
        <v>Kitchen</v>
      </c>
      <c r="K596" s="2" t="s">
        <v>1744</v>
      </c>
      <c r="L596" s="2" t="str">
        <f>_xlfn.XLOOKUP(Sales_Details2[[#This Row],[Store_ID]],Table2[Store_ID],Table2[Region],"Region not found")</f>
        <v>South</v>
      </c>
      <c r="M596" s="25">
        <v>1</v>
      </c>
      <c r="N596" s="36">
        <v>71.709999999999994</v>
      </c>
      <c r="O596" s="29">
        <v>0.23</v>
      </c>
      <c r="P596" s="2" t="s">
        <v>1812</v>
      </c>
      <c r="Q596" s="36">
        <v>55.216700000000003</v>
      </c>
    </row>
    <row r="597" spans="1:17" x14ac:dyDescent="0.3">
      <c r="A597" s="2" t="s">
        <v>2404</v>
      </c>
      <c r="B597" s="14">
        <v>45891</v>
      </c>
      <c r="C597" s="2">
        <f>YEAR(Sales_Details2[[#This Row],[Order_Date]])</f>
        <v>2025</v>
      </c>
      <c r="D597" s="2" t="s">
        <v>568</v>
      </c>
      <c r="E597" s="2" t="str">
        <f>VLOOKUP(Sales_Details2[[#This Row],[Customer_ID]],Customer_Details[#All],4,0)</f>
        <v>Mid-Adult</v>
      </c>
      <c r="F597" s="2" t="str">
        <f>VLOOKUP(Sales_Details2[[#This Row],[Customer_ID]],Customer_Details[#All],5,0)</f>
        <v>Female</v>
      </c>
      <c r="G597" s="2" t="str">
        <f>VLOOKUP(Sales_Details2[[#This Row],[Customer_ID]],Customer_Details[#All],9,0)</f>
        <v>Platinum</v>
      </c>
      <c r="H597" s="2" t="s">
        <v>1571</v>
      </c>
      <c r="I597" s="2" t="str">
        <f>VLOOKUP(Sales_Details2[[#This Row],[Product_ID]],Product_details[[#All],[Product_ID]:[Cost]],3,0)</f>
        <v>Sports</v>
      </c>
      <c r="J597" s="2" t="str">
        <f>VLOOKUP(Sales_Details2[[#This Row],[Product_ID]],Product_details[[#All],[Product_ID]:[Cost]],4,0)</f>
        <v>Accessories</v>
      </c>
      <c r="K597" s="2" t="s">
        <v>1762</v>
      </c>
      <c r="L597" s="2" t="str">
        <f>_xlfn.XLOOKUP(Sales_Details2[[#This Row],[Store_ID]],Table2[Store_ID],Table2[Region],"Region not found")</f>
        <v>South</v>
      </c>
      <c r="M597" s="25">
        <v>4</v>
      </c>
      <c r="N597" s="36">
        <v>894.93</v>
      </c>
      <c r="O597" s="29">
        <v>0.05</v>
      </c>
      <c r="P597" s="2" t="s">
        <v>1812</v>
      </c>
      <c r="Q597" s="36">
        <v>3400.733999999999</v>
      </c>
    </row>
    <row r="598" spans="1:17" x14ac:dyDescent="0.3">
      <c r="A598" s="2" t="s">
        <v>2405</v>
      </c>
      <c r="B598" s="14">
        <v>45842</v>
      </c>
      <c r="C598" s="2">
        <f>YEAR(Sales_Details2[[#This Row],[Order_Date]])</f>
        <v>2025</v>
      </c>
      <c r="D598" s="2" t="s">
        <v>654</v>
      </c>
      <c r="E598" s="2" t="str">
        <f>VLOOKUP(Sales_Details2[[#This Row],[Customer_ID]],Customer_Details[#All],4,0)</f>
        <v>Mid-Adult</v>
      </c>
      <c r="F598" s="2" t="str">
        <f>VLOOKUP(Sales_Details2[[#This Row],[Customer_ID]],Customer_Details[#All],5,0)</f>
        <v>Female</v>
      </c>
      <c r="G598" s="2" t="str">
        <f>VLOOKUP(Sales_Details2[[#This Row],[Customer_ID]],Customer_Details[#All],9,0)</f>
        <v>Platinum</v>
      </c>
      <c r="H598" s="2" t="s">
        <v>1687</v>
      </c>
      <c r="I598" s="2" t="str">
        <f>VLOOKUP(Sales_Details2[[#This Row],[Product_ID]],Product_details[[#All],[Product_ID]:[Cost]],3,0)</f>
        <v>Home</v>
      </c>
      <c r="J598" s="2" t="str">
        <f>VLOOKUP(Sales_Details2[[#This Row],[Product_ID]],Product_details[[#All],[Product_ID]:[Cost]],4,0)</f>
        <v>Decor</v>
      </c>
      <c r="K598" s="2" t="s">
        <v>1765</v>
      </c>
      <c r="L598" s="2" t="str">
        <f>_xlfn.XLOOKUP(Sales_Details2[[#This Row],[Store_ID]],Table2[Store_ID],Table2[Region],"Region not found")</f>
        <v>West</v>
      </c>
      <c r="M598" s="25">
        <v>4</v>
      </c>
      <c r="N598" s="36">
        <v>870.18</v>
      </c>
      <c r="O598" s="29">
        <v>0.13</v>
      </c>
      <c r="P598" s="2" t="s">
        <v>1812</v>
      </c>
      <c r="Q598" s="36">
        <v>3028.2264</v>
      </c>
    </row>
    <row r="599" spans="1:17" x14ac:dyDescent="0.3">
      <c r="A599" s="2" t="s">
        <v>2406</v>
      </c>
      <c r="B599" s="14">
        <v>45382</v>
      </c>
      <c r="C599" s="2">
        <f>YEAR(Sales_Details2[[#This Row],[Order_Date]])</f>
        <v>2024</v>
      </c>
      <c r="D599" s="2" t="s">
        <v>876</v>
      </c>
      <c r="E599" s="2" t="str">
        <f>VLOOKUP(Sales_Details2[[#This Row],[Customer_ID]],Customer_Details[#All],4,0)</f>
        <v>Mid-Adult</v>
      </c>
      <c r="F599" s="2" t="str">
        <f>VLOOKUP(Sales_Details2[[#This Row],[Customer_ID]],Customer_Details[#All],5,0)</f>
        <v>Female</v>
      </c>
      <c r="G599" s="2" t="str">
        <f>VLOOKUP(Sales_Details2[[#This Row],[Customer_ID]],Customer_Details[#All],9,0)</f>
        <v>Platinum</v>
      </c>
      <c r="H599" s="2" t="s">
        <v>1659</v>
      </c>
      <c r="I599" s="2" t="str">
        <f>VLOOKUP(Sales_Details2[[#This Row],[Product_ID]],Product_details[[#All],[Product_ID]:[Cost]],3,0)</f>
        <v>Beauty</v>
      </c>
      <c r="J599" s="2" t="str">
        <f>VLOOKUP(Sales_Details2[[#This Row],[Product_ID]],Product_details[[#All],[Product_ID]:[Cost]],4,0)</f>
        <v>Makeup</v>
      </c>
      <c r="K599" s="2" t="s">
        <v>1744</v>
      </c>
      <c r="L599" s="2" t="str">
        <f>_xlfn.XLOOKUP(Sales_Details2[[#This Row],[Store_ID]],Table2[Store_ID],Table2[Region],"Region not found")</f>
        <v>South</v>
      </c>
      <c r="M599" s="25">
        <v>2</v>
      </c>
      <c r="N599" s="36">
        <v>552.72</v>
      </c>
      <c r="O599" s="29">
        <v>0.06</v>
      </c>
      <c r="P599" s="2" t="s">
        <v>1809</v>
      </c>
      <c r="Q599" s="36">
        <v>1039.1135999999999</v>
      </c>
    </row>
    <row r="600" spans="1:17" x14ac:dyDescent="0.3">
      <c r="A600" s="2" t="s">
        <v>2407</v>
      </c>
      <c r="B600" s="14">
        <v>45236</v>
      </c>
      <c r="C600" s="2">
        <f>YEAR(Sales_Details2[[#This Row],[Order_Date]])</f>
        <v>2023</v>
      </c>
      <c r="D600" s="2" t="s">
        <v>782</v>
      </c>
      <c r="E600" s="2" t="str">
        <f>VLOOKUP(Sales_Details2[[#This Row],[Customer_ID]],Customer_Details[#All],4,0)</f>
        <v>Senior</v>
      </c>
      <c r="F600" s="2" t="str">
        <f>VLOOKUP(Sales_Details2[[#This Row],[Customer_ID]],Customer_Details[#All],5,0)</f>
        <v>Male</v>
      </c>
      <c r="G600" s="2" t="str">
        <f>VLOOKUP(Sales_Details2[[#This Row],[Customer_ID]],Customer_Details[#All],9,0)</f>
        <v>Bronze</v>
      </c>
      <c r="H600" s="2" t="s">
        <v>1609</v>
      </c>
      <c r="I600" s="2" t="str">
        <f>VLOOKUP(Sales_Details2[[#This Row],[Product_ID]],Product_details[[#All],[Product_ID]:[Cost]],3,0)</f>
        <v>Electronics</v>
      </c>
      <c r="J600" s="2" t="str">
        <f>VLOOKUP(Sales_Details2[[#This Row],[Product_ID]],Product_details[[#All],[Product_ID]:[Cost]],4,0)</f>
        <v>Mobile</v>
      </c>
      <c r="K600" s="2" t="s">
        <v>1765</v>
      </c>
      <c r="L600" s="2" t="str">
        <f>_xlfn.XLOOKUP(Sales_Details2[[#This Row],[Store_ID]],Table2[Store_ID],Table2[Region],"Region not found")</f>
        <v>West</v>
      </c>
      <c r="M600" s="25">
        <v>3</v>
      </c>
      <c r="N600" s="36">
        <v>700.43</v>
      </c>
      <c r="O600" s="29">
        <v>0.01</v>
      </c>
      <c r="P600" s="2" t="s">
        <v>1812</v>
      </c>
      <c r="Q600" s="36">
        <v>2080.2770999999998</v>
      </c>
    </row>
    <row r="601" spans="1:17" x14ac:dyDescent="0.3">
      <c r="A601" s="2" t="s">
        <v>2408</v>
      </c>
      <c r="B601" s="14">
        <v>45806</v>
      </c>
      <c r="C601" s="2">
        <f>YEAR(Sales_Details2[[#This Row],[Order_Date]])</f>
        <v>2025</v>
      </c>
      <c r="D601" s="2" t="s">
        <v>1054</v>
      </c>
      <c r="E601" s="2" t="str">
        <f>VLOOKUP(Sales_Details2[[#This Row],[Customer_ID]],Customer_Details[#All],4,0)</f>
        <v>Senior</v>
      </c>
      <c r="F601" s="2" t="str">
        <f>VLOOKUP(Sales_Details2[[#This Row],[Customer_ID]],Customer_Details[#All],5,0)</f>
        <v>Female</v>
      </c>
      <c r="G601" s="2" t="str">
        <f>VLOOKUP(Sales_Details2[[#This Row],[Customer_ID]],Customer_Details[#All],9,0)</f>
        <v>Platinum</v>
      </c>
      <c r="H601" s="2" t="s">
        <v>1548</v>
      </c>
      <c r="I601" s="2" t="str">
        <f>VLOOKUP(Sales_Details2[[#This Row],[Product_ID]],Product_details[[#All],[Product_ID]:[Cost]],3,0)</f>
        <v>Sports</v>
      </c>
      <c r="J601" s="2" t="str">
        <f>VLOOKUP(Sales_Details2[[#This Row],[Product_ID]],Product_details[[#All],[Product_ID]:[Cost]],4,0)</f>
        <v>Fitness</v>
      </c>
      <c r="K601" s="2" t="s">
        <v>1744</v>
      </c>
      <c r="L601" s="2" t="str">
        <f>_xlfn.XLOOKUP(Sales_Details2[[#This Row],[Store_ID]],Table2[Store_ID],Table2[Region],"Region not found")</f>
        <v>South</v>
      </c>
      <c r="M601" s="25">
        <v>2</v>
      </c>
      <c r="N601" s="36">
        <v>823.03</v>
      </c>
      <c r="O601" s="29">
        <v>0.18</v>
      </c>
      <c r="P601" s="2" t="s">
        <v>1809</v>
      </c>
      <c r="Q601" s="36">
        <v>1349.7692</v>
      </c>
    </row>
    <row r="602" spans="1:17" x14ac:dyDescent="0.3">
      <c r="A602" s="2" t="s">
        <v>2409</v>
      </c>
      <c r="B602" s="14">
        <v>45401</v>
      </c>
      <c r="C602" s="2">
        <f>YEAR(Sales_Details2[[#This Row],[Order_Date]])</f>
        <v>2024</v>
      </c>
      <c r="D602" s="2" t="s">
        <v>808</v>
      </c>
      <c r="E602" s="2" t="str">
        <f>VLOOKUP(Sales_Details2[[#This Row],[Customer_ID]],Customer_Details[#All],4,0)</f>
        <v>Adult</v>
      </c>
      <c r="F602" s="2" t="str">
        <f>VLOOKUP(Sales_Details2[[#This Row],[Customer_ID]],Customer_Details[#All],5,0)</f>
        <v>Male</v>
      </c>
      <c r="G602" s="2" t="str">
        <f>VLOOKUP(Sales_Details2[[#This Row],[Customer_ID]],Customer_Details[#All],9,0)</f>
        <v>Gold</v>
      </c>
      <c r="H602" s="2" t="s">
        <v>1715</v>
      </c>
      <c r="I602" s="2" t="str">
        <f>VLOOKUP(Sales_Details2[[#This Row],[Product_ID]],Product_details[[#All],[Product_ID]:[Cost]],3,0)</f>
        <v>Home</v>
      </c>
      <c r="J602" s="2" t="str">
        <f>VLOOKUP(Sales_Details2[[#This Row],[Product_ID]],Product_details[[#All],[Product_ID]:[Cost]],4,0)</f>
        <v>Appliances</v>
      </c>
      <c r="K602" s="2" t="s">
        <v>1759</v>
      </c>
      <c r="L602" s="2" t="str">
        <f>_xlfn.XLOOKUP(Sales_Details2[[#This Row],[Store_ID]],Table2[Store_ID],Table2[Region],"Region not found")</f>
        <v>East</v>
      </c>
      <c r="M602" s="25">
        <v>1</v>
      </c>
      <c r="N602" s="36">
        <v>117.37</v>
      </c>
      <c r="O602" s="29">
        <v>0.21</v>
      </c>
      <c r="P602" s="2" t="s">
        <v>1807</v>
      </c>
      <c r="Q602" s="36">
        <v>92.722300000000004</v>
      </c>
    </row>
    <row r="603" spans="1:17" x14ac:dyDescent="0.3">
      <c r="A603" s="2" t="s">
        <v>2410</v>
      </c>
      <c r="B603" s="14">
        <v>45716</v>
      </c>
      <c r="C603" s="2">
        <f>YEAR(Sales_Details2[[#This Row],[Order_Date]])</f>
        <v>2025</v>
      </c>
      <c r="D603" s="2" t="s">
        <v>364</v>
      </c>
      <c r="E603" s="2" t="str">
        <f>VLOOKUP(Sales_Details2[[#This Row],[Customer_ID]],Customer_Details[#All],4,0)</f>
        <v>Senior</v>
      </c>
      <c r="F603" s="2" t="str">
        <f>VLOOKUP(Sales_Details2[[#This Row],[Customer_ID]],Customer_Details[#All],5,0)</f>
        <v>Male</v>
      </c>
      <c r="G603" s="2" t="str">
        <f>VLOOKUP(Sales_Details2[[#This Row],[Customer_ID]],Customer_Details[#All],9,0)</f>
        <v>Silver</v>
      </c>
      <c r="H603" s="2" t="s">
        <v>1643</v>
      </c>
      <c r="I603" s="2" t="str">
        <f>VLOOKUP(Sales_Details2[[#This Row],[Product_ID]],Product_details[[#All],[Product_ID]:[Cost]],3,0)</f>
        <v>Home</v>
      </c>
      <c r="J603" s="2" t="str">
        <f>VLOOKUP(Sales_Details2[[#This Row],[Product_ID]],Product_details[[#All],[Product_ID]:[Cost]],4,0)</f>
        <v>Decor</v>
      </c>
      <c r="K603" s="2" t="s">
        <v>1740</v>
      </c>
      <c r="L603" s="2" t="str">
        <f>_xlfn.XLOOKUP(Sales_Details2[[#This Row],[Store_ID]],Table2[Store_ID],Table2[Region],"Region not found")</f>
        <v>North</v>
      </c>
      <c r="M603" s="25">
        <v>4</v>
      </c>
      <c r="N603" s="36">
        <v>165.37</v>
      </c>
      <c r="O603" s="29">
        <v>0.28999999999999998</v>
      </c>
      <c r="P603" s="2" t="s">
        <v>1807</v>
      </c>
      <c r="Q603" s="36">
        <v>469.6508</v>
      </c>
    </row>
    <row r="604" spans="1:17" x14ac:dyDescent="0.3">
      <c r="A604" s="2" t="s">
        <v>2411</v>
      </c>
      <c r="B604" s="14">
        <v>45718</v>
      </c>
      <c r="C604" s="2">
        <f>YEAR(Sales_Details2[[#This Row],[Order_Date]])</f>
        <v>2025</v>
      </c>
      <c r="D604" s="2" t="s">
        <v>1168</v>
      </c>
      <c r="E604" s="2" t="str">
        <f>VLOOKUP(Sales_Details2[[#This Row],[Customer_ID]],Customer_Details[#All],4,0)</f>
        <v>Mid-Adult</v>
      </c>
      <c r="F604" s="2" t="str">
        <f>VLOOKUP(Sales_Details2[[#This Row],[Customer_ID]],Customer_Details[#All],5,0)</f>
        <v>Female</v>
      </c>
      <c r="G604" s="2" t="str">
        <f>VLOOKUP(Sales_Details2[[#This Row],[Customer_ID]],Customer_Details[#All],9,0)</f>
        <v>Bronze</v>
      </c>
      <c r="H604" s="2" t="s">
        <v>1540</v>
      </c>
      <c r="I604" s="2" t="str">
        <f>VLOOKUP(Sales_Details2[[#This Row],[Product_ID]],Product_details[[#All],[Product_ID]:[Cost]],3,0)</f>
        <v>Beauty</v>
      </c>
      <c r="J604" s="2" t="str">
        <f>VLOOKUP(Sales_Details2[[#This Row],[Product_ID]],Product_details[[#All],[Product_ID]:[Cost]],4,0)</f>
        <v>Skincare</v>
      </c>
      <c r="K604" s="2" t="s">
        <v>1772</v>
      </c>
      <c r="L604" s="2" t="str">
        <f>_xlfn.XLOOKUP(Sales_Details2[[#This Row],[Store_ID]],Table2[Store_ID],Table2[Region],"Region not found")</f>
        <v>East</v>
      </c>
      <c r="M604" s="25">
        <v>3</v>
      </c>
      <c r="N604" s="36">
        <v>483.06</v>
      </c>
      <c r="O604" s="29">
        <v>0.05</v>
      </c>
      <c r="P604" s="2" t="s">
        <v>1807</v>
      </c>
      <c r="Q604" s="36">
        <v>1376.721</v>
      </c>
    </row>
    <row r="605" spans="1:17" x14ac:dyDescent="0.3">
      <c r="A605" s="2" t="s">
        <v>2412</v>
      </c>
      <c r="B605" s="14">
        <v>45379</v>
      </c>
      <c r="C605" s="2">
        <f>YEAR(Sales_Details2[[#This Row],[Order_Date]])</f>
        <v>2024</v>
      </c>
      <c r="D605" s="2" t="s">
        <v>920</v>
      </c>
      <c r="E605" s="2" t="str">
        <f>VLOOKUP(Sales_Details2[[#This Row],[Customer_ID]],Customer_Details[#All],4,0)</f>
        <v>Senior</v>
      </c>
      <c r="F605" s="2" t="str">
        <f>VLOOKUP(Sales_Details2[[#This Row],[Customer_ID]],Customer_Details[#All],5,0)</f>
        <v>Female</v>
      </c>
      <c r="G605" s="2" t="str">
        <f>VLOOKUP(Sales_Details2[[#This Row],[Customer_ID]],Customer_Details[#All],9,0)</f>
        <v>Platinum</v>
      </c>
      <c r="H605" s="2" t="s">
        <v>1693</v>
      </c>
      <c r="I605" s="2" t="str">
        <f>VLOOKUP(Sales_Details2[[#This Row],[Product_ID]],Product_details[[#All],[Product_ID]:[Cost]],3,0)</f>
        <v>Sports</v>
      </c>
      <c r="J605" s="2" t="str">
        <f>VLOOKUP(Sales_Details2[[#This Row],[Product_ID]],Product_details[[#All],[Product_ID]:[Cost]],4,0)</f>
        <v>Equipment</v>
      </c>
      <c r="K605" s="2" t="s">
        <v>1762</v>
      </c>
      <c r="L605" s="2" t="str">
        <f>_xlfn.XLOOKUP(Sales_Details2[[#This Row],[Store_ID]],Table2[Store_ID],Table2[Region],"Region not found")</f>
        <v>South</v>
      </c>
      <c r="M605" s="25">
        <v>4</v>
      </c>
      <c r="N605" s="36">
        <v>262.05</v>
      </c>
      <c r="O605" s="29">
        <v>0.24</v>
      </c>
      <c r="P605" s="2" t="s">
        <v>1809</v>
      </c>
      <c r="Q605" s="36">
        <v>796.63200000000006</v>
      </c>
    </row>
    <row r="606" spans="1:17" x14ac:dyDescent="0.3">
      <c r="A606" s="2" t="s">
        <v>2413</v>
      </c>
      <c r="B606" s="14">
        <v>45635</v>
      </c>
      <c r="C606" s="2">
        <f>YEAR(Sales_Details2[[#This Row],[Order_Date]])</f>
        <v>2024</v>
      </c>
      <c r="D606" s="2" t="s">
        <v>1412</v>
      </c>
      <c r="E606" s="2" t="str">
        <f>VLOOKUP(Sales_Details2[[#This Row],[Customer_ID]],Customer_Details[#All],4,0)</f>
        <v>Mid-Adult</v>
      </c>
      <c r="F606" s="2" t="str">
        <f>VLOOKUP(Sales_Details2[[#This Row],[Customer_ID]],Customer_Details[#All],5,0)</f>
        <v>Female</v>
      </c>
      <c r="G606" s="2" t="str">
        <f>VLOOKUP(Sales_Details2[[#This Row],[Customer_ID]],Customer_Details[#All],9,0)</f>
        <v>Bronze</v>
      </c>
      <c r="H606" s="2" t="s">
        <v>1559</v>
      </c>
      <c r="I606" s="2" t="str">
        <f>VLOOKUP(Sales_Details2[[#This Row],[Product_ID]],Product_details[[#All],[Product_ID]:[Cost]],3,0)</f>
        <v>Home</v>
      </c>
      <c r="J606" s="2" t="str">
        <f>VLOOKUP(Sales_Details2[[#This Row],[Product_ID]],Product_details[[#All],[Product_ID]:[Cost]],4,0)</f>
        <v>Decor</v>
      </c>
      <c r="K606" s="2" t="s">
        <v>1782</v>
      </c>
      <c r="L606" s="2" t="str">
        <f>_xlfn.XLOOKUP(Sales_Details2[[#This Row],[Store_ID]],Table2[Store_ID],Table2[Region],"Region not found")</f>
        <v>South</v>
      </c>
      <c r="M606" s="25">
        <v>3</v>
      </c>
      <c r="N606" s="36">
        <v>970.89</v>
      </c>
      <c r="O606" s="29">
        <v>0.11</v>
      </c>
      <c r="P606" s="2" t="s">
        <v>1812</v>
      </c>
      <c r="Q606" s="36">
        <v>2592.2763</v>
      </c>
    </row>
    <row r="607" spans="1:17" x14ac:dyDescent="0.3">
      <c r="A607" s="2" t="s">
        <v>2414</v>
      </c>
      <c r="B607" s="14">
        <v>45222</v>
      </c>
      <c r="C607" s="2">
        <f>YEAR(Sales_Details2[[#This Row],[Order_Date]])</f>
        <v>2023</v>
      </c>
      <c r="D607" s="2" t="s">
        <v>696</v>
      </c>
      <c r="E607" s="2" t="str">
        <f>VLOOKUP(Sales_Details2[[#This Row],[Customer_ID]],Customer_Details[#All],4,0)</f>
        <v>Mid-Adult</v>
      </c>
      <c r="F607" s="2" t="str">
        <f>VLOOKUP(Sales_Details2[[#This Row],[Customer_ID]],Customer_Details[#All],5,0)</f>
        <v>Male</v>
      </c>
      <c r="G607" s="2" t="str">
        <f>VLOOKUP(Sales_Details2[[#This Row],[Customer_ID]],Customer_Details[#All],9,0)</f>
        <v>Platinum</v>
      </c>
      <c r="H607" s="2" t="s">
        <v>1675</v>
      </c>
      <c r="I607" s="2" t="str">
        <f>VLOOKUP(Sales_Details2[[#This Row],[Product_ID]],Product_details[[#All],[Product_ID]:[Cost]],3,0)</f>
        <v>Sports</v>
      </c>
      <c r="J607" s="2" t="str">
        <f>VLOOKUP(Sales_Details2[[#This Row],[Product_ID]],Product_details[[#All],[Product_ID]:[Cost]],4,0)</f>
        <v>Fitness</v>
      </c>
      <c r="K607" s="2" t="s">
        <v>1735</v>
      </c>
      <c r="L607" s="2" t="str">
        <f>_xlfn.XLOOKUP(Sales_Details2[[#This Row],[Store_ID]],Table2[Store_ID],Table2[Region],"Region not found")</f>
        <v>East</v>
      </c>
      <c r="M607" s="25">
        <v>1</v>
      </c>
      <c r="N607" s="36">
        <v>61.11</v>
      </c>
      <c r="O607" s="29">
        <v>0.1</v>
      </c>
      <c r="P607" s="2" t="s">
        <v>1809</v>
      </c>
      <c r="Q607" s="36">
        <v>54.999000000000002</v>
      </c>
    </row>
    <row r="608" spans="1:17" x14ac:dyDescent="0.3">
      <c r="A608" s="2" t="s">
        <v>2415</v>
      </c>
      <c r="B608" s="14">
        <v>45555</v>
      </c>
      <c r="C608" s="2">
        <f>YEAR(Sales_Details2[[#This Row],[Order_Date]])</f>
        <v>2024</v>
      </c>
      <c r="D608" s="2" t="s">
        <v>121</v>
      </c>
      <c r="E608" s="2" t="str">
        <f>VLOOKUP(Sales_Details2[[#This Row],[Customer_ID]],Customer_Details[#All],4,0)</f>
        <v>Senior</v>
      </c>
      <c r="F608" s="2" t="str">
        <f>VLOOKUP(Sales_Details2[[#This Row],[Customer_ID]],Customer_Details[#All],5,0)</f>
        <v>Female</v>
      </c>
      <c r="G608" s="2" t="str">
        <f>VLOOKUP(Sales_Details2[[#This Row],[Customer_ID]],Customer_Details[#All],9,0)</f>
        <v>Silver</v>
      </c>
      <c r="H608" s="2" t="s">
        <v>1585</v>
      </c>
      <c r="I608" s="2" t="str">
        <f>VLOOKUP(Sales_Details2[[#This Row],[Product_ID]],Product_details[[#All],[Product_ID]:[Cost]],3,0)</f>
        <v>Home</v>
      </c>
      <c r="J608" s="2" t="str">
        <f>VLOOKUP(Sales_Details2[[#This Row],[Product_ID]],Product_details[[#All],[Product_ID]:[Cost]],4,0)</f>
        <v>Decor</v>
      </c>
      <c r="K608" s="2" t="s">
        <v>1765</v>
      </c>
      <c r="L608" s="2" t="str">
        <f>_xlfn.XLOOKUP(Sales_Details2[[#This Row],[Store_ID]],Table2[Store_ID],Table2[Region],"Region not found")</f>
        <v>West</v>
      </c>
      <c r="M608" s="25">
        <v>3</v>
      </c>
      <c r="N608" s="36">
        <v>827.88</v>
      </c>
      <c r="O608" s="29">
        <v>0.19</v>
      </c>
      <c r="P608" s="2" t="s">
        <v>1809</v>
      </c>
      <c r="Q608" s="36">
        <v>2011.7483999999999</v>
      </c>
    </row>
    <row r="609" spans="1:17" x14ac:dyDescent="0.3">
      <c r="A609" s="2" t="s">
        <v>2416</v>
      </c>
      <c r="B609" s="14">
        <v>45583</v>
      </c>
      <c r="C609" s="2">
        <f>YEAR(Sales_Details2[[#This Row],[Order_Date]])</f>
        <v>2024</v>
      </c>
      <c r="D609" s="2" t="s">
        <v>1318</v>
      </c>
      <c r="E609" s="2" t="str">
        <f>VLOOKUP(Sales_Details2[[#This Row],[Customer_ID]],Customer_Details[#All],4,0)</f>
        <v>Mid-Adult</v>
      </c>
      <c r="F609" s="2" t="str">
        <f>VLOOKUP(Sales_Details2[[#This Row],[Customer_ID]],Customer_Details[#All],5,0)</f>
        <v>Female</v>
      </c>
      <c r="G609" s="2" t="str">
        <f>VLOOKUP(Sales_Details2[[#This Row],[Customer_ID]],Customer_Details[#All],9,0)</f>
        <v>Gold</v>
      </c>
      <c r="H609" s="2" t="s">
        <v>1705</v>
      </c>
      <c r="I609" s="2" t="str">
        <f>VLOOKUP(Sales_Details2[[#This Row],[Product_ID]],Product_details[[#All],[Product_ID]:[Cost]],3,0)</f>
        <v>Home</v>
      </c>
      <c r="J609" s="2" t="str">
        <f>VLOOKUP(Sales_Details2[[#This Row],[Product_ID]],Product_details[[#All],[Product_ID]:[Cost]],4,0)</f>
        <v>Lighting</v>
      </c>
      <c r="K609" s="2" t="s">
        <v>1780</v>
      </c>
      <c r="L609" s="2" t="str">
        <f>_xlfn.XLOOKUP(Sales_Details2[[#This Row],[Store_ID]],Table2[Store_ID],Table2[Region],"Region not found")</f>
        <v>East</v>
      </c>
      <c r="M609" s="25">
        <v>3</v>
      </c>
      <c r="N609" s="36">
        <v>926.85</v>
      </c>
      <c r="O609" s="29">
        <v>0.18</v>
      </c>
      <c r="P609" s="2" t="s">
        <v>1812</v>
      </c>
      <c r="Q609" s="36">
        <v>2280.0509999999999</v>
      </c>
    </row>
    <row r="610" spans="1:17" x14ac:dyDescent="0.3">
      <c r="A610" s="2" t="s">
        <v>2417</v>
      </c>
      <c r="B610" s="14">
        <v>45662</v>
      </c>
      <c r="C610" s="2">
        <f>YEAR(Sales_Details2[[#This Row],[Order_Date]])</f>
        <v>2025</v>
      </c>
      <c r="D610" s="2" t="s">
        <v>989</v>
      </c>
      <c r="E610" s="2" t="str">
        <f>VLOOKUP(Sales_Details2[[#This Row],[Customer_ID]],Customer_Details[#All],4,0)</f>
        <v>Senior</v>
      </c>
      <c r="F610" s="2" t="str">
        <f>VLOOKUP(Sales_Details2[[#This Row],[Customer_ID]],Customer_Details[#All],5,0)</f>
        <v>Female</v>
      </c>
      <c r="G610" s="2" t="str">
        <f>VLOOKUP(Sales_Details2[[#This Row],[Customer_ID]],Customer_Details[#All],9,0)</f>
        <v>Gold</v>
      </c>
      <c r="H610" s="2" t="s">
        <v>1551</v>
      </c>
      <c r="I610" s="2" t="str">
        <f>VLOOKUP(Sales_Details2[[#This Row],[Product_ID]],Product_details[[#All],[Product_ID]:[Cost]],3,0)</f>
        <v>Home</v>
      </c>
      <c r="J610" s="2" t="str">
        <f>VLOOKUP(Sales_Details2[[#This Row],[Product_ID]],Product_details[[#All],[Product_ID]:[Cost]],4,0)</f>
        <v>Kitchen</v>
      </c>
      <c r="K610" s="2" t="s">
        <v>1782</v>
      </c>
      <c r="L610" s="2" t="str">
        <f>_xlfn.XLOOKUP(Sales_Details2[[#This Row],[Store_ID]],Table2[Store_ID],Table2[Region],"Region not found")</f>
        <v>South</v>
      </c>
      <c r="M610" s="25">
        <v>1</v>
      </c>
      <c r="N610" s="36">
        <v>874.59</v>
      </c>
      <c r="O610" s="29">
        <v>0.28999999999999998</v>
      </c>
      <c r="P610" s="2" t="s">
        <v>1809</v>
      </c>
      <c r="Q610" s="36">
        <v>620.95889999999997</v>
      </c>
    </row>
    <row r="611" spans="1:17" x14ac:dyDescent="0.3">
      <c r="A611" s="2" t="s">
        <v>2418</v>
      </c>
      <c r="B611" s="14">
        <v>45921</v>
      </c>
      <c r="C611" s="2">
        <f>YEAR(Sales_Details2[[#This Row],[Order_Date]])</f>
        <v>2025</v>
      </c>
      <c r="D611" s="2" t="s">
        <v>1433</v>
      </c>
      <c r="E611" s="2" t="str">
        <f>VLOOKUP(Sales_Details2[[#This Row],[Customer_ID]],Customer_Details[#All],4,0)</f>
        <v>Adult</v>
      </c>
      <c r="F611" s="2" t="str">
        <f>VLOOKUP(Sales_Details2[[#This Row],[Customer_ID]],Customer_Details[#All],5,0)</f>
        <v>Female</v>
      </c>
      <c r="G611" s="2" t="str">
        <f>VLOOKUP(Sales_Details2[[#This Row],[Customer_ID]],Customer_Details[#All],9,0)</f>
        <v>Gold</v>
      </c>
      <c r="H611" s="2" t="s">
        <v>1561</v>
      </c>
      <c r="I611" s="2" t="str">
        <f>VLOOKUP(Sales_Details2[[#This Row],[Product_ID]],Product_details[[#All],[Product_ID]:[Cost]],3,0)</f>
        <v>Electronics</v>
      </c>
      <c r="J611" s="2" t="str">
        <f>VLOOKUP(Sales_Details2[[#This Row],[Product_ID]],Product_details[[#All],[Product_ID]:[Cost]],4,0)</f>
        <v>Appliances</v>
      </c>
      <c r="K611" s="2" t="s">
        <v>1740</v>
      </c>
      <c r="L611" s="2" t="str">
        <f>_xlfn.XLOOKUP(Sales_Details2[[#This Row],[Store_ID]],Table2[Store_ID],Table2[Region],"Region not found")</f>
        <v>North</v>
      </c>
      <c r="M611" s="25">
        <v>4</v>
      </c>
      <c r="N611" s="36">
        <v>479.11</v>
      </c>
      <c r="O611" s="29">
        <v>0.24</v>
      </c>
      <c r="P611" s="2" t="s">
        <v>1809</v>
      </c>
      <c r="Q611" s="36">
        <v>1456.4944</v>
      </c>
    </row>
    <row r="612" spans="1:17" x14ac:dyDescent="0.3">
      <c r="A612" s="2" t="s">
        <v>2419</v>
      </c>
      <c r="B612" s="14">
        <v>45490</v>
      </c>
      <c r="C612" s="2">
        <f>YEAR(Sales_Details2[[#This Row],[Order_Date]])</f>
        <v>2024</v>
      </c>
      <c r="D612" s="2" t="s">
        <v>687</v>
      </c>
      <c r="E612" s="2" t="str">
        <f>VLOOKUP(Sales_Details2[[#This Row],[Customer_ID]],Customer_Details[#All],4,0)</f>
        <v>Mid-Adult</v>
      </c>
      <c r="F612" s="2" t="str">
        <f>VLOOKUP(Sales_Details2[[#This Row],[Customer_ID]],Customer_Details[#All],5,0)</f>
        <v>Female</v>
      </c>
      <c r="G612" s="2" t="str">
        <f>VLOOKUP(Sales_Details2[[#This Row],[Customer_ID]],Customer_Details[#All],9,0)</f>
        <v>Platinum</v>
      </c>
      <c r="H612" s="2" t="s">
        <v>1595</v>
      </c>
      <c r="I612" s="2" t="str">
        <f>VLOOKUP(Sales_Details2[[#This Row],[Product_ID]],Product_details[[#All],[Product_ID]:[Cost]],3,0)</f>
        <v>Beauty</v>
      </c>
      <c r="J612" s="2" t="str">
        <f>VLOOKUP(Sales_Details2[[#This Row],[Product_ID]],Product_details[[#All],[Product_ID]:[Cost]],4,0)</f>
        <v>Skincare</v>
      </c>
      <c r="K612" s="2" t="s">
        <v>1790</v>
      </c>
      <c r="L612" s="2" t="str">
        <f>_xlfn.XLOOKUP(Sales_Details2[[#This Row],[Store_ID]],Table2[Store_ID],Table2[Region],"Region not found")</f>
        <v>North</v>
      </c>
      <c r="M612" s="25">
        <v>3</v>
      </c>
      <c r="N612" s="36">
        <v>182.91</v>
      </c>
      <c r="O612" s="29">
        <v>0.28999999999999998</v>
      </c>
      <c r="P612" s="2" t="s">
        <v>1807</v>
      </c>
      <c r="Q612" s="36">
        <v>389.59829999999999</v>
      </c>
    </row>
    <row r="613" spans="1:17" x14ac:dyDescent="0.3">
      <c r="A613" s="2" t="s">
        <v>2420</v>
      </c>
      <c r="B613" s="14">
        <v>45652</v>
      </c>
      <c r="C613" s="2">
        <f>YEAR(Sales_Details2[[#This Row],[Order_Date]])</f>
        <v>2024</v>
      </c>
      <c r="D613" s="2" t="s">
        <v>858</v>
      </c>
      <c r="E613" s="2" t="str">
        <f>VLOOKUP(Sales_Details2[[#This Row],[Customer_ID]],Customer_Details[#All],4,0)</f>
        <v>Mid-Adult</v>
      </c>
      <c r="F613" s="2" t="str">
        <f>VLOOKUP(Sales_Details2[[#This Row],[Customer_ID]],Customer_Details[#All],5,0)</f>
        <v>Female</v>
      </c>
      <c r="G613" s="2" t="str">
        <f>VLOOKUP(Sales_Details2[[#This Row],[Customer_ID]],Customer_Details[#All],9,0)</f>
        <v>Gold</v>
      </c>
      <c r="H613" s="2" t="s">
        <v>1599</v>
      </c>
      <c r="I613" s="2" t="str">
        <f>VLOOKUP(Sales_Details2[[#This Row],[Product_ID]],Product_details[[#All],[Product_ID]:[Cost]],3,0)</f>
        <v>Electronics</v>
      </c>
      <c r="J613" s="2" t="str">
        <f>VLOOKUP(Sales_Details2[[#This Row],[Product_ID]],Product_details[[#All],[Product_ID]:[Cost]],4,0)</f>
        <v>Computer</v>
      </c>
      <c r="K613" s="2" t="s">
        <v>1756</v>
      </c>
      <c r="L613" s="2" t="str">
        <f>_xlfn.XLOOKUP(Sales_Details2[[#This Row],[Store_ID]],Table2[Store_ID],Table2[Region],"Region not found")</f>
        <v>North</v>
      </c>
      <c r="M613" s="25">
        <v>4</v>
      </c>
      <c r="N613" s="36">
        <v>745.51</v>
      </c>
      <c r="O613" s="29">
        <v>0.05</v>
      </c>
      <c r="P613" s="2" t="s">
        <v>1807</v>
      </c>
      <c r="Q613" s="36">
        <v>2832.9380000000001</v>
      </c>
    </row>
    <row r="614" spans="1:17" x14ac:dyDescent="0.3">
      <c r="A614" s="2" t="s">
        <v>2421</v>
      </c>
      <c r="B614" s="14">
        <v>45598</v>
      </c>
      <c r="C614" s="2">
        <f>YEAR(Sales_Details2[[#This Row],[Order_Date]])</f>
        <v>2024</v>
      </c>
      <c r="D614" s="2" t="s">
        <v>1464</v>
      </c>
      <c r="E614" s="2" t="str">
        <f>VLOOKUP(Sales_Details2[[#This Row],[Customer_ID]],Customer_Details[#All],4,0)</f>
        <v>Adult</v>
      </c>
      <c r="F614" s="2" t="str">
        <f>VLOOKUP(Sales_Details2[[#This Row],[Customer_ID]],Customer_Details[#All],5,0)</f>
        <v>Male</v>
      </c>
      <c r="G614" s="2" t="str">
        <f>VLOOKUP(Sales_Details2[[#This Row],[Customer_ID]],Customer_Details[#All],9,0)</f>
        <v>Gold</v>
      </c>
      <c r="H614" s="2" t="s">
        <v>1707</v>
      </c>
      <c r="I614" s="2" t="str">
        <f>VLOOKUP(Sales_Details2[[#This Row],[Product_ID]],Product_details[[#All],[Product_ID]:[Cost]],3,0)</f>
        <v>Sports</v>
      </c>
      <c r="J614" s="2" t="str">
        <f>VLOOKUP(Sales_Details2[[#This Row],[Product_ID]],Product_details[[#All],[Product_ID]:[Cost]],4,0)</f>
        <v>Accessories</v>
      </c>
      <c r="K614" s="2" t="s">
        <v>1784</v>
      </c>
      <c r="L614" s="2" t="str">
        <f>_xlfn.XLOOKUP(Sales_Details2[[#This Row],[Store_ID]],Table2[Store_ID],Table2[Region],"Region not found")</f>
        <v>North</v>
      </c>
      <c r="M614" s="25">
        <v>3</v>
      </c>
      <c r="N614" s="36">
        <v>920.61</v>
      </c>
      <c r="O614" s="29">
        <v>0.04</v>
      </c>
      <c r="P614" s="2" t="s">
        <v>1807</v>
      </c>
      <c r="Q614" s="36">
        <v>2651.3568</v>
      </c>
    </row>
    <row r="615" spans="1:17" x14ac:dyDescent="0.3">
      <c r="A615" s="2" t="s">
        <v>2422</v>
      </c>
      <c r="B615" s="14">
        <v>45772</v>
      </c>
      <c r="C615" s="2">
        <f>YEAR(Sales_Details2[[#This Row],[Order_Date]])</f>
        <v>2025</v>
      </c>
      <c r="D615" s="2" t="s">
        <v>1303</v>
      </c>
      <c r="E615" s="2" t="str">
        <f>VLOOKUP(Sales_Details2[[#This Row],[Customer_ID]],Customer_Details[#All],4,0)</f>
        <v>Mid-Adult</v>
      </c>
      <c r="F615" s="2" t="str">
        <f>VLOOKUP(Sales_Details2[[#This Row],[Customer_ID]],Customer_Details[#All],5,0)</f>
        <v>Male</v>
      </c>
      <c r="G615" s="2" t="str">
        <f>VLOOKUP(Sales_Details2[[#This Row],[Customer_ID]],Customer_Details[#All],9,0)</f>
        <v>Bronze</v>
      </c>
      <c r="H615" s="2" t="s">
        <v>1681</v>
      </c>
      <c r="I615" s="2" t="str">
        <f>VLOOKUP(Sales_Details2[[#This Row],[Product_ID]],Product_details[[#All],[Product_ID]:[Cost]],3,0)</f>
        <v>Clothing</v>
      </c>
      <c r="J615" s="2" t="str">
        <f>VLOOKUP(Sales_Details2[[#This Row],[Product_ID]],Product_details[[#All],[Product_ID]:[Cost]],4,0)</f>
        <v>Footwear</v>
      </c>
      <c r="K615" s="2" t="s">
        <v>1772</v>
      </c>
      <c r="L615" s="2" t="str">
        <f>_xlfn.XLOOKUP(Sales_Details2[[#This Row],[Store_ID]],Table2[Store_ID],Table2[Region],"Region not found")</f>
        <v>East</v>
      </c>
      <c r="M615" s="25">
        <v>4</v>
      </c>
      <c r="N615" s="36">
        <v>659.03</v>
      </c>
      <c r="O615" s="29">
        <v>0.15</v>
      </c>
      <c r="P615" s="2" t="s">
        <v>1807</v>
      </c>
      <c r="Q615" s="36">
        <v>2240.7020000000002</v>
      </c>
    </row>
    <row r="616" spans="1:17" x14ac:dyDescent="0.3">
      <c r="A616" s="2" t="s">
        <v>2423</v>
      </c>
      <c r="B616" s="14">
        <v>45338</v>
      </c>
      <c r="C616" s="2">
        <f>YEAR(Sales_Details2[[#This Row],[Order_Date]])</f>
        <v>2024</v>
      </c>
      <c r="D616" s="2" t="s">
        <v>1493</v>
      </c>
      <c r="E616" s="2" t="str">
        <f>VLOOKUP(Sales_Details2[[#This Row],[Customer_ID]],Customer_Details[#All],4,0)</f>
        <v>Senior</v>
      </c>
      <c r="F616" s="2" t="str">
        <f>VLOOKUP(Sales_Details2[[#This Row],[Customer_ID]],Customer_Details[#All],5,0)</f>
        <v>Female</v>
      </c>
      <c r="G616" s="2" t="str">
        <f>VLOOKUP(Sales_Details2[[#This Row],[Customer_ID]],Customer_Details[#All],9,0)</f>
        <v>Gold</v>
      </c>
      <c r="H616" s="2" t="s">
        <v>1548</v>
      </c>
      <c r="I616" s="2" t="str">
        <f>VLOOKUP(Sales_Details2[[#This Row],[Product_ID]],Product_details[[#All],[Product_ID]:[Cost]],3,0)</f>
        <v>Sports</v>
      </c>
      <c r="J616" s="2" t="str">
        <f>VLOOKUP(Sales_Details2[[#This Row],[Product_ID]],Product_details[[#All],[Product_ID]:[Cost]],4,0)</f>
        <v>Fitness</v>
      </c>
      <c r="K616" s="2" t="s">
        <v>1744</v>
      </c>
      <c r="L616" s="2" t="str">
        <f>_xlfn.XLOOKUP(Sales_Details2[[#This Row],[Store_ID]],Table2[Store_ID],Table2[Region],"Region not found")</f>
        <v>South</v>
      </c>
      <c r="M616" s="25">
        <v>1</v>
      </c>
      <c r="N616" s="36">
        <v>312.91000000000003</v>
      </c>
      <c r="O616" s="29">
        <v>0.12</v>
      </c>
      <c r="P616" s="2" t="s">
        <v>1809</v>
      </c>
      <c r="Q616" s="36">
        <v>275.36079999999998</v>
      </c>
    </row>
    <row r="617" spans="1:17" x14ac:dyDescent="0.3">
      <c r="A617" s="2" t="s">
        <v>2424</v>
      </c>
      <c r="B617" s="14">
        <v>45524</v>
      </c>
      <c r="C617" s="2">
        <f>YEAR(Sales_Details2[[#This Row],[Order_Date]])</f>
        <v>2024</v>
      </c>
      <c r="D617" s="2" t="s">
        <v>729</v>
      </c>
      <c r="E617" s="2" t="str">
        <f>VLOOKUP(Sales_Details2[[#This Row],[Customer_ID]],Customer_Details[#All],4,0)</f>
        <v>Senior</v>
      </c>
      <c r="F617" s="2" t="str">
        <f>VLOOKUP(Sales_Details2[[#This Row],[Customer_ID]],Customer_Details[#All],5,0)</f>
        <v>Female</v>
      </c>
      <c r="G617" s="2" t="str">
        <f>VLOOKUP(Sales_Details2[[#This Row],[Customer_ID]],Customer_Details[#All],9,0)</f>
        <v>Gold</v>
      </c>
      <c r="H617" s="2" t="s">
        <v>1555</v>
      </c>
      <c r="I617" s="2" t="str">
        <f>VLOOKUP(Sales_Details2[[#This Row],[Product_ID]],Product_details[[#All],[Product_ID]:[Cost]],3,0)</f>
        <v>Beauty</v>
      </c>
      <c r="J617" s="2" t="str">
        <f>VLOOKUP(Sales_Details2[[#This Row],[Product_ID]],Product_details[[#All],[Product_ID]:[Cost]],4,0)</f>
        <v>Haircare</v>
      </c>
      <c r="K617" s="2" t="s">
        <v>1793</v>
      </c>
      <c r="L617" s="2" t="str">
        <f>_xlfn.XLOOKUP(Sales_Details2[[#This Row],[Store_ID]],Table2[Store_ID],Table2[Region],"Region not found")</f>
        <v>East</v>
      </c>
      <c r="M617" s="25">
        <v>4</v>
      </c>
      <c r="N617" s="36">
        <v>705.64</v>
      </c>
      <c r="O617" s="29">
        <v>0.11</v>
      </c>
      <c r="P617" s="2" t="s">
        <v>1809</v>
      </c>
      <c r="Q617" s="36">
        <v>2512.0783999999999</v>
      </c>
    </row>
    <row r="618" spans="1:17" x14ac:dyDescent="0.3">
      <c r="A618" s="2" t="s">
        <v>2425</v>
      </c>
      <c r="B618" s="14">
        <v>45497</v>
      </c>
      <c r="C618" s="2">
        <f>YEAR(Sales_Details2[[#This Row],[Order_Date]])</f>
        <v>2024</v>
      </c>
      <c r="D618" s="2" t="s">
        <v>482</v>
      </c>
      <c r="E618" s="2" t="str">
        <f>VLOOKUP(Sales_Details2[[#This Row],[Customer_ID]],Customer_Details[#All],4,0)</f>
        <v>Senior</v>
      </c>
      <c r="F618" s="2" t="str">
        <f>VLOOKUP(Sales_Details2[[#This Row],[Customer_ID]],Customer_Details[#All],5,0)</f>
        <v>Female</v>
      </c>
      <c r="G618" s="2" t="str">
        <f>VLOOKUP(Sales_Details2[[#This Row],[Customer_ID]],Customer_Details[#All],9,0)</f>
        <v>Bronze</v>
      </c>
      <c r="H618" s="2" t="s">
        <v>1548</v>
      </c>
      <c r="I618" s="2" t="str">
        <f>VLOOKUP(Sales_Details2[[#This Row],[Product_ID]],Product_details[[#All],[Product_ID]:[Cost]],3,0)</f>
        <v>Sports</v>
      </c>
      <c r="J618" s="2" t="str">
        <f>VLOOKUP(Sales_Details2[[#This Row],[Product_ID]],Product_details[[#All],[Product_ID]:[Cost]],4,0)</f>
        <v>Fitness</v>
      </c>
      <c r="K618" s="2" t="s">
        <v>1772</v>
      </c>
      <c r="L618" s="2" t="str">
        <f>_xlfn.XLOOKUP(Sales_Details2[[#This Row],[Store_ID]],Table2[Store_ID],Table2[Region],"Region not found")</f>
        <v>East</v>
      </c>
      <c r="M618" s="25">
        <v>4</v>
      </c>
      <c r="N618" s="36">
        <v>386.41</v>
      </c>
      <c r="O618" s="29">
        <v>0.13</v>
      </c>
      <c r="P618" s="2" t="s">
        <v>1812</v>
      </c>
      <c r="Q618" s="36">
        <v>1344.7067999999999</v>
      </c>
    </row>
    <row r="619" spans="1:17" x14ac:dyDescent="0.3">
      <c r="A619" s="2" t="s">
        <v>2426</v>
      </c>
      <c r="B619" s="14">
        <v>45534</v>
      </c>
      <c r="C619" s="2">
        <f>YEAR(Sales_Details2[[#This Row],[Order_Date]])</f>
        <v>2024</v>
      </c>
      <c r="D619" s="2" t="s">
        <v>121</v>
      </c>
      <c r="E619" s="2" t="str">
        <f>VLOOKUP(Sales_Details2[[#This Row],[Customer_ID]],Customer_Details[#All],4,0)</f>
        <v>Senior</v>
      </c>
      <c r="F619" s="2" t="str">
        <f>VLOOKUP(Sales_Details2[[#This Row],[Customer_ID]],Customer_Details[#All],5,0)</f>
        <v>Female</v>
      </c>
      <c r="G619" s="2" t="str">
        <f>VLOOKUP(Sales_Details2[[#This Row],[Customer_ID]],Customer_Details[#All],9,0)</f>
        <v>Silver</v>
      </c>
      <c r="H619" s="2" t="s">
        <v>1719</v>
      </c>
      <c r="I619" s="2" t="str">
        <f>VLOOKUP(Sales_Details2[[#This Row],[Product_ID]],Product_details[[#All],[Product_ID]:[Cost]],3,0)</f>
        <v>Beauty</v>
      </c>
      <c r="J619" s="2" t="str">
        <f>VLOOKUP(Sales_Details2[[#This Row],[Product_ID]],Product_details[[#All],[Product_ID]:[Cost]],4,0)</f>
        <v>Skincare</v>
      </c>
      <c r="K619" s="2" t="s">
        <v>1775</v>
      </c>
      <c r="L619" s="2" t="str">
        <f>_xlfn.XLOOKUP(Sales_Details2[[#This Row],[Store_ID]],Table2[Store_ID],Table2[Region],"Region not found")</f>
        <v>South</v>
      </c>
      <c r="M619" s="25">
        <v>3</v>
      </c>
      <c r="N619" s="36">
        <v>265.89</v>
      </c>
      <c r="O619" s="29">
        <v>0.08</v>
      </c>
      <c r="P619" s="2" t="s">
        <v>1812</v>
      </c>
      <c r="Q619" s="36">
        <v>733.85640000000001</v>
      </c>
    </row>
    <row r="620" spans="1:17" x14ac:dyDescent="0.3">
      <c r="A620" s="2" t="s">
        <v>2427</v>
      </c>
      <c r="B620" s="14">
        <v>45925</v>
      </c>
      <c r="C620" s="2">
        <f>YEAR(Sales_Details2[[#This Row],[Order_Date]])</f>
        <v>2025</v>
      </c>
      <c r="D620" s="2" t="s">
        <v>272</v>
      </c>
      <c r="E620" s="2" t="str">
        <f>VLOOKUP(Sales_Details2[[#This Row],[Customer_ID]],Customer_Details[#All],4,0)</f>
        <v>Senior</v>
      </c>
      <c r="F620" s="2" t="str">
        <f>VLOOKUP(Sales_Details2[[#This Row],[Customer_ID]],Customer_Details[#All],5,0)</f>
        <v>Female</v>
      </c>
      <c r="G620" s="2" t="str">
        <f>VLOOKUP(Sales_Details2[[#This Row],[Customer_ID]],Customer_Details[#All],9,0)</f>
        <v>Gold</v>
      </c>
      <c r="H620" s="2" t="s">
        <v>1591</v>
      </c>
      <c r="I620" s="2" t="str">
        <f>VLOOKUP(Sales_Details2[[#This Row],[Product_ID]],Product_details[[#All],[Product_ID]:[Cost]],3,0)</f>
        <v>Home</v>
      </c>
      <c r="J620" s="2" t="str">
        <f>VLOOKUP(Sales_Details2[[#This Row],[Product_ID]],Product_details[[#All],[Product_ID]:[Cost]],4,0)</f>
        <v>Kitchen</v>
      </c>
      <c r="K620" s="2" t="s">
        <v>1787</v>
      </c>
      <c r="L620" s="2" t="str">
        <f>_xlfn.XLOOKUP(Sales_Details2[[#This Row],[Store_ID]],Table2[Store_ID],Table2[Region],"Region not found")</f>
        <v>West</v>
      </c>
      <c r="M620" s="25">
        <v>1</v>
      </c>
      <c r="N620" s="36">
        <v>703.16</v>
      </c>
      <c r="O620" s="29">
        <v>0.28999999999999998</v>
      </c>
      <c r="P620" s="2" t="s">
        <v>1807</v>
      </c>
      <c r="Q620" s="36">
        <v>499.24360000000001</v>
      </c>
    </row>
    <row r="621" spans="1:17" x14ac:dyDescent="0.3">
      <c r="A621" s="2" t="s">
        <v>2428</v>
      </c>
      <c r="B621" s="14">
        <v>45765</v>
      </c>
      <c r="C621" s="2">
        <f>YEAR(Sales_Details2[[#This Row],[Order_Date]])</f>
        <v>2025</v>
      </c>
      <c r="D621" s="2" t="s">
        <v>1436</v>
      </c>
      <c r="E621" s="2" t="str">
        <f>VLOOKUP(Sales_Details2[[#This Row],[Customer_ID]],Customer_Details[#All],4,0)</f>
        <v>Mid-Adult</v>
      </c>
      <c r="F621" s="2" t="str">
        <f>VLOOKUP(Sales_Details2[[#This Row],[Customer_ID]],Customer_Details[#All],5,0)</f>
        <v>Male</v>
      </c>
      <c r="G621" s="2" t="str">
        <f>VLOOKUP(Sales_Details2[[#This Row],[Customer_ID]],Customer_Details[#All],9,0)</f>
        <v>Platinum</v>
      </c>
      <c r="H621" s="2" t="s">
        <v>1725</v>
      </c>
      <c r="I621" s="2" t="str">
        <f>VLOOKUP(Sales_Details2[[#This Row],[Product_ID]],Product_details[[#All],[Product_ID]:[Cost]],3,0)</f>
        <v>Sports</v>
      </c>
      <c r="J621" s="2" t="str">
        <f>VLOOKUP(Sales_Details2[[#This Row],[Product_ID]],Product_details[[#All],[Product_ID]:[Cost]],4,0)</f>
        <v>Team Sports</v>
      </c>
      <c r="K621" s="2" t="s">
        <v>1780</v>
      </c>
      <c r="L621" s="2" t="str">
        <f>_xlfn.XLOOKUP(Sales_Details2[[#This Row],[Store_ID]],Table2[Store_ID],Table2[Region],"Region not found")</f>
        <v>East</v>
      </c>
      <c r="M621" s="25">
        <v>2</v>
      </c>
      <c r="N621" s="36">
        <v>394.5</v>
      </c>
      <c r="O621" s="29">
        <v>0.28999999999999998</v>
      </c>
      <c r="P621" s="2" t="s">
        <v>1812</v>
      </c>
      <c r="Q621" s="36">
        <v>560.18999999999994</v>
      </c>
    </row>
    <row r="622" spans="1:17" x14ac:dyDescent="0.3">
      <c r="A622" s="2" t="s">
        <v>2429</v>
      </c>
      <c r="B622" s="14">
        <v>45882</v>
      </c>
      <c r="C622" s="2">
        <f>YEAR(Sales_Details2[[#This Row],[Order_Date]])</f>
        <v>2025</v>
      </c>
      <c r="D622" s="2" t="s">
        <v>403</v>
      </c>
      <c r="E622" s="2" t="str">
        <f>VLOOKUP(Sales_Details2[[#This Row],[Customer_ID]],Customer_Details[#All],4,0)</f>
        <v>Adult</v>
      </c>
      <c r="F622" s="2" t="str">
        <f>VLOOKUP(Sales_Details2[[#This Row],[Customer_ID]],Customer_Details[#All],5,0)</f>
        <v>Female</v>
      </c>
      <c r="G622" s="2" t="str">
        <f>VLOOKUP(Sales_Details2[[#This Row],[Customer_ID]],Customer_Details[#All],9,0)</f>
        <v>Platinum</v>
      </c>
      <c r="H622" s="2" t="s">
        <v>1725</v>
      </c>
      <c r="I622" s="2" t="str">
        <f>VLOOKUP(Sales_Details2[[#This Row],[Product_ID]],Product_details[[#All],[Product_ID]:[Cost]],3,0)</f>
        <v>Sports</v>
      </c>
      <c r="J622" s="2" t="str">
        <f>VLOOKUP(Sales_Details2[[#This Row],[Product_ID]],Product_details[[#All],[Product_ID]:[Cost]],4,0)</f>
        <v>Team Sports</v>
      </c>
      <c r="K622" s="2" t="s">
        <v>1762</v>
      </c>
      <c r="L622" s="2" t="str">
        <f>_xlfn.XLOOKUP(Sales_Details2[[#This Row],[Store_ID]],Table2[Store_ID],Table2[Region],"Region not found")</f>
        <v>South</v>
      </c>
      <c r="M622" s="25">
        <v>3</v>
      </c>
      <c r="N622" s="36">
        <v>411.25</v>
      </c>
      <c r="O622" s="29">
        <v>0.05</v>
      </c>
      <c r="P622" s="2" t="s">
        <v>1807</v>
      </c>
      <c r="Q622" s="36">
        <v>1172.0625</v>
      </c>
    </row>
    <row r="623" spans="1:17" x14ac:dyDescent="0.3">
      <c r="A623" s="2" t="s">
        <v>2430</v>
      </c>
      <c r="B623" s="14">
        <v>45923</v>
      </c>
      <c r="C623" s="2">
        <f>YEAR(Sales_Details2[[#This Row],[Order_Date]])</f>
        <v>2025</v>
      </c>
      <c r="D623" s="2" t="s">
        <v>1095</v>
      </c>
      <c r="E623" s="2" t="str">
        <f>VLOOKUP(Sales_Details2[[#This Row],[Customer_ID]],Customer_Details[#All],4,0)</f>
        <v>Senior</v>
      </c>
      <c r="F623" s="2" t="str">
        <f>VLOOKUP(Sales_Details2[[#This Row],[Customer_ID]],Customer_Details[#All],5,0)</f>
        <v>Female</v>
      </c>
      <c r="G623" s="2" t="str">
        <f>VLOOKUP(Sales_Details2[[#This Row],[Customer_ID]],Customer_Details[#All],9,0)</f>
        <v>Platinum</v>
      </c>
      <c r="H623" s="2" t="s">
        <v>1627</v>
      </c>
      <c r="I623" s="2" t="str">
        <f>VLOOKUP(Sales_Details2[[#This Row],[Product_ID]],Product_details[[#All],[Product_ID]:[Cost]],3,0)</f>
        <v>Electronics</v>
      </c>
      <c r="J623" s="2" t="str">
        <f>VLOOKUP(Sales_Details2[[#This Row],[Product_ID]],Product_details[[#All],[Product_ID]:[Cost]],4,0)</f>
        <v>Accessories</v>
      </c>
      <c r="K623" s="2" t="s">
        <v>1744</v>
      </c>
      <c r="L623" s="2" t="str">
        <f>_xlfn.XLOOKUP(Sales_Details2[[#This Row],[Store_ID]],Table2[Store_ID],Table2[Region],"Region not found")</f>
        <v>South</v>
      </c>
      <c r="M623" s="25">
        <v>4</v>
      </c>
      <c r="N623" s="36">
        <v>395.45</v>
      </c>
      <c r="O623" s="29">
        <v>0.01</v>
      </c>
      <c r="P623" s="2" t="s">
        <v>1807</v>
      </c>
      <c r="Q623" s="36">
        <v>1565.982</v>
      </c>
    </row>
    <row r="624" spans="1:17" x14ac:dyDescent="0.3">
      <c r="A624" s="2" t="s">
        <v>2431</v>
      </c>
      <c r="B624" s="14">
        <v>45421</v>
      </c>
      <c r="C624" s="2">
        <f>YEAR(Sales_Details2[[#This Row],[Order_Date]])</f>
        <v>2024</v>
      </c>
      <c r="D624" s="2" t="s">
        <v>143</v>
      </c>
      <c r="E624" s="2" t="str">
        <f>VLOOKUP(Sales_Details2[[#This Row],[Customer_ID]],Customer_Details[#All],4,0)</f>
        <v>Adult</v>
      </c>
      <c r="F624" s="2" t="str">
        <f>VLOOKUP(Sales_Details2[[#This Row],[Customer_ID]],Customer_Details[#All],5,0)</f>
        <v>Female</v>
      </c>
      <c r="G624" s="2" t="str">
        <f>VLOOKUP(Sales_Details2[[#This Row],[Customer_ID]],Customer_Details[#All],9,0)</f>
        <v>Gold</v>
      </c>
      <c r="H624" s="2" t="s">
        <v>1711</v>
      </c>
      <c r="I624" s="2" t="str">
        <f>VLOOKUP(Sales_Details2[[#This Row],[Product_ID]],Product_details[[#All],[Product_ID]:[Cost]],3,0)</f>
        <v>Electronics</v>
      </c>
      <c r="J624" s="2" t="str">
        <f>VLOOKUP(Sales_Details2[[#This Row],[Product_ID]],Product_details[[#All],[Product_ID]:[Cost]],4,0)</f>
        <v>Accessories</v>
      </c>
      <c r="K624" s="2" t="s">
        <v>1756</v>
      </c>
      <c r="L624" s="2" t="str">
        <f>_xlfn.XLOOKUP(Sales_Details2[[#This Row],[Store_ID]],Table2[Store_ID],Table2[Region],"Region not found")</f>
        <v>North</v>
      </c>
      <c r="M624" s="25">
        <v>2</v>
      </c>
      <c r="N624" s="36">
        <v>678.98</v>
      </c>
      <c r="O624" s="29">
        <v>0.23</v>
      </c>
      <c r="P624" s="2" t="s">
        <v>1807</v>
      </c>
      <c r="Q624" s="36">
        <v>1045.6292000000001</v>
      </c>
    </row>
    <row r="625" spans="1:17" x14ac:dyDescent="0.3">
      <c r="A625" s="2" t="s">
        <v>2432</v>
      </c>
      <c r="B625" s="14">
        <v>45608</v>
      </c>
      <c r="C625" s="2">
        <f>YEAR(Sales_Details2[[#This Row],[Order_Date]])</f>
        <v>2024</v>
      </c>
      <c r="D625" s="2" t="s">
        <v>261</v>
      </c>
      <c r="E625" s="2" t="str">
        <f>VLOOKUP(Sales_Details2[[#This Row],[Customer_ID]],Customer_Details[#All],4,0)</f>
        <v>Mid-Adult</v>
      </c>
      <c r="F625" s="2" t="str">
        <f>VLOOKUP(Sales_Details2[[#This Row],[Customer_ID]],Customer_Details[#All],5,0)</f>
        <v>Female</v>
      </c>
      <c r="G625" s="2" t="str">
        <f>VLOOKUP(Sales_Details2[[#This Row],[Customer_ID]],Customer_Details[#All],9,0)</f>
        <v>Gold</v>
      </c>
      <c r="H625" s="2" t="s">
        <v>1585</v>
      </c>
      <c r="I625" s="2" t="str">
        <f>VLOOKUP(Sales_Details2[[#This Row],[Product_ID]],Product_details[[#All],[Product_ID]:[Cost]],3,0)</f>
        <v>Home</v>
      </c>
      <c r="J625" s="2" t="str">
        <f>VLOOKUP(Sales_Details2[[#This Row],[Product_ID]],Product_details[[#All],[Product_ID]:[Cost]],4,0)</f>
        <v>Decor</v>
      </c>
      <c r="K625" s="2" t="s">
        <v>1782</v>
      </c>
      <c r="L625" s="2" t="str">
        <f>_xlfn.XLOOKUP(Sales_Details2[[#This Row],[Store_ID]],Table2[Store_ID],Table2[Region],"Region not found")</f>
        <v>South</v>
      </c>
      <c r="M625" s="25">
        <v>4</v>
      </c>
      <c r="N625" s="36">
        <v>757.71</v>
      </c>
      <c r="O625" s="29">
        <v>0.26</v>
      </c>
      <c r="P625" s="2" t="s">
        <v>1812</v>
      </c>
      <c r="Q625" s="36">
        <v>2242.8216000000002</v>
      </c>
    </row>
    <row r="626" spans="1:17" x14ac:dyDescent="0.3">
      <c r="A626" s="2" t="s">
        <v>2433</v>
      </c>
      <c r="B626" s="14">
        <v>45644</v>
      </c>
      <c r="C626" s="2">
        <f>YEAR(Sales_Details2[[#This Row],[Order_Date]])</f>
        <v>2024</v>
      </c>
      <c r="D626" s="2" t="s">
        <v>218</v>
      </c>
      <c r="E626" s="2" t="str">
        <f>VLOOKUP(Sales_Details2[[#This Row],[Customer_ID]],Customer_Details[#All],4,0)</f>
        <v>Senior</v>
      </c>
      <c r="F626" s="2" t="str">
        <f>VLOOKUP(Sales_Details2[[#This Row],[Customer_ID]],Customer_Details[#All],5,0)</f>
        <v>Male</v>
      </c>
      <c r="G626" s="2" t="str">
        <f>VLOOKUP(Sales_Details2[[#This Row],[Customer_ID]],Customer_Details[#All],9,0)</f>
        <v>Platinum</v>
      </c>
      <c r="H626" s="2" t="s">
        <v>1719</v>
      </c>
      <c r="I626" s="2" t="str">
        <f>VLOOKUP(Sales_Details2[[#This Row],[Product_ID]],Product_details[[#All],[Product_ID]:[Cost]],3,0)</f>
        <v>Beauty</v>
      </c>
      <c r="J626" s="2" t="str">
        <f>VLOOKUP(Sales_Details2[[#This Row],[Product_ID]],Product_details[[#All],[Product_ID]:[Cost]],4,0)</f>
        <v>Skincare</v>
      </c>
      <c r="K626" s="2" t="s">
        <v>1752</v>
      </c>
      <c r="L626" s="2" t="str">
        <f>_xlfn.XLOOKUP(Sales_Details2[[#This Row],[Store_ID]],Table2[Store_ID],Table2[Region],"Region not found")</f>
        <v>South</v>
      </c>
      <c r="M626" s="25">
        <v>1</v>
      </c>
      <c r="N626" s="36">
        <v>647.86</v>
      </c>
      <c r="O626" s="29">
        <v>0.05</v>
      </c>
      <c r="P626" s="2" t="s">
        <v>1812</v>
      </c>
      <c r="Q626" s="36">
        <v>615.46699999999998</v>
      </c>
    </row>
    <row r="627" spans="1:17" x14ac:dyDescent="0.3">
      <c r="A627" s="2" t="s">
        <v>2434</v>
      </c>
      <c r="B627" s="14">
        <v>45517</v>
      </c>
      <c r="C627" s="2">
        <f>YEAR(Sales_Details2[[#This Row],[Order_Date]])</f>
        <v>2024</v>
      </c>
      <c r="D627" s="2" t="s">
        <v>456</v>
      </c>
      <c r="E627" s="2" t="str">
        <f>VLOOKUP(Sales_Details2[[#This Row],[Customer_ID]],Customer_Details[#All],4,0)</f>
        <v>Mid-Adult</v>
      </c>
      <c r="F627" s="2" t="str">
        <f>VLOOKUP(Sales_Details2[[#This Row],[Customer_ID]],Customer_Details[#All],5,0)</f>
        <v>Female</v>
      </c>
      <c r="G627" s="2" t="str">
        <f>VLOOKUP(Sales_Details2[[#This Row],[Customer_ID]],Customer_Details[#All],9,0)</f>
        <v>Platinum</v>
      </c>
      <c r="H627" s="2" t="s">
        <v>1555</v>
      </c>
      <c r="I627" s="2" t="str">
        <f>VLOOKUP(Sales_Details2[[#This Row],[Product_ID]],Product_details[[#All],[Product_ID]:[Cost]],3,0)</f>
        <v>Beauty</v>
      </c>
      <c r="J627" s="2" t="str">
        <f>VLOOKUP(Sales_Details2[[#This Row],[Product_ID]],Product_details[[#All],[Product_ID]:[Cost]],4,0)</f>
        <v>Haircare</v>
      </c>
      <c r="K627" s="2" t="s">
        <v>1759</v>
      </c>
      <c r="L627" s="2" t="str">
        <f>_xlfn.XLOOKUP(Sales_Details2[[#This Row],[Store_ID]],Table2[Store_ID],Table2[Region],"Region not found")</f>
        <v>East</v>
      </c>
      <c r="M627" s="25">
        <v>2</v>
      </c>
      <c r="N627" s="36">
        <v>179.64</v>
      </c>
      <c r="O627" s="29">
        <v>0.1</v>
      </c>
      <c r="P627" s="2" t="s">
        <v>1809</v>
      </c>
      <c r="Q627" s="36">
        <v>323.35199999999998</v>
      </c>
    </row>
    <row r="628" spans="1:17" x14ac:dyDescent="0.3">
      <c r="A628" s="2" t="s">
        <v>2435</v>
      </c>
      <c r="B628" s="14">
        <v>45545</v>
      </c>
      <c r="C628" s="2">
        <f>YEAR(Sales_Details2[[#This Row],[Order_Date]])</f>
        <v>2024</v>
      </c>
      <c r="D628" s="2" t="s">
        <v>1222</v>
      </c>
      <c r="E628" s="2" t="str">
        <f>VLOOKUP(Sales_Details2[[#This Row],[Customer_ID]],Customer_Details[#All],4,0)</f>
        <v>Adult</v>
      </c>
      <c r="F628" s="2" t="str">
        <f>VLOOKUP(Sales_Details2[[#This Row],[Customer_ID]],Customer_Details[#All],5,0)</f>
        <v>Female</v>
      </c>
      <c r="G628" s="2" t="str">
        <f>VLOOKUP(Sales_Details2[[#This Row],[Customer_ID]],Customer_Details[#All],9,0)</f>
        <v>Silver</v>
      </c>
      <c r="H628" s="2" t="s">
        <v>1655</v>
      </c>
      <c r="I628" s="2" t="str">
        <f>VLOOKUP(Sales_Details2[[#This Row],[Product_ID]],Product_details[[#All],[Product_ID]:[Cost]],3,0)</f>
        <v>Electronics</v>
      </c>
      <c r="J628" s="2" t="str">
        <f>VLOOKUP(Sales_Details2[[#This Row],[Product_ID]],Product_details[[#All],[Product_ID]:[Cost]],4,0)</f>
        <v>Computer</v>
      </c>
      <c r="K628" s="2" t="s">
        <v>1752</v>
      </c>
      <c r="L628" s="2" t="str">
        <f>_xlfn.XLOOKUP(Sales_Details2[[#This Row],[Store_ID]],Table2[Store_ID],Table2[Region],"Region not found")</f>
        <v>South</v>
      </c>
      <c r="M628" s="25">
        <v>3</v>
      </c>
      <c r="N628" s="36">
        <v>392.65</v>
      </c>
      <c r="O628" s="29">
        <v>0.17</v>
      </c>
      <c r="P628" s="2" t="s">
        <v>1809</v>
      </c>
      <c r="Q628" s="36">
        <v>977.69849999999985</v>
      </c>
    </row>
    <row r="629" spans="1:17" x14ac:dyDescent="0.3">
      <c r="A629" s="2" t="s">
        <v>2436</v>
      </c>
      <c r="B629" s="14">
        <v>45547</v>
      </c>
      <c r="C629" s="2">
        <f>YEAR(Sales_Details2[[#This Row],[Order_Date]])</f>
        <v>2024</v>
      </c>
      <c r="D629" s="2" t="s">
        <v>576</v>
      </c>
      <c r="E629" s="2" t="str">
        <f>VLOOKUP(Sales_Details2[[#This Row],[Customer_ID]],Customer_Details[#All],4,0)</f>
        <v>Mid-Adult</v>
      </c>
      <c r="F629" s="2" t="str">
        <f>VLOOKUP(Sales_Details2[[#This Row],[Customer_ID]],Customer_Details[#All],5,0)</f>
        <v>Male</v>
      </c>
      <c r="G629" s="2" t="str">
        <f>VLOOKUP(Sales_Details2[[#This Row],[Customer_ID]],Customer_Details[#All],9,0)</f>
        <v>Silver</v>
      </c>
      <c r="H629" s="2" t="s">
        <v>1713</v>
      </c>
      <c r="I629" s="2" t="str">
        <f>VLOOKUP(Sales_Details2[[#This Row],[Product_ID]],Product_details[[#All],[Product_ID]:[Cost]],3,0)</f>
        <v>Clothing</v>
      </c>
      <c r="J629" s="2" t="str">
        <f>VLOOKUP(Sales_Details2[[#This Row],[Product_ID]],Product_details[[#All],[Product_ID]:[Cost]],4,0)</f>
        <v>Footwear</v>
      </c>
      <c r="K629" s="2" t="s">
        <v>1787</v>
      </c>
      <c r="L629" s="2" t="str">
        <f>_xlfn.XLOOKUP(Sales_Details2[[#This Row],[Store_ID]],Table2[Store_ID],Table2[Region],"Region not found")</f>
        <v>West</v>
      </c>
      <c r="M629" s="25">
        <v>4</v>
      </c>
      <c r="N629" s="36">
        <v>969.55</v>
      </c>
      <c r="O629" s="29">
        <v>0.09</v>
      </c>
      <c r="P629" s="2" t="s">
        <v>1812</v>
      </c>
      <c r="Q629" s="36">
        <v>3529.1619999999998</v>
      </c>
    </row>
    <row r="630" spans="1:17" x14ac:dyDescent="0.3">
      <c r="A630" s="2" t="s">
        <v>2437</v>
      </c>
      <c r="B630" s="14">
        <v>45433</v>
      </c>
      <c r="C630" s="2">
        <f>YEAR(Sales_Details2[[#This Row],[Order_Date]])</f>
        <v>2024</v>
      </c>
      <c r="D630" s="2" t="s">
        <v>1409</v>
      </c>
      <c r="E630" s="2" t="str">
        <f>VLOOKUP(Sales_Details2[[#This Row],[Customer_ID]],Customer_Details[#All],4,0)</f>
        <v>Mid-Adult</v>
      </c>
      <c r="F630" s="2" t="str">
        <f>VLOOKUP(Sales_Details2[[#This Row],[Customer_ID]],Customer_Details[#All],5,0)</f>
        <v>Female</v>
      </c>
      <c r="G630" s="2" t="str">
        <f>VLOOKUP(Sales_Details2[[#This Row],[Customer_ID]],Customer_Details[#All],9,0)</f>
        <v>Silver</v>
      </c>
      <c r="H630" s="2" t="s">
        <v>1679</v>
      </c>
      <c r="I630" s="2" t="str">
        <f>VLOOKUP(Sales_Details2[[#This Row],[Product_ID]],Product_details[[#All],[Product_ID]:[Cost]],3,0)</f>
        <v>Electronics</v>
      </c>
      <c r="J630" s="2" t="str">
        <f>VLOOKUP(Sales_Details2[[#This Row],[Product_ID]],Product_details[[#All],[Product_ID]:[Cost]],4,0)</f>
        <v>Audio</v>
      </c>
      <c r="K630" s="2" t="s">
        <v>1777</v>
      </c>
      <c r="L630" s="2" t="str">
        <f>_xlfn.XLOOKUP(Sales_Details2[[#This Row],[Store_ID]],Table2[Store_ID],Table2[Region],"Region not found")</f>
        <v>North</v>
      </c>
      <c r="M630" s="25">
        <v>3</v>
      </c>
      <c r="N630" s="36">
        <v>322.94</v>
      </c>
      <c r="O630" s="29">
        <v>0.01</v>
      </c>
      <c r="P630" s="2" t="s">
        <v>1807</v>
      </c>
      <c r="Q630" s="36">
        <v>959.13179999999988</v>
      </c>
    </row>
    <row r="631" spans="1:17" x14ac:dyDescent="0.3">
      <c r="A631" s="2" t="s">
        <v>2438</v>
      </c>
      <c r="B631" s="14">
        <v>45792</v>
      </c>
      <c r="C631" s="2">
        <f>YEAR(Sales_Details2[[#This Row],[Order_Date]])</f>
        <v>2025</v>
      </c>
      <c r="D631" s="2" t="s">
        <v>1121</v>
      </c>
      <c r="E631" s="2" t="str">
        <f>VLOOKUP(Sales_Details2[[#This Row],[Customer_ID]],Customer_Details[#All],4,0)</f>
        <v>Senior</v>
      </c>
      <c r="F631" s="2" t="str">
        <f>VLOOKUP(Sales_Details2[[#This Row],[Customer_ID]],Customer_Details[#All],5,0)</f>
        <v>Male</v>
      </c>
      <c r="G631" s="2" t="str">
        <f>VLOOKUP(Sales_Details2[[#This Row],[Customer_ID]],Customer_Details[#All],9,0)</f>
        <v>Gold</v>
      </c>
      <c r="H631" s="2" t="s">
        <v>1697</v>
      </c>
      <c r="I631" s="2" t="str">
        <f>VLOOKUP(Sales_Details2[[#This Row],[Product_ID]],Product_details[[#All],[Product_ID]:[Cost]],3,0)</f>
        <v>Beauty</v>
      </c>
      <c r="J631" s="2" t="str">
        <f>VLOOKUP(Sales_Details2[[#This Row],[Product_ID]],Product_details[[#All],[Product_ID]:[Cost]],4,0)</f>
        <v>Skincare</v>
      </c>
      <c r="K631" s="2" t="s">
        <v>1735</v>
      </c>
      <c r="L631" s="2" t="str">
        <f>_xlfn.XLOOKUP(Sales_Details2[[#This Row],[Store_ID]],Table2[Store_ID],Table2[Region],"Region not found")</f>
        <v>East</v>
      </c>
      <c r="M631" s="25">
        <v>1</v>
      </c>
      <c r="N631" s="36">
        <v>92.83</v>
      </c>
      <c r="O631" s="29">
        <v>0.26</v>
      </c>
      <c r="P631" s="2" t="s">
        <v>1809</v>
      </c>
      <c r="Q631" s="36">
        <v>68.694199999999995</v>
      </c>
    </row>
    <row r="632" spans="1:17" x14ac:dyDescent="0.3">
      <c r="A632" s="2" t="s">
        <v>2439</v>
      </c>
      <c r="B632" s="14">
        <v>45804</v>
      </c>
      <c r="C632" s="2">
        <f>YEAR(Sales_Details2[[#This Row],[Order_Date]])</f>
        <v>2025</v>
      </c>
      <c r="D632" s="2" t="s">
        <v>1290</v>
      </c>
      <c r="E632" s="2" t="str">
        <f>VLOOKUP(Sales_Details2[[#This Row],[Customer_ID]],Customer_Details[#All],4,0)</f>
        <v>Senior</v>
      </c>
      <c r="F632" s="2" t="str">
        <f>VLOOKUP(Sales_Details2[[#This Row],[Customer_ID]],Customer_Details[#All],5,0)</f>
        <v>Male</v>
      </c>
      <c r="G632" s="2" t="str">
        <f>VLOOKUP(Sales_Details2[[#This Row],[Customer_ID]],Customer_Details[#All],9,0)</f>
        <v>Bronze</v>
      </c>
      <c r="H632" s="2" t="s">
        <v>1545</v>
      </c>
      <c r="I632" s="2" t="str">
        <f>VLOOKUP(Sales_Details2[[#This Row],[Product_ID]],Product_details[[#All],[Product_ID]:[Cost]],3,0)</f>
        <v>Electronics</v>
      </c>
      <c r="J632" s="2" t="str">
        <f>VLOOKUP(Sales_Details2[[#This Row],[Product_ID]],Product_details[[#All],[Product_ID]:[Cost]],4,0)</f>
        <v>Audio</v>
      </c>
      <c r="K632" s="2" t="s">
        <v>1749</v>
      </c>
      <c r="L632" s="2" t="str">
        <f>_xlfn.XLOOKUP(Sales_Details2[[#This Row],[Store_ID]],Table2[Store_ID],Table2[Region],"Region not found")</f>
        <v>North</v>
      </c>
      <c r="M632" s="25">
        <v>4</v>
      </c>
      <c r="N632" s="36">
        <v>432.29</v>
      </c>
      <c r="O632" s="29">
        <v>0.16</v>
      </c>
      <c r="P632" s="2" t="s">
        <v>1812</v>
      </c>
      <c r="Q632" s="36">
        <v>1452.4944</v>
      </c>
    </row>
    <row r="633" spans="1:17" x14ac:dyDescent="0.3">
      <c r="A633" s="2" t="s">
        <v>2440</v>
      </c>
      <c r="B633" s="14">
        <v>45311</v>
      </c>
      <c r="C633" s="2">
        <f>YEAR(Sales_Details2[[#This Row],[Order_Date]])</f>
        <v>2024</v>
      </c>
      <c r="D633" s="2" t="s">
        <v>289</v>
      </c>
      <c r="E633" s="2" t="str">
        <f>VLOOKUP(Sales_Details2[[#This Row],[Customer_ID]],Customer_Details[#All],4,0)</f>
        <v>Senior</v>
      </c>
      <c r="F633" s="2" t="str">
        <f>VLOOKUP(Sales_Details2[[#This Row],[Customer_ID]],Customer_Details[#All],5,0)</f>
        <v>Female</v>
      </c>
      <c r="G633" s="2" t="str">
        <f>VLOOKUP(Sales_Details2[[#This Row],[Customer_ID]],Customer_Details[#All],9,0)</f>
        <v>Bronze</v>
      </c>
      <c r="H633" s="2" t="s">
        <v>1609</v>
      </c>
      <c r="I633" s="2" t="str">
        <f>VLOOKUP(Sales_Details2[[#This Row],[Product_ID]],Product_details[[#All],[Product_ID]:[Cost]],3,0)</f>
        <v>Electronics</v>
      </c>
      <c r="J633" s="2" t="str">
        <f>VLOOKUP(Sales_Details2[[#This Row],[Product_ID]],Product_details[[#All],[Product_ID]:[Cost]],4,0)</f>
        <v>Mobile</v>
      </c>
      <c r="K633" s="2" t="s">
        <v>1780</v>
      </c>
      <c r="L633" s="2" t="str">
        <f>_xlfn.XLOOKUP(Sales_Details2[[#This Row],[Store_ID]],Table2[Store_ID],Table2[Region],"Region not found")</f>
        <v>East</v>
      </c>
      <c r="M633" s="25">
        <v>2</v>
      </c>
      <c r="N633" s="36">
        <v>925.78</v>
      </c>
      <c r="O633" s="29">
        <v>0.14000000000000001</v>
      </c>
      <c r="P633" s="2" t="s">
        <v>1812</v>
      </c>
      <c r="Q633" s="36">
        <v>1592.3416</v>
      </c>
    </row>
    <row r="634" spans="1:17" x14ac:dyDescent="0.3">
      <c r="A634" s="2" t="s">
        <v>2441</v>
      </c>
      <c r="B634" s="14">
        <v>45605</v>
      </c>
      <c r="C634" s="2">
        <f>YEAR(Sales_Details2[[#This Row],[Order_Date]])</f>
        <v>2024</v>
      </c>
      <c r="D634" s="2" t="s">
        <v>1453</v>
      </c>
      <c r="E634" s="2" t="str">
        <f>VLOOKUP(Sales_Details2[[#This Row],[Customer_ID]],Customer_Details[#All],4,0)</f>
        <v>Mid-Adult</v>
      </c>
      <c r="F634" s="2" t="str">
        <f>VLOOKUP(Sales_Details2[[#This Row],[Customer_ID]],Customer_Details[#All],5,0)</f>
        <v>Female</v>
      </c>
      <c r="G634" s="2" t="str">
        <f>VLOOKUP(Sales_Details2[[#This Row],[Customer_ID]],Customer_Details[#All],9,0)</f>
        <v>Platinum</v>
      </c>
      <c r="H634" s="2" t="s">
        <v>1581</v>
      </c>
      <c r="I634" s="2" t="str">
        <f>VLOOKUP(Sales_Details2[[#This Row],[Product_ID]],Product_details[[#All],[Product_ID]:[Cost]],3,0)</f>
        <v>Clothing</v>
      </c>
      <c r="J634" s="2" t="str">
        <f>VLOOKUP(Sales_Details2[[#This Row],[Product_ID]],Product_details[[#All],[Product_ID]:[Cost]],4,0)</f>
        <v>Accessories</v>
      </c>
      <c r="K634" s="2" t="s">
        <v>1775</v>
      </c>
      <c r="L634" s="2" t="str">
        <f>_xlfn.XLOOKUP(Sales_Details2[[#This Row],[Store_ID]],Table2[Store_ID],Table2[Region],"Region not found")</f>
        <v>South</v>
      </c>
      <c r="M634" s="25">
        <v>2</v>
      </c>
      <c r="N634" s="36">
        <v>151.47</v>
      </c>
      <c r="O634" s="29">
        <v>0.21</v>
      </c>
      <c r="P634" s="2" t="s">
        <v>1809</v>
      </c>
      <c r="Q634" s="36">
        <v>239.32259999999999</v>
      </c>
    </row>
    <row r="635" spans="1:17" x14ac:dyDescent="0.3">
      <c r="A635" s="2" t="s">
        <v>2442</v>
      </c>
      <c r="B635" s="14">
        <v>45338</v>
      </c>
      <c r="C635" s="2">
        <f>YEAR(Sales_Details2[[#This Row],[Order_Date]])</f>
        <v>2024</v>
      </c>
      <c r="D635" s="2" t="s">
        <v>1373</v>
      </c>
      <c r="E635" s="2" t="str">
        <f>VLOOKUP(Sales_Details2[[#This Row],[Customer_ID]],Customer_Details[#All],4,0)</f>
        <v>Adult</v>
      </c>
      <c r="F635" s="2" t="str">
        <f>VLOOKUP(Sales_Details2[[#This Row],[Customer_ID]],Customer_Details[#All],5,0)</f>
        <v>Male</v>
      </c>
      <c r="G635" s="2" t="str">
        <f>VLOOKUP(Sales_Details2[[#This Row],[Customer_ID]],Customer_Details[#All],9,0)</f>
        <v>Bronze</v>
      </c>
      <c r="H635" s="2" t="s">
        <v>1697</v>
      </c>
      <c r="I635" s="2" t="str">
        <f>VLOOKUP(Sales_Details2[[#This Row],[Product_ID]],Product_details[[#All],[Product_ID]:[Cost]],3,0)</f>
        <v>Beauty</v>
      </c>
      <c r="J635" s="2" t="str">
        <f>VLOOKUP(Sales_Details2[[#This Row],[Product_ID]],Product_details[[#All],[Product_ID]:[Cost]],4,0)</f>
        <v>Skincare</v>
      </c>
      <c r="K635" s="2" t="s">
        <v>1772</v>
      </c>
      <c r="L635" s="2" t="str">
        <f>_xlfn.XLOOKUP(Sales_Details2[[#This Row],[Store_ID]],Table2[Store_ID],Table2[Region],"Region not found")</f>
        <v>East</v>
      </c>
      <c r="M635" s="25">
        <v>1</v>
      </c>
      <c r="N635" s="36">
        <v>343.05</v>
      </c>
      <c r="O635" s="29">
        <v>0.28000000000000003</v>
      </c>
      <c r="P635" s="2" t="s">
        <v>1809</v>
      </c>
      <c r="Q635" s="36">
        <v>246.99600000000001</v>
      </c>
    </row>
    <row r="636" spans="1:17" x14ac:dyDescent="0.3">
      <c r="A636" s="2" t="s">
        <v>2443</v>
      </c>
      <c r="B636" s="14">
        <v>45642</v>
      </c>
      <c r="C636" s="2">
        <f>YEAR(Sales_Details2[[#This Row],[Order_Date]])</f>
        <v>2024</v>
      </c>
      <c r="D636" s="2" t="s">
        <v>241</v>
      </c>
      <c r="E636" s="2" t="str">
        <f>VLOOKUP(Sales_Details2[[#This Row],[Customer_ID]],Customer_Details[#All],4,0)</f>
        <v>Adult</v>
      </c>
      <c r="F636" s="2" t="str">
        <f>VLOOKUP(Sales_Details2[[#This Row],[Customer_ID]],Customer_Details[#All],5,0)</f>
        <v>Female</v>
      </c>
      <c r="G636" s="2" t="str">
        <f>VLOOKUP(Sales_Details2[[#This Row],[Customer_ID]],Customer_Details[#All],9,0)</f>
        <v>Silver</v>
      </c>
      <c r="H636" s="2" t="s">
        <v>1565</v>
      </c>
      <c r="I636" s="2" t="str">
        <f>VLOOKUP(Sales_Details2[[#This Row],[Product_ID]],Product_details[[#All],[Product_ID]:[Cost]],3,0)</f>
        <v>Sports</v>
      </c>
      <c r="J636" s="2" t="str">
        <f>VLOOKUP(Sales_Details2[[#This Row],[Product_ID]],Product_details[[#All],[Product_ID]:[Cost]],4,0)</f>
        <v>Accessories</v>
      </c>
      <c r="K636" s="2" t="s">
        <v>1752</v>
      </c>
      <c r="L636" s="2" t="str">
        <f>_xlfn.XLOOKUP(Sales_Details2[[#This Row],[Store_ID]],Table2[Store_ID],Table2[Region],"Region not found")</f>
        <v>South</v>
      </c>
      <c r="M636" s="25">
        <v>1</v>
      </c>
      <c r="N636" s="36">
        <v>373.06</v>
      </c>
      <c r="O636" s="29">
        <v>0.11</v>
      </c>
      <c r="P636" s="2" t="s">
        <v>1809</v>
      </c>
      <c r="Q636" s="36">
        <v>332.02339999999998</v>
      </c>
    </row>
    <row r="637" spans="1:17" x14ac:dyDescent="0.3">
      <c r="A637" s="2" t="s">
        <v>2444</v>
      </c>
      <c r="B637" s="14">
        <v>45693</v>
      </c>
      <c r="C637" s="2">
        <f>YEAR(Sales_Details2[[#This Row],[Order_Date]])</f>
        <v>2025</v>
      </c>
      <c r="D637" s="2" t="s">
        <v>1264</v>
      </c>
      <c r="E637" s="2" t="str">
        <f>VLOOKUP(Sales_Details2[[#This Row],[Customer_ID]],Customer_Details[#All],4,0)</f>
        <v>Senior</v>
      </c>
      <c r="F637" s="2" t="str">
        <f>VLOOKUP(Sales_Details2[[#This Row],[Customer_ID]],Customer_Details[#All],5,0)</f>
        <v>Male</v>
      </c>
      <c r="G637" s="2" t="str">
        <f>VLOOKUP(Sales_Details2[[#This Row],[Customer_ID]],Customer_Details[#All],9,0)</f>
        <v>Silver</v>
      </c>
      <c r="H637" s="2" t="s">
        <v>1567</v>
      </c>
      <c r="I637" s="2" t="str">
        <f>VLOOKUP(Sales_Details2[[#This Row],[Product_ID]],Product_details[[#All],[Product_ID]:[Cost]],3,0)</f>
        <v>Clothing</v>
      </c>
      <c r="J637" s="2" t="str">
        <f>VLOOKUP(Sales_Details2[[#This Row],[Product_ID]],Product_details[[#All],[Product_ID]:[Cost]],4,0)</f>
        <v>Bottoms</v>
      </c>
      <c r="K637" s="2" t="s">
        <v>1784</v>
      </c>
      <c r="L637" s="2" t="str">
        <f>_xlfn.XLOOKUP(Sales_Details2[[#This Row],[Store_ID]],Table2[Store_ID],Table2[Region],"Region not found")</f>
        <v>North</v>
      </c>
      <c r="M637" s="25">
        <v>1</v>
      </c>
      <c r="N637" s="36">
        <v>124.98</v>
      </c>
      <c r="O637" s="29">
        <v>7.0000000000000007E-2</v>
      </c>
      <c r="P637" s="2" t="s">
        <v>1812</v>
      </c>
      <c r="Q637" s="36">
        <v>116.23139999999999</v>
      </c>
    </row>
    <row r="638" spans="1:17" x14ac:dyDescent="0.3">
      <c r="A638" s="2" t="s">
        <v>2445</v>
      </c>
      <c r="B638" s="14">
        <v>45763</v>
      </c>
      <c r="C638" s="2">
        <f>YEAR(Sales_Details2[[#This Row],[Order_Date]])</f>
        <v>2025</v>
      </c>
      <c r="D638" s="2" t="s">
        <v>858</v>
      </c>
      <c r="E638" s="2" t="str">
        <f>VLOOKUP(Sales_Details2[[#This Row],[Customer_ID]],Customer_Details[#All],4,0)</f>
        <v>Mid-Adult</v>
      </c>
      <c r="F638" s="2" t="str">
        <f>VLOOKUP(Sales_Details2[[#This Row],[Customer_ID]],Customer_Details[#All],5,0)</f>
        <v>Female</v>
      </c>
      <c r="G638" s="2" t="str">
        <f>VLOOKUP(Sales_Details2[[#This Row],[Customer_ID]],Customer_Details[#All],9,0)</f>
        <v>Gold</v>
      </c>
      <c r="H638" s="2" t="s">
        <v>1677</v>
      </c>
      <c r="I638" s="2" t="str">
        <f>VLOOKUP(Sales_Details2[[#This Row],[Product_ID]],Product_details[[#All],[Product_ID]:[Cost]],3,0)</f>
        <v>Sports</v>
      </c>
      <c r="J638" s="2" t="str">
        <f>VLOOKUP(Sales_Details2[[#This Row],[Product_ID]],Product_details[[#All],[Product_ID]:[Cost]],4,0)</f>
        <v>Team Sports</v>
      </c>
      <c r="K638" s="2" t="s">
        <v>1796</v>
      </c>
      <c r="L638" s="2" t="str">
        <f>_xlfn.XLOOKUP(Sales_Details2[[#This Row],[Store_ID]],Table2[Store_ID],Table2[Region],"Region not found")</f>
        <v>East</v>
      </c>
      <c r="M638" s="25">
        <v>4</v>
      </c>
      <c r="N638" s="36">
        <v>221.49</v>
      </c>
      <c r="O638" s="29">
        <v>0.26</v>
      </c>
      <c r="P638" s="2" t="s">
        <v>1809</v>
      </c>
      <c r="Q638" s="36">
        <v>655.61040000000003</v>
      </c>
    </row>
    <row r="639" spans="1:17" x14ac:dyDescent="0.3">
      <c r="A639" s="2" t="s">
        <v>2446</v>
      </c>
      <c r="B639" s="14">
        <v>45572</v>
      </c>
      <c r="C639" s="2">
        <f>YEAR(Sales_Details2[[#This Row],[Order_Date]])</f>
        <v>2024</v>
      </c>
      <c r="D639" s="2" t="s">
        <v>560</v>
      </c>
      <c r="E639" s="2" t="str">
        <f>VLOOKUP(Sales_Details2[[#This Row],[Customer_ID]],Customer_Details[#All],4,0)</f>
        <v>Adult</v>
      </c>
      <c r="F639" s="2" t="str">
        <f>VLOOKUP(Sales_Details2[[#This Row],[Customer_ID]],Customer_Details[#All],5,0)</f>
        <v>Male</v>
      </c>
      <c r="G639" s="2" t="str">
        <f>VLOOKUP(Sales_Details2[[#This Row],[Customer_ID]],Customer_Details[#All],9,0)</f>
        <v>Gold</v>
      </c>
      <c r="H639" s="2" t="s">
        <v>1577</v>
      </c>
      <c r="I639" s="2" t="str">
        <f>VLOOKUP(Sales_Details2[[#This Row],[Product_ID]],Product_details[[#All],[Product_ID]:[Cost]],3,0)</f>
        <v>Clothing</v>
      </c>
      <c r="J639" s="2" t="str">
        <f>VLOOKUP(Sales_Details2[[#This Row],[Product_ID]],Product_details[[#All],[Product_ID]:[Cost]],4,0)</f>
        <v>Tops</v>
      </c>
      <c r="K639" s="2" t="s">
        <v>1784</v>
      </c>
      <c r="L639" s="2" t="str">
        <f>_xlfn.XLOOKUP(Sales_Details2[[#This Row],[Store_ID]],Table2[Store_ID],Table2[Region],"Region not found")</f>
        <v>North</v>
      </c>
      <c r="M639" s="25">
        <v>1</v>
      </c>
      <c r="N639" s="36">
        <v>563.32000000000005</v>
      </c>
      <c r="O639" s="29">
        <v>0.01</v>
      </c>
      <c r="P639" s="2" t="s">
        <v>1809</v>
      </c>
      <c r="Q639" s="36">
        <v>557.68680000000006</v>
      </c>
    </row>
    <row r="640" spans="1:17" x14ac:dyDescent="0.3">
      <c r="A640" s="2" t="s">
        <v>2447</v>
      </c>
      <c r="B640" s="14">
        <v>45338</v>
      </c>
      <c r="C640" s="2">
        <f>YEAR(Sales_Details2[[#This Row],[Order_Date]])</f>
        <v>2024</v>
      </c>
      <c r="D640" s="2" t="s">
        <v>1204</v>
      </c>
      <c r="E640" s="2" t="str">
        <f>VLOOKUP(Sales_Details2[[#This Row],[Customer_ID]],Customer_Details[#All],4,0)</f>
        <v>Senior</v>
      </c>
      <c r="F640" s="2" t="str">
        <f>VLOOKUP(Sales_Details2[[#This Row],[Customer_ID]],Customer_Details[#All],5,0)</f>
        <v>Male</v>
      </c>
      <c r="G640" s="2" t="str">
        <f>VLOOKUP(Sales_Details2[[#This Row],[Customer_ID]],Customer_Details[#All],9,0)</f>
        <v>Silver</v>
      </c>
      <c r="H640" s="2" t="s">
        <v>1553</v>
      </c>
      <c r="I640" s="2" t="str">
        <f>VLOOKUP(Sales_Details2[[#This Row],[Product_ID]],Product_details[[#All],[Product_ID]:[Cost]],3,0)</f>
        <v>Electronics</v>
      </c>
      <c r="J640" s="2" t="str">
        <f>VLOOKUP(Sales_Details2[[#This Row],[Product_ID]],Product_details[[#All],[Product_ID]:[Cost]],4,0)</f>
        <v>Accessories</v>
      </c>
      <c r="K640" s="2" t="s">
        <v>1735</v>
      </c>
      <c r="L640" s="2" t="str">
        <f>_xlfn.XLOOKUP(Sales_Details2[[#This Row],[Store_ID]],Table2[Store_ID],Table2[Region],"Region not found")</f>
        <v>East</v>
      </c>
      <c r="M640" s="25">
        <v>1</v>
      </c>
      <c r="N640" s="36">
        <v>362.93</v>
      </c>
      <c r="O640" s="29">
        <v>0.27</v>
      </c>
      <c r="P640" s="2" t="s">
        <v>1807</v>
      </c>
      <c r="Q640" s="36">
        <v>264.93889999999999</v>
      </c>
    </row>
    <row r="641" spans="1:17" x14ac:dyDescent="0.3">
      <c r="A641" s="2" t="s">
        <v>2448</v>
      </c>
      <c r="B641" s="14">
        <v>45373</v>
      </c>
      <c r="C641" s="2">
        <f>YEAR(Sales_Details2[[#This Row],[Order_Date]])</f>
        <v>2024</v>
      </c>
      <c r="D641" s="2" t="s">
        <v>1045</v>
      </c>
      <c r="E641" s="2" t="str">
        <f>VLOOKUP(Sales_Details2[[#This Row],[Customer_ID]],Customer_Details[#All],4,0)</f>
        <v>Senior</v>
      </c>
      <c r="F641" s="2" t="str">
        <f>VLOOKUP(Sales_Details2[[#This Row],[Customer_ID]],Customer_Details[#All],5,0)</f>
        <v>Female</v>
      </c>
      <c r="G641" s="2" t="str">
        <f>VLOOKUP(Sales_Details2[[#This Row],[Customer_ID]],Customer_Details[#All],9,0)</f>
        <v>Silver</v>
      </c>
      <c r="H641" s="2" t="s">
        <v>1553</v>
      </c>
      <c r="I641" s="2" t="str">
        <f>VLOOKUP(Sales_Details2[[#This Row],[Product_ID]],Product_details[[#All],[Product_ID]:[Cost]],3,0)</f>
        <v>Electronics</v>
      </c>
      <c r="J641" s="2" t="str">
        <f>VLOOKUP(Sales_Details2[[#This Row],[Product_ID]],Product_details[[#All],[Product_ID]:[Cost]],4,0)</f>
        <v>Accessories</v>
      </c>
      <c r="K641" s="2" t="s">
        <v>1784</v>
      </c>
      <c r="L641" s="2" t="str">
        <f>_xlfn.XLOOKUP(Sales_Details2[[#This Row],[Store_ID]],Table2[Store_ID],Table2[Region],"Region not found")</f>
        <v>North</v>
      </c>
      <c r="M641" s="25">
        <v>4</v>
      </c>
      <c r="N641" s="36">
        <v>369.22</v>
      </c>
      <c r="O641" s="29">
        <v>0.18</v>
      </c>
      <c r="P641" s="2" t="s">
        <v>1812</v>
      </c>
      <c r="Q641" s="36">
        <v>1211.0416</v>
      </c>
    </row>
    <row r="642" spans="1:17" x14ac:dyDescent="0.3">
      <c r="A642" s="2" t="s">
        <v>2449</v>
      </c>
      <c r="B642" s="14">
        <v>45590</v>
      </c>
      <c r="C642" s="2">
        <f>YEAR(Sales_Details2[[#This Row],[Order_Date]])</f>
        <v>2024</v>
      </c>
      <c r="D642" s="2" t="s">
        <v>1261</v>
      </c>
      <c r="E642" s="2" t="str">
        <f>VLOOKUP(Sales_Details2[[#This Row],[Customer_ID]],Customer_Details[#All],4,0)</f>
        <v>Mid-Adult</v>
      </c>
      <c r="F642" s="2" t="str">
        <f>VLOOKUP(Sales_Details2[[#This Row],[Customer_ID]],Customer_Details[#All],5,0)</f>
        <v>Female</v>
      </c>
      <c r="G642" s="2" t="str">
        <f>VLOOKUP(Sales_Details2[[#This Row],[Customer_ID]],Customer_Details[#All],9,0)</f>
        <v>Bronze</v>
      </c>
      <c r="H642" s="2" t="s">
        <v>1723</v>
      </c>
      <c r="I642" s="2" t="str">
        <f>VLOOKUP(Sales_Details2[[#This Row],[Product_ID]],Product_details[[#All],[Product_ID]:[Cost]],3,0)</f>
        <v>Clothing</v>
      </c>
      <c r="J642" s="2" t="str">
        <f>VLOOKUP(Sales_Details2[[#This Row],[Product_ID]],Product_details[[#All],[Product_ID]:[Cost]],4,0)</f>
        <v>Outerwear</v>
      </c>
      <c r="K642" s="2" t="s">
        <v>1782</v>
      </c>
      <c r="L642" s="2" t="str">
        <f>_xlfn.XLOOKUP(Sales_Details2[[#This Row],[Store_ID]],Table2[Store_ID],Table2[Region],"Region not found")</f>
        <v>South</v>
      </c>
      <c r="M642" s="25">
        <v>3</v>
      </c>
      <c r="N642" s="36">
        <v>950.83</v>
      </c>
      <c r="O642" s="29">
        <v>0.06</v>
      </c>
      <c r="P642" s="2" t="s">
        <v>1809</v>
      </c>
      <c r="Q642" s="36">
        <v>2681.3406</v>
      </c>
    </row>
    <row r="643" spans="1:17" x14ac:dyDescent="0.3">
      <c r="A643" s="2" t="s">
        <v>2450</v>
      </c>
      <c r="B643" s="14">
        <v>45365</v>
      </c>
      <c r="C643" s="2">
        <f>YEAR(Sales_Details2[[#This Row],[Order_Date]])</f>
        <v>2024</v>
      </c>
      <c r="D643" s="2" t="s">
        <v>479</v>
      </c>
      <c r="E643" s="2" t="str">
        <f>VLOOKUP(Sales_Details2[[#This Row],[Customer_ID]],Customer_Details[#All],4,0)</f>
        <v>Mid-Adult</v>
      </c>
      <c r="F643" s="2" t="str">
        <f>VLOOKUP(Sales_Details2[[#This Row],[Customer_ID]],Customer_Details[#All],5,0)</f>
        <v>Male</v>
      </c>
      <c r="G643" s="2" t="str">
        <f>VLOOKUP(Sales_Details2[[#This Row],[Customer_ID]],Customer_Details[#All],9,0)</f>
        <v>Bronze</v>
      </c>
      <c r="H643" s="2" t="s">
        <v>1605</v>
      </c>
      <c r="I643" s="2" t="str">
        <f>VLOOKUP(Sales_Details2[[#This Row],[Product_ID]],Product_details[[#All],[Product_ID]:[Cost]],3,0)</f>
        <v>Clothing</v>
      </c>
      <c r="J643" s="2" t="str">
        <f>VLOOKUP(Sales_Details2[[#This Row],[Product_ID]],Product_details[[#All],[Product_ID]:[Cost]],4,0)</f>
        <v>Footwear</v>
      </c>
      <c r="K643" s="2" t="s">
        <v>1780</v>
      </c>
      <c r="L643" s="2" t="str">
        <f>_xlfn.XLOOKUP(Sales_Details2[[#This Row],[Store_ID]],Table2[Store_ID],Table2[Region],"Region not found")</f>
        <v>East</v>
      </c>
      <c r="M643" s="25">
        <v>3</v>
      </c>
      <c r="N643" s="36">
        <v>338.79</v>
      </c>
      <c r="O643" s="29">
        <v>0.01</v>
      </c>
      <c r="P643" s="2" t="s">
        <v>1807</v>
      </c>
      <c r="Q643" s="36">
        <v>1006.2063000000001</v>
      </c>
    </row>
    <row r="644" spans="1:17" x14ac:dyDescent="0.3">
      <c r="A644" s="2" t="s">
        <v>2451</v>
      </c>
      <c r="B644" s="14">
        <v>45711</v>
      </c>
      <c r="C644" s="2">
        <f>YEAR(Sales_Details2[[#This Row],[Order_Date]])</f>
        <v>2025</v>
      </c>
      <c r="D644" s="2" t="s">
        <v>488</v>
      </c>
      <c r="E644" s="2" t="str">
        <f>VLOOKUP(Sales_Details2[[#This Row],[Customer_ID]],Customer_Details[#All],4,0)</f>
        <v>Mid-Adult</v>
      </c>
      <c r="F644" s="2" t="str">
        <f>VLOOKUP(Sales_Details2[[#This Row],[Customer_ID]],Customer_Details[#All],5,0)</f>
        <v>Female</v>
      </c>
      <c r="G644" s="2" t="str">
        <f>VLOOKUP(Sales_Details2[[#This Row],[Customer_ID]],Customer_Details[#All],9,0)</f>
        <v>Gold</v>
      </c>
      <c r="H644" s="2" t="s">
        <v>1711</v>
      </c>
      <c r="I644" s="2" t="str">
        <f>VLOOKUP(Sales_Details2[[#This Row],[Product_ID]],Product_details[[#All],[Product_ID]:[Cost]],3,0)</f>
        <v>Electronics</v>
      </c>
      <c r="J644" s="2" t="str">
        <f>VLOOKUP(Sales_Details2[[#This Row],[Product_ID]],Product_details[[#All],[Product_ID]:[Cost]],4,0)</f>
        <v>Accessories</v>
      </c>
      <c r="K644" s="2" t="s">
        <v>1740</v>
      </c>
      <c r="L644" s="2" t="str">
        <f>_xlfn.XLOOKUP(Sales_Details2[[#This Row],[Store_ID]],Table2[Store_ID],Table2[Region],"Region not found")</f>
        <v>North</v>
      </c>
      <c r="M644" s="25">
        <v>3</v>
      </c>
      <c r="N644" s="36">
        <v>853.32</v>
      </c>
      <c r="O644" s="29">
        <v>7.0000000000000007E-2</v>
      </c>
      <c r="P644" s="2" t="s">
        <v>1812</v>
      </c>
      <c r="Q644" s="36">
        <v>2380.7628</v>
      </c>
    </row>
    <row r="645" spans="1:17" x14ac:dyDescent="0.3">
      <c r="A645" s="2" t="s">
        <v>2452</v>
      </c>
      <c r="B645" s="14">
        <v>45586</v>
      </c>
      <c r="C645" s="2">
        <f>YEAR(Sales_Details2[[#This Row],[Order_Date]])</f>
        <v>2024</v>
      </c>
      <c r="D645" s="2" t="s">
        <v>497</v>
      </c>
      <c r="E645" s="2" t="str">
        <f>VLOOKUP(Sales_Details2[[#This Row],[Customer_ID]],Customer_Details[#All],4,0)</f>
        <v>Mid-Adult</v>
      </c>
      <c r="F645" s="2" t="str">
        <f>VLOOKUP(Sales_Details2[[#This Row],[Customer_ID]],Customer_Details[#All],5,0)</f>
        <v>Male</v>
      </c>
      <c r="G645" s="2" t="str">
        <f>VLOOKUP(Sales_Details2[[#This Row],[Customer_ID]],Customer_Details[#All],9,0)</f>
        <v>Platinum</v>
      </c>
      <c r="H645" s="2" t="s">
        <v>1683</v>
      </c>
      <c r="I645" s="2" t="str">
        <f>VLOOKUP(Sales_Details2[[#This Row],[Product_ID]],Product_details[[#All],[Product_ID]:[Cost]],3,0)</f>
        <v>Electronics</v>
      </c>
      <c r="J645" s="2" t="str">
        <f>VLOOKUP(Sales_Details2[[#This Row],[Product_ID]],Product_details[[#All],[Product_ID]:[Cost]],4,0)</f>
        <v>Computer</v>
      </c>
      <c r="K645" s="2" t="s">
        <v>1759</v>
      </c>
      <c r="L645" s="2" t="str">
        <f>_xlfn.XLOOKUP(Sales_Details2[[#This Row],[Store_ID]],Table2[Store_ID],Table2[Region],"Region not found")</f>
        <v>East</v>
      </c>
      <c r="M645" s="25">
        <v>3</v>
      </c>
      <c r="N645" s="36">
        <v>89.78</v>
      </c>
      <c r="O645" s="29">
        <v>0.2</v>
      </c>
      <c r="P645" s="2" t="s">
        <v>1812</v>
      </c>
      <c r="Q645" s="36">
        <v>215.47200000000001</v>
      </c>
    </row>
    <row r="646" spans="1:17" x14ac:dyDescent="0.3">
      <c r="A646" s="2" t="s">
        <v>2453</v>
      </c>
      <c r="B646" s="14">
        <v>45334</v>
      </c>
      <c r="C646" s="2">
        <f>YEAR(Sales_Details2[[#This Row],[Order_Date]])</f>
        <v>2024</v>
      </c>
      <c r="D646" s="2" t="s">
        <v>622</v>
      </c>
      <c r="E646" s="2" t="str">
        <f>VLOOKUP(Sales_Details2[[#This Row],[Customer_ID]],Customer_Details[#All],4,0)</f>
        <v>Adult</v>
      </c>
      <c r="F646" s="2" t="str">
        <f>VLOOKUP(Sales_Details2[[#This Row],[Customer_ID]],Customer_Details[#All],5,0)</f>
        <v>Female</v>
      </c>
      <c r="G646" s="2" t="str">
        <f>VLOOKUP(Sales_Details2[[#This Row],[Customer_ID]],Customer_Details[#All],9,0)</f>
        <v>Bronze</v>
      </c>
      <c r="H646" s="2" t="s">
        <v>1641</v>
      </c>
      <c r="I646" s="2" t="str">
        <f>VLOOKUP(Sales_Details2[[#This Row],[Product_ID]],Product_details[[#All],[Product_ID]:[Cost]],3,0)</f>
        <v>Home</v>
      </c>
      <c r="J646" s="2" t="str">
        <f>VLOOKUP(Sales_Details2[[#This Row],[Product_ID]],Product_details[[#All],[Product_ID]:[Cost]],4,0)</f>
        <v>Decor</v>
      </c>
      <c r="K646" s="2" t="s">
        <v>1740</v>
      </c>
      <c r="L646" s="2" t="str">
        <f>_xlfn.XLOOKUP(Sales_Details2[[#This Row],[Store_ID]],Table2[Store_ID],Table2[Region],"Region not found")</f>
        <v>North</v>
      </c>
      <c r="M646" s="25">
        <v>1</v>
      </c>
      <c r="N646" s="36">
        <v>172.04</v>
      </c>
      <c r="O646" s="29">
        <v>0.04</v>
      </c>
      <c r="P646" s="2" t="s">
        <v>1809</v>
      </c>
      <c r="Q646" s="36">
        <v>165.1584</v>
      </c>
    </row>
    <row r="647" spans="1:17" x14ac:dyDescent="0.3">
      <c r="A647" s="2" t="s">
        <v>2454</v>
      </c>
      <c r="B647" s="14">
        <v>45333</v>
      </c>
      <c r="C647" s="2">
        <f>YEAR(Sales_Details2[[#This Row],[Order_Date]])</f>
        <v>2024</v>
      </c>
      <c r="D647" s="2" t="s">
        <v>1424</v>
      </c>
      <c r="E647" s="2" t="str">
        <f>VLOOKUP(Sales_Details2[[#This Row],[Customer_ID]],Customer_Details[#All],4,0)</f>
        <v>Senior</v>
      </c>
      <c r="F647" s="2" t="str">
        <f>VLOOKUP(Sales_Details2[[#This Row],[Customer_ID]],Customer_Details[#All],5,0)</f>
        <v>Female</v>
      </c>
      <c r="G647" s="2" t="str">
        <f>VLOOKUP(Sales_Details2[[#This Row],[Customer_ID]],Customer_Details[#All],9,0)</f>
        <v>Gold</v>
      </c>
      <c r="H647" s="2" t="s">
        <v>1639</v>
      </c>
      <c r="I647" s="2" t="str">
        <f>VLOOKUP(Sales_Details2[[#This Row],[Product_ID]],Product_details[[#All],[Product_ID]:[Cost]],3,0)</f>
        <v>Sports</v>
      </c>
      <c r="J647" s="2" t="str">
        <f>VLOOKUP(Sales_Details2[[#This Row],[Product_ID]],Product_details[[#All],[Product_ID]:[Cost]],4,0)</f>
        <v>Accessories</v>
      </c>
      <c r="K647" s="2" t="s">
        <v>1740</v>
      </c>
      <c r="L647" s="2" t="str">
        <f>_xlfn.XLOOKUP(Sales_Details2[[#This Row],[Store_ID]],Table2[Store_ID],Table2[Region],"Region not found")</f>
        <v>North</v>
      </c>
      <c r="M647" s="25">
        <v>1</v>
      </c>
      <c r="N647" s="36">
        <v>389.2</v>
      </c>
      <c r="O647" s="29">
        <v>0.05</v>
      </c>
      <c r="P647" s="2" t="s">
        <v>1807</v>
      </c>
      <c r="Q647" s="36">
        <v>369.74</v>
      </c>
    </row>
    <row r="648" spans="1:17" x14ac:dyDescent="0.3">
      <c r="A648" s="2" t="s">
        <v>2455</v>
      </c>
      <c r="B648" s="14">
        <v>45778</v>
      </c>
      <c r="C648" s="2">
        <f>YEAR(Sales_Details2[[#This Row],[Order_Date]])</f>
        <v>2025</v>
      </c>
      <c r="D648" s="2" t="s">
        <v>1406</v>
      </c>
      <c r="E648" s="2" t="str">
        <f>VLOOKUP(Sales_Details2[[#This Row],[Customer_ID]],Customer_Details[#All],4,0)</f>
        <v>Senior</v>
      </c>
      <c r="F648" s="2" t="str">
        <f>VLOOKUP(Sales_Details2[[#This Row],[Customer_ID]],Customer_Details[#All],5,0)</f>
        <v>Female</v>
      </c>
      <c r="G648" s="2" t="str">
        <f>VLOOKUP(Sales_Details2[[#This Row],[Customer_ID]],Customer_Details[#All],9,0)</f>
        <v>Silver</v>
      </c>
      <c r="H648" s="2" t="s">
        <v>1685</v>
      </c>
      <c r="I648" s="2" t="str">
        <f>VLOOKUP(Sales_Details2[[#This Row],[Product_ID]],Product_details[[#All],[Product_ID]:[Cost]],3,0)</f>
        <v>Electronics</v>
      </c>
      <c r="J648" s="2" t="str">
        <f>VLOOKUP(Sales_Details2[[#This Row],[Product_ID]],Product_details[[#All],[Product_ID]:[Cost]],4,0)</f>
        <v>Appliances</v>
      </c>
      <c r="K648" s="2" t="s">
        <v>1780</v>
      </c>
      <c r="L648" s="2" t="str">
        <f>_xlfn.XLOOKUP(Sales_Details2[[#This Row],[Store_ID]],Table2[Store_ID],Table2[Region],"Region not found")</f>
        <v>East</v>
      </c>
      <c r="M648" s="25">
        <v>3</v>
      </c>
      <c r="N648" s="36">
        <v>865.96</v>
      </c>
      <c r="O648" s="29">
        <v>0.12</v>
      </c>
      <c r="P648" s="2" t="s">
        <v>1809</v>
      </c>
      <c r="Q648" s="36">
        <v>2286.1343999999999</v>
      </c>
    </row>
    <row r="649" spans="1:17" x14ac:dyDescent="0.3">
      <c r="A649" s="2" t="s">
        <v>2456</v>
      </c>
      <c r="B649" s="14">
        <v>45592</v>
      </c>
      <c r="C649" s="2">
        <f>YEAR(Sales_Details2[[#This Row],[Order_Date]])</f>
        <v>2024</v>
      </c>
      <c r="D649" s="2" t="s">
        <v>557</v>
      </c>
      <c r="E649" s="2" t="str">
        <f>VLOOKUP(Sales_Details2[[#This Row],[Customer_ID]],Customer_Details[#All],4,0)</f>
        <v>Senior</v>
      </c>
      <c r="F649" s="2" t="str">
        <f>VLOOKUP(Sales_Details2[[#This Row],[Customer_ID]],Customer_Details[#All],5,0)</f>
        <v>Male</v>
      </c>
      <c r="G649" s="2" t="str">
        <f>VLOOKUP(Sales_Details2[[#This Row],[Customer_ID]],Customer_Details[#All],9,0)</f>
        <v>Bronze</v>
      </c>
      <c r="H649" s="2" t="s">
        <v>1569</v>
      </c>
      <c r="I649" s="2" t="str">
        <f>VLOOKUP(Sales_Details2[[#This Row],[Product_ID]],Product_details[[#All],[Product_ID]:[Cost]],3,0)</f>
        <v>Sports</v>
      </c>
      <c r="J649" s="2" t="str">
        <f>VLOOKUP(Sales_Details2[[#This Row],[Product_ID]],Product_details[[#All],[Product_ID]:[Cost]],4,0)</f>
        <v>Equipment</v>
      </c>
      <c r="K649" s="2" t="s">
        <v>1740</v>
      </c>
      <c r="L649" s="2" t="str">
        <f>_xlfn.XLOOKUP(Sales_Details2[[#This Row],[Store_ID]],Table2[Store_ID],Table2[Region],"Region not found")</f>
        <v>North</v>
      </c>
      <c r="M649" s="25">
        <v>3</v>
      </c>
      <c r="N649" s="36">
        <v>79.95</v>
      </c>
      <c r="O649" s="29">
        <v>0.2</v>
      </c>
      <c r="P649" s="2" t="s">
        <v>1812</v>
      </c>
      <c r="Q649" s="36">
        <v>191.88</v>
      </c>
    </row>
    <row r="650" spans="1:17" x14ac:dyDescent="0.3">
      <c r="A650" s="2" t="s">
        <v>2457</v>
      </c>
      <c r="B650" s="14">
        <v>45259</v>
      </c>
      <c r="C650" s="2">
        <f>YEAR(Sales_Details2[[#This Row],[Order_Date]])</f>
        <v>2023</v>
      </c>
      <c r="D650" s="2" t="s">
        <v>1177</v>
      </c>
      <c r="E650" s="2" t="str">
        <f>VLOOKUP(Sales_Details2[[#This Row],[Customer_ID]],Customer_Details[#All],4,0)</f>
        <v>Mid-Adult</v>
      </c>
      <c r="F650" s="2" t="str">
        <f>VLOOKUP(Sales_Details2[[#This Row],[Customer_ID]],Customer_Details[#All],5,0)</f>
        <v>Male</v>
      </c>
      <c r="G650" s="2" t="str">
        <f>VLOOKUP(Sales_Details2[[#This Row],[Customer_ID]],Customer_Details[#All],9,0)</f>
        <v>Silver</v>
      </c>
      <c r="H650" s="2" t="s">
        <v>1583</v>
      </c>
      <c r="I650" s="2" t="str">
        <f>VLOOKUP(Sales_Details2[[#This Row],[Product_ID]],Product_details[[#All],[Product_ID]:[Cost]],3,0)</f>
        <v>Electronics</v>
      </c>
      <c r="J650" s="2" t="str">
        <f>VLOOKUP(Sales_Details2[[#This Row],[Product_ID]],Product_details[[#All],[Product_ID]:[Cost]],4,0)</f>
        <v>Audio</v>
      </c>
      <c r="K650" s="2" t="s">
        <v>1762</v>
      </c>
      <c r="L650" s="2" t="str">
        <f>_xlfn.XLOOKUP(Sales_Details2[[#This Row],[Store_ID]],Table2[Store_ID],Table2[Region],"Region not found")</f>
        <v>South</v>
      </c>
      <c r="M650" s="25">
        <v>1</v>
      </c>
      <c r="N650" s="36">
        <v>566.5</v>
      </c>
      <c r="O650" s="29">
        <v>0.25</v>
      </c>
      <c r="P650" s="2" t="s">
        <v>1812</v>
      </c>
      <c r="Q650" s="36">
        <v>424.875</v>
      </c>
    </row>
    <row r="651" spans="1:17" x14ac:dyDescent="0.3">
      <c r="A651" s="2" t="s">
        <v>2458</v>
      </c>
      <c r="B651" s="14">
        <v>45801</v>
      </c>
      <c r="C651" s="2">
        <f>YEAR(Sales_Details2[[#This Row],[Order_Date]])</f>
        <v>2025</v>
      </c>
      <c r="D651" s="2" t="s">
        <v>1238</v>
      </c>
      <c r="E651" s="2" t="str">
        <f>VLOOKUP(Sales_Details2[[#This Row],[Customer_ID]],Customer_Details[#All],4,0)</f>
        <v>Mid-Adult</v>
      </c>
      <c r="F651" s="2" t="str">
        <f>VLOOKUP(Sales_Details2[[#This Row],[Customer_ID]],Customer_Details[#All],5,0)</f>
        <v>Male</v>
      </c>
      <c r="G651" s="2" t="str">
        <f>VLOOKUP(Sales_Details2[[#This Row],[Customer_ID]],Customer_Details[#All],9,0)</f>
        <v>Bronze</v>
      </c>
      <c r="H651" s="2" t="s">
        <v>1573</v>
      </c>
      <c r="I651" s="2" t="str">
        <f>VLOOKUP(Sales_Details2[[#This Row],[Product_ID]],Product_details[[#All],[Product_ID]:[Cost]],3,0)</f>
        <v>Home</v>
      </c>
      <c r="J651" s="2" t="str">
        <f>VLOOKUP(Sales_Details2[[#This Row],[Product_ID]],Product_details[[#All],[Product_ID]:[Cost]],4,0)</f>
        <v>Storage</v>
      </c>
      <c r="K651" s="2" t="s">
        <v>1735</v>
      </c>
      <c r="L651" s="2" t="str">
        <f>_xlfn.XLOOKUP(Sales_Details2[[#This Row],[Store_ID]],Table2[Store_ID],Table2[Region],"Region not found")</f>
        <v>East</v>
      </c>
      <c r="M651" s="25">
        <v>2</v>
      </c>
      <c r="N651" s="36">
        <v>347.95</v>
      </c>
      <c r="O651" s="29">
        <v>0.13</v>
      </c>
      <c r="P651" s="2" t="s">
        <v>1812</v>
      </c>
      <c r="Q651" s="36">
        <v>605.43299999999999</v>
      </c>
    </row>
    <row r="652" spans="1:17" x14ac:dyDescent="0.3">
      <c r="A652" s="2" t="s">
        <v>2459</v>
      </c>
      <c r="B652" s="14">
        <v>45347</v>
      </c>
      <c r="C652" s="2">
        <f>YEAR(Sales_Details2[[#This Row],[Order_Date]])</f>
        <v>2024</v>
      </c>
      <c r="D652" s="2" t="s">
        <v>675</v>
      </c>
      <c r="E652" s="2" t="str">
        <f>VLOOKUP(Sales_Details2[[#This Row],[Customer_ID]],Customer_Details[#All],4,0)</f>
        <v>Mid-Adult</v>
      </c>
      <c r="F652" s="2" t="str">
        <f>VLOOKUP(Sales_Details2[[#This Row],[Customer_ID]],Customer_Details[#All],5,0)</f>
        <v>Female</v>
      </c>
      <c r="G652" s="2" t="str">
        <f>VLOOKUP(Sales_Details2[[#This Row],[Customer_ID]],Customer_Details[#All],9,0)</f>
        <v>Platinum</v>
      </c>
      <c r="H652" s="2" t="s">
        <v>1647</v>
      </c>
      <c r="I652" s="2" t="str">
        <f>VLOOKUP(Sales_Details2[[#This Row],[Product_ID]],Product_details[[#All],[Product_ID]:[Cost]],3,0)</f>
        <v>Clothing</v>
      </c>
      <c r="J652" s="2" t="str">
        <f>VLOOKUP(Sales_Details2[[#This Row],[Product_ID]],Product_details[[#All],[Product_ID]:[Cost]],4,0)</f>
        <v>Accessories</v>
      </c>
      <c r="K652" s="2" t="s">
        <v>1749</v>
      </c>
      <c r="L652" s="2" t="str">
        <f>_xlfn.XLOOKUP(Sales_Details2[[#This Row],[Store_ID]],Table2[Store_ID],Table2[Region],"Region not found")</f>
        <v>North</v>
      </c>
      <c r="M652" s="25">
        <v>2</v>
      </c>
      <c r="N652" s="36">
        <v>250.83</v>
      </c>
      <c r="O652" s="29">
        <v>0.15</v>
      </c>
      <c r="P652" s="2" t="s">
        <v>1809</v>
      </c>
      <c r="Q652" s="36">
        <v>426.411</v>
      </c>
    </row>
    <row r="653" spans="1:17" x14ac:dyDescent="0.3">
      <c r="A653" s="2" t="s">
        <v>2460</v>
      </c>
      <c r="B653" s="14">
        <v>45721</v>
      </c>
      <c r="C653" s="2">
        <f>YEAR(Sales_Details2[[#This Row],[Order_Date]])</f>
        <v>2025</v>
      </c>
      <c r="D653" s="2" t="s">
        <v>497</v>
      </c>
      <c r="E653" s="2" t="str">
        <f>VLOOKUP(Sales_Details2[[#This Row],[Customer_ID]],Customer_Details[#All],4,0)</f>
        <v>Mid-Adult</v>
      </c>
      <c r="F653" s="2" t="str">
        <f>VLOOKUP(Sales_Details2[[#This Row],[Customer_ID]],Customer_Details[#All],5,0)</f>
        <v>Male</v>
      </c>
      <c r="G653" s="2" t="str">
        <f>VLOOKUP(Sales_Details2[[#This Row],[Customer_ID]],Customer_Details[#All],9,0)</f>
        <v>Platinum</v>
      </c>
      <c r="H653" s="2" t="s">
        <v>1673</v>
      </c>
      <c r="I653" s="2" t="str">
        <f>VLOOKUP(Sales_Details2[[#This Row],[Product_ID]],Product_details[[#All],[Product_ID]:[Cost]],3,0)</f>
        <v>Beauty</v>
      </c>
      <c r="J653" s="2" t="str">
        <f>VLOOKUP(Sales_Details2[[#This Row],[Product_ID]],Product_details[[#All],[Product_ID]:[Cost]],4,0)</f>
        <v>Haircare</v>
      </c>
      <c r="K653" s="2" t="s">
        <v>1740</v>
      </c>
      <c r="L653" s="2" t="str">
        <f>_xlfn.XLOOKUP(Sales_Details2[[#This Row],[Store_ID]],Table2[Store_ID],Table2[Region],"Region not found")</f>
        <v>North</v>
      </c>
      <c r="M653" s="25">
        <v>1</v>
      </c>
      <c r="N653" s="36">
        <v>888.05</v>
      </c>
      <c r="O653" s="29">
        <v>0.2</v>
      </c>
      <c r="P653" s="2" t="s">
        <v>1809</v>
      </c>
      <c r="Q653" s="36">
        <v>710.44</v>
      </c>
    </row>
    <row r="654" spans="1:17" x14ac:dyDescent="0.3">
      <c r="A654" s="2" t="s">
        <v>2461</v>
      </c>
      <c r="B654" s="14">
        <v>45531</v>
      </c>
      <c r="C654" s="2">
        <f>YEAR(Sales_Details2[[#This Row],[Order_Date]])</f>
        <v>2024</v>
      </c>
      <c r="D654" s="2" t="s">
        <v>36</v>
      </c>
      <c r="E654" s="2" t="str">
        <f>VLOOKUP(Sales_Details2[[#This Row],[Customer_ID]],Customer_Details[#All],4,0)</f>
        <v>Adult</v>
      </c>
      <c r="F654" s="2" t="str">
        <f>VLOOKUP(Sales_Details2[[#This Row],[Customer_ID]],Customer_Details[#All],5,0)</f>
        <v>Female</v>
      </c>
      <c r="G654" s="2" t="str">
        <f>VLOOKUP(Sales_Details2[[#This Row],[Customer_ID]],Customer_Details[#All],9,0)</f>
        <v>Platinum</v>
      </c>
      <c r="H654" s="2" t="s">
        <v>1609</v>
      </c>
      <c r="I654" s="2" t="str">
        <f>VLOOKUP(Sales_Details2[[#This Row],[Product_ID]],Product_details[[#All],[Product_ID]:[Cost]],3,0)</f>
        <v>Electronics</v>
      </c>
      <c r="J654" s="2" t="str">
        <f>VLOOKUP(Sales_Details2[[#This Row],[Product_ID]],Product_details[[#All],[Product_ID]:[Cost]],4,0)</f>
        <v>Mobile</v>
      </c>
      <c r="K654" s="2" t="s">
        <v>1793</v>
      </c>
      <c r="L654" s="2" t="str">
        <f>_xlfn.XLOOKUP(Sales_Details2[[#This Row],[Store_ID]],Table2[Store_ID],Table2[Region],"Region not found")</f>
        <v>East</v>
      </c>
      <c r="M654" s="25">
        <v>2</v>
      </c>
      <c r="N654" s="36">
        <v>673.02</v>
      </c>
      <c r="O654" s="29">
        <v>0.11</v>
      </c>
      <c r="P654" s="2" t="s">
        <v>1809</v>
      </c>
      <c r="Q654" s="36">
        <v>1197.9756</v>
      </c>
    </row>
    <row r="655" spans="1:17" x14ac:dyDescent="0.3">
      <c r="A655" s="2" t="s">
        <v>2462</v>
      </c>
      <c r="B655" s="14">
        <v>45332</v>
      </c>
      <c r="C655" s="2">
        <f>YEAR(Sales_Details2[[#This Row],[Order_Date]])</f>
        <v>2024</v>
      </c>
      <c r="D655" s="2" t="s">
        <v>1346</v>
      </c>
      <c r="E655" s="2" t="str">
        <f>VLOOKUP(Sales_Details2[[#This Row],[Customer_ID]],Customer_Details[#All],4,0)</f>
        <v>Senior</v>
      </c>
      <c r="F655" s="2" t="str">
        <f>VLOOKUP(Sales_Details2[[#This Row],[Customer_ID]],Customer_Details[#All],5,0)</f>
        <v>Male</v>
      </c>
      <c r="G655" s="2" t="str">
        <f>VLOOKUP(Sales_Details2[[#This Row],[Customer_ID]],Customer_Details[#All],9,0)</f>
        <v>Silver</v>
      </c>
      <c r="H655" s="2" t="s">
        <v>1659</v>
      </c>
      <c r="I655" s="2" t="str">
        <f>VLOOKUP(Sales_Details2[[#This Row],[Product_ID]],Product_details[[#All],[Product_ID]:[Cost]],3,0)</f>
        <v>Beauty</v>
      </c>
      <c r="J655" s="2" t="str">
        <f>VLOOKUP(Sales_Details2[[#This Row],[Product_ID]],Product_details[[#All],[Product_ID]:[Cost]],4,0)</f>
        <v>Makeup</v>
      </c>
      <c r="K655" s="2" t="s">
        <v>1749</v>
      </c>
      <c r="L655" s="2" t="str">
        <f>_xlfn.XLOOKUP(Sales_Details2[[#This Row],[Store_ID]],Table2[Store_ID],Table2[Region],"Region not found")</f>
        <v>North</v>
      </c>
      <c r="M655" s="25">
        <v>2</v>
      </c>
      <c r="N655" s="36">
        <v>492.62</v>
      </c>
      <c r="O655" s="29">
        <v>0.26</v>
      </c>
      <c r="P655" s="2" t="s">
        <v>1812</v>
      </c>
      <c r="Q655" s="36">
        <v>729.07759999999996</v>
      </c>
    </row>
    <row r="656" spans="1:17" x14ac:dyDescent="0.3">
      <c r="A656" s="2" t="s">
        <v>2463</v>
      </c>
      <c r="B656" s="14">
        <v>45344</v>
      </c>
      <c r="C656" s="2">
        <f>YEAR(Sales_Details2[[#This Row],[Order_Date]])</f>
        <v>2024</v>
      </c>
      <c r="D656" s="2" t="s">
        <v>1162</v>
      </c>
      <c r="E656" s="2" t="str">
        <f>VLOOKUP(Sales_Details2[[#This Row],[Customer_ID]],Customer_Details[#All],4,0)</f>
        <v>Adult</v>
      </c>
      <c r="F656" s="2" t="str">
        <f>VLOOKUP(Sales_Details2[[#This Row],[Customer_ID]],Customer_Details[#All],5,0)</f>
        <v>Male</v>
      </c>
      <c r="G656" s="2" t="str">
        <f>VLOOKUP(Sales_Details2[[#This Row],[Customer_ID]],Customer_Details[#All],9,0)</f>
        <v>Bronze</v>
      </c>
      <c r="H656" s="2" t="s">
        <v>1701</v>
      </c>
      <c r="I656" s="2" t="str">
        <f>VLOOKUP(Sales_Details2[[#This Row],[Product_ID]],Product_details[[#All],[Product_ID]:[Cost]],3,0)</f>
        <v>Clothing</v>
      </c>
      <c r="J656" s="2" t="str">
        <f>VLOOKUP(Sales_Details2[[#This Row],[Product_ID]],Product_details[[#All],[Product_ID]:[Cost]],4,0)</f>
        <v>Accessories</v>
      </c>
      <c r="K656" s="2" t="s">
        <v>1749</v>
      </c>
      <c r="L656" s="2" t="str">
        <f>_xlfn.XLOOKUP(Sales_Details2[[#This Row],[Store_ID]],Table2[Store_ID],Table2[Region],"Region not found")</f>
        <v>North</v>
      </c>
      <c r="M656" s="25">
        <v>4</v>
      </c>
      <c r="N656" s="36">
        <v>986.93</v>
      </c>
      <c r="O656" s="29">
        <v>0.01</v>
      </c>
      <c r="P656" s="2" t="s">
        <v>1807</v>
      </c>
      <c r="Q656" s="36">
        <v>3908.2428</v>
      </c>
    </row>
    <row r="657" spans="1:17" x14ac:dyDescent="0.3">
      <c r="A657" s="2" t="s">
        <v>2464</v>
      </c>
      <c r="B657" s="14">
        <v>45388</v>
      </c>
      <c r="C657" s="2">
        <f>YEAR(Sales_Details2[[#This Row],[Order_Date]])</f>
        <v>2024</v>
      </c>
      <c r="D657" s="2" t="s">
        <v>1458</v>
      </c>
      <c r="E657" s="2" t="str">
        <f>VLOOKUP(Sales_Details2[[#This Row],[Customer_ID]],Customer_Details[#All],4,0)</f>
        <v>Mid-Adult</v>
      </c>
      <c r="F657" s="2" t="str">
        <f>VLOOKUP(Sales_Details2[[#This Row],[Customer_ID]],Customer_Details[#All],5,0)</f>
        <v>Male</v>
      </c>
      <c r="G657" s="2" t="str">
        <f>VLOOKUP(Sales_Details2[[#This Row],[Customer_ID]],Customer_Details[#All],9,0)</f>
        <v>Bronze</v>
      </c>
      <c r="H657" s="2" t="s">
        <v>1575</v>
      </c>
      <c r="I657" s="2" t="str">
        <f>VLOOKUP(Sales_Details2[[#This Row],[Product_ID]],Product_details[[#All],[Product_ID]:[Cost]],3,0)</f>
        <v>Sports</v>
      </c>
      <c r="J657" s="2" t="str">
        <f>VLOOKUP(Sales_Details2[[#This Row],[Product_ID]],Product_details[[#All],[Product_ID]:[Cost]],4,0)</f>
        <v>Equipment</v>
      </c>
      <c r="K657" s="2" t="s">
        <v>1777</v>
      </c>
      <c r="L657" s="2" t="str">
        <f>_xlfn.XLOOKUP(Sales_Details2[[#This Row],[Store_ID]],Table2[Store_ID],Table2[Region],"Region not found")</f>
        <v>North</v>
      </c>
      <c r="M657" s="25">
        <v>4</v>
      </c>
      <c r="N657" s="36">
        <v>411.68</v>
      </c>
      <c r="O657" s="29">
        <v>0.06</v>
      </c>
      <c r="P657" s="2" t="s">
        <v>1809</v>
      </c>
      <c r="Q657" s="36">
        <v>1547.9168</v>
      </c>
    </row>
    <row r="658" spans="1:17" x14ac:dyDescent="0.3">
      <c r="A658" s="2" t="s">
        <v>2465</v>
      </c>
      <c r="B658" s="14">
        <v>45397</v>
      </c>
      <c r="C658" s="2">
        <f>YEAR(Sales_Details2[[#This Row],[Order_Date]])</f>
        <v>2024</v>
      </c>
      <c r="D658" s="2" t="s">
        <v>705</v>
      </c>
      <c r="E658" s="2" t="str">
        <f>VLOOKUP(Sales_Details2[[#This Row],[Customer_ID]],Customer_Details[#All],4,0)</f>
        <v>Mid-Adult</v>
      </c>
      <c r="F658" s="2" t="str">
        <f>VLOOKUP(Sales_Details2[[#This Row],[Customer_ID]],Customer_Details[#All],5,0)</f>
        <v>Female</v>
      </c>
      <c r="G658" s="2" t="str">
        <f>VLOOKUP(Sales_Details2[[#This Row],[Customer_ID]],Customer_Details[#All],9,0)</f>
        <v>Gold</v>
      </c>
      <c r="H658" s="2" t="s">
        <v>1603</v>
      </c>
      <c r="I658" s="2" t="str">
        <f>VLOOKUP(Sales_Details2[[#This Row],[Product_ID]],Product_details[[#All],[Product_ID]:[Cost]],3,0)</f>
        <v>Clothing</v>
      </c>
      <c r="J658" s="2" t="str">
        <f>VLOOKUP(Sales_Details2[[#This Row],[Product_ID]],Product_details[[#All],[Product_ID]:[Cost]],4,0)</f>
        <v>Tops</v>
      </c>
      <c r="K658" s="2" t="s">
        <v>1790</v>
      </c>
      <c r="L658" s="2" t="str">
        <f>_xlfn.XLOOKUP(Sales_Details2[[#This Row],[Store_ID]],Table2[Store_ID],Table2[Region],"Region not found")</f>
        <v>North</v>
      </c>
      <c r="M658" s="25">
        <v>2</v>
      </c>
      <c r="N658" s="36">
        <v>637.55999999999995</v>
      </c>
      <c r="O658" s="29">
        <v>0.05</v>
      </c>
      <c r="P658" s="2" t="s">
        <v>1812</v>
      </c>
      <c r="Q658" s="36">
        <v>1211.364</v>
      </c>
    </row>
    <row r="659" spans="1:17" x14ac:dyDescent="0.3">
      <c r="A659" s="2" t="s">
        <v>2466</v>
      </c>
      <c r="B659" s="14">
        <v>45633</v>
      </c>
      <c r="C659" s="2">
        <f>YEAR(Sales_Details2[[#This Row],[Order_Date]])</f>
        <v>2024</v>
      </c>
      <c r="D659" s="2" t="s">
        <v>67</v>
      </c>
      <c r="E659" s="2" t="str">
        <f>VLOOKUP(Sales_Details2[[#This Row],[Customer_ID]],Customer_Details[#All],4,0)</f>
        <v>Senior</v>
      </c>
      <c r="F659" s="2" t="str">
        <f>VLOOKUP(Sales_Details2[[#This Row],[Customer_ID]],Customer_Details[#All],5,0)</f>
        <v>Female</v>
      </c>
      <c r="G659" s="2" t="str">
        <f>VLOOKUP(Sales_Details2[[#This Row],[Customer_ID]],Customer_Details[#All],9,0)</f>
        <v>Silver</v>
      </c>
      <c r="H659" s="2" t="s">
        <v>1557</v>
      </c>
      <c r="I659" s="2" t="str">
        <f>VLOOKUP(Sales_Details2[[#This Row],[Product_ID]],Product_details[[#All],[Product_ID]:[Cost]],3,0)</f>
        <v>Electronics</v>
      </c>
      <c r="J659" s="2" t="str">
        <f>VLOOKUP(Sales_Details2[[#This Row],[Product_ID]],Product_details[[#All],[Product_ID]:[Cost]],4,0)</f>
        <v>Accessories</v>
      </c>
      <c r="K659" s="2" t="s">
        <v>1749</v>
      </c>
      <c r="L659" s="2" t="str">
        <f>_xlfn.XLOOKUP(Sales_Details2[[#This Row],[Store_ID]],Table2[Store_ID],Table2[Region],"Region not found")</f>
        <v>North</v>
      </c>
      <c r="M659" s="25">
        <v>3</v>
      </c>
      <c r="N659" s="36">
        <v>706.87</v>
      </c>
      <c r="O659" s="29">
        <v>0.27</v>
      </c>
      <c r="P659" s="2" t="s">
        <v>1807</v>
      </c>
      <c r="Q659" s="36">
        <v>1548.0453</v>
      </c>
    </row>
    <row r="660" spans="1:17" x14ac:dyDescent="0.3">
      <c r="A660" s="2" t="s">
        <v>2467</v>
      </c>
      <c r="B660" s="14">
        <v>45629</v>
      </c>
      <c r="C660" s="2">
        <f>YEAR(Sales_Details2[[#This Row],[Order_Date]])</f>
        <v>2024</v>
      </c>
      <c r="D660" s="2" t="s">
        <v>205</v>
      </c>
      <c r="E660" s="2" t="str">
        <f>VLOOKUP(Sales_Details2[[#This Row],[Customer_ID]],Customer_Details[#All],4,0)</f>
        <v>Senior</v>
      </c>
      <c r="F660" s="2" t="str">
        <f>VLOOKUP(Sales_Details2[[#This Row],[Customer_ID]],Customer_Details[#All],5,0)</f>
        <v>Female</v>
      </c>
      <c r="G660" s="2" t="str">
        <f>VLOOKUP(Sales_Details2[[#This Row],[Customer_ID]],Customer_Details[#All],9,0)</f>
        <v>Bronze</v>
      </c>
      <c r="H660" s="2" t="s">
        <v>1561</v>
      </c>
      <c r="I660" s="2" t="str">
        <f>VLOOKUP(Sales_Details2[[#This Row],[Product_ID]],Product_details[[#All],[Product_ID]:[Cost]],3,0)</f>
        <v>Electronics</v>
      </c>
      <c r="J660" s="2" t="str">
        <f>VLOOKUP(Sales_Details2[[#This Row],[Product_ID]],Product_details[[#All],[Product_ID]:[Cost]],4,0)</f>
        <v>Appliances</v>
      </c>
      <c r="K660" s="2" t="s">
        <v>1759</v>
      </c>
      <c r="L660" s="2" t="str">
        <f>_xlfn.XLOOKUP(Sales_Details2[[#This Row],[Store_ID]],Table2[Store_ID],Table2[Region],"Region not found")</f>
        <v>East</v>
      </c>
      <c r="M660" s="25">
        <v>2</v>
      </c>
      <c r="N660" s="36">
        <v>884.48</v>
      </c>
      <c r="O660" s="29">
        <v>0</v>
      </c>
      <c r="P660" s="2" t="s">
        <v>1812</v>
      </c>
      <c r="Q660" s="36">
        <v>1768.96</v>
      </c>
    </row>
    <row r="661" spans="1:17" x14ac:dyDescent="0.3">
      <c r="A661" s="2" t="s">
        <v>2468</v>
      </c>
      <c r="B661" s="14">
        <v>45291</v>
      </c>
      <c r="C661" s="2">
        <f>YEAR(Sales_Details2[[#This Row],[Order_Date]])</f>
        <v>2023</v>
      </c>
      <c r="D661" s="2" t="s">
        <v>178</v>
      </c>
      <c r="E661" s="2" t="str">
        <f>VLOOKUP(Sales_Details2[[#This Row],[Customer_ID]],Customer_Details[#All],4,0)</f>
        <v>Senior</v>
      </c>
      <c r="F661" s="2" t="str">
        <f>VLOOKUP(Sales_Details2[[#This Row],[Customer_ID]],Customer_Details[#All],5,0)</f>
        <v>Female</v>
      </c>
      <c r="G661" s="2" t="str">
        <f>VLOOKUP(Sales_Details2[[#This Row],[Customer_ID]],Customer_Details[#All],9,0)</f>
        <v>Silver</v>
      </c>
      <c r="H661" s="2" t="s">
        <v>1715</v>
      </c>
      <c r="I661" s="2" t="str">
        <f>VLOOKUP(Sales_Details2[[#This Row],[Product_ID]],Product_details[[#All],[Product_ID]:[Cost]],3,0)</f>
        <v>Home</v>
      </c>
      <c r="J661" s="2" t="str">
        <f>VLOOKUP(Sales_Details2[[#This Row],[Product_ID]],Product_details[[#All],[Product_ID]:[Cost]],4,0)</f>
        <v>Appliances</v>
      </c>
      <c r="K661" s="2" t="s">
        <v>1752</v>
      </c>
      <c r="L661" s="2" t="str">
        <f>_xlfn.XLOOKUP(Sales_Details2[[#This Row],[Store_ID]],Table2[Store_ID],Table2[Region],"Region not found")</f>
        <v>South</v>
      </c>
      <c r="M661" s="25">
        <v>3</v>
      </c>
      <c r="N661" s="36">
        <v>718.23</v>
      </c>
      <c r="O661" s="29">
        <v>0.19</v>
      </c>
      <c r="P661" s="2" t="s">
        <v>1809</v>
      </c>
      <c r="Q661" s="36">
        <v>1745.2989</v>
      </c>
    </row>
    <row r="662" spans="1:17" x14ac:dyDescent="0.3">
      <c r="A662" s="2" t="s">
        <v>2469</v>
      </c>
      <c r="B662" s="14">
        <v>45914</v>
      </c>
      <c r="C662" s="2">
        <f>YEAR(Sales_Details2[[#This Row],[Order_Date]])</f>
        <v>2025</v>
      </c>
      <c r="D662" s="2" t="s">
        <v>589</v>
      </c>
      <c r="E662" s="2" t="str">
        <f>VLOOKUP(Sales_Details2[[#This Row],[Customer_ID]],Customer_Details[#All],4,0)</f>
        <v>Mid-Adult</v>
      </c>
      <c r="F662" s="2" t="str">
        <f>VLOOKUP(Sales_Details2[[#This Row],[Customer_ID]],Customer_Details[#All],5,0)</f>
        <v>Male</v>
      </c>
      <c r="G662" s="2" t="str">
        <f>VLOOKUP(Sales_Details2[[#This Row],[Customer_ID]],Customer_Details[#All],9,0)</f>
        <v>Bronze</v>
      </c>
      <c r="H662" s="2" t="s">
        <v>1711</v>
      </c>
      <c r="I662" s="2" t="str">
        <f>VLOOKUP(Sales_Details2[[#This Row],[Product_ID]],Product_details[[#All],[Product_ID]:[Cost]],3,0)</f>
        <v>Electronics</v>
      </c>
      <c r="J662" s="2" t="str">
        <f>VLOOKUP(Sales_Details2[[#This Row],[Product_ID]],Product_details[[#All],[Product_ID]:[Cost]],4,0)</f>
        <v>Accessories</v>
      </c>
      <c r="K662" s="2" t="s">
        <v>1793</v>
      </c>
      <c r="L662" s="2" t="str">
        <f>_xlfn.XLOOKUP(Sales_Details2[[#This Row],[Store_ID]],Table2[Store_ID],Table2[Region],"Region not found")</f>
        <v>East</v>
      </c>
      <c r="M662" s="25">
        <v>3</v>
      </c>
      <c r="N662" s="36">
        <v>107.44</v>
      </c>
      <c r="O662" s="29">
        <v>0.27</v>
      </c>
      <c r="P662" s="2" t="s">
        <v>1809</v>
      </c>
      <c r="Q662" s="36">
        <v>235.2936</v>
      </c>
    </row>
    <row r="663" spans="1:17" x14ac:dyDescent="0.3">
      <c r="A663" s="2" t="s">
        <v>2470</v>
      </c>
      <c r="B663" s="14">
        <v>45673</v>
      </c>
      <c r="C663" s="2">
        <f>YEAR(Sales_Details2[[#This Row],[Order_Date]])</f>
        <v>2025</v>
      </c>
      <c r="D663" s="2" t="s">
        <v>208</v>
      </c>
      <c r="E663" s="2" t="str">
        <f>VLOOKUP(Sales_Details2[[#This Row],[Customer_ID]],Customer_Details[#All],4,0)</f>
        <v>Mid-Adult</v>
      </c>
      <c r="F663" s="2" t="str">
        <f>VLOOKUP(Sales_Details2[[#This Row],[Customer_ID]],Customer_Details[#All],5,0)</f>
        <v>Female</v>
      </c>
      <c r="G663" s="2" t="str">
        <f>VLOOKUP(Sales_Details2[[#This Row],[Customer_ID]],Customer_Details[#All],9,0)</f>
        <v>Gold</v>
      </c>
      <c r="H663" s="2" t="s">
        <v>1623</v>
      </c>
      <c r="I663" s="2" t="str">
        <f>VLOOKUP(Sales_Details2[[#This Row],[Product_ID]],Product_details[[#All],[Product_ID]:[Cost]],3,0)</f>
        <v>Clothing</v>
      </c>
      <c r="J663" s="2" t="str">
        <f>VLOOKUP(Sales_Details2[[#This Row],[Product_ID]],Product_details[[#All],[Product_ID]:[Cost]],4,0)</f>
        <v>Outerwear</v>
      </c>
      <c r="K663" s="2" t="s">
        <v>1749</v>
      </c>
      <c r="L663" s="2" t="str">
        <f>_xlfn.XLOOKUP(Sales_Details2[[#This Row],[Store_ID]],Table2[Store_ID],Table2[Region],"Region not found")</f>
        <v>North</v>
      </c>
      <c r="M663" s="25">
        <v>4</v>
      </c>
      <c r="N663" s="36">
        <v>608.97</v>
      </c>
      <c r="O663" s="29">
        <v>0.14000000000000001</v>
      </c>
      <c r="P663" s="2" t="s">
        <v>1812</v>
      </c>
      <c r="Q663" s="36">
        <v>2094.8568</v>
      </c>
    </row>
    <row r="664" spans="1:17" x14ac:dyDescent="0.3">
      <c r="A664" s="2" t="s">
        <v>2471</v>
      </c>
      <c r="B664" s="14">
        <v>45689</v>
      </c>
      <c r="C664" s="2">
        <f>YEAR(Sales_Details2[[#This Row],[Order_Date]])</f>
        <v>2025</v>
      </c>
      <c r="D664" s="2" t="s">
        <v>1097</v>
      </c>
      <c r="E664" s="2" t="str">
        <f>VLOOKUP(Sales_Details2[[#This Row],[Customer_ID]],Customer_Details[#All],4,0)</f>
        <v>Mid-Adult</v>
      </c>
      <c r="F664" s="2" t="str">
        <f>VLOOKUP(Sales_Details2[[#This Row],[Customer_ID]],Customer_Details[#All],5,0)</f>
        <v>Male</v>
      </c>
      <c r="G664" s="2" t="str">
        <f>VLOOKUP(Sales_Details2[[#This Row],[Customer_ID]],Customer_Details[#All],9,0)</f>
        <v>Silver</v>
      </c>
      <c r="H664" s="2" t="s">
        <v>1653</v>
      </c>
      <c r="I664" s="2" t="str">
        <f>VLOOKUP(Sales_Details2[[#This Row],[Product_ID]],Product_details[[#All],[Product_ID]:[Cost]],3,0)</f>
        <v>Sports</v>
      </c>
      <c r="J664" s="2" t="str">
        <f>VLOOKUP(Sales_Details2[[#This Row],[Product_ID]],Product_details[[#All],[Product_ID]:[Cost]],4,0)</f>
        <v>Equipment</v>
      </c>
      <c r="K664" s="2" t="s">
        <v>1759</v>
      </c>
      <c r="L664" s="2" t="str">
        <f>_xlfn.XLOOKUP(Sales_Details2[[#This Row],[Store_ID]],Table2[Store_ID],Table2[Region],"Region not found")</f>
        <v>East</v>
      </c>
      <c r="M664" s="25">
        <v>3</v>
      </c>
      <c r="N664" s="36">
        <v>260.45999999999998</v>
      </c>
      <c r="O664" s="29">
        <v>0.09</v>
      </c>
      <c r="P664" s="2" t="s">
        <v>1807</v>
      </c>
      <c r="Q664" s="36">
        <v>711.05579999999986</v>
      </c>
    </row>
    <row r="665" spans="1:17" x14ac:dyDescent="0.3">
      <c r="A665" s="2" t="s">
        <v>2472</v>
      </c>
      <c r="B665" s="14">
        <v>45646</v>
      </c>
      <c r="C665" s="2">
        <f>YEAR(Sales_Details2[[#This Row],[Order_Date]])</f>
        <v>2024</v>
      </c>
      <c r="D665" s="2" t="s">
        <v>420</v>
      </c>
      <c r="E665" s="2" t="str">
        <f>VLOOKUP(Sales_Details2[[#This Row],[Customer_ID]],Customer_Details[#All],4,0)</f>
        <v>Mid-Adult</v>
      </c>
      <c r="F665" s="2" t="str">
        <f>VLOOKUP(Sales_Details2[[#This Row],[Customer_ID]],Customer_Details[#All],5,0)</f>
        <v>Male</v>
      </c>
      <c r="G665" s="2" t="str">
        <f>VLOOKUP(Sales_Details2[[#This Row],[Customer_ID]],Customer_Details[#All],9,0)</f>
        <v>Silver</v>
      </c>
      <c r="H665" s="2" t="s">
        <v>1575</v>
      </c>
      <c r="I665" s="2" t="str">
        <f>VLOOKUP(Sales_Details2[[#This Row],[Product_ID]],Product_details[[#All],[Product_ID]:[Cost]],3,0)</f>
        <v>Sports</v>
      </c>
      <c r="J665" s="2" t="str">
        <f>VLOOKUP(Sales_Details2[[#This Row],[Product_ID]],Product_details[[#All],[Product_ID]:[Cost]],4,0)</f>
        <v>Equipment</v>
      </c>
      <c r="K665" s="2" t="s">
        <v>1759</v>
      </c>
      <c r="L665" s="2" t="str">
        <f>_xlfn.XLOOKUP(Sales_Details2[[#This Row],[Store_ID]],Table2[Store_ID],Table2[Region],"Region not found")</f>
        <v>East</v>
      </c>
      <c r="M665" s="25">
        <v>1</v>
      </c>
      <c r="N665" s="36">
        <v>747.03</v>
      </c>
      <c r="O665" s="29">
        <v>0.01</v>
      </c>
      <c r="P665" s="2" t="s">
        <v>1807</v>
      </c>
      <c r="Q665" s="36">
        <v>739.55970000000002</v>
      </c>
    </row>
    <row r="666" spans="1:17" x14ac:dyDescent="0.3">
      <c r="A666" s="2" t="s">
        <v>2473</v>
      </c>
      <c r="B666" s="14">
        <v>45475</v>
      </c>
      <c r="C666" s="2">
        <f>YEAR(Sales_Details2[[#This Row],[Order_Date]])</f>
        <v>2024</v>
      </c>
      <c r="D666" s="2" t="s">
        <v>1243</v>
      </c>
      <c r="E666" s="2" t="str">
        <f>VLOOKUP(Sales_Details2[[#This Row],[Customer_ID]],Customer_Details[#All],4,0)</f>
        <v>Adult</v>
      </c>
      <c r="F666" s="2" t="str">
        <f>VLOOKUP(Sales_Details2[[#This Row],[Customer_ID]],Customer_Details[#All],5,0)</f>
        <v>Female</v>
      </c>
      <c r="G666" s="2" t="str">
        <f>VLOOKUP(Sales_Details2[[#This Row],[Customer_ID]],Customer_Details[#All],9,0)</f>
        <v>Silver</v>
      </c>
      <c r="H666" s="2" t="s">
        <v>1563</v>
      </c>
      <c r="I666" s="2" t="str">
        <f>VLOOKUP(Sales_Details2[[#This Row],[Product_ID]],Product_details[[#All],[Product_ID]:[Cost]],3,0)</f>
        <v>Beauty</v>
      </c>
      <c r="J666" s="2" t="str">
        <f>VLOOKUP(Sales_Details2[[#This Row],[Product_ID]],Product_details[[#All],[Product_ID]:[Cost]],4,0)</f>
        <v>Grooming</v>
      </c>
      <c r="K666" s="2" t="s">
        <v>1765</v>
      </c>
      <c r="L666" s="2" t="str">
        <f>_xlfn.XLOOKUP(Sales_Details2[[#This Row],[Store_ID]],Table2[Store_ID],Table2[Region],"Region not found")</f>
        <v>West</v>
      </c>
      <c r="M666" s="25">
        <v>4</v>
      </c>
      <c r="N666" s="36">
        <v>700.88</v>
      </c>
      <c r="O666" s="29">
        <v>0.23</v>
      </c>
      <c r="P666" s="2" t="s">
        <v>1809</v>
      </c>
      <c r="Q666" s="36">
        <v>2158.7103999999999</v>
      </c>
    </row>
    <row r="667" spans="1:17" x14ac:dyDescent="0.3">
      <c r="A667" s="2" t="s">
        <v>2474</v>
      </c>
      <c r="B667" s="14">
        <v>45781</v>
      </c>
      <c r="C667" s="2">
        <f>YEAR(Sales_Details2[[#This Row],[Order_Date]])</f>
        <v>2025</v>
      </c>
      <c r="D667" s="2" t="s">
        <v>182</v>
      </c>
      <c r="E667" s="2" t="str">
        <f>VLOOKUP(Sales_Details2[[#This Row],[Customer_ID]],Customer_Details[#All],4,0)</f>
        <v>Senior</v>
      </c>
      <c r="F667" s="2" t="str">
        <f>VLOOKUP(Sales_Details2[[#This Row],[Customer_ID]],Customer_Details[#All],5,0)</f>
        <v>Male</v>
      </c>
      <c r="G667" s="2" t="str">
        <f>VLOOKUP(Sales_Details2[[#This Row],[Customer_ID]],Customer_Details[#All],9,0)</f>
        <v>Platinum</v>
      </c>
      <c r="H667" s="2" t="s">
        <v>1721</v>
      </c>
      <c r="I667" s="2" t="str">
        <f>VLOOKUP(Sales_Details2[[#This Row],[Product_ID]],Product_details[[#All],[Product_ID]:[Cost]],3,0)</f>
        <v>Sports</v>
      </c>
      <c r="J667" s="2" t="str">
        <f>VLOOKUP(Sales_Details2[[#This Row],[Product_ID]],Product_details[[#All],[Product_ID]:[Cost]],4,0)</f>
        <v>Accessories</v>
      </c>
      <c r="K667" s="2" t="s">
        <v>1782</v>
      </c>
      <c r="L667" s="2" t="str">
        <f>_xlfn.XLOOKUP(Sales_Details2[[#This Row],[Store_ID]],Table2[Store_ID],Table2[Region],"Region not found")</f>
        <v>South</v>
      </c>
      <c r="M667" s="25">
        <v>4</v>
      </c>
      <c r="N667" s="36">
        <v>20.09</v>
      </c>
      <c r="O667" s="29">
        <v>0.16</v>
      </c>
      <c r="P667" s="2" t="s">
        <v>1809</v>
      </c>
      <c r="Q667" s="36">
        <v>67.502399999999994</v>
      </c>
    </row>
    <row r="668" spans="1:17" x14ac:dyDescent="0.3">
      <c r="A668" s="2" t="s">
        <v>2475</v>
      </c>
      <c r="B668" s="14">
        <v>45654</v>
      </c>
      <c r="C668" s="2">
        <f>YEAR(Sales_Details2[[#This Row],[Order_Date]])</f>
        <v>2024</v>
      </c>
      <c r="D668" s="2" t="s">
        <v>227</v>
      </c>
      <c r="E668" s="2" t="str">
        <f>VLOOKUP(Sales_Details2[[#This Row],[Customer_ID]],Customer_Details[#All],4,0)</f>
        <v>Mid-Adult</v>
      </c>
      <c r="F668" s="2" t="str">
        <f>VLOOKUP(Sales_Details2[[#This Row],[Customer_ID]],Customer_Details[#All],5,0)</f>
        <v>Male</v>
      </c>
      <c r="G668" s="2" t="str">
        <f>VLOOKUP(Sales_Details2[[#This Row],[Customer_ID]],Customer_Details[#All],9,0)</f>
        <v>Bronze</v>
      </c>
      <c r="H668" s="2" t="s">
        <v>1605</v>
      </c>
      <c r="I668" s="2" t="str">
        <f>VLOOKUP(Sales_Details2[[#This Row],[Product_ID]],Product_details[[#All],[Product_ID]:[Cost]],3,0)</f>
        <v>Clothing</v>
      </c>
      <c r="J668" s="2" t="str">
        <f>VLOOKUP(Sales_Details2[[#This Row],[Product_ID]],Product_details[[#All],[Product_ID]:[Cost]],4,0)</f>
        <v>Footwear</v>
      </c>
      <c r="K668" s="2" t="s">
        <v>1775</v>
      </c>
      <c r="L668" s="2" t="str">
        <f>_xlfn.XLOOKUP(Sales_Details2[[#This Row],[Store_ID]],Table2[Store_ID],Table2[Region],"Region not found")</f>
        <v>South</v>
      </c>
      <c r="M668" s="25">
        <v>3</v>
      </c>
      <c r="N668" s="36">
        <v>917.64</v>
      </c>
      <c r="O668" s="29">
        <v>0.24</v>
      </c>
      <c r="P668" s="2" t="s">
        <v>1809</v>
      </c>
      <c r="Q668" s="36">
        <v>2092.2192</v>
      </c>
    </row>
    <row r="669" spans="1:17" x14ac:dyDescent="0.3">
      <c r="A669" s="2" t="s">
        <v>2476</v>
      </c>
      <c r="B669" s="14">
        <v>45594</v>
      </c>
      <c r="C669" s="2">
        <f>YEAR(Sales_Details2[[#This Row],[Order_Date]])</f>
        <v>2024</v>
      </c>
      <c r="D669" s="2" t="s">
        <v>192</v>
      </c>
      <c r="E669" s="2" t="str">
        <f>VLOOKUP(Sales_Details2[[#This Row],[Customer_ID]],Customer_Details[#All],4,0)</f>
        <v>Adult</v>
      </c>
      <c r="F669" s="2" t="str">
        <f>VLOOKUP(Sales_Details2[[#This Row],[Customer_ID]],Customer_Details[#All],5,0)</f>
        <v>Female</v>
      </c>
      <c r="G669" s="2" t="str">
        <f>VLOOKUP(Sales_Details2[[#This Row],[Customer_ID]],Customer_Details[#All],9,0)</f>
        <v>Gold</v>
      </c>
      <c r="H669" s="2" t="s">
        <v>1573</v>
      </c>
      <c r="I669" s="2" t="str">
        <f>VLOOKUP(Sales_Details2[[#This Row],[Product_ID]],Product_details[[#All],[Product_ID]:[Cost]],3,0)</f>
        <v>Home</v>
      </c>
      <c r="J669" s="2" t="str">
        <f>VLOOKUP(Sales_Details2[[#This Row],[Product_ID]],Product_details[[#All],[Product_ID]:[Cost]],4,0)</f>
        <v>Storage</v>
      </c>
      <c r="K669" s="2" t="s">
        <v>1735</v>
      </c>
      <c r="L669" s="2" t="str">
        <f>_xlfn.XLOOKUP(Sales_Details2[[#This Row],[Store_ID]],Table2[Store_ID],Table2[Region],"Region not found")</f>
        <v>East</v>
      </c>
      <c r="M669" s="25">
        <v>1</v>
      </c>
      <c r="N669" s="36">
        <v>242.08</v>
      </c>
      <c r="O669" s="29">
        <v>0.18</v>
      </c>
      <c r="P669" s="2" t="s">
        <v>1809</v>
      </c>
      <c r="Q669" s="36">
        <v>198.50559999999999</v>
      </c>
    </row>
    <row r="670" spans="1:17" x14ac:dyDescent="0.3">
      <c r="A670" s="2" t="s">
        <v>2477</v>
      </c>
      <c r="B670" s="14">
        <v>45581</v>
      </c>
      <c r="C670" s="2">
        <f>YEAR(Sales_Details2[[#This Row],[Order_Date]])</f>
        <v>2024</v>
      </c>
      <c r="D670" s="2" t="s">
        <v>211</v>
      </c>
      <c r="E670" s="2" t="str">
        <f>VLOOKUP(Sales_Details2[[#This Row],[Customer_ID]],Customer_Details[#All],4,0)</f>
        <v>Mid-Adult</v>
      </c>
      <c r="F670" s="2" t="str">
        <f>VLOOKUP(Sales_Details2[[#This Row],[Customer_ID]],Customer_Details[#All],5,0)</f>
        <v>Female</v>
      </c>
      <c r="G670" s="2" t="str">
        <f>VLOOKUP(Sales_Details2[[#This Row],[Customer_ID]],Customer_Details[#All],9,0)</f>
        <v>Platinum</v>
      </c>
      <c r="H670" s="2" t="s">
        <v>1657</v>
      </c>
      <c r="I670" s="2" t="str">
        <f>VLOOKUP(Sales_Details2[[#This Row],[Product_ID]],Product_details[[#All],[Product_ID]:[Cost]],3,0)</f>
        <v>Beauty</v>
      </c>
      <c r="J670" s="2" t="str">
        <f>VLOOKUP(Sales_Details2[[#This Row],[Product_ID]],Product_details[[#All],[Product_ID]:[Cost]],4,0)</f>
        <v>Skincare</v>
      </c>
      <c r="K670" s="2" t="s">
        <v>1762</v>
      </c>
      <c r="L670" s="2" t="str">
        <f>_xlfn.XLOOKUP(Sales_Details2[[#This Row],[Store_ID]],Table2[Store_ID],Table2[Region],"Region not found")</f>
        <v>South</v>
      </c>
      <c r="M670" s="25">
        <v>1</v>
      </c>
      <c r="N670" s="36">
        <v>536.67999999999995</v>
      </c>
      <c r="O670" s="29">
        <v>0.27</v>
      </c>
      <c r="P670" s="2" t="s">
        <v>1807</v>
      </c>
      <c r="Q670" s="36">
        <v>391.77640000000002</v>
      </c>
    </row>
    <row r="671" spans="1:17" x14ac:dyDescent="0.3">
      <c r="A671" s="2" t="s">
        <v>2478</v>
      </c>
      <c r="B671" s="14">
        <v>45748</v>
      </c>
      <c r="C671" s="2">
        <f>YEAR(Sales_Details2[[#This Row],[Order_Date]])</f>
        <v>2025</v>
      </c>
      <c r="D671" s="2" t="s">
        <v>333</v>
      </c>
      <c r="E671" s="2" t="str">
        <f>VLOOKUP(Sales_Details2[[#This Row],[Customer_ID]],Customer_Details[#All],4,0)</f>
        <v>Mid-Adult</v>
      </c>
      <c r="F671" s="2" t="str">
        <f>VLOOKUP(Sales_Details2[[#This Row],[Customer_ID]],Customer_Details[#All],5,0)</f>
        <v>Female</v>
      </c>
      <c r="G671" s="2" t="str">
        <f>VLOOKUP(Sales_Details2[[#This Row],[Customer_ID]],Customer_Details[#All],9,0)</f>
        <v>Gold</v>
      </c>
      <c r="H671" s="2" t="s">
        <v>1589</v>
      </c>
      <c r="I671" s="2" t="str">
        <f>VLOOKUP(Sales_Details2[[#This Row],[Product_ID]],Product_details[[#All],[Product_ID]:[Cost]],3,0)</f>
        <v>Home</v>
      </c>
      <c r="J671" s="2" t="str">
        <f>VLOOKUP(Sales_Details2[[#This Row],[Product_ID]],Product_details[[#All],[Product_ID]:[Cost]],4,0)</f>
        <v>Decor</v>
      </c>
      <c r="K671" s="2" t="s">
        <v>1752</v>
      </c>
      <c r="L671" s="2" t="str">
        <f>_xlfn.XLOOKUP(Sales_Details2[[#This Row],[Store_ID]],Table2[Store_ID],Table2[Region],"Region not found")</f>
        <v>South</v>
      </c>
      <c r="M671" s="25">
        <v>2</v>
      </c>
      <c r="N671" s="36">
        <v>145.18</v>
      </c>
      <c r="O671" s="29">
        <v>0.26</v>
      </c>
      <c r="P671" s="2" t="s">
        <v>1809</v>
      </c>
      <c r="Q671" s="36">
        <v>214.8664</v>
      </c>
    </row>
    <row r="672" spans="1:17" x14ac:dyDescent="0.3">
      <c r="A672" s="2" t="s">
        <v>2479</v>
      </c>
      <c r="B672" s="14">
        <v>45369</v>
      </c>
      <c r="C672" s="2">
        <f>YEAR(Sales_Details2[[#This Row],[Order_Date]])</f>
        <v>2024</v>
      </c>
      <c r="D672" s="2" t="s">
        <v>710</v>
      </c>
      <c r="E672" s="2" t="str">
        <f>VLOOKUP(Sales_Details2[[#This Row],[Customer_ID]],Customer_Details[#All],4,0)</f>
        <v>Mid-Adult</v>
      </c>
      <c r="F672" s="2" t="str">
        <f>VLOOKUP(Sales_Details2[[#This Row],[Customer_ID]],Customer_Details[#All],5,0)</f>
        <v>Male</v>
      </c>
      <c r="G672" s="2" t="str">
        <f>VLOOKUP(Sales_Details2[[#This Row],[Customer_ID]],Customer_Details[#All],9,0)</f>
        <v>Platinum</v>
      </c>
      <c r="H672" s="2" t="s">
        <v>1665</v>
      </c>
      <c r="I672" s="2" t="str">
        <f>VLOOKUP(Sales_Details2[[#This Row],[Product_ID]],Product_details[[#All],[Product_ID]:[Cost]],3,0)</f>
        <v>Electronics</v>
      </c>
      <c r="J672" s="2" t="str">
        <f>VLOOKUP(Sales_Details2[[#This Row],[Product_ID]],Product_details[[#All],[Product_ID]:[Cost]],4,0)</f>
        <v>Accessories</v>
      </c>
      <c r="K672" s="2" t="s">
        <v>1752</v>
      </c>
      <c r="L672" s="2" t="str">
        <f>_xlfn.XLOOKUP(Sales_Details2[[#This Row],[Store_ID]],Table2[Store_ID],Table2[Region],"Region not found")</f>
        <v>South</v>
      </c>
      <c r="M672" s="25">
        <v>2</v>
      </c>
      <c r="N672" s="36">
        <v>132.77000000000001</v>
      </c>
      <c r="O672" s="29">
        <v>0.13</v>
      </c>
      <c r="P672" s="2" t="s">
        <v>1812</v>
      </c>
      <c r="Q672" s="36">
        <v>231.0198</v>
      </c>
    </row>
    <row r="673" spans="1:17" x14ac:dyDescent="0.3">
      <c r="A673" s="2" t="s">
        <v>2480</v>
      </c>
      <c r="B673" s="14">
        <v>45701</v>
      </c>
      <c r="C673" s="2">
        <f>YEAR(Sales_Details2[[#This Row],[Order_Date]])</f>
        <v>2025</v>
      </c>
      <c r="D673" s="2" t="s">
        <v>63</v>
      </c>
      <c r="E673" s="2" t="str">
        <f>VLOOKUP(Sales_Details2[[#This Row],[Customer_ID]],Customer_Details[#All],4,0)</f>
        <v>Mid-Adult</v>
      </c>
      <c r="F673" s="2" t="str">
        <f>VLOOKUP(Sales_Details2[[#This Row],[Customer_ID]],Customer_Details[#All],5,0)</f>
        <v>Female</v>
      </c>
      <c r="G673" s="2" t="str">
        <f>VLOOKUP(Sales_Details2[[#This Row],[Customer_ID]],Customer_Details[#All],9,0)</f>
        <v>Silver</v>
      </c>
      <c r="H673" s="2" t="s">
        <v>1613</v>
      </c>
      <c r="I673" s="2" t="str">
        <f>VLOOKUP(Sales_Details2[[#This Row],[Product_ID]],Product_details[[#All],[Product_ID]:[Cost]],3,0)</f>
        <v>Sports</v>
      </c>
      <c r="J673" s="2" t="str">
        <f>VLOOKUP(Sales_Details2[[#This Row],[Product_ID]],Product_details[[#All],[Product_ID]:[Cost]],4,0)</f>
        <v>Fitness</v>
      </c>
      <c r="K673" s="2" t="s">
        <v>1769</v>
      </c>
      <c r="L673" s="2" t="str">
        <f>_xlfn.XLOOKUP(Sales_Details2[[#This Row],[Store_ID]],Table2[Store_ID],Table2[Region],"Region not found")</f>
        <v>South</v>
      </c>
      <c r="M673" s="25">
        <v>4</v>
      </c>
      <c r="N673" s="36">
        <v>682.11</v>
      </c>
      <c r="O673" s="29">
        <v>0.14000000000000001</v>
      </c>
      <c r="P673" s="2" t="s">
        <v>1807</v>
      </c>
      <c r="Q673" s="36">
        <v>2346.4584</v>
      </c>
    </row>
    <row r="674" spans="1:17" x14ac:dyDescent="0.3">
      <c r="A674" s="2" t="s">
        <v>2481</v>
      </c>
      <c r="B674" s="14">
        <v>45510</v>
      </c>
      <c r="C674" s="2">
        <f>YEAR(Sales_Details2[[#This Row],[Order_Date]])</f>
        <v>2024</v>
      </c>
      <c r="D674" s="2" t="s">
        <v>1478</v>
      </c>
      <c r="E674" s="2" t="str">
        <f>VLOOKUP(Sales_Details2[[#This Row],[Customer_ID]],Customer_Details[#All],4,0)</f>
        <v>Adult</v>
      </c>
      <c r="F674" s="2" t="str">
        <f>VLOOKUP(Sales_Details2[[#This Row],[Customer_ID]],Customer_Details[#All],5,0)</f>
        <v>Female</v>
      </c>
      <c r="G674" s="2" t="str">
        <f>VLOOKUP(Sales_Details2[[#This Row],[Customer_ID]],Customer_Details[#All],9,0)</f>
        <v>Bronze</v>
      </c>
      <c r="H674" s="2" t="s">
        <v>1611</v>
      </c>
      <c r="I674" s="2" t="str">
        <f>VLOOKUP(Sales_Details2[[#This Row],[Product_ID]],Product_details[[#All],[Product_ID]:[Cost]],3,0)</f>
        <v>Electronics</v>
      </c>
      <c r="J674" s="2" t="str">
        <f>VLOOKUP(Sales_Details2[[#This Row],[Product_ID]],Product_details[[#All],[Product_ID]:[Cost]],4,0)</f>
        <v>Audio</v>
      </c>
      <c r="K674" s="2" t="s">
        <v>1790</v>
      </c>
      <c r="L674" s="2" t="str">
        <f>_xlfn.XLOOKUP(Sales_Details2[[#This Row],[Store_ID]],Table2[Store_ID],Table2[Region],"Region not found")</f>
        <v>North</v>
      </c>
      <c r="M674" s="25">
        <v>4</v>
      </c>
      <c r="N674" s="36">
        <v>502.95</v>
      </c>
      <c r="O674" s="29">
        <v>0.14000000000000001</v>
      </c>
      <c r="P674" s="2" t="s">
        <v>1812</v>
      </c>
      <c r="Q674" s="36">
        <v>1730.1479999999999</v>
      </c>
    </row>
    <row r="675" spans="1:17" x14ac:dyDescent="0.3">
      <c r="A675" s="2" t="s">
        <v>2482</v>
      </c>
      <c r="B675" s="14">
        <v>45538</v>
      </c>
      <c r="C675" s="2">
        <f>YEAR(Sales_Details2[[#This Row],[Order_Date]])</f>
        <v>2024</v>
      </c>
      <c r="D675" s="2" t="s">
        <v>746</v>
      </c>
      <c r="E675" s="2" t="str">
        <f>VLOOKUP(Sales_Details2[[#This Row],[Customer_ID]],Customer_Details[#All],4,0)</f>
        <v>Mid-Adult</v>
      </c>
      <c r="F675" s="2" t="str">
        <f>VLOOKUP(Sales_Details2[[#This Row],[Customer_ID]],Customer_Details[#All],5,0)</f>
        <v>Female</v>
      </c>
      <c r="G675" s="2" t="str">
        <f>VLOOKUP(Sales_Details2[[#This Row],[Customer_ID]],Customer_Details[#All],9,0)</f>
        <v>Gold</v>
      </c>
      <c r="H675" s="2" t="s">
        <v>1605</v>
      </c>
      <c r="I675" s="2" t="str">
        <f>VLOOKUP(Sales_Details2[[#This Row],[Product_ID]],Product_details[[#All],[Product_ID]:[Cost]],3,0)</f>
        <v>Clothing</v>
      </c>
      <c r="J675" s="2" t="str">
        <f>VLOOKUP(Sales_Details2[[#This Row],[Product_ID]],Product_details[[#All],[Product_ID]:[Cost]],4,0)</f>
        <v>Footwear</v>
      </c>
      <c r="K675" s="2" t="s">
        <v>1787</v>
      </c>
      <c r="L675" s="2" t="str">
        <f>_xlfn.XLOOKUP(Sales_Details2[[#This Row],[Store_ID]],Table2[Store_ID],Table2[Region],"Region not found")</f>
        <v>West</v>
      </c>
      <c r="M675" s="25">
        <v>2</v>
      </c>
      <c r="N675" s="36">
        <v>472.08</v>
      </c>
      <c r="O675" s="29">
        <v>7.0000000000000007E-2</v>
      </c>
      <c r="P675" s="2" t="s">
        <v>1807</v>
      </c>
      <c r="Q675" s="36">
        <v>878.0687999999999</v>
      </c>
    </row>
    <row r="676" spans="1:17" x14ac:dyDescent="0.3">
      <c r="A676" s="2" t="s">
        <v>2483</v>
      </c>
      <c r="B676" s="14">
        <v>45665</v>
      </c>
      <c r="C676" s="2">
        <f>YEAR(Sales_Details2[[#This Row],[Order_Date]])</f>
        <v>2025</v>
      </c>
      <c r="D676" s="2" t="s">
        <v>1442</v>
      </c>
      <c r="E676" s="2" t="str">
        <f>VLOOKUP(Sales_Details2[[#This Row],[Customer_ID]],Customer_Details[#All],4,0)</f>
        <v>Senior</v>
      </c>
      <c r="F676" s="2" t="str">
        <f>VLOOKUP(Sales_Details2[[#This Row],[Customer_ID]],Customer_Details[#All],5,0)</f>
        <v>Male</v>
      </c>
      <c r="G676" s="2" t="str">
        <f>VLOOKUP(Sales_Details2[[#This Row],[Customer_ID]],Customer_Details[#All],9,0)</f>
        <v>Bronze</v>
      </c>
      <c r="H676" s="2" t="s">
        <v>1645</v>
      </c>
      <c r="I676" s="2" t="str">
        <f>VLOOKUP(Sales_Details2[[#This Row],[Product_ID]],Product_details[[#All],[Product_ID]:[Cost]],3,0)</f>
        <v>Sports</v>
      </c>
      <c r="J676" s="2" t="str">
        <f>VLOOKUP(Sales_Details2[[#This Row],[Product_ID]],Product_details[[#All],[Product_ID]:[Cost]],4,0)</f>
        <v>Fitness</v>
      </c>
      <c r="K676" s="2" t="s">
        <v>1790</v>
      </c>
      <c r="L676" s="2" t="str">
        <f>_xlfn.XLOOKUP(Sales_Details2[[#This Row],[Store_ID]],Table2[Store_ID],Table2[Region],"Region not found")</f>
        <v>North</v>
      </c>
      <c r="M676" s="25">
        <v>2</v>
      </c>
      <c r="N676" s="36">
        <v>218.11</v>
      </c>
      <c r="O676" s="29">
        <v>0.02</v>
      </c>
      <c r="P676" s="2" t="s">
        <v>1812</v>
      </c>
      <c r="Q676" s="36">
        <v>427.49560000000002</v>
      </c>
    </row>
    <row r="677" spans="1:17" x14ac:dyDescent="0.3">
      <c r="A677" s="2" t="s">
        <v>2484</v>
      </c>
      <c r="B677" s="14">
        <v>45859</v>
      </c>
      <c r="C677" s="2">
        <f>YEAR(Sales_Details2[[#This Row],[Order_Date]])</f>
        <v>2025</v>
      </c>
      <c r="D677" s="2" t="s">
        <v>211</v>
      </c>
      <c r="E677" s="2" t="str">
        <f>VLOOKUP(Sales_Details2[[#This Row],[Customer_ID]],Customer_Details[#All],4,0)</f>
        <v>Mid-Adult</v>
      </c>
      <c r="F677" s="2" t="str">
        <f>VLOOKUP(Sales_Details2[[#This Row],[Customer_ID]],Customer_Details[#All],5,0)</f>
        <v>Female</v>
      </c>
      <c r="G677" s="2" t="str">
        <f>VLOOKUP(Sales_Details2[[#This Row],[Customer_ID]],Customer_Details[#All],9,0)</f>
        <v>Platinum</v>
      </c>
      <c r="H677" s="2" t="s">
        <v>1529</v>
      </c>
      <c r="I677" s="2" t="str">
        <f>VLOOKUP(Sales_Details2[[#This Row],[Product_ID]],Product_details[[#All],[Product_ID]:[Cost]],3,0)</f>
        <v>Clothing</v>
      </c>
      <c r="J677" s="2" t="str">
        <f>VLOOKUP(Sales_Details2[[#This Row],[Product_ID]],Product_details[[#All],[Product_ID]:[Cost]],4,0)</f>
        <v>Tops</v>
      </c>
      <c r="K677" s="2" t="s">
        <v>1759</v>
      </c>
      <c r="L677" s="2" t="str">
        <f>_xlfn.XLOOKUP(Sales_Details2[[#This Row],[Store_ID]],Table2[Store_ID],Table2[Region],"Region not found")</f>
        <v>East</v>
      </c>
      <c r="M677" s="25">
        <v>4</v>
      </c>
      <c r="N677" s="36">
        <v>845.58</v>
      </c>
      <c r="O677" s="29">
        <v>0.06</v>
      </c>
      <c r="P677" s="2" t="s">
        <v>1809</v>
      </c>
      <c r="Q677" s="36">
        <v>3179.3807999999999</v>
      </c>
    </row>
    <row r="678" spans="1:17" x14ac:dyDescent="0.3">
      <c r="A678" s="2" t="s">
        <v>2485</v>
      </c>
      <c r="B678" s="14">
        <v>45255</v>
      </c>
      <c r="C678" s="2">
        <f>YEAR(Sales_Details2[[#This Row],[Order_Date]])</f>
        <v>2023</v>
      </c>
      <c r="D678" s="2" t="s">
        <v>436</v>
      </c>
      <c r="E678" s="2" t="str">
        <f>VLOOKUP(Sales_Details2[[#This Row],[Customer_ID]],Customer_Details[#All],4,0)</f>
        <v>Mid-Adult</v>
      </c>
      <c r="F678" s="2" t="str">
        <f>VLOOKUP(Sales_Details2[[#This Row],[Customer_ID]],Customer_Details[#All],5,0)</f>
        <v>Male</v>
      </c>
      <c r="G678" s="2" t="str">
        <f>VLOOKUP(Sales_Details2[[#This Row],[Customer_ID]],Customer_Details[#All],9,0)</f>
        <v>Silver</v>
      </c>
      <c r="H678" s="2" t="s">
        <v>1691</v>
      </c>
      <c r="I678" s="2" t="str">
        <f>VLOOKUP(Sales_Details2[[#This Row],[Product_ID]],Product_details[[#All],[Product_ID]:[Cost]],3,0)</f>
        <v>Home</v>
      </c>
      <c r="J678" s="2" t="str">
        <f>VLOOKUP(Sales_Details2[[#This Row],[Product_ID]],Product_details[[#All],[Product_ID]:[Cost]],4,0)</f>
        <v>Kitchen</v>
      </c>
      <c r="K678" s="2" t="s">
        <v>1744</v>
      </c>
      <c r="L678" s="2" t="str">
        <f>_xlfn.XLOOKUP(Sales_Details2[[#This Row],[Store_ID]],Table2[Store_ID],Table2[Region],"Region not found")</f>
        <v>South</v>
      </c>
      <c r="M678" s="25">
        <v>2</v>
      </c>
      <c r="N678" s="36">
        <v>111.28</v>
      </c>
      <c r="O678" s="29">
        <v>0.14000000000000001</v>
      </c>
      <c r="P678" s="2" t="s">
        <v>1807</v>
      </c>
      <c r="Q678" s="36">
        <v>191.4016</v>
      </c>
    </row>
    <row r="679" spans="1:17" x14ac:dyDescent="0.3">
      <c r="A679" s="2" t="s">
        <v>2486</v>
      </c>
      <c r="B679" s="14">
        <v>45842</v>
      </c>
      <c r="C679" s="2">
        <f>YEAR(Sales_Details2[[#This Row],[Order_Date]])</f>
        <v>2025</v>
      </c>
      <c r="D679" s="2" t="s">
        <v>579</v>
      </c>
      <c r="E679" s="2" t="str">
        <f>VLOOKUP(Sales_Details2[[#This Row],[Customer_ID]],Customer_Details[#All],4,0)</f>
        <v>Senior</v>
      </c>
      <c r="F679" s="2" t="str">
        <f>VLOOKUP(Sales_Details2[[#This Row],[Customer_ID]],Customer_Details[#All],5,0)</f>
        <v>Male</v>
      </c>
      <c r="G679" s="2" t="str">
        <f>VLOOKUP(Sales_Details2[[#This Row],[Customer_ID]],Customer_Details[#All],9,0)</f>
        <v>Platinum</v>
      </c>
      <c r="H679" s="2" t="s">
        <v>1649</v>
      </c>
      <c r="I679" s="2" t="str">
        <f>VLOOKUP(Sales_Details2[[#This Row],[Product_ID]],Product_details[[#All],[Product_ID]:[Cost]],3,0)</f>
        <v>Beauty</v>
      </c>
      <c r="J679" s="2" t="str">
        <f>VLOOKUP(Sales_Details2[[#This Row],[Product_ID]],Product_details[[#All],[Product_ID]:[Cost]],4,0)</f>
        <v>Haircare</v>
      </c>
      <c r="K679" s="2" t="s">
        <v>1782</v>
      </c>
      <c r="L679" s="2" t="str">
        <f>_xlfn.XLOOKUP(Sales_Details2[[#This Row],[Store_ID]],Table2[Store_ID],Table2[Region],"Region not found")</f>
        <v>South</v>
      </c>
      <c r="M679" s="25">
        <v>2</v>
      </c>
      <c r="N679" s="36">
        <v>37.21</v>
      </c>
      <c r="O679" s="29">
        <v>0.19</v>
      </c>
      <c r="P679" s="2" t="s">
        <v>1807</v>
      </c>
      <c r="Q679" s="36">
        <v>60.280200000000008</v>
      </c>
    </row>
    <row r="680" spans="1:17" x14ac:dyDescent="0.3">
      <c r="A680" s="2" t="s">
        <v>2487</v>
      </c>
      <c r="B680" s="14">
        <v>45220</v>
      </c>
      <c r="C680" s="2">
        <f>YEAR(Sales_Details2[[#This Row],[Order_Date]])</f>
        <v>2023</v>
      </c>
      <c r="D680" s="2" t="s">
        <v>1281</v>
      </c>
      <c r="E680" s="2" t="str">
        <f>VLOOKUP(Sales_Details2[[#This Row],[Customer_ID]],Customer_Details[#All],4,0)</f>
        <v>Senior</v>
      </c>
      <c r="F680" s="2" t="str">
        <f>VLOOKUP(Sales_Details2[[#This Row],[Customer_ID]],Customer_Details[#All],5,0)</f>
        <v>Female</v>
      </c>
      <c r="G680" s="2" t="str">
        <f>VLOOKUP(Sales_Details2[[#This Row],[Customer_ID]],Customer_Details[#All],9,0)</f>
        <v>Bronze</v>
      </c>
      <c r="H680" s="2" t="s">
        <v>1655</v>
      </c>
      <c r="I680" s="2" t="str">
        <f>VLOOKUP(Sales_Details2[[#This Row],[Product_ID]],Product_details[[#All],[Product_ID]:[Cost]],3,0)</f>
        <v>Electronics</v>
      </c>
      <c r="J680" s="2" t="str">
        <f>VLOOKUP(Sales_Details2[[#This Row],[Product_ID]],Product_details[[#All],[Product_ID]:[Cost]],4,0)</f>
        <v>Computer</v>
      </c>
      <c r="K680" s="2" t="s">
        <v>1780</v>
      </c>
      <c r="L680" s="2" t="str">
        <f>_xlfn.XLOOKUP(Sales_Details2[[#This Row],[Store_ID]],Table2[Store_ID],Table2[Region],"Region not found")</f>
        <v>East</v>
      </c>
      <c r="M680" s="25">
        <v>1</v>
      </c>
      <c r="N680" s="36">
        <v>331.73</v>
      </c>
      <c r="O680" s="29">
        <v>0.04</v>
      </c>
      <c r="P680" s="2" t="s">
        <v>1807</v>
      </c>
      <c r="Q680" s="36">
        <v>318.46080000000001</v>
      </c>
    </row>
    <row r="681" spans="1:17" x14ac:dyDescent="0.3">
      <c r="A681" s="2" t="s">
        <v>2488</v>
      </c>
      <c r="B681" s="14">
        <v>45273</v>
      </c>
      <c r="C681" s="2">
        <f>YEAR(Sales_Details2[[#This Row],[Order_Date]])</f>
        <v>2023</v>
      </c>
      <c r="D681" s="2" t="s">
        <v>1126</v>
      </c>
      <c r="E681" s="2" t="str">
        <f>VLOOKUP(Sales_Details2[[#This Row],[Customer_ID]],Customer_Details[#All],4,0)</f>
        <v>Senior</v>
      </c>
      <c r="F681" s="2" t="str">
        <f>VLOOKUP(Sales_Details2[[#This Row],[Customer_ID]],Customer_Details[#All],5,0)</f>
        <v>Male</v>
      </c>
      <c r="G681" s="2" t="str">
        <f>VLOOKUP(Sales_Details2[[#This Row],[Customer_ID]],Customer_Details[#All],9,0)</f>
        <v>Bronze</v>
      </c>
      <c r="H681" s="2" t="s">
        <v>1671</v>
      </c>
      <c r="I681" s="2" t="str">
        <f>VLOOKUP(Sales_Details2[[#This Row],[Product_ID]],Product_details[[#All],[Product_ID]:[Cost]],3,0)</f>
        <v>Home</v>
      </c>
      <c r="J681" s="2" t="str">
        <f>VLOOKUP(Sales_Details2[[#This Row],[Product_ID]],Product_details[[#All],[Product_ID]:[Cost]],4,0)</f>
        <v>Storage</v>
      </c>
      <c r="K681" s="2" t="s">
        <v>1777</v>
      </c>
      <c r="L681" s="2" t="str">
        <f>_xlfn.XLOOKUP(Sales_Details2[[#This Row],[Store_ID]],Table2[Store_ID],Table2[Region],"Region not found")</f>
        <v>North</v>
      </c>
      <c r="M681" s="25">
        <v>3</v>
      </c>
      <c r="N681" s="36">
        <v>306.70999999999998</v>
      </c>
      <c r="O681" s="29">
        <v>0.09</v>
      </c>
      <c r="P681" s="2" t="s">
        <v>1809</v>
      </c>
      <c r="Q681" s="36">
        <v>837.31829999999991</v>
      </c>
    </row>
    <row r="682" spans="1:17" x14ac:dyDescent="0.3">
      <c r="A682" s="2" t="s">
        <v>2489</v>
      </c>
      <c r="B682" s="14">
        <v>45456</v>
      </c>
      <c r="C682" s="2">
        <f>YEAR(Sales_Details2[[#This Row],[Order_Date]])</f>
        <v>2024</v>
      </c>
      <c r="D682" s="2" t="s">
        <v>853</v>
      </c>
      <c r="E682" s="2" t="str">
        <f>VLOOKUP(Sales_Details2[[#This Row],[Customer_ID]],Customer_Details[#All],4,0)</f>
        <v>Mid-Adult</v>
      </c>
      <c r="F682" s="2" t="str">
        <f>VLOOKUP(Sales_Details2[[#This Row],[Customer_ID]],Customer_Details[#All],5,0)</f>
        <v>Female</v>
      </c>
      <c r="G682" s="2" t="str">
        <f>VLOOKUP(Sales_Details2[[#This Row],[Customer_ID]],Customer_Details[#All],9,0)</f>
        <v>Gold</v>
      </c>
      <c r="H682" s="2" t="s">
        <v>1581</v>
      </c>
      <c r="I682" s="2" t="str">
        <f>VLOOKUP(Sales_Details2[[#This Row],[Product_ID]],Product_details[[#All],[Product_ID]:[Cost]],3,0)</f>
        <v>Clothing</v>
      </c>
      <c r="J682" s="2" t="str">
        <f>VLOOKUP(Sales_Details2[[#This Row],[Product_ID]],Product_details[[#All],[Product_ID]:[Cost]],4,0)</f>
        <v>Accessories</v>
      </c>
      <c r="K682" s="2" t="s">
        <v>1759</v>
      </c>
      <c r="L682" s="2" t="str">
        <f>_xlfn.XLOOKUP(Sales_Details2[[#This Row],[Store_ID]],Table2[Store_ID],Table2[Region],"Region not found")</f>
        <v>East</v>
      </c>
      <c r="M682" s="25">
        <v>4</v>
      </c>
      <c r="N682" s="36">
        <v>484.92</v>
      </c>
      <c r="O682" s="29">
        <v>0.28000000000000003</v>
      </c>
      <c r="P682" s="2" t="s">
        <v>1809</v>
      </c>
      <c r="Q682" s="36">
        <v>1396.5696</v>
      </c>
    </row>
    <row r="683" spans="1:17" x14ac:dyDescent="0.3">
      <c r="A683" s="2" t="s">
        <v>2490</v>
      </c>
      <c r="B683" s="14">
        <v>45292</v>
      </c>
      <c r="C683" s="2">
        <f>YEAR(Sales_Details2[[#This Row],[Order_Date]])</f>
        <v>2024</v>
      </c>
      <c r="D683" s="2" t="s">
        <v>167</v>
      </c>
      <c r="E683" s="2" t="str">
        <f>VLOOKUP(Sales_Details2[[#This Row],[Customer_ID]],Customer_Details[#All],4,0)</f>
        <v>Mid-Adult</v>
      </c>
      <c r="F683" s="2" t="str">
        <f>VLOOKUP(Sales_Details2[[#This Row],[Customer_ID]],Customer_Details[#All],5,0)</f>
        <v>Male</v>
      </c>
      <c r="G683" s="2" t="str">
        <f>VLOOKUP(Sales_Details2[[#This Row],[Customer_ID]],Customer_Details[#All],9,0)</f>
        <v>Gold</v>
      </c>
      <c r="H683" s="2" t="s">
        <v>1631</v>
      </c>
      <c r="I683" s="2" t="str">
        <f>VLOOKUP(Sales_Details2[[#This Row],[Product_ID]],Product_details[[#All],[Product_ID]:[Cost]],3,0)</f>
        <v>Sports</v>
      </c>
      <c r="J683" s="2" t="str">
        <f>VLOOKUP(Sales_Details2[[#This Row],[Product_ID]],Product_details[[#All],[Product_ID]:[Cost]],4,0)</f>
        <v>Fitness</v>
      </c>
      <c r="K683" s="2" t="s">
        <v>1756</v>
      </c>
      <c r="L683" s="2" t="str">
        <f>_xlfn.XLOOKUP(Sales_Details2[[#This Row],[Store_ID]],Table2[Store_ID],Table2[Region],"Region not found")</f>
        <v>North</v>
      </c>
      <c r="M683" s="25">
        <v>2</v>
      </c>
      <c r="N683" s="36">
        <v>42.04</v>
      </c>
      <c r="O683" s="29">
        <v>7.0000000000000007E-2</v>
      </c>
      <c r="P683" s="2" t="s">
        <v>1807</v>
      </c>
      <c r="Q683" s="36">
        <v>78.194399999999987</v>
      </c>
    </row>
    <row r="684" spans="1:17" x14ac:dyDescent="0.3">
      <c r="A684" s="2" t="s">
        <v>2491</v>
      </c>
      <c r="B684" s="14">
        <v>45278</v>
      </c>
      <c r="C684" s="2">
        <f>YEAR(Sales_Details2[[#This Row],[Order_Date]])</f>
        <v>2023</v>
      </c>
      <c r="D684" s="2" t="s">
        <v>885</v>
      </c>
      <c r="E684" s="2" t="str">
        <f>VLOOKUP(Sales_Details2[[#This Row],[Customer_ID]],Customer_Details[#All],4,0)</f>
        <v>Senior</v>
      </c>
      <c r="F684" s="2" t="str">
        <f>VLOOKUP(Sales_Details2[[#This Row],[Customer_ID]],Customer_Details[#All],5,0)</f>
        <v>Male</v>
      </c>
      <c r="G684" s="2" t="str">
        <f>VLOOKUP(Sales_Details2[[#This Row],[Customer_ID]],Customer_Details[#All],9,0)</f>
        <v>Platinum</v>
      </c>
      <c r="H684" s="2" t="s">
        <v>1641</v>
      </c>
      <c r="I684" s="2" t="str">
        <f>VLOOKUP(Sales_Details2[[#This Row],[Product_ID]],Product_details[[#All],[Product_ID]:[Cost]],3,0)</f>
        <v>Home</v>
      </c>
      <c r="J684" s="2" t="str">
        <f>VLOOKUP(Sales_Details2[[#This Row],[Product_ID]],Product_details[[#All],[Product_ID]:[Cost]],4,0)</f>
        <v>Decor</v>
      </c>
      <c r="K684" s="2" t="s">
        <v>1759</v>
      </c>
      <c r="L684" s="2" t="str">
        <f>_xlfn.XLOOKUP(Sales_Details2[[#This Row],[Store_ID]],Table2[Store_ID],Table2[Region],"Region not found")</f>
        <v>East</v>
      </c>
      <c r="M684" s="25">
        <v>3</v>
      </c>
      <c r="N684" s="36">
        <v>599.48</v>
      </c>
      <c r="O684" s="29">
        <v>0.22</v>
      </c>
      <c r="P684" s="2" t="s">
        <v>1809</v>
      </c>
      <c r="Q684" s="36">
        <v>1402.7832000000001</v>
      </c>
    </row>
    <row r="685" spans="1:17" x14ac:dyDescent="0.3">
      <c r="A685" s="2" t="s">
        <v>2492</v>
      </c>
      <c r="B685" s="14">
        <v>45232</v>
      </c>
      <c r="C685" s="2">
        <f>YEAR(Sales_Details2[[#This Row],[Order_Date]])</f>
        <v>2023</v>
      </c>
      <c r="D685" s="2" t="s">
        <v>1106</v>
      </c>
      <c r="E685" s="2" t="str">
        <f>VLOOKUP(Sales_Details2[[#This Row],[Customer_ID]],Customer_Details[#All],4,0)</f>
        <v>Mid-Adult</v>
      </c>
      <c r="F685" s="2" t="str">
        <f>VLOOKUP(Sales_Details2[[#This Row],[Customer_ID]],Customer_Details[#All],5,0)</f>
        <v>Male</v>
      </c>
      <c r="G685" s="2" t="str">
        <f>VLOOKUP(Sales_Details2[[#This Row],[Customer_ID]],Customer_Details[#All],9,0)</f>
        <v>Gold</v>
      </c>
      <c r="H685" s="2" t="s">
        <v>1565</v>
      </c>
      <c r="I685" s="2" t="str">
        <f>VLOOKUP(Sales_Details2[[#This Row],[Product_ID]],Product_details[[#All],[Product_ID]:[Cost]],3,0)</f>
        <v>Sports</v>
      </c>
      <c r="J685" s="2" t="str">
        <f>VLOOKUP(Sales_Details2[[#This Row],[Product_ID]],Product_details[[#All],[Product_ID]:[Cost]],4,0)</f>
        <v>Accessories</v>
      </c>
      <c r="K685" s="2" t="s">
        <v>1740</v>
      </c>
      <c r="L685" s="2" t="str">
        <f>_xlfn.XLOOKUP(Sales_Details2[[#This Row],[Store_ID]],Table2[Store_ID],Table2[Region],"Region not found")</f>
        <v>North</v>
      </c>
      <c r="M685" s="25">
        <v>3</v>
      </c>
      <c r="N685" s="36">
        <v>401.42</v>
      </c>
      <c r="O685" s="29">
        <v>0.01</v>
      </c>
      <c r="P685" s="2" t="s">
        <v>1812</v>
      </c>
      <c r="Q685" s="36">
        <v>1192.2174</v>
      </c>
    </row>
    <row r="686" spans="1:17" x14ac:dyDescent="0.3">
      <c r="A686" s="2" t="s">
        <v>2493</v>
      </c>
      <c r="B686" s="14">
        <v>45907</v>
      </c>
      <c r="C686" s="2">
        <f>YEAR(Sales_Details2[[#This Row],[Order_Date]])</f>
        <v>2025</v>
      </c>
      <c r="D686" s="2" t="s">
        <v>625</v>
      </c>
      <c r="E686" s="2" t="str">
        <f>VLOOKUP(Sales_Details2[[#This Row],[Customer_ID]],Customer_Details[#All],4,0)</f>
        <v>Adult</v>
      </c>
      <c r="F686" s="2" t="str">
        <f>VLOOKUP(Sales_Details2[[#This Row],[Customer_ID]],Customer_Details[#All],5,0)</f>
        <v>Male</v>
      </c>
      <c r="G686" s="2" t="str">
        <f>VLOOKUP(Sales_Details2[[#This Row],[Customer_ID]],Customer_Details[#All],9,0)</f>
        <v>Gold</v>
      </c>
      <c r="H686" s="2" t="s">
        <v>1623</v>
      </c>
      <c r="I686" s="2" t="str">
        <f>VLOOKUP(Sales_Details2[[#This Row],[Product_ID]],Product_details[[#All],[Product_ID]:[Cost]],3,0)</f>
        <v>Clothing</v>
      </c>
      <c r="J686" s="2" t="str">
        <f>VLOOKUP(Sales_Details2[[#This Row],[Product_ID]],Product_details[[#All],[Product_ID]:[Cost]],4,0)</f>
        <v>Outerwear</v>
      </c>
      <c r="K686" s="2" t="s">
        <v>1765</v>
      </c>
      <c r="L686" s="2" t="str">
        <f>_xlfn.XLOOKUP(Sales_Details2[[#This Row],[Store_ID]],Table2[Store_ID],Table2[Region],"Region not found")</f>
        <v>West</v>
      </c>
      <c r="M686" s="25">
        <v>4</v>
      </c>
      <c r="N686" s="36">
        <v>442.54</v>
      </c>
      <c r="O686" s="29">
        <v>0.06</v>
      </c>
      <c r="P686" s="2" t="s">
        <v>1807</v>
      </c>
      <c r="Q686" s="36">
        <v>1663.9503999999999</v>
      </c>
    </row>
    <row r="687" spans="1:17" x14ac:dyDescent="0.3">
      <c r="A687" s="2" t="s">
        <v>2494</v>
      </c>
      <c r="B687" s="14">
        <v>45270</v>
      </c>
      <c r="C687" s="2">
        <f>YEAR(Sales_Details2[[#This Row],[Order_Date]])</f>
        <v>2023</v>
      </c>
      <c r="D687" s="2" t="s">
        <v>1392</v>
      </c>
      <c r="E687" s="2" t="str">
        <f>VLOOKUP(Sales_Details2[[#This Row],[Customer_ID]],Customer_Details[#All],4,0)</f>
        <v>Senior</v>
      </c>
      <c r="F687" s="2" t="str">
        <f>VLOOKUP(Sales_Details2[[#This Row],[Customer_ID]],Customer_Details[#All],5,0)</f>
        <v>Female</v>
      </c>
      <c r="G687" s="2" t="str">
        <f>VLOOKUP(Sales_Details2[[#This Row],[Customer_ID]],Customer_Details[#All],9,0)</f>
        <v>Gold</v>
      </c>
      <c r="H687" s="2" t="s">
        <v>1707</v>
      </c>
      <c r="I687" s="2" t="str">
        <f>VLOOKUP(Sales_Details2[[#This Row],[Product_ID]],Product_details[[#All],[Product_ID]:[Cost]],3,0)</f>
        <v>Sports</v>
      </c>
      <c r="J687" s="2" t="str">
        <f>VLOOKUP(Sales_Details2[[#This Row],[Product_ID]],Product_details[[#All],[Product_ID]:[Cost]],4,0)</f>
        <v>Accessories</v>
      </c>
      <c r="K687" s="2" t="s">
        <v>1780</v>
      </c>
      <c r="L687" s="2" t="str">
        <f>_xlfn.XLOOKUP(Sales_Details2[[#This Row],[Store_ID]],Table2[Store_ID],Table2[Region],"Region not found")</f>
        <v>East</v>
      </c>
      <c r="M687" s="25">
        <v>4</v>
      </c>
      <c r="N687" s="36">
        <v>451.41</v>
      </c>
      <c r="O687" s="29">
        <v>0.06</v>
      </c>
      <c r="P687" s="2" t="s">
        <v>1809</v>
      </c>
      <c r="Q687" s="36">
        <v>1697.3016</v>
      </c>
    </row>
    <row r="688" spans="1:17" x14ac:dyDescent="0.3">
      <c r="A688" s="2" t="s">
        <v>2495</v>
      </c>
      <c r="B688" s="14">
        <v>45942</v>
      </c>
      <c r="C688" s="2">
        <f>YEAR(Sales_Details2[[#This Row],[Order_Date]])</f>
        <v>2025</v>
      </c>
      <c r="D688" s="2" t="s">
        <v>839</v>
      </c>
      <c r="E688" s="2" t="str">
        <f>VLOOKUP(Sales_Details2[[#This Row],[Customer_ID]],Customer_Details[#All],4,0)</f>
        <v>Mid-Adult</v>
      </c>
      <c r="F688" s="2" t="str">
        <f>VLOOKUP(Sales_Details2[[#This Row],[Customer_ID]],Customer_Details[#All],5,0)</f>
        <v>Male</v>
      </c>
      <c r="G688" s="2" t="str">
        <f>VLOOKUP(Sales_Details2[[#This Row],[Customer_ID]],Customer_Details[#All],9,0)</f>
        <v>Silver</v>
      </c>
      <c r="H688" s="2" t="s">
        <v>1713</v>
      </c>
      <c r="I688" s="2" t="str">
        <f>VLOOKUP(Sales_Details2[[#This Row],[Product_ID]],Product_details[[#All],[Product_ID]:[Cost]],3,0)</f>
        <v>Clothing</v>
      </c>
      <c r="J688" s="2" t="str">
        <f>VLOOKUP(Sales_Details2[[#This Row],[Product_ID]],Product_details[[#All],[Product_ID]:[Cost]],4,0)</f>
        <v>Footwear</v>
      </c>
      <c r="K688" s="2" t="s">
        <v>1769</v>
      </c>
      <c r="L688" s="2" t="str">
        <f>_xlfn.XLOOKUP(Sales_Details2[[#This Row],[Store_ID]],Table2[Store_ID],Table2[Region],"Region not found")</f>
        <v>South</v>
      </c>
      <c r="M688" s="25">
        <v>4</v>
      </c>
      <c r="N688" s="36">
        <v>547.21</v>
      </c>
      <c r="O688" s="29">
        <v>0.25</v>
      </c>
      <c r="P688" s="2" t="s">
        <v>1807</v>
      </c>
      <c r="Q688" s="36">
        <v>1641.63</v>
      </c>
    </row>
    <row r="689" spans="1:17" x14ac:dyDescent="0.3">
      <c r="A689" s="2" t="s">
        <v>2496</v>
      </c>
      <c r="B689" s="14">
        <v>45750</v>
      </c>
      <c r="C689" s="2">
        <f>YEAR(Sales_Details2[[#This Row],[Order_Date]])</f>
        <v>2025</v>
      </c>
      <c r="D689" s="2" t="s">
        <v>657</v>
      </c>
      <c r="E689" s="2" t="str">
        <f>VLOOKUP(Sales_Details2[[#This Row],[Customer_ID]],Customer_Details[#All],4,0)</f>
        <v>Mid-Adult</v>
      </c>
      <c r="F689" s="2" t="str">
        <f>VLOOKUP(Sales_Details2[[#This Row],[Customer_ID]],Customer_Details[#All],5,0)</f>
        <v>Male</v>
      </c>
      <c r="G689" s="2" t="str">
        <f>VLOOKUP(Sales_Details2[[#This Row],[Customer_ID]],Customer_Details[#All],9,0)</f>
        <v>Platinum</v>
      </c>
      <c r="H689" s="2" t="s">
        <v>1705</v>
      </c>
      <c r="I689" s="2" t="str">
        <f>VLOOKUP(Sales_Details2[[#This Row],[Product_ID]],Product_details[[#All],[Product_ID]:[Cost]],3,0)</f>
        <v>Home</v>
      </c>
      <c r="J689" s="2" t="str">
        <f>VLOOKUP(Sales_Details2[[#This Row],[Product_ID]],Product_details[[#All],[Product_ID]:[Cost]],4,0)</f>
        <v>Lighting</v>
      </c>
      <c r="K689" s="2" t="s">
        <v>1752</v>
      </c>
      <c r="L689" s="2" t="str">
        <f>_xlfn.XLOOKUP(Sales_Details2[[#This Row],[Store_ID]],Table2[Store_ID],Table2[Region],"Region not found")</f>
        <v>South</v>
      </c>
      <c r="M689" s="25">
        <v>1</v>
      </c>
      <c r="N689" s="36">
        <v>979.28</v>
      </c>
      <c r="O689" s="29">
        <v>0.2</v>
      </c>
      <c r="P689" s="2" t="s">
        <v>1809</v>
      </c>
      <c r="Q689" s="36">
        <v>783.42399999999998</v>
      </c>
    </row>
    <row r="690" spans="1:17" x14ac:dyDescent="0.3">
      <c r="A690" s="2" t="s">
        <v>2497</v>
      </c>
      <c r="B690" s="14">
        <v>45300</v>
      </c>
      <c r="C690" s="2">
        <f>YEAR(Sales_Details2[[#This Row],[Order_Date]])</f>
        <v>2024</v>
      </c>
      <c r="D690" s="2" t="s">
        <v>1415</v>
      </c>
      <c r="E690" s="2" t="str">
        <f>VLOOKUP(Sales_Details2[[#This Row],[Customer_ID]],Customer_Details[#All],4,0)</f>
        <v>Mid-Adult</v>
      </c>
      <c r="F690" s="2" t="str">
        <f>VLOOKUP(Sales_Details2[[#This Row],[Customer_ID]],Customer_Details[#All],5,0)</f>
        <v>Female</v>
      </c>
      <c r="G690" s="2" t="str">
        <f>VLOOKUP(Sales_Details2[[#This Row],[Customer_ID]],Customer_Details[#All],9,0)</f>
        <v>Platinum</v>
      </c>
      <c r="H690" s="2" t="s">
        <v>1643</v>
      </c>
      <c r="I690" s="2" t="str">
        <f>VLOOKUP(Sales_Details2[[#This Row],[Product_ID]],Product_details[[#All],[Product_ID]:[Cost]],3,0)</f>
        <v>Home</v>
      </c>
      <c r="J690" s="2" t="str">
        <f>VLOOKUP(Sales_Details2[[#This Row],[Product_ID]],Product_details[[#All],[Product_ID]:[Cost]],4,0)</f>
        <v>Decor</v>
      </c>
      <c r="K690" s="2" t="s">
        <v>1762</v>
      </c>
      <c r="L690" s="2" t="str">
        <f>_xlfn.XLOOKUP(Sales_Details2[[#This Row],[Store_ID]],Table2[Store_ID],Table2[Region],"Region not found")</f>
        <v>South</v>
      </c>
      <c r="M690" s="25">
        <v>4</v>
      </c>
      <c r="N690" s="36">
        <v>263.58999999999997</v>
      </c>
      <c r="O690" s="29">
        <v>0.04</v>
      </c>
      <c r="P690" s="2" t="s">
        <v>1807</v>
      </c>
      <c r="Q690" s="36">
        <v>1012.1856</v>
      </c>
    </row>
    <row r="691" spans="1:17" x14ac:dyDescent="0.3">
      <c r="A691" s="2" t="s">
        <v>2498</v>
      </c>
      <c r="B691" s="14">
        <v>45876</v>
      </c>
      <c r="C691" s="2">
        <f>YEAR(Sales_Details2[[#This Row],[Order_Date]])</f>
        <v>2025</v>
      </c>
      <c r="D691" s="2" t="s">
        <v>20</v>
      </c>
      <c r="E691" s="2" t="str">
        <f>VLOOKUP(Sales_Details2[[#This Row],[Customer_ID]],Customer_Details[#All],4,0)</f>
        <v>Adult</v>
      </c>
      <c r="F691" s="2" t="str">
        <f>VLOOKUP(Sales_Details2[[#This Row],[Customer_ID]],Customer_Details[#All],5,0)</f>
        <v>Female</v>
      </c>
      <c r="G691" s="2" t="str">
        <f>VLOOKUP(Sales_Details2[[#This Row],[Customer_ID]],Customer_Details[#All],9,0)</f>
        <v>Platinum</v>
      </c>
      <c r="H691" s="2" t="s">
        <v>1639</v>
      </c>
      <c r="I691" s="2" t="str">
        <f>VLOOKUP(Sales_Details2[[#This Row],[Product_ID]],Product_details[[#All],[Product_ID]:[Cost]],3,0)</f>
        <v>Sports</v>
      </c>
      <c r="J691" s="2" t="str">
        <f>VLOOKUP(Sales_Details2[[#This Row],[Product_ID]],Product_details[[#All],[Product_ID]:[Cost]],4,0)</f>
        <v>Accessories</v>
      </c>
      <c r="K691" s="2" t="s">
        <v>1756</v>
      </c>
      <c r="L691" s="2" t="str">
        <f>_xlfn.XLOOKUP(Sales_Details2[[#This Row],[Store_ID]],Table2[Store_ID],Table2[Region],"Region not found")</f>
        <v>North</v>
      </c>
      <c r="M691" s="25">
        <v>1</v>
      </c>
      <c r="N691" s="36">
        <v>692.75</v>
      </c>
      <c r="O691" s="29">
        <v>0.11</v>
      </c>
      <c r="P691" s="2" t="s">
        <v>1812</v>
      </c>
      <c r="Q691" s="36">
        <v>616.54750000000001</v>
      </c>
    </row>
    <row r="692" spans="1:17" x14ac:dyDescent="0.3">
      <c r="A692" s="2" t="s">
        <v>2499</v>
      </c>
      <c r="B692" s="14">
        <v>45301</v>
      </c>
      <c r="C692" s="2">
        <f>YEAR(Sales_Details2[[#This Row],[Order_Date]])</f>
        <v>2024</v>
      </c>
      <c r="D692" s="2" t="s">
        <v>539</v>
      </c>
      <c r="E692" s="2" t="str">
        <f>VLOOKUP(Sales_Details2[[#This Row],[Customer_ID]],Customer_Details[#All],4,0)</f>
        <v>Adult</v>
      </c>
      <c r="F692" s="2" t="str">
        <f>VLOOKUP(Sales_Details2[[#This Row],[Customer_ID]],Customer_Details[#All],5,0)</f>
        <v>Male</v>
      </c>
      <c r="G692" s="2" t="str">
        <f>VLOOKUP(Sales_Details2[[#This Row],[Customer_ID]],Customer_Details[#All],9,0)</f>
        <v>Bronze</v>
      </c>
      <c r="H692" s="2" t="s">
        <v>1657</v>
      </c>
      <c r="I692" s="2" t="str">
        <f>VLOOKUP(Sales_Details2[[#This Row],[Product_ID]],Product_details[[#All],[Product_ID]:[Cost]],3,0)</f>
        <v>Beauty</v>
      </c>
      <c r="J692" s="2" t="str">
        <f>VLOOKUP(Sales_Details2[[#This Row],[Product_ID]],Product_details[[#All],[Product_ID]:[Cost]],4,0)</f>
        <v>Skincare</v>
      </c>
      <c r="K692" s="2" t="s">
        <v>1749</v>
      </c>
      <c r="L692" s="2" t="str">
        <f>_xlfn.XLOOKUP(Sales_Details2[[#This Row],[Store_ID]],Table2[Store_ID],Table2[Region],"Region not found")</f>
        <v>North</v>
      </c>
      <c r="M692" s="25">
        <v>3</v>
      </c>
      <c r="N692" s="36">
        <v>142.83000000000001</v>
      </c>
      <c r="O692" s="29">
        <v>0.01</v>
      </c>
      <c r="P692" s="2" t="s">
        <v>1807</v>
      </c>
      <c r="Q692" s="36">
        <v>424.20510000000002</v>
      </c>
    </row>
    <row r="693" spans="1:17" x14ac:dyDescent="0.3">
      <c r="A693" s="2" t="s">
        <v>2500</v>
      </c>
      <c r="B693" s="14">
        <v>45857</v>
      </c>
      <c r="C693" s="2">
        <f>YEAR(Sales_Details2[[#This Row],[Order_Date]])</f>
        <v>2025</v>
      </c>
      <c r="D693" s="2" t="s">
        <v>423</v>
      </c>
      <c r="E693" s="2" t="str">
        <f>VLOOKUP(Sales_Details2[[#This Row],[Customer_ID]],Customer_Details[#All],4,0)</f>
        <v>Adult</v>
      </c>
      <c r="F693" s="2" t="str">
        <f>VLOOKUP(Sales_Details2[[#This Row],[Customer_ID]],Customer_Details[#All],5,0)</f>
        <v>Male</v>
      </c>
      <c r="G693" s="2" t="str">
        <f>VLOOKUP(Sales_Details2[[#This Row],[Customer_ID]],Customer_Details[#All],9,0)</f>
        <v>Bronze</v>
      </c>
      <c r="H693" s="2" t="s">
        <v>1575</v>
      </c>
      <c r="I693" s="2" t="str">
        <f>VLOOKUP(Sales_Details2[[#This Row],[Product_ID]],Product_details[[#All],[Product_ID]:[Cost]],3,0)</f>
        <v>Sports</v>
      </c>
      <c r="J693" s="2" t="str">
        <f>VLOOKUP(Sales_Details2[[#This Row],[Product_ID]],Product_details[[#All],[Product_ID]:[Cost]],4,0)</f>
        <v>Equipment</v>
      </c>
      <c r="K693" s="2" t="s">
        <v>1744</v>
      </c>
      <c r="L693" s="2" t="str">
        <f>_xlfn.XLOOKUP(Sales_Details2[[#This Row],[Store_ID]],Table2[Store_ID],Table2[Region],"Region not found")</f>
        <v>South</v>
      </c>
      <c r="M693" s="25">
        <v>2</v>
      </c>
      <c r="N693" s="36">
        <v>419.25</v>
      </c>
      <c r="O693" s="29">
        <v>0.17</v>
      </c>
      <c r="P693" s="2" t="s">
        <v>1809</v>
      </c>
      <c r="Q693" s="36">
        <v>695.95499999999993</v>
      </c>
    </row>
    <row r="694" spans="1:17" x14ac:dyDescent="0.3">
      <c r="A694" s="2" t="s">
        <v>2501</v>
      </c>
      <c r="B694" s="14">
        <v>45650</v>
      </c>
      <c r="C694" s="2">
        <f>YEAR(Sales_Details2[[#This Row],[Order_Date]])</f>
        <v>2024</v>
      </c>
      <c r="D694" s="2" t="s">
        <v>764</v>
      </c>
      <c r="E694" s="2" t="str">
        <f>VLOOKUP(Sales_Details2[[#This Row],[Customer_ID]],Customer_Details[#All],4,0)</f>
        <v>Senior</v>
      </c>
      <c r="F694" s="2" t="str">
        <f>VLOOKUP(Sales_Details2[[#This Row],[Customer_ID]],Customer_Details[#All],5,0)</f>
        <v>Female</v>
      </c>
      <c r="G694" s="2" t="str">
        <f>VLOOKUP(Sales_Details2[[#This Row],[Customer_ID]],Customer_Details[#All],9,0)</f>
        <v>Platinum</v>
      </c>
      <c r="H694" s="2" t="s">
        <v>1583</v>
      </c>
      <c r="I694" s="2" t="str">
        <f>VLOOKUP(Sales_Details2[[#This Row],[Product_ID]],Product_details[[#All],[Product_ID]:[Cost]],3,0)</f>
        <v>Electronics</v>
      </c>
      <c r="J694" s="2" t="str">
        <f>VLOOKUP(Sales_Details2[[#This Row],[Product_ID]],Product_details[[#All],[Product_ID]:[Cost]],4,0)</f>
        <v>Audio</v>
      </c>
      <c r="K694" s="2" t="s">
        <v>1796</v>
      </c>
      <c r="L694" s="2" t="str">
        <f>_xlfn.XLOOKUP(Sales_Details2[[#This Row],[Store_ID]],Table2[Store_ID],Table2[Region],"Region not found")</f>
        <v>East</v>
      </c>
      <c r="M694" s="25">
        <v>2</v>
      </c>
      <c r="N694" s="36">
        <v>800.84</v>
      </c>
      <c r="O694" s="29">
        <v>0.27</v>
      </c>
      <c r="P694" s="2" t="s">
        <v>1812</v>
      </c>
      <c r="Q694" s="36">
        <v>1169.2264</v>
      </c>
    </row>
    <row r="695" spans="1:17" x14ac:dyDescent="0.3">
      <c r="A695" s="2" t="s">
        <v>2502</v>
      </c>
      <c r="B695" s="14">
        <v>45520</v>
      </c>
      <c r="C695" s="2">
        <f>YEAR(Sales_Details2[[#This Row],[Order_Date]])</f>
        <v>2024</v>
      </c>
      <c r="D695" s="2" t="s">
        <v>14</v>
      </c>
      <c r="E695" s="2" t="str">
        <f>VLOOKUP(Sales_Details2[[#This Row],[Customer_ID]],Customer_Details[#All],4,0)</f>
        <v>Adult</v>
      </c>
      <c r="F695" s="2" t="str">
        <f>VLOOKUP(Sales_Details2[[#This Row],[Customer_ID]],Customer_Details[#All],5,0)</f>
        <v>Female</v>
      </c>
      <c r="G695" s="2" t="str">
        <f>VLOOKUP(Sales_Details2[[#This Row],[Customer_ID]],Customer_Details[#All],9,0)</f>
        <v>Platinum</v>
      </c>
      <c r="H695" s="2" t="s">
        <v>1627</v>
      </c>
      <c r="I695" s="2" t="str">
        <f>VLOOKUP(Sales_Details2[[#This Row],[Product_ID]],Product_details[[#All],[Product_ID]:[Cost]],3,0)</f>
        <v>Electronics</v>
      </c>
      <c r="J695" s="2" t="str">
        <f>VLOOKUP(Sales_Details2[[#This Row],[Product_ID]],Product_details[[#All],[Product_ID]:[Cost]],4,0)</f>
        <v>Accessories</v>
      </c>
      <c r="K695" s="2" t="s">
        <v>1744</v>
      </c>
      <c r="L695" s="2" t="str">
        <f>_xlfn.XLOOKUP(Sales_Details2[[#This Row],[Store_ID]],Table2[Store_ID],Table2[Region],"Region not found")</f>
        <v>South</v>
      </c>
      <c r="M695" s="25">
        <v>1</v>
      </c>
      <c r="N695" s="36">
        <v>301.24</v>
      </c>
      <c r="O695" s="29">
        <v>0.11</v>
      </c>
      <c r="P695" s="2" t="s">
        <v>1809</v>
      </c>
      <c r="Q695" s="36">
        <v>268.10359999999997</v>
      </c>
    </row>
    <row r="696" spans="1:17" x14ac:dyDescent="0.3">
      <c r="A696" s="2" t="s">
        <v>2503</v>
      </c>
      <c r="B696" s="14">
        <v>45497</v>
      </c>
      <c r="C696" s="2">
        <f>YEAR(Sales_Details2[[#This Row],[Order_Date]])</f>
        <v>2024</v>
      </c>
      <c r="D696" s="2" t="s">
        <v>906</v>
      </c>
      <c r="E696" s="2" t="str">
        <f>VLOOKUP(Sales_Details2[[#This Row],[Customer_ID]],Customer_Details[#All],4,0)</f>
        <v>Senior</v>
      </c>
      <c r="F696" s="2" t="str">
        <f>VLOOKUP(Sales_Details2[[#This Row],[Customer_ID]],Customer_Details[#All],5,0)</f>
        <v>Male</v>
      </c>
      <c r="G696" s="2" t="str">
        <f>VLOOKUP(Sales_Details2[[#This Row],[Customer_ID]],Customer_Details[#All],9,0)</f>
        <v>Gold</v>
      </c>
      <c r="H696" s="2" t="s">
        <v>1701</v>
      </c>
      <c r="I696" s="2" t="str">
        <f>VLOOKUP(Sales_Details2[[#This Row],[Product_ID]],Product_details[[#All],[Product_ID]:[Cost]],3,0)</f>
        <v>Clothing</v>
      </c>
      <c r="J696" s="2" t="str">
        <f>VLOOKUP(Sales_Details2[[#This Row],[Product_ID]],Product_details[[#All],[Product_ID]:[Cost]],4,0)</f>
        <v>Accessories</v>
      </c>
      <c r="K696" s="2" t="s">
        <v>1756</v>
      </c>
      <c r="L696" s="2" t="str">
        <f>_xlfn.XLOOKUP(Sales_Details2[[#This Row],[Store_ID]],Table2[Store_ID],Table2[Region],"Region not found")</f>
        <v>North</v>
      </c>
      <c r="M696" s="25">
        <v>2</v>
      </c>
      <c r="N696" s="36">
        <v>701.49</v>
      </c>
      <c r="O696" s="29">
        <v>0.09</v>
      </c>
      <c r="P696" s="2" t="s">
        <v>1809</v>
      </c>
      <c r="Q696" s="36">
        <v>1276.7118</v>
      </c>
    </row>
    <row r="697" spans="1:17" x14ac:dyDescent="0.3">
      <c r="A697" s="2" t="s">
        <v>2504</v>
      </c>
      <c r="B697" s="14">
        <v>45615</v>
      </c>
      <c r="C697" s="2">
        <f>YEAR(Sales_Details2[[#This Row],[Order_Date]])</f>
        <v>2024</v>
      </c>
      <c r="D697" s="2" t="s">
        <v>1089</v>
      </c>
      <c r="E697" s="2" t="str">
        <f>VLOOKUP(Sales_Details2[[#This Row],[Customer_ID]],Customer_Details[#All],4,0)</f>
        <v>Adult</v>
      </c>
      <c r="F697" s="2" t="str">
        <f>VLOOKUP(Sales_Details2[[#This Row],[Customer_ID]],Customer_Details[#All],5,0)</f>
        <v>Female</v>
      </c>
      <c r="G697" s="2" t="str">
        <f>VLOOKUP(Sales_Details2[[#This Row],[Customer_ID]],Customer_Details[#All],9,0)</f>
        <v>Bronze</v>
      </c>
      <c r="H697" s="2" t="s">
        <v>1583</v>
      </c>
      <c r="I697" s="2" t="str">
        <f>VLOOKUP(Sales_Details2[[#This Row],[Product_ID]],Product_details[[#All],[Product_ID]:[Cost]],3,0)</f>
        <v>Electronics</v>
      </c>
      <c r="J697" s="2" t="str">
        <f>VLOOKUP(Sales_Details2[[#This Row],[Product_ID]],Product_details[[#All],[Product_ID]:[Cost]],4,0)</f>
        <v>Audio</v>
      </c>
      <c r="K697" s="2" t="s">
        <v>1772</v>
      </c>
      <c r="L697" s="2" t="str">
        <f>_xlfn.XLOOKUP(Sales_Details2[[#This Row],[Store_ID]],Table2[Store_ID],Table2[Region],"Region not found")</f>
        <v>East</v>
      </c>
      <c r="M697" s="25">
        <v>4</v>
      </c>
      <c r="N697" s="36">
        <v>413.48</v>
      </c>
      <c r="O697" s="29">
        <v>0.02</v>
      </c>
      <c r="P697" s="2" t="s">
        <v>1809</v>
      </c>
      <c r="Q697" s="36">
        <v>1620.8416</v>
      </c>
    </row>
    <row r="698" spans="1:17" x14ac:dyDescent="0.3">
      <c r="A698" s="2" t="s">
        <v>2505</v>
      </c>
      <c r="B698" s="14">
        <v>45365</v>
      </c>
      <c r="C698" s="2">
        <f>YEAR(Sales_Details2[[#This Row],[Order_Date]])</f>
        <v>2024</v>
      </c>
      <c r="D698" s="2" t="s">
        <v>640</v>
      </c>
      <c r="E698" s="2" t="str">
        <f>VLOOKUP(Sales_Details2[[#This Row],[Customer_ID]],Customer_Details[#All],4,0)</f>
        <v>Mid-Adult</v>
      </c>
      <c r="F698" s="2" t="str">
        <f>VLOOKUP(Sales_Details2[[#This Row],[Customer_ID]],Customer_Details[#All],5,0)</f>
        <v>Female</v>
      </c>
      <c r="G698" s="2" t="str">
        <f>VLOOKUP(Sales_Details2[[#This Row],[Customer_ID]],Customer_Details[#All],9,0)</f>
        <v>Platinum</v>
      </c>
      <c r="H698" s="2" t="s">
        <v>1545</v>
      </c>
      <c r="I698" s="2" t="str">
        <f>VLOOKUP(Sales_Details2[[#This Row],[Product_ID]],Product_details[[#All],[Product_ID]:[Cost]],3,0)</f>
        <v>Electronics</v>
      </c>
      <c r="J698" s="2" t="str">
        <f>VLOOKUP(Sales_Details2[[#This Row],[Product_ID]],Product_details[[#All],[Product_ID]:[Cost]],4,0)</f>
        <v>Audio</v>
      </c>
      <c r="K698" s="2" t="s">
        <v>1740</v>
      </c>
      <c r="L698" s="2" t="str">
        <f>_xlfn.XLOOKUP(Sales_Details2[[#This Row],[Store_ID]],Table2[Store_ID],Table2[Region],"Region not found")</f>
        <v>North</v>
      </c>
      <c r="M698" s="25">
        <v>4</v>
      </c>
      <c r="N698" s="36">
        <v>167.83</v>
      </c>
      <c r="O698" s="29">
        <v>0.15</v>
      </c>
      <c r="P698" s="2" t="s">
        <v>1807</v>
      </c>
      <c r="Q698" s="36">
        <v>570.62200000000007</v>
      </c>
    </row>
    <row r="699" spans="1:17" x14ac:dyDescent="0.3">
      <c r="A699" s="2" t="s">
        <v>2506</v>
      </c>
      <c r="B699" s="14">
        <v>45832</v>
      </c>
      <c r="C699" s="2">
        <f>YEAR(Sales_Details2[[#This Row],[Order_Date]])</f>
        <v>2025</v>
      </c>
      <c r="D699" s="2" t="s">
        <v>467</v>
      </c>
      <c r="E699" s="2" t="str">
        <f>VLOOKUP(Sales_Details2[[#This Row],[Customer_ID]],Customer_Details[#All],4,0)</f>
        <v>Mid-Adult</v>
      </c>
      <c r="F699" s="2" t="str">
        <f>VLOOKUP(Sales_Details2[[#This Row],[Customer_ID]],Customer_Details[#All],5,0)</f>
        <v>Male</v>
      </c>
      <c r="G699" s="2" t="str">
        <f>VLOOKUP(Sales_Details2[[#This Row],[Customer_ID]],Customer_Details[#All],9,0)</f>
        <v>Bronze</v>
      </c>
      <c r="H699" s="2" t="s">
        <v>1561</v>
      </c>
      <c r="I699" s="2" t="str">
        <f>VLOOKUP(Sales_Details2[[#This Row],[Product_ID]],Product_details[[#All],[Product_ID]:[Cost]],3,0)</f>
        <v>Electronics</v>
      </c>
      <c r="J699" s="2" t="str">
        <f>VLOOKUP(Sales_Details2[[#This Row],[Product_ID]],Product_details[[#All],[Product_ID]:[Cost]],4,0)</f>
        <v>Appliances</v>
      </c>
      <c r="K699" s="2" t="s">
        <v>1793</v>
      </c>
      <c r="L699" s="2" t="str">
        <f>_xlfn.XLOOKUP(Sales_Details2[[#This Row],[Store_ID]],Table2[Store_ID],Table2[Region],"Region not found")</f>
        <v>East</v>
      </c>
      <c r="M699" s="25">
        <v>2</v>
      </c>
      <c r="N699" s="36">
        <v>669.12</v>
      </c>
      <c r="O699" s="29">
        <v>0.22</v>
      </c>
      <c r="P699" s="2" t="s">
        <v>1807</v>
      </c>
      <c r="Q699" s="36">
        <v>1043.8271999999999</v>
      </c>
    </row>
    <row r="700" spans="1:17" x14ac:dyDescent="0.3">
      <c r="A700" s="2" t="s">
        <v>2507</v>
      </c>
      <c r="B700" s="14">
        <v>45530</v>
      </c>
      <c r="C700" s="2">
        <f>YEAR(Sales_Details2[[#This Row],[Order_Date]])</f>
        <v>2024</v>
      </c>
      <c r="D700" s="2" t="s">
        <v>152</v>
      </c>
      <c r="E700" s="2" t="str">
        <f>VLOOKUP(Sales_Details2[[#This Row],[Customer_ID]],Customer_Details[#All],4,0)</f>
        <v>Senior</v>
      </c>
      <c r="F700" s="2" t="str">
        <f>VLOOKUP(Sales_Details2[[#This Row],[Customer_ID]],Customer_Details[#All],5,0)</f>
        <v>Female</v>
      </c>
      <c r="G700" s="2" t="str">
        <f>VLOOKUP(Sales_Details2[[#This Row],[Customer_ID]],Customer_Details[#All],9,0)</f>
        <v>Gold</v>
      </c>
      <c r="H700" s="2" t="s">
        <v>1605</v>
      </c>
      <c r="I700" s="2" t="str">
        <f>VLOOKUP(Sales_Details2[[#This Row],[Product_ID]],Product_details[[#All],[Product_ID]:[Cost]],3,0)</f>
        <v>Clothing</v>
      </c>
      <c r="J700" s="2" t="str">
        <f>VLOOKUP(Sales_Details2[[#This Row],[Product_ID]],Product_details[[#All],[Product_ID]:[Cost]],4,0)</f>
        <v>Footwear</v>
      </c>
      <c r="K700" s="2" t="s">
        <v>1762</v>
      </c>
      <c r="L700" s="2" t="str">
        <f>_xlfn.XLOOKUP(Sales_Details2[[#This Row],[Store_ID]],Table2[Store_ID],Table2[Region],"Region not found")</f>
        <v>South</v>
      </c>
      <c r="M700" s="25">
        <v>3</v>
      </c>
      <c r="N700" s="36">
        <v>346.77</v>
      </c>
      <c r="O700" s="29">
        <v>0.18</v>
      </c>
      <c r="P700" s="2" t="s">
        <v>1809</v>
      </c>
      <c r="Q700" s="36">
        <v>853.05420000000004</v>
      </c>
    </row>
    <row r="701" spans="1:17" x14ac:dyDescent="0.3">
      <c r="A701" s="2" t="s">
        <v>2508</v>
      </c>
      <c r="B701" s="14">
        <v>45939</v>
      </c>
      <c r="C701" s="2">
        <f>YEAR(Sales_Details2[[#This Row],[Order_Date]])</f>
        <v>2025</v>
      </c>
      <c r="D701" s="2" t="s">
        <v>218</v>
      </c>
      <c r="E701" s="2" t="str">
        <f>VLOOKUP(Sales_Details2[[#This Row],[Customer_ID]],Customer_Details[#All],4,0)</f>
        <v>Senior</v>
      </c>
      <c r="F701" s="2" t="str">
        <f>VLOOKUP(Sales_Details2[[#This Row],[Customer_ID]],Customer_Details[#All],5,0)</f>
        <v>Male</v>
      </c>
      <c r="G701" s="2" t="str">
        <f>VLOOKUP(Sales_Details2[[#This Row],[Customer_ID]],Customer_Details[#All],9,0)</f>
        <v>Platinum</v>
      </c>
      <c r="H701" s="2" t="s">
        <v>1577</v>
      </c>
      <c r="I701" s="2" t="str">
        <f>VLOOKUP(Sales_Details2[[#This Row],[Product_ID]],Product_details[[#All],[Product_ID]:[Cost]],3,0)</f>
        <v>Clothing</v>
      </c>
      <c r="J701" s="2" t="str">
        <f>VLOOKUP(Sales_Details2[[#This Row],[Product_ID]],Product_details[[#All],[Product_ID]:[Cost]],4,0)</f>
        <v>Tops</v>
      </c>
      <c r="K701" s="2" t="s">
        <v>1796</v>
      </c>
      <c r="L701" s="2" t="str">
        <f>_xlfn.XLOOKUP(Sales_Details2[[#This Row],[Store_ID]],Table2[Store_ID],Table2[Region],"Region not found")</f>
        <v>East</v>
      </c>
      <c r="M701" s="25">
        <v>3</v>
      </c>
      <c r="N701" s="36">
        <v>648.33000000000004</v>
      </c>
      <c r="O701" s="29">
        <v>0.2</v>
      </c>
      <c r="P701" s="2" t="s">
        <v>1812</v>
      </c>
      <c r="Q701" s="36">
        <v>1555.992</v>
      </c>
    </row>
    <row r="702" spans="1:17" x14ac:dyDescent="0.3">
      <c r="A702" s="2" t="s">
        <v>2509</v>
      </c>
      <c r="B702" s="14">
        <v>45401</v>
      </c>
      <c r="C702" s="2">
        <f>YEAR(Sales_Details2[[#This Row],[Order_Date]])</f>
        <v>2024</v>
      </c>
      <c r="D702" s="2" t="s">
        <v>897</v>
      </c>
      <c r="E702" s="2" t="str">
        <f>VLOOKUP(Sales_Details2[[#This Row],[Customer_ID]],Customer_Details[#All],4,0)</f>
        <v>Mid-Adult</v>
      </c>
      <c r="F702" s="2" t="str">
        <f>VLOOKUP(Sales_Details2[[#This Row],[Customer_ID]],Customer_Details[#All],5,0)</f>
        <v>Female</v>
      </c>
      <c r="G702" s="2" t="str">
        <f>VLOOKUP(Sales_Details2[[#This Row],[Customer_ID]],Customer_Details[#All],9,0)</f>
        <v>Silver</v>
      </c>
      <c r="H702" s="2" t="s">
        <v>1540</v>
      </c>
      <c r="I702" s="2" t="str">
        <f>VLOOKUP(Sales_Details2[[#This Row],[Product_ID]],Product_details[[#All],[Product_ID]:[Cost]],3,0)</f>
        <v>Beauty</v>
      </c>
      <c r="J702" s="2" t="str">
        <f>VLOOKUP(Sales_Details2[[#This Row],[Product_ID]],Product_details[[#All],[Product_ID]:[Cost]],4,0)</f>
        <v>Skincare</v>
      </c>
      <c r="K702" s="2" t="s">
        <v>1744</v>
      </c>
      <c r="L702" s="2" t="str">
        <f>_xlfn.XLOOKUP(Sales_Details2[[#This Row],[Store_ID]],Table2[Store_ID],Table2[Region],"Region not found")</f>
        <v>South</v>
      </c>
      <c r="M702" s="25">
        <v>4</v>
      </c>
      <c r="N702" s="36">
        <v>254.94</v>
      </c>
      <c r="O702" s="29">
        <v>0.06</v>
      </c>
      <c r="P702" s="2" t="s">
        <v>1809</v>
      </c>
      <c r="Q702" s="36">
        <v>958.57439999999997</v>
      </c>
    </row>
    <row r="703" spans="1:17" x14ac:dyDescent="0.3">
      <c r="A703" s="2" t="s">
        <v>2510</v>
      </c>
      <c r="B703" s="14">
        <v>45420</v>
      </c>
      <c r="C703" s="2">
        <f>YEAR(Sales_Details2[[#This Row],[Order_Date]])</f>
        <v>2024</v>
      </c>
      <c r="D703" s="2" t="s">
        <v>1051</v>
      </c>
      <c r="E703" s="2" t="str">
        <f>VLOOKUP(Sales_Details2[[#This Row],[Customer_ID]],Customer_Details[#All],4,0)</f>
        <v>Mid-Adult</v>
      </c>
      <c r="F703" s="2" t="str">
        <f>VLOOKUP(Sales_Details2[[#This Row],[Customer_ID]],Customer_Details[#All],5,0)</f>
        <v>Female</v>
      </c>
      <c r="G703" s="2" t="str">
        <f>VLOOKUP(Sales_Details2[[#This Row],[Customer_ID]],Customer_Details[#All],9,0)</f>
        <v>Silver</v>
      </c>
      <c r="H703" s="2" t="s">
        <v>1693</v>
      </c>
      <c r="I703" s="2" t="str">
        <f>VLOOKUP(Sales_Details2[[#This Row],[Product_ID]],Product_details[[#All],[Product_ID]:[Cost]],3,0)</f>
        <v>Sports</v>
      </c>
      <c r="J703" s="2" t="str">
        <f>VLOOKUP(Sales_Details2[[#This Row],[Product_ID]],Product_details[[#All],[Product_ID]:[Cost]],4,0)</f>
        <v>Equipment</v>
      </c>
      <c r="K703" s="2" t="s">
        <v>1752</v>
      </c>
      <c r="L703" s="2" t="str">
        <f>_xlfn.XLOOKUP(Sales_Details2[[#This Row],[Store_ID]],Table2[Store_ID],Table2[Region],"Region not found")</f>
        <v>South</v>
      </c>
      <c r="M703" s="25">
        <v>1</v>
      </c>
      <c r="N703" s="36">
        <v>445.5</v>
      </c>
      <c r="O703" s="29">
        <v>0.28000000000000003</v>
      </c>
      <c r="P703" s="2" t="s">
        <v>1807</v>
      </c>
      <c r="Q703" s="36">
        <v>320.76</v>
      </c>
    </row>
    <row r="704" spans="1:17" x14ac:dyDescent="0.3">
      <c r="A704" s="2" t="s">
        <v>2511</v>
      </c>
      <c r="B704" s="14">
        <v>45459</v>
      </c>
      <c r="C704" s="2">
        <f>YEAR(Sales_Details2[[#This Row],[Order_Date]])</f>
        <v>2024</v>
      </c>
      <c r="D704" s="2" t="s">
        <v>710</v>
      </c>
      <c r="E704" s="2" t="str">
        <f>VLOOKUP(Sales_Details2[[#This Row],[Customer_ID]],Customer_Details[#All],4,0)</f>
        <v>Mid-Adult</v>
      </c>
      <c r="F704" s="2" t="str">
        <f>VLOOKUP(Sales_Details2[[#This Row],[Customer_ID]],Customer_Details[#All],5,0)</f>
        <v>Male</v>
      </c>
      <c r="G704" s="2" t="str">
        <f>VLOOKUP(Sales_Details2[[#This Row],[Customer_ID]],Customer_Details[#All],9,0)</f>
        <v>Platinum</v>
      </c>
      <c r="H704" s="2" t="s">
        <v>1711</v>
      </c>
      <c r="I704" s="2" t="str">
        <f>VLOOKUP(Sales_Details2[[#This Row],[Product_ID]],Product_details[[#All],[Product_ID]:[Cost]],3,0)</f>
        <v>Electronics</v>
      </c>
      <c r="J704" s="2" t="str">
        <f>VLOOKUP(Sales_Details2[[#This Row],[Product_ID]],Product_details[[#All],[Product_ID]:[Cost]],4,0)</f>
        <v>Accessories</v>
      </c>
      <c r="K704" s="2" t="s">
        <v>1752</v>
      </c>
      <c r="L704" s="2" t="str">
        <f>_xlfn.XLOOKUP(Sales_Details2[[#This Row],[Store_ID]],Table2[Store_ID],Table2[Region],"Region not found")</f>
        <v>South</v>
      </c>
      <c r="M704" s="25">
        <v>1</v>
      </c>
      <c r="N704" s="36">
        <v>900.94</v>
      </c>
      <c r="O704" s="29">
        <v>0.1</v>
      </c>
      <c r="P704" s="2" t="s">
        <v>1807</v>
      </c>
      <c r="Q704" s="36">
        <v>810.84600000000012</v>
      </c>
    </row>
    <row r="705" spans="1:17" x14ac:dyDescent="0.3">
      <c r="A705" s="2" t="s">
        <v>2512</v>
      </c>
      <c r="B705" s="14">
        <v>45429</v>
      </c>
      <c r="C705" s="2">
        <f>YEAR(Sales_Details2[[#This Row],[Order_Date]])</f>
        <v>2024</v>
      </c>
      <c r="D705" s="2" t="s">
        <v>637</v>
      </c>
      <c r="E705" s="2" t="str">
        <f>VLOOKUP(Sales_Details2[[#This Row],[Customer_ID]],Customer_Details[#All],4,0)</f>
        <v>Adult</v>
      </c>
      <c r="F705" s="2" t="str">
        <f>VLOOKUP(Sales_Details2[[#This Row],[Customer_ID]],Customer_Details[#All],5,0)</f>
        <v>Female</v>
      </c>
      <c r="G705" s="2" t="str">
        <f>VLOOKUP(Sales_Details2[[#This Row],[Customer_ID]],Customer_Details[#All],9,0)</f>
        <v>Platinum</v>
      </c>
      <c r="H705" s="2" t="s">
        <v>1561</v>
      </c>
      <c r="I705" s="2" t="str">
        <f>VLOOKUP(Sales_Details2[[#This Row],[Product_ID]],Product_details[[#All],[Product_ID]:[Cost]],3,0)</f>
        <v>Electronics</v>
      </c>
      <c r="J705" s="2" t="str">
        <f>VLOOKUP(Sales_Details2[[#This Row],[Product_ID]],Product_details[[#All],[Product_ID]:[Cost]],4,0)</f>
        <v>Appliances</v>
      </c>
      <c r="K705" s="2" t="s">
        <v>1787</v>
      </c>
      <c r="L705" s="2" t="str">
        <f>_xlfn.XLOOKUP(Sales_Details2[[#This Row],[Store_ID]],Table2[Store_ID],Table2[Region],"Region not found")</f>
        <v>West</v>
      </c>
      <c r="M705" s="25">
        <v>3</v>
      </c>
      <c r="N705" s="36">
        <v>262.69</v>
      </c>
      <c r="O705" s="29">
        <v>0.04</v>
      </c>
      <c r="P705" s="2" t="s">
        <v>1809</v>
      </c>
      <c r="Q705" s="36">
        <v>756.54719999999986</v>
      </c>
    </row>
    <row r="706" spans="1:17" x14ac:dyDescent="0.3">
      <c r="A706" s="2" t="s">
        <v>2513</v>
      </c>
      <c r="B706" s="14">
        <v>45386</v>
      </c>
      <c r="C706" s="2">
        <f>YEAR(Sales_Details2[[#This Row],[Order_Date]])</f>
        <v>2024</v>
      </c>
      <c r="D706" s="2" t="s">
        <v>1467</v>
      </c>
      <c r="E706" s="2" t="str">
        <f>VLOOKUP(Sales_Details2[[#This Row],[Customer_ID]],Customer_Details[#All],4,0)</f>
        <v>Adult</v>
      </c>
      <c r="F706" s="2" t="str">
        <f>VLOOKUP(Sales_Details2[[#This Row],[Customer_ID]],Customer_Details[#All],5,0)</f>
        <v>Male</v>
      </c>
      <c r="G706" s="2" t="str">
        <f>VLOOKUP(Sales_Details2[[#This Row],[Customer_ID]],Customer_Details[#All],9,0)</f>
        <v>Platinum</v>
      </c>
      <c r="H706" s="2" t="s">
        <v>1667</v>
      </c>
      <c r="I706" s="2" t="str">
        <f>VLOOKUP(Sales_Details2[[#This Row],[Product_ID]],Product_details[[#All],[Product_ID]:[Cost]],3,0)</f>
        <v>Home</v>
      </c>
      <c r="J706" s="2" t="str">
        <f>VLOOKUP(Sales_Details2[[#This Row],[Product_ID]],Product_details[[#All],[Product_ID]:[Cost]],4,0)</f>
        <v>Furniture</v>
      </c>
      <c r="K706" s="2" t="s">
        <v>1744</v>
      </c>
      <c r="L706" s="2" t="str">
        <f>_xlfn.XLOOKUP(Sales_Details2[[#This Row],[Store_ID]],Table2[Store_ID],Table2[Region],"Region not found")</f>
        <v>South</v>
      </c>
      <c r="M706" s="25">
        <v>3</v>
      </c>
      <c r="N706" s="36">
        <v>212.72</v>
      </c>
      <c r="O706" s="29">
        <v>0.22</v>
      </c>
      <c r="P706" s="2" t="s">
        <v>1809</v>
      </c>
      <c r="Q706" s="36">
        <v>497.76479999999998</v>
      </c>
    </row>
    <row r="707" spans="1:17" x14ac:dyDescent="0.3">
      <c r="A707" s="2" t="s">
        <v>2514</v>
      </c>
      <c r="B707" s="14">
        <v>45803</v>
      </c>
      <c r="C707" s="2">
        <f>YEAR(Sales_Details2[[#This Row],[Order_Date]])</f>
        <v>2025</v>
      </c>
      <c r="D707" s="2" t="s">
        <v>503</v>
      </c>
      <c r="E707" s="2" t="str">
        <f>VLOOKUP(Sales_Details2[[#This Row],[Customer_ID]],Customer_Details[#All],4,0)</f>
        <v>Adult</v>
      </c>
      <c r="F707" s="2" t="str">
        <f>VLOOKUP(Sales_Details2[[#This Row],[Customer_ID]],Customer_Details[#All],5,0)</f>
        <v>Female</v>
      </c>
      <c r="G707" s="2" t="str">
        <f>VLOOKUP(Sales_Details2[[#This Row],[Customer_ID]],Customer_Details[#All],9,0)</f>
        <v>Gold</v>
      </c>
      <c r="H707" s="2" t="s">
        <v>1579</v>
      </c>
      <c r="I707" s="2" t="str">
        <f>VLOOKUP(Sales_Details2[[#This Row],[Product_ID]],Product_details[[#All],[Product_ID]:[Cost]],3,0)</f>
        <v>Sports</v>
      </c>
      <c r="J707" s="2" t="str">
        <f>VLOOKUP(Sales_Details2[[#This Row],[Product_ID]],Product_details[[#All],[Product_ID]:[Cost]],4,0)</f>
        <v>Outdoor</v>
      </c>
      <c r="K707" s="2" t="s">
        <v>1793</v>
      </c>
      <c r="L707" s="2" t="str">
        <f>_xlfn.XLOOKUP(Sales_Details2[[#This Row],[Store_ID]],Table2[Store_ID],Table2[Region],"Region not found")</f>
        <v>East</v>
      </c>
      <c r="M707" s="25">
        <v>4</v>
      </c>
      <c r="N707" s="36">
        <v>757.9</v>
      </c>
      <c r="O707" s="29">
        <v>0.22</v>
      </c>
      <c r="P707" s="2" t="s">
        <v>1809</v>
      </c>
      <c r="Q707" s="36">
        <v>2364.6480000000001</v>
      </c>
    </row>
    <row r="708" spans="1:17" x14ac:dyDescent="0.3">
      <c r="A708" s="2" t="s">
        <v>2515</v>
      </c>
      <c r="B708" s="14">
        <v>45346</v>
      </c>
      <c r="C708" s="2">
        <f>YEAR(Sales_Details2[[#This Row],[Order_Date]])</f>
        <v>2024</v>
      </c>
      <c r="D708" s="2" t="s">
        <v>78</v>
      </c>
      <c r="E708" s="2" t="str">
        <f>VLOOKUP(Sales_Details2[[#This Row],[Customer_ID]],Customer_Details[#All],4,0)</f>
        <v>Senior</v>
      </c>
      <c r="F708" s="2" t="str">
        <f>VLOOKUP(Sales_Details2[[#This Row],[Customer_ID]],Customer_Details[#All],5,0)</f>
        <v>Female</v>
      </c>
      <c r="G708" s="2" t="str">
        <f>VLOOKUP(Sales_Details2[[#This Row],[Customer_ID]],Customer_Details[#All],9,0)</f>
        <v>Platinum</v>
      </c>
      <c r="H708" s="2" t="s">
        <v>1691</v>
      </c>
      <c r="I708" s="2" t="str">
        <f>VLOOKUP(Sales_Details2[[#This Row],[Product_ID]],Product_details[[#All],[Product_ID]:[Cost]],3,0)</f>
        <v>Home</v>
      </c>
      <c r="J708" s="2" t="str">
        <f>VLOOKUP(Sales_Details2[[#This Row],[Product_ID]],Product_details[[#All],[Product_ID]:[Cost]],4,0)</f>
        <v>Kitchen</v>
      </c>
      <c r="K708" s="2" t="s">
        <v>1790</v>
      </c>
      <c r="L708" s="2" t="str">
        <f>_xlfn.XLOOKUP(Sales_Details2[[#This Row],[Store_ID]],Table2[Store_ID],Table2[Region],"Region not found")</f>
        <v>North</v>
      </c>
      <c r="M708" s="25">
        <v>1</v>
      </c>
      <c r="N708" s="36">
        <v>846.04</v>
      </c>
      <c r="O708" s="29">
        <v>0.08</v>
      </c>
      <c r="P708" s="2" t="s">
        <v>1809</v>
      </c>
      <c r="Q708" s="36">
        <v>778.35680000000002</v>
      </c>
    </row>
    <row r="709" spans="1:17" x14ac:dyDescent="0.3">
      <c r="A709" s="2" t="s">
        <v>2516</v>
      </c>
      <c r="B709" s="14">
        <v>45267</v>
      </c>
      <c r="C709" s="2">
        <f>YEAR(Sales_Details2[[#This Row],[Order_Date]])</f>
        <v>2023</v>
      </c>
      <c r="D709" s="2" t="s">
        <v>527</v>
      </c>
      <c r="E709" s="2" t="str">
        <f>VLOOKUP(Sales_Details2[[#This Row],[Customer_ID]],Customer_Details[#All],4,0)</f>
        <v>Mid-Adult</v>
      </c>
      <c r="F709" s="2" t="str">
        <f>VLOOKUP(Sales_Details2[[#This Row],[Customer_ID]],Customer_Details[#All],5,0)</f>
        <v>Female</v>
      </c>
      <c r="G709" s="2" t="str">
        <f>VLOOKUP(Sales_Details2[[#This Row],[Customer_ID]],Customer_Details[#All],9,0)</f>
        <v>Gold</v>
      </c>
      <c r="H709" s="2" t="s">
        <v>1607</v>
      </c>
      <c r="I709" s="2" t="str">
        <f>VLOOKUP(Sales_Details2[[#This Row],[Product_ID]],Product_details[[#All],[Product_ID]:[Cost]],3,0)</f>
        <v>Sports</v>
      </c>
      <c r="J709" s="2" t="str">
        <f>VLOOKUP(Sales_Details2[[#This Row],[Product_ID]],Product_details[[#All],[Product_ID]:[Cost]],4,0)</f>
        <v>Outdoor</v>
      </c>
      <c r="K709" s="2" t="s">
        <v>1762</v>
      </c>
      <c r="L709" s="2" t="str">
        <f>_xlfn.XLOOKUP(Sales_Details2[[#This Row],[Store_ID]],Table2[Store_ID],Table2[Region],"Region not found")</f>
        <v>South</v>
      </c>
      <c r="M709" s="25">
        <v>3</v>
      </c>
      <c r="N709" s="36">
        <v>179.7</v>
      </c>
      <c r="O709" s="29">
        <v>0.17</v>
      </c>
      <c r="P709" s="2" t="s">
        <v>1812</v>
      </c>
      <c r="Q709" s="36">
        <v>447.45299999999992</v>
      </c>
    </row>
    <row r="710" spans="1:17" x14ac:dyDescent="0.3">
      <c r="A710" s="2" t="s">
        <v>2517</v>
      </c>
      <c r="B710" s="14">
        <v>45572</v>
      </c>
      <c r="C710" s="2">
        <f>YEAR(Sales_Details2[[#This Row],[Order_Date]])</f>
        <v>2024</v>
      </c>
      <c r="D710" s="2" t="s">
        <v>1364</v>
      </c>
      <c r="E710" s="2" t="str">
        <f>VLOOKUP(Sales_Details2[[#This Row],[Customer_ID]],Customer_Details[#All],4,0)</f>
        <v>Mid-Adult</v>
      </c>
      <c r="F710" s="2" t="str">
        <f>VLOOKUP(Sales_Details2[[#This Row],[Customer_ID]],Customer_Details[#All],5,0)</f>
        <v>Male</v>
      </c>
      <c r="G710" s="2" t="str">
        <f>VLOOKUP(Sales_Details2[[#This Row],[Customer_ID]],Customer_Details[#All],9,0)</f>
        <v>Silver</v>
      </c>
      <c r="H710" s="2" t="s">
        <v>1593</v>
      </c>
      <c r="I710" s="2" t="str">
        <f>VLOOKUP(Sales_Details2[[#This Row],[Product_ID]],Product_details[[#All],[Product_ID]:[Cost]],3,0)</f>
        <v>Sports</v>
      </c>
      <c r="J710" s="2" t="str">
        <f>VLOOKUP(Sales_Details2[[#This Row],[Product_ID]],Product_details[[#All],[Product_ID]:[Cost]],4,0)</f>
        <v>Team Sports</v>
      </c>
      <c r="K710" s="2" t="s">
        <v>1752</v>
      </c>
      <c r="L710" s="2" t="str">
        <f>_xlfn.XLOOKUP(Sales_Details2[[#This Row],[Store_ID]],Table2[Store_ID],Table2[Region],"Region not found")</f>
        <v>South</v>
      </c>
      <c r="M710" s="25">
        <v>4</v>
      </c>
      <c r="N710" s="36">
        <v>681.08</v>
      </c>
      <c r="O710" s="29">
        <v>0</v>
      </c>
      <c r="P710" s="2" t="s">
        <v>1809</v>
      </c>
      <c r="Q710" s="36">
        <v>2724.32</v>
      </c>
    </row>
    <row r="711" spans="1:17" x14ac:dyDescent="0.3">
      <c r="A711" s="2" t="s">
        <v>2518</v>
      </c>
      <c r="B711" s="14">
        <v>45252</v>
      </c>
      <c r="C711" s="2">
        <f>YEAR(Sales_Details2[[#This Row],[Order_Date]])</f>
        <v>2023</v>
      </c>
      <c r="D711" s="2" t="s">
        <v>1240</v>
      </c>
      <c r="E711" s="2" t="str">
        <f>VLOOKUP(Sales_Details2[[#This Row],[Customer_ID]],Customer_Details[#All],4,0)</f>
        <v>Mid-Adult</v>
      </c>
      <c r="F711" s="2" t="str">
        <f>VLOOKUP(Sales_Details2[[#This Row],[Customer_ID]],Customer_Details[#All],5,0)</f>
        <v>Male</v>
      </c>
      <c r="G711" s="2" t="str">
        <f>VLOOKUP(Sales_Details2[[#This Row],[Customer_ID]],Customer_Details[#All],9,0)</f>
        <v>Bronze</v>
      </c>
      <c r="H711" s="2" t="s">
        <v>1536</v>
      </c>
      <c r="I711" s="2" t="str">
        <f>VLOOKUP(Sales_Details2[[#This Row],[Product_ID]],Product_details[[#All],[Product_ID]:[Cost]],3,0)</f>
        <v>Clothing</v>
      </c>
      <c r="J711" s="2" t="str">
        <f>VLOOKUP(Sales_Details2[[#This Row],[Product_ID]],Product_details[[#All],[Product_ID]:[Cost]],4,0)</f>
        <v>Bottoms</v>
      </c>
      <c r="K711" s="2" t="s">
        <v>1762</v>
      </c>
      <c r="L711" s="2" t="str">
        <f>_xlfn.XLOOKUP(Sales_Details2[[#This Row],[Store_ID]],Table2[Store_ID],Table2[Region],"Region not found")</f>
        <v>South</v>
      </c>
      <c r="M711" s="25">
        <v>4</v>
      </c>
      <c r="N711" s="36">
        <v>723.44</v>
      </c>
      <c r="O711" s="29">
        <v>0.14000000000000001</v>
      </c>
      <c r="P711" s="2" t="s">
        <v>1809</v>
      </c>
      <c r="Q711" s="36">
        <v>2488.6336000000001</v>
      </c>
    </row>
    <row r="712" spans="1:17" x14ac:dyDescent="0.3">
      <c r="A712" s="2" t="s">
        <v>2519</v>
      </c>
      <c r="B712" s="14">
        <v>45939</v>
      </c>
      <c r="C712" s="2">
        <f>YEAR(Sales_Details2[[#This Row],[Order_Date]])</f>
        <v>2025</v>
      </c>
      <c r="D712" s="2" t="s">
        <v>430</v>
      </c>
      <c r="E712" s="2" t="str">
        <f>VLOOKUP(Sales_Details2[[#This Row],[Customer_ID]],Customer_Details[#All],4,0)</f>
        <v>Senior</v>
      </c>
      <c r="F712" s="2" t="str">
        <f>VLOOKUP(Sales_Details2[[#This Row],[Customer_ID]],Customer_Details[#All],5,0)</f>
        <v>Female</v>
      </c>
      <c r="G712" s="2" t="str">
        <f>VLOOKUP(Sales_Details2[[#This Row],[Customer_ID]],Customer_Details[#All],9,0)</f>
        <v>Gold</v>
      </c>
      <c r="H712" s="2" t="s">
        <v>1593</v>
      </c>
      <c r="I712" s="2" t="str">
        <f>VLOOKUP(Sales_Details2[[#This Row],[Product_ID]],Product_details[[#All],[Product_ID]:[Cost]],3,0)</f>
        <v>Sports</v>
      </c>
      <c r="J712" s="2" t="str">
        <f>VLOOKUP(Sales_Details2[[#This Row],[Product_ID]],Product_details[[#All],[Product_ID]:[Cost]],4,0)</f>
        <v>Team Sports</v>
      </c>
      <c r="K712" s="2" t="s">
        <v>1782</v>
      </c>
      <c r="L712" s="2" t="str">
        <f>_xlfn.XLOOKUP(Sales_Details2[[#This Row],[Store_ID]],Table2[Store_ID],Table2[Region],"Region not found")</f>
        <v>South</v>
      </c>
      <c r="M712" s="25">
        <v>4</v>
      </c>
      <c r="N712" s="36">
        <v>471.89</v>
      </c>
      <c r="O712" s="29">
        <v>0.12</v>
      </c>
      <c r="P712" s="2" t="s">
        <v>1812</v>
      </c>
      <c r="Q712" s="36">
        <v>1661.0527999999999</v>
      </c>
    </row>
    <row r="713" spans="1:17" x14ac:dyDescent="0.3">
      <c r="A713" s="2" t="s">
        <v>2520</v>
      </c>
      <c r="B713" s="14">
        <v>45559</v>
      </c>
      <c r="C713" s="2">
        <f>YEAR(Sales_Details2[[#This Row],[Order_Date]])</f>
        <v>2024</v>
      </c>
      <c r="D713" s="2" t="s">
        <v>1132</v>
      </c>
      <c r="E713" s="2" t="str">
        <f>VLOOKUP(Sales_Details2[[#This Row],[Customer_ID]],Customer_Details[#All],4,0)</f>
        <v>Mid-Adult</v>
      </c>
      <c r="F713" s="2" t="str">
        <f>VLOOKUP(Sales_Details2[[#This Row],[Customer_ID]],Customer_Details[#All],5,0)</f>
        <v>Female</v>
      </c>
      <c r="G713" s="2" t="str">
        <f>VLOOKUP(Sales_Details2[[#This Row],[Customer_ID]],Customer_Details[#All],9,0)</f>
        <v>Platinum</v>
      </c>
      <c r="H713" s="2" t="s">
        <v>1673</v>
      </c>
      <c r="I713" s="2" t="str">
        <f>VLOOKUP(Sales_Details2[[#This Row],[Product_ID]],Product_details[[#All],[Product_ID]:[Cost]],3,0)</f>
        <v>Beauty</v>
      </c>
      <c r="J713" s="2" t="str">
        <f>VLOOKUP(Sales_Details2[[#This Row],[Product_ID]],Product_details[[#All],[Product_ID]:[Cost]],4,0)</f>
        <v>Haircare</v>
      </c>
      <c r="K713" s="2" t="s">
        <v>1790</v>
      </c>
      <c r="L713" s="2" t="str">
        <f>_xlfn.XLOOKUP(Sales_Details2[[#This Row],[Store_ID]],Table2[Store_ID],Table2[Region],"Region not found")</f>
        <v>North</v>
      </c>
      <c r="M713" s="25">
        <v>1</v>
      </c>
      <c r="N713" s="36">
        <v>613.17999999999995</v>
      </c>
      <c r="O713" s="29">
        <v>0.14000000000000001</v>
      </c>
      <c r="P713" s="2" t="s">
        <v>1812</v>
      </c>
      <c r="Q713" s="36">
        <v>527.33479999999997</v>
      </c>
    </row>
    <row r="714" spans="1:17" x14ac:dyDescent="0.3">
      <c r="A714" s="2" t="s">
        <v>2521</v>
      </c>
      <c r="B714" s="14">
        <v>45229</v>
      </c>
      <c r="C714" s="2">
        <f>YEAR(Sales_Details2[[#This Row],[Order_Date]])</f>
        <v>2023</v>
      </c>
      <c r="D714" s="2" t="s">
        <v>192</v>
      </c>
      <c r="E714" s="2" t="str">
        <f>VLOOKUP(Sales_Details2[[#This Row],[Customer_ID]],Customer_Details[#All],4,0)</f>
        <v>Adult</v>
      </c>
      <c r="F714" s="2" t="str">
        <f>VLOOKUP(Sales_Details2[[#This Row],[Customer_ID]],Customer_Details[#All],5,0)</f>
        <v>Female</v>
      </c>
      <c r="G714" s="2" t="str">
        <f>VLOOKUP(Sales_Details2[[#This Row],[Customer_ID]],Customer_Details[#All],9,0)</f>
        <v>Gold</v>
      </c>
      <c r="H714" s="2" t="s">
        <v>1617</v>
      </c>
      <c r="I714" s="2" t="str">
        <f>VLOOKUP(Sales_Details2[[#This Row],[Product_ID]],Product_details[[#All],[Product_ID]:[Cost]],3,0)</f>
        <v>Electronics</v>
      </c>
      <c r="J714" s="2" t="str">
        <f>VLOOKUP(Sales_Details2[[#This Row],[Product_ID]],Product_details[[#All],[Product_ID]:[Cost]],4,0)</f>
        <v>Computer</v>
      </c>
      <c r="K714" s="2" t="s">
        <v>1752</v>
      </c>
      <c r="L714" s="2" t="str">
        <f>_xlfn.XLOOKUP(Sales_Details2[[#This Row],[Store_ID]],Table2[Store_ID],Table2[Region],"Region not found")</f>
        <v>South</v>
      </c>
      <c r="M714" s="25">
        <v>1</v>
      </c>
      <c r="N714" s="36">
        <v>651.30999999999995</v>
      </c>
      <c r="O714" s="29">
        <v>0.24</v>
      </c>
      <c r="P714" s="2" t="s">
        <v>1809</v>
      </c>
      <c r="Q714" s="36">
        <v>494.99560000000002</v>
      </c>
    </row>
    <row r="715" spans="1:17" x14ac:dyDescent="0.3">
      <c r="A715" s="2" t="s">
        <v>2522</v>
      </c>
      <c r="B715" s="14">
        <v>45333</v>
      </c>
      <c r="C715" s="2">
        <f>YEAR(Sales_Details2[[#This Row],[Order_Date]])</f>
        <v>2024</v>
      </c>
      <c r="D715" s="2" t="s">
        <v>103</v>
      </c>
      <c r="E715" s="2" t="str">
        <f>VLOOKUP(Sales_Details2[[#This Row],[Customer_ID]],Customer_Details[#All],4,0)</f>
        <v>Mid-Adult</v>
      </c>
      <c r="F715" s="2" t="str">
        <f>VLOOKUP(Sales_Details2[[#This Row],[Customer_ID]],Customer_Details[#All],5,0)</f>
        <v>Male</v>
      </c>
      <c r="G715" s="2" t="str">
        <f>VLOOKUP(Sales_Details2[[#This Row],[Customer_ID]],Customer_Details[#All],9,0)</f>
        <v>Platinum</v>
      </c>
      <c r="H715" s="2" t="s">
        <v>1534</v>
      </c>
      <c r="I715" s="2" t="str">
        <f>VLOOKUP(Sales_Details2[[#This Row],[Product_ID]],Product_details[[#All],[Product_ID]:[Cost]],3,0)</f>
        <v>Clothing</v>
      </c>
      <c r="J715" s="2" t="str">
        <f>VLOOKUP(Sales_Details2[[#This Row],[Product_ID]],Product_details[[#All],[Product_ID]:[Cost]],4,0)</f>
        <v>Outerwear</v>
      </c>
      <c r="K715" s="2" t="s">
        <v>1759</v>
      </c>
      <c r="L715" s="2" t="str">
        <f>_xlfn.XLOOKUP(Sales_Details2[[#This Row],[Store_ID]],Table2[Store_ID],Table2[Region],"Region not found")</f>
        <v>East</v>
      </c>
      <c r="M715" s="25">
        <v>2</v>
      </c>
      <c r="N715" s="36">
        <v>635.14</v>
      </c>
      <c r="O715" s="29">
        <v>0.1</v>
      </c>
      <c r="P715" s="2" t="s">
        <v>1812</v>
      </c>
      <c r="Q715" s="36">
        <v>1143.252</v>
      </c>
    </row>
    <row r="716" spans="1:17" x14ac:dyDescent="0.3">
      <c r="A716" s="2" t="s">
        <v>2523</v>
      </c>
      <c r="B716" s="14">
        <v>45752</v>
      </c>
      <c r="C716" s="2">
        <f>YEAR(Sales_Details2[[#This Row],[Order_Date]])</f>
        <v>2025</v>
      </c>
      <c r="D716" s="2" t="s">
        <v>1174</v>
      </c>
      <c r="E716" s="2" t="str">
        <f>VLOOKUP(Sales_Details2[[#This Row],[Customer_ID]],Customer_Details[#All],4,0)</f>
        <v>Adult</v>
      </c>
      <c r="F716" s="2" t="str">
        <f>VLOOKUP(Sales_Details2[[#This Row],[Customer_ID]],Customer_Details[#All],5,0)</f>
        <v>Male</v>
      </c>
      <c r="G716" s="2" t="str">
        <f>VLOOKUP(Sales_Details2[[#This Row],[Customer_ID]],Customer_Details[#All],9,0)</f>
        <v>Gold</v>
      </c>
      <c r="H716" s="2" t="s">
        <v>1727</v>
      </c>
      <c r="I716" s="2" t="str">
        <f>VLOOKUP(Sales_Details2[[#This Row],[Product_ID]],Product_details[[#All],[Product_ID]:[Cost]],3,0)</f>
        <v>Electronics</v>
      </c>
      <c r="J716" s="2" t="str">
        <f>VLOOKUP(Sales_Details2[[#This Row],[Product_ID]],Product_details[[#All],[Product_ID]:[Cost]],4,0)</f>
        <v>Audio</v>
      </c>
      <c r="K716" s="2" t="s">
        <v>1782</v>
      </c>
      <c r="L716" s="2" t="str">
        <f>_xlfn.XLOOKUP(Sales_Details2[[#This Row],[Store_ID]],Table2[Store_ID],Table2[Region],"Region not found")</f>
        <v>South</v>
      </c>
      <c r="M716" s="25">
        <v>4</v>
      </c>
      <c r="N716" s="36">
        <v>912.61</v>
      </c>
      <c r="O716" s="29">
        <v>0.14000000000000001</v>
      </c>
      <c r="P716" s="2" t="s">
        <v>1807</v>
      </c>
      <c r="Q716" s="36">
        <v>3139.3784000000001</v>
      </c>
    </row>
    <row r="717" spans="1:17" x14ac:dyDescent="0.3">
      <c r="A717" s="2" t="s">
        <v>2524</v>
      </c>
      <c r="B717" s="14">
        <v>45795</v>
      </c>
      <c r="C717" s="2">
        <f>YEAR(Sales_Details2[[#This Row],[Order_Date]])</f>
        <v>2025</v>
      </c>
      <c r="D717" s="2" t="s">
        <v>864</v>
      </c>
      <c r="E717" s="2" t="str">
        <f>VLOOKUP(Sales_Details2[[#This Row],[Customer_ID]],Customer_Details[#All],4,0)</f>
        <v>Mid-Adult</v>
      </c>
      <c r="F717" s="2" t="str">
        <f>VLOOKUP(Sales_Details2[[#This Row],[Customer_ID]],Customer_Details[#All],5,0)</f>
        <v>Male</v>
      </c>
      <c r="G717" s="2" t="str">
        <f>VLOOKUP(Sales_Details2[[#This Row],[Customer_ID]],Customer_Details[#All],9,0)</f>
        <v>Silver</v>
      </c>
      <c r="H717" s="2" t="s">
        <v>1625</v>
      </c>
      <c r="I717" s="2" t="str">
        <f>VLOOKUP(Sales_Details2[[#This Row],[Product_ID]],Product_details[[#All],[Product_ID]:[Cost]],3,0)</f>
        <v>Beauty</v>
      </c>
      <c r="J717" s="2" t="str">
        <f>VLOOKUP(Sales_Details2[[#This Row],[Product_ID]],Product_details[[#All],[Product_ID]:[Cost]],4,0)</f>
        <v>Makeup</v>
      </c>
      <c r="K717" s="2" t="s">
        <v>1762</v>
      </c>
      <c r="L717" s="2" t="str">
        <f>_xlfn.XLOOKUP(Sales_Details2[[#This Row],[Store_ID]],Table2[Store_ID],Table2[Region],"Region not found")</f>
        <v>South</v>
      </c>
      <c r="M717" s="25">
        <v>3</v>
      </c>
      <c r="N717" s="36">
        <v>79.77</v>
      </c>
      <c r="O717" s="29">
        <v>0.09</v>
      </c>
      <c r="P717" s="2" t="s">
        <v>1807</v>
      </c>
      <c r="Q717" s="36">
        <v>217.77209999999999</v>
      </c>
    </row>
    <row r="718" spans="1:17" x14ac:dyDescent="0.3">
      <c r="A718" s="2" t="s">
        <v>2525</v>
      </c>
      <c r="B718" s="14">
        <v>45755</v>
      </c>
      <c r="C718" s="2">
        <f>YEAR(Sales_Details2[[#This Row],[Order_Date]])</f>
        <v>2025</v>
      </c>
      <c r="D718" s="2" t="s">
        <v>873</v>
      </c>
      <c r="E718" s="2" t="str">
        <f>VLOOKUP(Sales_Details2[[#This Row],[Customer_ID]],Customer_Details[#All],4,0)</f>
        <v>Adult</v>
      </c>
      <c r="F718" s="2" t="str">
        <f>VLOOKUP(Sales_Details2[[#This Row],[Customer_ID]],Customer_Details[#All],5,0)</f>
        <v>Female</v>
      </c>
      <c r="G718" s="2" t="str">
        <f>VLOOKUP(Sales_Details2[[#This Row],[Customer_ID]],Customer_Details[#All],9,0)</f>
        <v>Platinum</v>
      </c>
      <c r="H718" s="2" t="s">
        <v>1719</v>
      </c>
      <c r="I718" s="2" t="str">
        <f>VLOOKUP(Sales_Details2[[#This Row],[Product_ID]],Product_details[[#All],[Product_ID]:[Cost]],3,0)</f>
        <v>Beauty</v>
      </c>
      <c r="J718" s="2" t="str">
        <f>VLOOKUP(Sales_Details2[[#This Row],[Product_ID]],Product_details[[#All],[Product_ID]:[Cost]],4,0)</f>
        <v>Skincare</v>
      </c>
      <c r="K718" s="2" t="s">
        <v>1784</v>
      </c>
      <c r="L718" s="2" t="str">
        <f>_xlfn.XLOOKUP(Sales_Details2[[#This Row],[Store_ID]],Table2[Store_ID],Table2[Region],"Region not found")</f>
        <v>North</v>
      </c>
      <c r="M718" s="25">
        <v>4</v>
      </c>
      <c r="N718" s="36">
        <v>603.52</v>
      </c>
      <c r="O718" s="29">
        <v>0.25</v>
      </c>
      <c r="P718" s="2" t="s">
        <v>1807</v>
      </c>
      <c r="Q718" s="36">
        <v>1810.56</v>
      </c>
    </row>
    <row r="719" spans="1:17" x14ac:dyDescent="0.3">
      <c r="A719" s="2" t="s">
        <v>2526</v>
      </c>
      <c r="B719" s="14">
        <v>45625</v>
      </c>
      <c r="C719" s="2">
        <f>YEAR(Sales_Details2[[#This Row],[Order_Date]])</f>
        <v>2024</v>
      </c>
      <c r="D719" s="2" t="s">
        <v>278</v>
      </c>
      <c r="E719" s="2" t="str">
        <f>VLOOKUP(Sales_Details2[[#This Row],[Customer_ID]],Customer_Details[#All],4,0)</f>
        <v>Adult</v>
      </c>
      <c r="F719" s="2" t="str">
        <f>VLOOKUP(Sales_Details2[[#This Row],[Customer_ID]],Customer_Details[#All],5,0)</f>
        <v>Male</v>
      </c>
      <c r="G719" s="2" t="str">
        <f>VLOOKUP(Sales_Details2[[#This Row],[Customer_ID]],Customer_Details[#All],9,0)</f>
        <v>Gold</v>
      </c>
      <c r="H719" s="2" t="s">
        <v>1685</v>
      </c>
      <c r="I719" s="2" t="str">
        <f>VLOOKUP(Sales_Details2[[#This Row],[Product_ID]],Product_details[[#All],[Product_ID]:[Cost]],3,0)</f>
        <v>Electronics</v>
      </c>
      <c r="J719" s="2" t="str">
        <f>VLOOKUP(Sales_Details2[[#This Row],[Product_ID]],Product_details[[#All],[Product_ID]:[Cost]],4,0)</f>
        <v>Appliances</v>
      </c>
      <c r="K719" s="2" t="s">
        <v>1777</v>
      </c>
      <c r="L719" s="2" t="str">
        <f>_xlfn.XLOOKUP(Sales_Details2[[#This Row],[Store_ID]],Table2[Store_ID],Table2[Region],"Region not found")</f>
        <v>North</v>
      </c>
      <c r="M719" s="25">
        <v>4</v>
      </c>
      <c r="N719" s="36">
        <v>453.12</v>
      </c>
      <c r="O719" s="29">
        <v>0.23</v>
      </c>
      <c r="P719" s="2" t="s">
        <v>1812</v>
      </c>
      <c r="Q719" s="36">
        <v>1395.6096</v>
      </c>
    </row>
    <row r="720" spans="1:17" x14ac:dyDescent="0.3">
      <c r="A720" s="2" t="s">
        <v>2527</v>
      </c>
      <c r="B720" s="14">
        <v>45656</v>
      </c>
      <c r="C720" s="2">
        <f>YEAR(Sales_Details2[[#This Row],[Order_Date]])</f>
        <v>2024</v>
      </c>
      <c r="D720" s="2" t="s">
        <v>1510</v>
      </c>
      <c r="E720" s="2" t="str">
        <f>VLOOKUP(Sales_Details2[[#This Row],[Customer_ID]],Customer_Details[#All],4,0)</f>
        <v>Mid-Adult</v>
      </c>
      <c r="F720" s="2" t="str">
        <f>VLOOKUP(Sales_Details2[[#This Row],[Customer_ID]],Customer_Details[#All],5,0)</f>
        <v>Female</v>
      </c>
      <c r="G720" s="2" t="str">
        <f>VLOOKUP(Sales_Details2[[#This Row],[Customer_ID]],Customer_Details[#All],9,0)</f>
        <v>Gold</v>
      </c>
      <c r="H720" s="2" t="s">
        <v>1597</v>
      </c>
      <c r="I720" s="2" t="str">
        <f>VLOOKUP(Sales_Details2[[#This Row],[Product_ID]],Product_details[[#All],[Product_ID]:[Cost]],3,0)</f>
        <v>Home</v>
      </c>
      <c r="J720" s="2" t="str">
        <f>VLOOKUP(Sales_Details2[[#This Row],[Product_ID]],Product_details[[#All],[Product_ID]:[Cost]],4,0)</f>
        <v>Decor</v>
      </c>
      <c r="K720" s="2" t="s">
        <v>1769</v>
      </c>
      <c r="L720" s="2" t="str">
        <f>_xlfn.XLOOKUP(Sales_Details2[[#This Row],[Store_ID]],Table2[Store_ID],Table2[Region],"Region not found")</f>
        <v>South</v>
      </c>
      <c r="M720" s="25">
        <v>2</v>
      </c>
      <c r="N720" s="36">
        <v>974.35</v>
      </c>
      <c r="O720" s="29">
        <v>0.15</v>
      </c>
      <c r="P720" s="2" t="s">
        <v>1807</v>
      </c>
      <c r="Q720" s="36">
        <v>1656.395</v>
      </c>
    </row>
    <row r="721" spans="1:17" x14ac:dyDescent="0.3">
      <c r="A721" s="2" t="s">
        <v>2528</v>
      </c>
      <c r="B721" s="14">
        <v>45824</v>
      </c>
      <c r="C721" s="2">
        <f>YEAR(Sales_Details2[[#This Row],[Order_Date]])</f>
        <v>2025</v>
      </c>
      <c r="D721" s="2" t="s">
        <v>1450</v>
      </c>
      <c r="E721" s="2" t="str">
        <f>VLOOKUP(Sales_Details2[[#This Row],[Customer_ID]],Customer_Details[#All],4,0)</f>
        <v>Mid-Adult</v>
      </c>
      <c r="F721" s="2" t="str">
        <f>VLOOKUP(Sales_Details2[[#This Row],[Customer_ID]],Customer_Details[#All],5,0)</f>
        <v>Female</v>
      </c>
      <c r="G721" s="2" t="str">
        <f>VLOOKUP(Sales_Details2[[#This Row],[Customer_ID]],Customer_Details[#All],9,0)</f>
        <v>Gold</v>
      </c>
      <c r="H721" s="2" t="s">
        <v>1721</v>
      </c>
      <c r="I721" s="2" t="str">
        <f>VLOOKUP(Sales_Details2[[#This Row],[Product_ID]],Product_details[[#All],[Product_ID]:[Cost]],3,0)</f>
        <v>Sports</v>
      </c>
      <c r="J721" s="2" t="str">
        <f>VLOOKUP(Sales_Details2[[#This Row],[Product_ID]],Product_details[[#All],[Product_ID]:[Cost]],4,0)</f>
        <v>Accessories</v>
      </c>
      <c r="K721" s="2" t="s">
        <v>1790</v>
      </c>
      <c r="L721" s="2" t="str">
        <f>_xlfn.XLOOKUP(Sales_Details2[[#This Row],[Store_ID]],Table2[Store_ID],Table2[Region],"Region not found")</f>
        <v>North</v>
      </c>
      <c r="M721" s="25">
        <v>4</v>
      </c>
      <c r="N721" s="36">
        <v>52.35</v>
      </c>
      <c r="O721" s="29">
        <v>0.23</v>
      </c>
      <c r="P721" s="2" t="s">
        <v>1812</v>
      </c>
      <c r="Q721" s="36">
        <v>161.238</v>
      </c>
    </row>
    <row r="722" spans="1:17" x14ac:dyDescent="0.3">
      <c r="A722" s="2" t="s">
        <v>2529</v>
      </c>
      <c r="B722" s="14">
        <v>45824</v>
      </c>
      <c r="C722" s="2">
        <f>YEAR(Sales_Details2[[#This Row],[Order_Date]])</f>
        <v>2025</v>
      </c>
      <c r="D722" s="2" t="s">
        <v>1144</v>
      </c>
      <c r="E722" s="2" t="str">
        <f>VLOOKUP(Sales_Details2[[#This Row],[Customer_ID]],Customer_Details[#All],4,0)</f>
        <v>Mid-Adult</v>
      </c>
      <c r="F722" s="2" t="str">
        <f>VLOOKUP(Sales_Details2[[#This Row],[Customer_ID]],Customer_Details[#All],5,0)</f>
        <v>Male</v>
      </c>
      <c r="G722" s="2" t="str">
        <f>VLOOKUP(Sales_Details2[[#This Row],[Customer_ID]],Customer_Details[#All],9,0)</f>
        <v>Silver</v>
      </c>
      <c r="H722" s="2" t="s">
        <v>1661</v>
      </c>
      <c r="I722" s="2" t="str">
        <f>VLOOKUP(Sales_Details2[[#This Row],[Product_ID]],Product_details[[#All],[Product_ID]:[Cost]],3,0)</f>
        <v>Sports</v>
      </c>
      <c r="J722" s="2" t="str">
        <f>VLOOKUP(Sales_Details2[[#This Row],[Product_ID]],Product_details[[#All],[Product_ID]:[Cost]],4,0)</f>
        <v>Fitness</v>
      </c>
      <c r="K722" s="2" t="s">
        <v>1790</v>
      </c>
      <c r="L722" s="2" t="str">
        <f>_xlfn.XLOOKUP(Sales_Details2[[#This Row],[Store_ID]],Table2[Store_ID],Table2[Region],"Region not found")</f>
        <v>North</v>
      </c>
      <c r="M722" s="25">
        <v>3</v>
      </c>
      <c r="N722" s="36">
        <v>681.58</v>
      </c>
      <c r="O722" s="29">
        <v>0.23</v>
      </c>
      <c r="P722" s="2" t="s">
        <v>1807</v>
      </c>
      <c r="Q722" s="36">
        <v>1574.4498000000001</v>
      </c>
    </row>
    <row r="723" spans="1:17" x14ac:dyDescent="0.3">
      <c r="A723" s="2" t="s">
        <v>2530</v>
      </c>
      <c r="B723" s="14">
        <v>45384</v>
      </c>
      <c r="C723" s="2">
        <f>YEAR(Sales_Details2[[#This Row],[Order_Date]])</f>
        <v>2024</v>
      </c>
      <c r="D723" s="2" t="s">
        <v>579</v>
      </c>
      <c r="E723" s="2" t="str">
        <f>VLOOKUP(Sales_Details2[[#This Row],[Customer_ID]],Customer_Details[#All],4,0)</f>
        <v>Senior</v>
      </c>
      <c r="F723" s="2" t="str">
        <f>VLOOKUP(Sales_Details2[[#This Row],[Customer_ID]],Customer_Details[#All],5,0)</f>
        <v>Male</v>
      </c>
      <c r="G723" s="2" t="str">
        <f>VLOOKUP(Sales_Details2[[#This Row],[Customer_ID]],Customer_Details[#All],9,0)</f>
        <v>Platinum</v>
      </c>
      <c r="H723" s="2" t="s">
        <v>1697</v>
      </c>
      <c r="I723" s="2" t="str">
        <f>VLOOKUP(Sales_Details2[[#This Row],[Product_ID]],Product_details[[#All],[Product_ID]:[Cost]],3,0)</f>
        <v>Beauty</v>
      </c>
      <c r="J723" s="2" t="str">
        <f>VLOOKUP(Sales_Details2[[#This Row],[Product_ID]],Product_details[[#All],[Product_ID]:[Cost]],4,0)</f>
        <v>Skincare</v>
      </c>
      <c r="K723" s="2" t="s">
        <v>1784</v>
      </c>
      <c r="L723" s="2" t="str">
        <f>_xlfn.XLOOKUP(Sales_Details2[[#This Row],[Store_ID]],Table2[Store_ID],Table2[Region],"Region not found")</f>
        <v>North</v>
      </c>
      <c r="M723" s="25">
        <v>3</v>
      </c>
      <c r="N723" s="36">
        <v>71.23</v>
      </c>
      <c r="O723" s="29">
        <v>0.03</v>
      </c>
      <c r="P723" s="2" t="s">
        <v>1807</v>
      </c>
      <c r="Q723" s="36">
        <v>207.27930000000001</v>
      </c>
    </row>
    <row r="724" spans="1:17" x14ac:dyDescent="0.3">
      <c r="A724" s="2" t="s">
        <v>2531</v>
      </c>
      <c r="B724" s="14">
        <v>45379</v>
      </c>
      <c r="C724" s="2">
        <f>YEAR(Sales_Details2[[#This Row],[Order_Date]])</f>
        <v>2024</v>
      </c>
      <c r="D724" s="2" t="s">
        <v>767</v>
      </c>
      <c r="E724" s="2" t="str">
        <f>VLOOKUP(Sales_Details2[[#This Row],[Customer_ID]],Customer_Details[#All],4,0)</f>
        <v>Mid-Adult</v>
      </c>
      <c r="F724" s="2" t="str">
        <f>VLOOKUP(Sales_Details2[[#This Row],[Customer_ID]],Customer_Details[#All],5,0)</f>
        <v>Male</v>
      </c>
      <c r="G724" s="2" t="str">
        <f>VLOOKUP(Sales_Details2[[#This Row],[Customer_ID]],Customer_Details[#All],9,0)</f>
        <v>Platinum</v>
      </c>
      <c r="H724" s="2" t="s">
        <v>1561</v>
      </c>
      <c r="I724" s="2" t="str">
        <f>VLOOKUP(Sales_Details2[[#This Row],[Product_ID]],Product_details[[#All],[Product_ID]:[Cost]],3,0)</f>
        <v>Electronics</v>
      </c>
      <c r="J724" s="2" t="str">
        <f>VLOOKUP(Sales_Details2[[#This Row],[Product_ID]],Product_details[[#All],[Product_ID]:[Cost]],4,0)</f>
        <v>Appliances</v>
      </c>
      <c r="K724" s="2" t="s">
        <v>1782</v>
      </c>
      <c r="L724" s="2" t="str">
        <f>_xlfn.XLOOKUP(Sales_Details2[[#This Row],[Store_ID]],Table2[Store_ID],Table2[Region],"Region not found")</f>
        <v>South</v>
      </c>
      <c r="M724" s="25">
        <v>1</v>
      </c>
      <c r="N724" s="36">
        <v>31.36</v>
      </c>
      <c r="O724" s="29">
        <v>0.21</v>
      </c>
      <c r="P724" s="2" t="s">
        <v>1812</v>
      </c>
      <c r="Q724" s="36">
        <v>24.7744</v>
      </c>
    </row>
    <row r="725" spans="1:17" x14ac:dyDescent="0.3">
      <c r="A725" s="2" t="s">
        <v>2532</v>
      </c>
      <c r="B725" s="14">
        <v>45674</v>
      </c>
      <c r="C725" s="2">
        <f>YEAR(Sales_Details2[[#This Row],[Order_Date]])</f>
        <v>2025</v>
      </c>
      <c r="D725" s="2" t="s">
        <v>1060</v>
      </c>
      <c r="E725" s="2" t="str">
        <f>VLOOKUP(Sales_Details2[[#This Row],[Customer_ID]],Customer_Details[#All],4,0)</f>
        <v>Senior</v>
      </c>
      <c r="F725" s="2" t="str">
        <f>VLOOKUP(Sales_Details2[[#This Row],[Customer_ID]],Customer_Details[#All],5,0)</f>
        <v>Female</v>
      </c>
      <c r="G725" s="2" t="str">
        <f>VLOOKUP(Sales_Details2[[#This Row],[Customer_ID]],Customer_Details[#All],9,0)</f>
        <v>Bronze</v>
      </c>
      <c r="H725" s="2" t="s">
        <v>1613</v>
      </c>
      <c r="I725" s="2" t="str">
        <f>VLOOKUP(Sales_Details2[[#This Row],[Product_ID]],Product_details[[#All],[Product_ID]:[Cost]],3,0)</f>
        <v>Sports</v>
      </c>
      <c r="J725" s="2" t="str">
        <f>VLOOKUP(Sales_Details2[[#This Row],[Product_ID]],Product_details[[#All],[Product_ID]:[Cost]],4,0)</f>
        <v>Fitness</v>
      </c>
      <c r="K725" s="2" t="s">
        <v>1780</v>
      </c>
      <c r="L725" s="2" t="str">
        <f>_xlfn.XLOOKUP(Sales_Details2[[#This Row],[Store_ID]],Table2[Store_ID],Table2[Region],"Region not found")</f>
        <v>East</v>
      </c>
      <c r="M725" s="25">
        <v>2</v>
      </c>
      <c r="N725" s="36">
        <v>555.54999999999995</v>
      </c>
      <c r="O725" s="29">
        <v>0.14000000000000001</v>
      </c>
      <c r="P725" s="2" t="s">
        <v>1807</v>
      </c>
      <c r="Q725" s="36">
        <v>955.54599999999994</v>
      </c>
    </row>
    <row r="726" spans="1:17" x14ac:dyDescent="0.3">
      <c r="A726" s="2" t="s">
        <v>2533</v>
      </c>
      <c r="B726" s="14">
        <v>45760</v>
      </c>
      <c r="C726" s="2">
        <f>YEAR(Sales_Details2[[#This Row],[Order_Date]])</f>
        <v>2025</v>
      </c>
      <c r="D726" s="2" t="s">
        <v>797</v>
      </c>
      <c r="E726" s="2" t="str">
        <f>VLOOKUP(Sales_Details2[[#This Row],[Customer_ID]],Customer_Details[#All],4,0)</f>
        <v>Senior</v>
      </c>
      <c r="F726" s="2" t="str">
        <f>VLOOKUP(Sales_Details2[[#This Row],[Customer_ID]],Customer_Details[#All],5,0)</f>
        <v>Male</v>
      </c>
      <c r="G726" s="2" t="str">
        <f>VLOOKUP(Sales_Details2[[#This Row],[Customer_ID]],Customer_Details[#All],9,0)</f>
        <v>Silver</v>
      </c>
      <c r="H726" s="2" t="s">
        <v>1663</v>
      </c>
      <c r="I726" s="2" t="str">
        <f>VLOOKUP(Sales_Details2[[#This Row],[Product_ID]],Product_details[[#All],[Product_ID]:[Cost]],3,0)</f>
        <v>Beauty</v>
      </c>
      <c r="J726" s="2" t="str">
        <f>VLOOKUP(Sales_Details2[[#This Row],[Product_ID]],Product_details[[#All],[Product_ID]:[Cost]],4,0)</f>
        <v>Haircare</v>
      </c>
      <c r="K726" s="2" t="s">
        <v>1787</v>
      </c>
      <c r="L726" s="2" t="str">
        <f>_xlfn.XLOOKUP(Sales_Details2[[#This Row],[Store_ID]],Table2[Store_ID],Table2[Region],"Region not found")</f>
        <v>West</v>
      </c>
      <c r="M726" s="25">
        <v>4</v>
      </c>
      <c r="N726" s="36">
        <v>805.99</v>
      </c>
      <c r="O726" s="29">
        <v>0.06</v>
      </c>
      <c r="P726" s="2" t="s">
        <v>1807</v>
      </c>
      <c r="Q726" s="36">
        <v>3030.5223999999998</v>
      </c>
    </row>
    <row r="727" spans="1:17" x14ac:dyDescent="0.3">
      <c r="A727" s="2" t="s">
        <v>2534</v>
      </c>
      <c r="B727" s="14">
        <v>45474</v>
      </c>
      <c r="C727" s="2">
        <f>YEAR(Sales_Details2[[#This Row],[Order_Date]])</f>
        <v>2024</v>
      </c>
      <c r="D727" s="2" t="s">
        <v>1198</v>
      </c>
      <c r="E727" s="2" t="str">
        <f>VLOOKUP(Sales_Details2[[#This Row],[Customer_ID]],Customer_Details[#All],4,0)</f>
        <v>Senior</v>
      </c>
      <c r="F727" s="2" t="str">
        <f>VLOOKUP(Sales_Details2[[#This Row],[Customer_ID]],Customer_Details[#All],5,0)</f>
        <v>Male</v>
      </c>
      <c r="G727" s="2" t="str">
        <f>VLOOKUP(Sales_Details2[[#This Row],[Customer_ID]],Customer_Details[#All],9,0)</f>
        <v>Platinum</v>
      </c>
      <c r="H727" s="2" t="s">
        <v>1673</v>
      </c>
      <c r="I727" s="2" t="str">
        <f>VLOOKUP(Sales_Details2[[#This Row],[Product_ID]],Product_details[[#All],[Product_ID]:[Cost]],3,0)</f>
        <v>Beauty</v>
      </c>
      <c r="J727" s="2" t="str">
        <f>VLOOKUP(Sales_Details2[[#This Row],[Product_ID]],Product_details[[#All],[Product_ID]:[Cost]],4,0)</f>
        <v>Haircare</v>
      </c>
      <c r="K727" s="2" t="s">
        <v>1740</v>
      </c>
      <c r="L727" s="2" t="str">
        <f>_xlfn.XLOOKUP(Sales_Details2[[#This Row],[Store_ID]],Table2[Store_ID],Table2[Region],"Region not found")</f>
        <v>North</v>
      </c>
      <c r="M727" s="25">
        <v>1</v>
      </c>
      <c r="N727" s="36">
        <v>506.55</v>
      </c>
      <c r="O727" s="29">
        <v>0.28000000000000003</v>
      </c>
      <c r="P727" s="2" t="s">
        <v>1807</v>
      </c>
      <c r="Q727" s="36">
        <v>364.71600000000001</v>
      </c>
    </row>
    <row r="728" spans="1:17" x14ac:dyDescent="0.3">
      <c r="A728" s="2" t="s">
        <v>2535</v>
      </c>
      <c r="B728" s="14">
        <v>45640</v>
      </c>
      <c r="C728" s="2">
        <f>YEAR(Sales_Details2[[#This Row],[Order_Date]])</f>
        <v>2024</v>
      </c>
      <c r="D728" s="2" t="s">
        <v>442</v>
      </c>
      <c r="E728" s="2" t="str">
        <f>VLOOKUP(Sales_Details2[[#This Row],[Customer_ID]],Customer_Details[#All],4,0)</f>
        <v>Adult</v>
      </c>
      <c r="F728" s="2" t="str">
        <f>VLOOKUP(Sales_Details2[[#This Row],[Customer_ID]],Customer_Details[#All],5,0)</f>
        <v>Male</v>
      </c>
      <c r="G728" s="2" t="str">
        <f>VLOOKUP(Sales_Details2[[#This Row],[Customer_ID]],Customer_Details[#All],9,0)</f>
        <v>Platinum</v>
      </c>
      <c r="H728" s="2" t="s">
        <v>1613</v>
      </c>
      <c r="I728" s="2" t="str">
        <f>VLOOKUP(Sales_Details2[[#This Row],[Product_ID]],Product_details[[#All],[Product_ID]:[Cost]],3,0)</f>
        <v>Sports</v>
      </c>
      <c r="J728" s="2" t="str">
        <f>VLOOKUP(Sales_Details2[[#This Row],[Product_ID]],Product_details[[#All],[Product_ID]:[Cost]],4,0)</f>
        <v>Fitness</v>
      </c>
      <c r="K728" s="2" t="s">
        <v>1775</v>
      </c>
      <c r="L728" s="2" t="str">
        <f>_xlfn.XLOOKUP(Sales_Details2[[#This Row],[Store_ID]],Table2[Store_ID],Table2[Region],"Region not found")</f>
        <v>South</v>
      </c>
      <c r="M728" s="25">
        <v>3</v>
      </c>
      <c r="N728" s="36">
        <v>28.69</v>
      </c>
      <c r="O728" s="29">
        <v>0.02</v>
      </c>
      <c r="P728" s="2" t="s">
        <v>1807</v>
      </c>
      <c r="Q728" s="36">
        <v>84.348600000000005</v>
      </c>
    </row>
    <row r="729" spans="1:17" x14ac:dyDescent="0.3">
      <c r="A729" s="2" t="s">
        <v>2536</v>
      </c>
      <c r="B729" s="14">
        <v>45253</v>
      </c>
      <c r="C729" s="2">
        <f>YEAR(Sales_Details2[[#This Row],[Order_Date]])</f>
        <v>2023</v>
      </c>
      <c r="D729" s="2" t="s">
        <v>1195</v>
      </c>
      <c r="E729" s="2" t="str">
        <f>VLOOKUP(Sales_Details2[[#This Row],[Customer_ID]],Customer_Details[#All],4,0)</f>
        <v>Adult</v>
      </c>
      <c r="F729" s="2" t="str">
        <f>VLOOKUP(Sales_Details2[[#This Row],[Customer_ID]],Customer_Details[#All],5,0)</f>
        <v>Female</v>
      </c>
      <c r="G729" s="2" t="str">
        <f>VLOOKUP(Sales_Details2[[#This Row],[Customer_ID]],Customer_Details[#All],9,0)</f>
        <v>Silver</v>
      </c>
      <c r="H729" s="2" t="s">
        <v>1683</v>
      </c>
      <c r="I729" s="2" t="str">
        <f>VLOOKUP(Sales_Details2[[#This Row],[Product_ID]],Product_details[[#All],[Product_ID]:[Cost]],3,0)</f>
        <v>Electronics</v>
      </c>
      <c r="J729" s="2" t="str">
        <f>VLOOKUP(Sales_Details2[[#This Row],[Product_ID]],Product_details[[#All],[Product_ID]:[Cost]],4,0)</f>
        <v>Computer</v>
      </c>
      <c r="K729" s="2" t="s">
        <v>1752</v>
      </c>
      <c r="L729" s="2" t="str">
        <f>_xlfn.XLOOKUP(Sales_Details2[[#This Row],[Store_ID]],Table2[Store_ID],Table2[Region],"Region not found")</f>
        <v>South</v>
      </c>
      <c r="M729" s="25">
        <v>1</v>
      </c>
      <c r="N729" s="36">
        <v>106.07</v>
      </c>
      <c r="O729" s="29">
        <v>0.23</v>
      </c>
      <c r="P729" s="2" t="s">
        <v>1812</v>
      </c>
      <c r="Q729" s="36">
        <v>81.673900000000003</v>
      </c>
    </row>
    <row r="730" spans="1:17" x14ac:dyDescent="0.3">
      <c r="A730" s="2" t="s">
        <v>2537</v>
      </c>
      <c r="B730" s="14">
        <v>45225</v>
      </c>
      <c r="C730" s="2">
        <f>YEAR(Sales_Details2[[#This Row],[Order_Date]])</f>
        <v>2023</v>
      </c>
      <c r="D730" s="2" t="s">
        <v>823</v>
      </c>
      <c r="E730" s="2" t="str">
        <f>VLOOKUP(Sales_Details2[[#This Row],[Customer_ID]],Customer_Details[#All],4,0)</f>
        <v>Senior</v>
      </c>
      <c r="F730" s="2" t="str">
        <f>VLOOKUP(Sales_Details2[[#This Row],[Customer_ID]],Customer_Details[#All],5,0)</f>
        <v>Female</v>
      </c>
      <c r="G730" s="2" t="str">
        <f>VLOOKUP(Sales_Details2[[#This Row],[Customer_ID]],Customer_Details[#All],9,0)</f>
        <v>Platinum</v>
      </c>
      <c r="H730" s="2" t="s">
        <v>1713</v>
      </c>
      <c r="I730" s="2" t="str">
        <f>VLOOKUP(Sales_Details2[[#This Row],[Product_ID]],Product_details[[#All],[Product_ID]:[Cost]],3,0)</f>
        <v>Clothing</v>
      </c>
      <c r="J730" s="2" t="str">
        <f>VLOOKUP(Sales_Details2[[#This Row],[Product_ID]],Product_details[[#All],[Product_ID]:[Cost]],4,0)</f>
        <v>Footwear</v>
      </c>
      <c r="K730" s="2" t="s">
        <v>1735</v>
      </c>
      <c r="L730" s="2" t="str">
        <f>_xlfn.XLOOKUP(Sales_Details2[[#This Row],[Store_ID]],Table2[Store_ID],Table2[Region],"Region not found")</f>
        <v>East</v>
      </c>
      <c r="M730" s="25">
        <v>4</v>
      </c>
      <c r="N730" s="36">
        <v>289.77</v>
      </c>
      <c r="O730" s="29">
        <v>0.06</v>
      </c>
      <c r="P730" s="2" t="s">
        <v>1809</v>
      </c>
      <c r="Q730" s="36">
        <v>1089.5352</v>
      </c>
    </row>
    <row r="731" spans="1:17" x14ac:dyDescent="0.3">
      <c r="A731" s="2" t="s">
        <v>2538</v>
      </c>
      <c r="B731" s="14">
        <v>45263</v>
      </c>
      <c r="C731" s="2">
        <f>YEAR(Sales_Details2[[#This Row],[Order_Date]])</f>
        <v>2023</v>
      </c>
      <c r="D731" s="2" t="s">
        <v>518</v>
      </c>
      <c r="E731" s="2" t="str">
        <f>VLOOKUP(Sales_Details2[[#This Row],[Customer_ID]],Customer_Details[#All],4,0)</f>
        <v>Mid-Adult</v>
      </c>
      <c r="F731" s="2" t="str">
        <f>VLOOKUP(Sales_Details2[[#This Row],[Customer_ID]],Customer_Details[#All],5,0)</f>
        <v>Male</v>
      </c>
      <c r="G731" s="2" t="str">
        <f>VLOOKUP(Sales_Details2[[#This Row],[Customer_ID]],Customer_Details[#All],9,0)</f>
        <v>Bronze</v>
      </c>
      <c r="H731" s="2" t="s">
        <v>1697</v>
      </c>
      <c r="I731" s="2" t="str">
        <f>VLOOKUP(Sales_Details2[[#This Row],[Product_ID]],Product_details[[#All],[Product_ID]:[Cost]],3,0)</f>
        <v>Beauty</v>
      </c>
      <c r="J731" s="2" t="str">
        <f>VLOOKUP(Sales_Details2[[#This Row],[Product_ID]],Product_details[[#All],[Product_ID]:[Cost]],4,0)</f>
        <v>Skincare</v>
      </c>
      <c r="K731" s="2" t="s">
        <v>1793</v>
      </c>
      <c r="L731" s="2" t="str">
        <f>_xlfn.XLOOKUP(Sales_Details2[[#This Row],[Store_ID]],Table2[Store_ID],Table2[Region],"Region not found")</f>
        <v>East</v>
      </c>
      <c r="M731" s="25">
        <v>2</v>
      </c>
      <c r="N731" s="36">
        <v>354.26</v>
      </c>
      <c r="O731" s="29">
        <v>0.01</v>
      </c>
      <c r="P731" s="2" t="s">
        <v>1812</v>
      </c>
      <c r="Q731" s="36">
        <v>701.4348</v>
      </c>
    </row>
    <row r="732" spans="1:17" x14ac:dyDescent="0.3">
      <c r="A732" s="2" t="s">
        <v>2539</v>
      </c>
      <c r="B732" s="14">
        <v>45554</v>
      </c>
      <c r="C732" s="2">
        <f>YEAR(Sales_Details2[[#This Row],[Order_Date]])</f>
        <v>2024</v>
      </c>
      <c r="D732" s="2" t="s">
        <v>1189</v>
      </c>
      <c r="E732" s="2" t="str">
        <f>VLOOKUP(Sales_Details2[[#This Row],[Customer_ID]],Customer_Details[#All],4,0)</f>
        <v>Senior</v>
      </c>
      <c r="F732" s="2" t="str">
        <f>VLOOKUP(Sales_Details2[[#This Row],[Customer_ID]],Customer_Details[#All],5,0)</f>
        <v>Male</v>
      </c>
      <c r="G732" s="2" t="str">
        <f>VLOOKUP(Sales_Details2[[#This Row],[Customer_ID]],Customer_Details[#All],9,0)</f>
        <v>Gold</v>
      </c>
      <c r="H732" s="2" t="s">
        <v>1667</v>
      </c>
      <c r="I732" s="2" t="str">
        <f>VLOOKUP(Sales_Details2[[#This Row],[Product_ID]],Product_details[[#All],[Product_ID]:[Cost]],3,0)</f>
        <v>Home</v>
      </c>
      <c r="J732" s="2" t="str">
        <f>VLOOKUP(Sales_Details2[[#This Row],[Product_ID]],Product_details[[#All],[Product_ID]:[Cost]],4,0)</f>
        <v>Furniture</v>
      </c>
      <c r="K732" s="2" t="s">
        <v>1782</v>
      </c>
      <c r="L732" s="2" t="str">
        <f>_xlfn.XLOOKUP(Sales_Details2[[#This Row],[Store_ID]],Table2[Store_ID],Table2[Region],"Region not found")</f>
        <v>South</v>
      </c>
      <c r="M732" s="25">
        <v>1</v>
      </c>
      <c r="N732" s="36">
        <v>522.72</v>
      </c>
      <c r="O732" s="29">
        <v>0.25</v>
      </c>
      <c r="P732" s="2" t="s">
        <v>1809</v>
      </c>
      <c r="Q732" s="36">
        <v>392.04</v>
      </c>
    </row>
    <row r="733" spans="1:17" x14ac:dyDescent="0.3">
      <c r="A733" s="2" t="s">
        <v>2540</v>
      </c>
      <c r="B733" s="14">
        <v>45569</v>
      </c>
      <c r="C733" s="2">
        <f>YEAR(Sales_Details2[[#This Row],[Order_Date]])</f>
        <v>2024</v>
      </c>
      <c r="D733" s="2" t="s">
        <v>211</v>
      </c>
      <c r="E733" s="2" t="str">
        <f>VLOOKUP(Sales_Details2[[#This Row],[Customer_ID]],Customer_Details[#All],4,0)</f>
        <v>Mid-Adult</v>
      </c>
      <c r="F733" s="2" t="str">
        <f>VLOOKUP(Sales_Details2[[#This Row],[Customer_ID]],Customer_Details[#All],5,0)</f>
        <v>Female</v>
      </c>
      <c r="G733" s="2" t="str">
        <f>VLOOKUP(Sales_Details2[[#This Row],[Customer_ID]],Customer_Details[#All],9,0)</f>
        <v>Platinum</v>
      </c>
      <c r="H733" s="2" t="s">
        <v>1538</v>
      </c>
      <c r="I733" s="2" t="str">
        <f>VLOOKUP(Sales_Details2[[#This Row],[Product_ID]],Product_details[[#All],[Product_ID]:[Cost]],3,0)</f>
        <v>Clothing</v>
      </c>
      <c r="J733" s="2" t="str">
        <f>VLOOKUP(Sales_Details2[[#This Row],[Product_ID]],Product_details[[#All],[Product_ID]:[Cost]],4,0)</f>
        <v>Accessories</v>
      </c>
      <c r="K733" s="2" t="s">
        <v>1769</v>
      </c>
      <c r="L733" s="2" t="str">
        <f>_xlfn.XLOOKUP(Sales_Details2[[#This Row],[Store_ID]],Table2[Store_ID],Table2[Region],"Region not found")</f>
        <v>South</v>
      </c>
      <c r="M733" s="25">
        <v>3</v>
      </c>
      <c r="N733" s="36">
        <v>966.02</v>
      </c>
      <c r="O733" s="29">
        <v>0.03</v>
      </c>
      <c r="P733" s="2" t="s">
        <v>1812</v>
      </c>
      <c r="Q733" s="36">
        <v>2811.1181999999999</v>
      </c>
    </row>
    <row r="734" spans="1:17" x14ac:dyDescent="0.3">
      <c r="A734" s="2" t="s">
        <v>2541</v>
      </c>
      <c r="B734" s="14">
        <v>45217</v>
      </c>
      <c r="C734" s="2">
        <f>YEAR(Sales_Details2[[#This Row],[Order_Date]])</f>
        <v>2023</v>
      </c>
      <c r="D734" s="2" t="s">
        <v>718</v>
      </c>
      <c r="E734" s="2" t="str">
        <f>VLOOKUP(Sales_Details2[[#This Row],[Customer_ID]],Customer_Details[#All],4,0)</f>
        <v>Adult</v>
      </c>
      <c r="F734" s="2" t="str">
        <f>VLOOKUP(Sales_Details2[[#This Row],[Customer_ID]],Customer_Details[#All],5,0)</f>
        <v>Male</v>
      </c>
      <c r="G734" s="2" t="str">
        <f>VLOOKUP(Sales_Details2[[#This Row],[Customer_ID]],Customer_Details[#All],9,0)</f>
        <v>Silver</v>
      </c>
      <c r="H734" s="2" t="s">
        <v>1631</v>
      </c>
      <c r="I734" s="2" t="str">
        <f>VLOOKUP(Sales_Details2[[#This Row],[Product_ID]],Product_details[[#All],[Product_ID]:[Cost]],3,0)</f>
        <v>Sports</v>
      </c>
      <c r="J734" s="2" t="str">
        <f>VLOOKUP(Sales_Details2[[#This Row],[Product_ID]],Product_details[[#All],[Product_ID]:[Cost]],4,0)</f>
        <v>Fitness</v>
      </c>
      <c r="K734" s="2" t="s">
        <v>1790</v>
      </c>
      <c r="L734" s="2" t="str">
        <f>_xlfn.XLOOKUP(Sales_Details2[[#This Row],[Store_ID]],Table2[Store_ID],Table2[Region],"Region not found")</f>
        <v>North</v>
      </c>
      <c r="M734" s="25">
        <v>1</v>
      </c>
      <c r="N734" s="36">
        <v>498.61</v>
      </c>
      <c r="O734" s="29">
        <v>0.04</v>
      </c>
      <c r="P734" s="2" t="s">
        <v>1809</v>
      </c>
      <c r="Q734" s="36">
        <v>478.66559999999998</v>
      </c>
    </row>
    <row r="735" spans="1:17" x14ac:dyDescent="0.3">
      <c r="A735" s="2" t="s">
        <v>2542</v>
      </c>
      <c r="B735" s="14">
        <v>45783</v>
      </c>
      <c r="C735" s="2">
        <f>YEAR(Sales_Details2[[#This Row],[Order_Date]])</f>
        <v>2025</v>
      </c>
      <c r="D735" s="2" t="s">
        <v>1027</v>
      </c>
      <c r="E735" s="2" t="str">
        <f>VLOOKUP(Sales_Details2[[#This Row],[Customer_ID]],Customer_Details[#All],4,0)</f>
        <v>Senior</v>
      </c>
      <c r="F735" s="2" t="str">
        <f>VLOOKUP(Sales_Details2[[#This Row],[Customer_ID]],Customer_Details[#All],5,0)</f>
        <v>Male</v>
      </c>
      <c r="G735" s="2" t="str">
        <f>VLOOKUP(Sales_Details2[[#This Row],[Customer_ID]],Customer_Details[#All],9,0)</f>
        <v>Platinum</v>
      </c>
      <c r="H735" s="2" t="s">
        <v>1615</v>
      </c>
      <c r="I735" s="2" t="str">
        <f>VLOOKUP(Sales_Details2[[#This Row],[Product_ID]],Product_details[[#All],[Product_ID]:[Cost]],3,0)</f>
        <v>Electronics</v>
      </c>
      <c r="J735" s="2" t="str">
        <f>VLOOKUP(Sales_Details2[[#This Row],[Product_ID]],Product_details[[#All],[Product_ID]:[Cost]],4,0)</f>
        <v>Accessories</v>
      </c>
      <c r="K735" s="2" t="s">
        <v>1759</v>
      </c>
      <c r="L735" s="2" t="str">
        <f>_xlfn.XLOOKUP(Sales_Details2[[#This Row],[Store_ID]],Table2[Store_ID],Table2[Region],"Region not found")</f>
        <v>East</v>
      </c>
      <c r="M735" s="25">
        <v>4</v>
      </c>
      <c r="N735" s="36">
        <v>758.27</v>
      </c>
      <c r="O735" s="29">
        <v>0.05</v>
      </c>
      <c r="P735" s="2" t="s">
        <v>1809</v>
      </c>
      <c r="Q735" s="36">
        <v>2881.4259999999999</v>
      </c>
    </row>
    <row r="736" spans="1:17" x14ac:dyDescent="0.3">
      <c r="A736" s="2" t="s">
        <v>2543</v>
      </c>
      <c r="B736" s="14">
        <v>45371</v>
      </c>
      <c r="C736" s="2">
        <f>YEAR(Sales_Details2[[#This Row],[Order_Date]])</f>
        <v>2024</v>
      </c>
      <c r="D736" s="2" t="s">
        <v>642</v>
      </c>
      <c r="E736" s="2" t="str">
        <f>VLOOKUP(Sales_Details2[[#This Row],[Customer_ID]],Customer_Details[#All],4,0)</f>
        <v>Senior</v>
      </c>
      <c r="F736" s="2" t="str">
        <f>VLOOKUP(Sales_Details2[[#This Row],[Customer_ID]],Customer_Details[#All],5,0)</f>
        <v>Male</v>
      </c>
      <c r="G736" s="2" t="str">
        <f>VLOOKUP(Sales_Details2[[#This Row],[Customer_ID]],Customer_Details[#All],9,0)</f>
        <v>Bronze</v>
      </c>
      <c r="H736" s="2" t="s">
        <v>1534</v>
      </c>
      <c r="I736" s="2" t="str">
        <f>VLOOKUP(Sales_Details2[[#This Row],[Product_ID]],Product_details[[#All],[Product_ID]:[Cost]],3,0)</f>
        <v>Clothing</v>
      </c>
      <c r="J736" s="2" t="str">
        <f>VLOOKUP(Sales_Details2[[#This Row],[Product_ID]],Product_details[[#All],[Product_ID]:[Cost]],4,0)</f>
        <v>Outerwear</v>
      </c>
      <c r="K736" s="2" t="s">
        <v>1744</v>
      </c>
      <c r="L736" s="2" t="str">
        <f>_xlfn.XLOOKUP(Sales_Details2[[#This Row],[Store_ID]],Table2[Store_ID],Table2[Region],"Region not found")</f>
        <v>South</v>
      </c>
      <c r="M736" s="25">
        <v>2</v>
      </c>
      <c r="N736" s="36">
        <v>371.03</v>
      </c>
      <c r="O736" s="29">
        <v>0.23</v>
      </c>
      <c r="P736" s="2" t="s">
        <v>1809</v>
      </c>
      <c r="Q736" s="36">
        <v>571.38619999999992</v>
      </c>
    </row>
    <row r="737" spans="1:17" x14ac:dyDescent="0.3">
      <c r="A737" s="2" t="s">
        <v>2544</v>
      </c>
      <c r="B737" s="14">
        <v>45453</v>
      </c>
      <c r="C737" s="2">
        <f>YEAR(Sales_Details2[[#This Row],[Order_Date]])</f>
        <v>2024</v>
      </c>
      <c r="D737" s="2" t="s">
        <v>1100</v>
      </c>
      <c r="E737" s="2" t="str">
        <f>VLOOKUP(Sales_Details2[[#This Row],[Customer_ID]],Customer_Details[#All],4,0)</f>
        <v>Adult</v>
      </c>
      <c r="F737" s="2" t="str">
        <f>VLOOKUP(Sales_Details2[[#This Row],[Customer_ID]],Customer_Details[#All],5,0)</f>
        <v>Male</v>
      </c>
      <c r="G737" s="2" t="str">
        <f>VLOOKUP(Sales_Details2[[#This Row],[Customer_ID]],Customer_Details[#All],9,0)</f>
        <v>Gold</v>
      </c>
      <c r="H737" s="2" t="s">
        <v>1713</v>
      </c>
      <c r="I737" s="2" t="str">
        <f>VLOOKUP(Sales_Details2[[#This Row],[Product_ID]],Product_details[[#All],[Product_ID]:[Cost]],3,0)</f>
        <v>Clothing</v>
      </c>
      <c r="J737" s="2" t="str">
        <f>VLOOKUP(Sales_Details2[[#This Row],[Product_ID]],Product_details[[#All],[Product_ID]:[Cost]],4,0)</f>
        <v>Footwear</v>
      </c>
      <c r="K737" s="2" t="s">
        <v>1790</v>
      </c>
      <c r="L737" s="2" t="str">
        <f>_xlfn.XLOOKUP(Sales_Details2[[#This Row],[Store_ID]],Table2[Store_ID],Table2[Region],"Region not found")</f>
        <v>North</v>
      </c>
      <c r="M737" s="25">
        <v>1</v>
      </c>
      <c r="N737" s="36">
        <v>230.32</v>
      </c>
      <c r="O737" s="29">
        <v>0.05</v>
      </c>
      <c r="P737" s="2" t="s">
        <v>1812</v>
      </c>
      <c r="Q737" s="36">
        <v>218.804</v>
      </c>
    </row>
    <row r="738" spans="1:17" x14ac:dyDescent="0.3">
      <c r="A738" s="2" t="s">
        <v>2545</v>
      </c>
      <c r="B738" s="14">
        <v>45526</v>
      </c>
      <c r="C738" s="2">
        <f>YEAR(Sales_Details2[[#This Row],[Order_Date]])</f>
        <v>2024</v>
      </c>
      <c r="D738" s="2" t="s">
        <v>1063</v>
      </c>
      <c r="E738" s="2" t="str">
        <f>VLOOKUP(Sales_Details2[[#This Row],[Customer_ID]],Customer_Details[#All],4,0)</f>
        <v>Adult</v>
      </c>
      <c r="F738" s="2" t="str">
        <f>VLOOKUP(Sales_Details2[[#This Row],[Customer_ID]],Customer_Details[#All],5,0)</f>
        <v>Female</v>
      </c>
      <c r="G738" s="2" t="str">
        <f>VLOOKUP(Sales_Details2[[#This Row],[Customer_ID]],Customer_Details[#All],9,0)</f>
        <v>Bronze</v>
      </c>
      <c r="H738" s="2" t="s">
        <v>1653</v>
      </c>
      <c r="I738" s="2" t="str">
        <f>VLOOKUP(Sales_Details2[[#This Row],[Product_ID]],Product_details[[#All],[Product_ID]:[Cost]],3,0)</f>
        <v>Sports</v>
      </c>
      <c r="J738" s="2" t="str">
        <f>VLOOKUP(Sales_Details2[[#This Row],[Product_ID]],Product_details[[#All],[Product_ID]:[Cost]],4,0)</f>
        <v>Equipment</v>
      </c>
      <c r="K738" s="2" t="s">
        <v>1759</v>
      </c>
      <c r="L738" s="2" t="str">
        <f>_xlfn.XLOOKUP(Sales_Details2[[#This Row],[Store_ID]],Table2[Store_ID],Table2[Region],"Region not found")</f>
        <v>East</v>
      </c>
      <c r="M738" s="25">
        <v>2</v>
      </c>
      <c r="N738" s="36">
        <v>985.43</v>
      </c>
      <c r="O738" s="29">
        <v>0.28000000000000003</v>
      </c>
      <c r="P738" s="2" t="s">
        <v>1812</v>
      </c>
      <c r="Q738" s="36">
        <v>1419.0192</v>
      </c>
    </row>
    <row r="739" spans="1:17" x14ac:dyDescent="0.3">
      <c r="A739" s="2" t="s">
        <v>2546</v>
      </c>
      <c r="B739" s="14">
        <v>45756</v>
      </c>
      <c r="C739" s="2">
        <f>YEAR(Sales_Details2[[#This Row],[Order_Date]])</f>
        <v>2025</v>
      </c>
      <c r="D739" s="2" t="s">
        <v>1295</v>
      </c>
      <c r="E739" s="2" t="str">
        <f>VLOOKUP(Sales_Details2[[#This Row],[Customer_ID]],Customer_Details[#All],4,0)</f>
        <v>Mid-Adult</v>
      </c>
      <c r="F739" s="2" t="str">
        <f>VLOOKUP(Sales_Details2[[#This Row],[Customer_ID]],Customer_Details[#All],5,0)</f>
        <v>Female</v>
      </c>
      <c r="G739" s="2" t="str">
        <f>VLOOKUP(Sales_Details2[[#This Row],[Customer_ID]],Customer_Details[#All],9,0)</f>
        <v>Platinum</v>
      </c>
      <c r="H739" s="2" t="s">
        <v>1548</v>
      </c>
      <c r="I739" s="2" t="str">
        <f>VLOOKUP(Sales_Details2[[#This Row],[Product_ID]],Product_details[[#All],[Product_ID]:[Cost]],3,0)</f>
        <v>Sports</v>
      </c>
      <c r="J739" s="2" t="str">
        <f>VLOOKUP(Sales_Details2[[#This Row],[Product_ID]],Product_details[[#All],[Product_ID]:[Cost]],4,0)</f>
        <v>Fitness</v>
      </c>
      <c r="K739" s="2" t="s">
        <v>1752</v>
      </c>
      <c r="L739" s="2" t="str">
        <f>_xlfn.XLOOKUP(Sales_Details2[[#This Row],[Store_ID]],Table2[Store_ID],Table2[Region],"Region not found")</f>
        <v>South</v>
      </c>
      <c r="M739" s="25">
        <v>2</v>
      </c>
      <c r="N739" s="36">
        <v>492.5</v>
      </c>
      <c r="O739" s="29">
        <v>0.3</v>
      </c>
      <c r="P739" s="2" t="s">
        <v>1809</v>
      </c>
      <c r="Q739" s="36">
        <v>689.5</v>
      </c>
    </row>
    <row r="740" spans="1:17" x14ac:dyDescent="0.3">
      <c r="A740" s="2" t="s">
        <v>2547</v>
      </c>
      <c r="B740" s="14">
        <v>45657</v>
      </c>
      <c r="C740" s="2">
        <f>YEAR(Sales_Details2[[#This Row],[Order_Date]])</f>
        <v>2024</v>
      </c>
      <c r="D740" s="2" t="s">
        <v>1126</v>
      </c>
      <c r="E740" s="2" t="str">
        <f>VLOOKUP(Sales_Details2[[#This Row],[Customer_ID]],Customer_Details[#All],4,0)</f>
        <v>Senior</v>
      </c>
      <c r="F740" s="2" t="str">
        <f>VLOOKUP(Sales_Details2[[#This Row],[Customer_ID]],Customer_Details[#All],5,0)</f>
        <v>Male</v>
      </c>
      <c r="G740" s="2" t="str">
        <f>VLOOKUP(Sales_Details2[[#This Row],[Customer_ID]],Customer_Details[#All],9,0)</f>
        <v>Bronze</v>
      </c>
      <c r="H740" s="2" t="s">
        <v>1623</v>
      </c>
      <c r="I740" s="2" t="str">
        <f>VLOOKUP(Sales_Details2[[#This Row],[Product_ID]],Product_details[[#All],[Product_ID]:[Cost]],3,0)</f>
        <v>Clothing</v>
      </c>
      <c r="J740" s="2" t="str">
        <f>VLOOKUP(Sales_Details2[[#This Row],[Product_ID]],Product_details[[#All],[Product_ID]:[Cost]],4,0)</f>
        <v>Outerwear</v>
      </c>
      <c r="K740" s="2" t="s">
        <v>1775</v>
      </c>
      <c r="L740" s="2" t="str">
        <f>_xlfn.XLOOKUP(Sales_Details2[[#This Row],[Store_ID]],Table2[Store_ID],Table2[Region],"Region not found")</f>
        <v>South</v>
      </c>
      <c r="M740" s="25">
        <v>2</v>
      </c>
      <c r="N740" s="36">
        <v>213.69</v>
      </c>
      <c r="O740" s="29">
        <v>0.28000000000000003</v>
      </c>
      <c r="P740" s="2" t="s">
        <v>1809</v>
      </c>
      <c r="Q740" s="36">
        <v>307.71359999999999</v>
      </c>
    </row>
    <row r="741" spans="1:17" x14ac:dyDescent="0.3">
      <c r="A741" s="2" t="s">
        <v>2548</v>
      </c>
      <c r="B741" s="14">
        <v>45716</v>
      </c>
      <c r="C741" s="2">
        <f>YEAR(Sales_Details2[[#This Row],[Order_Date]])</f>
        <v>2025</v>
      </c>
      <c r="D741" s="2" t="s">
        <v>238</v>
      </c>
      <c r="E741" s="2" t="str">
        <f>VLOOKUP(Sales_Details2[[#This Row],[Customer_ID]],Customer_Details[#All],4,0)</f>
        <v>Adult</v>
      </c>
      <c r="F741" s="2" t="str">
        <f>VLOOKUP(Sales_Details2[[#This Row],[Customer_ID]],Customer_Details[#All],5,0)</f>
        <v>Female</v>
      </c>
      <c r="G741" s="2" t="str">
        <f>VLOOKUP(Sales_Details2[[#This Row],[Customer_ID]],Customer_Details[#All],9,0)</f>
        <v>Silver</v>
      </c>
      <c r="H741" s="2" t="s">
        <v>1571</v>
      </c>
      <c r="I741" s="2" t="str">
        <f>VLOOKUP(Sales_Details2[[#This Row],[Product_ID]],Product_details[[#All],[Product_ID]:[Cost]],3,0)</f>
        <v>Sports</v>
      </c>
      <c r="J741" s="2" t="str">
        <f>VLOOKUP(Sales_Details2[[#This Row],[Product_ID]],Product_details[[#All],[Product_ID]:[Cost]],4,0)</f>
        <v>Accessories</v>
      </c>
      <c r="K741" s="2" t="s">
        <v>1765</v>
      </c>
      <c r="L741" s="2" t="str">
        <f>_xlfn.XLOOKUP(Sales_Details2[[#This Row],[Store_ID]],Table2[Store_ID],Table2[Region],"Region not found")</f>
        <v>West</v>
      </c>
      <c r="M741" s="25">
        <v>4</v>
      </c>
      <c r="N741" s="36">
        <v>618.83000000000004</v>
      </c>
      <c r="O741" s="29">
        <v>0.08</v>
      </c>
      <c r="P741" s="2" t="s">
        <v>1809</v>
      </c>
      <c r="Q741" s="36">
        <v>2277.2944000000002</v>
      </c>
    </row>
    <row r="742" spans="1:17" x14ac:dyDescent="0.3">
      <c r="A742" s="2" t="s">
        <v>2549</v>
      </c>
      <c r="B742" s="14">
        <v>45313</v>
      </c>
      <c r="C742" s="2">
        <f>YEAR(Sales_Details2[[#This Row],[Order_Date]])</f>
        <v>2024</v>
      </c>
      <c r="D742" s="2" t="s">
        <v>330</v>
      </c>
      <c r="E742" s="2" t="str">
        <f>VLOOKUP(Sales_Details2[[#This Row],[Customer_ID]],Customer_Details[#All],4,0)</f>
        <v>Adult</v>
      </c>
      <c r="F742" s="2" t="str">
        <f>VLOOKUP(Sales_Details2[[#This Row],[Customer_ID]],Customer_Details[#All],5,0)</f>
        <v>Female</v>
      </c>
      <c r="G742" s="2" t="str">
        <f>VLOOKUP(Sales_Details2[[#This Row],[Customer_ID]],Customer_Details[#All],9,0)</f>
        <v>Gold</v>
      </c>
      <c r="H742" s="2" t="s">
        <v>1649</v>
      </c>
      <c r="I742" s="2" t="str">
        <f>VLOOKUP(Sales_Details2[[#This Row],[Product_ID]],Product_details[[#All],[Product_ID]:[Cost]],3,0)</f>
        <v>Beauty</v>
      </c>
      <c r="J742" s="2" t="str">
        <f>VLOOKUP(Sales_Details2[[#This Row],[Product_ID]],Product_details[[#All],[Product_ID]:[Cost]],4,0)</f>
        <v>Haircare</v>
      </c>
      <c r="K742" s="2" t="s">
        <v>1775</v>
      </c>
      <c r="L742" s="2" t="str">
        <f>_xlfn.XLOOKUP(Sales_Details2[[#This Row],[Store_ID]],Table2[Store_ID],Table2[Region],"Region not found")</f>
        <v>South</v>
      </c>
      <c r="M742" s="25">
        <v>2</v>
      </c>
      <c r="N742" s="36">
        <v>81.16</v>
      </c>
      <c r="O742" s="29">
        <v>0.16</v>
      </c>
      <c r="P742" s="2" t="s">
        <v>1809</v>
      </c>
      <c r="Q742" s="36">
        <v>136.34880000000001</v>
      </c>
    </row>
    <row r="743" spans="1:17" x14ac:dyDescent="0.3">
      <c r="A743" s="2" t="s">
        <v>2550</v>
      </c>
      <c r="B743" s="14">
        <v>45372</v>
      </c>
      <c r="C743" s="2">
        <f>YEAR(Sales_Details2[[#This Row],[Order_Date]])</f>
        <v>2024</v>
      </c>
      <c r="D743" s="2" t="s">
        <v>20</v>
      </c>
      <c r="E743" s="2" t="str">
        <f>VLOOKUP(Sales_Details2[[#This Row],[Customer_ID]],Customer_Details[#All],4,0)</f>
        <v>Adult</v>
      </c>
      <c r="F743" s="2" t="str">
        <f>VLOOKUP(Sales_Details2[[#This Row],[Customer_ID]],Customer_Details[#All],5,0)</f>
        <v>Female</v>
      </c>
      <c r="G743" s="2" t="str">
        <f>VLOOKUP(Sales_Details2[[#This Row],[Customer_ID]],Customer_Details[#All],9,0)</f>
        <v>Platinum</v>
      </c>
      <c r="H743" s="2" t="s">
        <v>1703</v>
      </c>
      <c r="I743" s="2" t="str">
        <f>VLOOKUP(Sales_Details2[[#This Row],[Product_ID]],Product_details[[#All],[Product_ID]:[Cost]],3,0)</f>
        <v>Home</v>
      </c>
      <c r="J743" s="2" t="str">
        <f>VLOOKUP(Sales_Details2[[#This Row],[Product_ID]],Product_details[[#All],[Product_ID]:[Cost]],4,0)</f>
        <v>Kitchen</v>
      </c>
      <c r="K743" s="2" t="s">
        <v>1769</v>
      </c>
      <c r="L743" s="2" t="str">
        <f>_xlfn.XLOOKUP(Sales_Details2[[#This Row],[Store_ID]],Table2[Store_ID],Table2[Region],"Region not found")</f>
        <v>South</v>
      </c>
      <c r="M743" s="25">
        <v>1</v>
      </c>
      <c r="N743" s="36">
        <v>431.69</v>
      </c>
      <c r="O743" s="29">
        <v>0.09</v>
      </c>
      <c r="P743" s="2" t="s">
        <v>1807</v>
      </c>
      <c r="Q743" s="36">
        <v>392.83789999999999</v>
      </c>
    </row>
    <row r="744" spans="1:17" x14ac:dyDescent="0.3">
      <c r="A744" s="2" t="s">
        <v>2551</v>
      </c>
      <c r="B744" s="14">
        <v>45648</v>
      </c>
      <c r="C744" s="2">
        <f>YEAR(Sales_Details2[[#This Row],[Order_Date]])</f>
        <v>2024</v>
      </c>
      <c r="D744" s="2" t="s">
        <v>1246</v>
      </c>
      <c r="E744" s="2" t="str">
        <f>VLOOKUP(Sales_Details2[[#This Row],[Customer_ID]],Customer_Details[#All],4,0)</f>
        <v>Adult</v>
      </c>
      <c r="F744" s="2" t="str">
        <f>VLOOKUP(Sales_Details2[[#This Row],[Customer_ID]],Customer_Details[#All],5,0)</f>
        <v>Female</v>
      </c>
      <c r="G744" s="2" t="str">
        <f>VLOOKUP(Sales_Details2[[#This Row],[Customer_ID]],Customer_Details[#All],9,0)</f>
        <v>Gold</v>
      </c>
      <c r="H744" s="2" t="s">
        <v>1567</v>
      </c>
      <c r="I744" s="2" t="str">
        <f>VLOOKUP(Sales_Details2[[#This Row],[Product_ID]],Product_details[[#All],[Product_ID]:[Cost]],3,0)</f>
        <v>Clothing</v>
      </c>
      <c r="J744" s="2" t="str">
        <f>VLOOKUP(Sales_Details2[[#This Row],[Product_ID]],Product_details[[#All],[Product_ID]:[Cost]],4,0)</f>
        <v>Bottoms</v>
      </c>
      <c r="K744" s="2" t="s">
        <v>1756</v>
      </c>
      <c r="L744" s="2" t="str">
        <f>_xlfn.XLOOKUP(Sales_Details2[[#This Row],[Store_ID]],Table2[Store_ID],Table2[Region],"Region not found")</f>
        <v>North</v>
      </c>
      <c r="M744" s="25">
        <v>3</v>
      </c>
      <c r="N744" s="36">
        <v>438.65</v>
      </c>
      <c r="O744" s="29">
        <v>0.28999999999999998</v>
      </c>
      <c r="P744" s="2" t="s">
        <v>1809</v>
      </c>
      <c r="Q744" s="36">
        <v>934.32449999999983</v>
      </c>
    </row>
    <row r="745" spans="1:17" x14ac:dyDescent="0.3">
      <c r="A745" s="2" t="s">
        <v>2552</v>
      </c>
      <c r="B745" s="14">
        <v>45384</v>
      </c>
      <c r="C745" s="2">
        <f>YEAR(Sales_Details2[[#This Row],[Order_Date]])</f>
        <v>2024</v>
      </c>
      <c r="D745" s="2" t="s">
        <v>565</v>
      </c>
      <c r="E745" s="2" t="str">
        <f>VLOOKUP(Sales_Details2[[#This Row],[Customer_ID]],Customer_Details[#All],4,0)</f>
        <v>Mid-Adult</v>
      </c>
      <c r="F745" s="2" t="str">
        <f>VLOOKUP(Sales_Details2[[#This Row],[Customer_ID]],Customer_Details[#All],5,0)</f>
        <v>Female</v>
      </c>
      <c r="G745" s="2" t="str">
        <f>VLOOKUP(Sales_Details2[[#This Row],[Customer_ID]],Customer_Details[#All],9,0)</f>
        <v>Bronze</v>
      </c>
      <c r="H745" s="2" t="s">
        <v>1689</v>
      </c>
      <c r="I745" s="2" t="str">
        <f>VLOOKUP(Sales_Details2[[#This Row],[Product_ID]],Product_details[[#All],[Product_ID]:[Cost]],3,0)</f>
        <v>Home</v>
      </c>
      <c r="J745" s="2" t="str">
        <f>VLOOKUP(Sales_Details2[[#This Row],[Product_ID]],Product_details[[#All],[Product_ID]:[Cost]],4,0)</f>
        <v>Lighting</v>
      </c>
      <c r="K745" s="2" t="s">
        <v>1749</v>
      </c>
      <c r="L745" s="2" t="str">
        <f>_xlfn.XLOOKUP(Sales_Details2[[#This Row],[Store_ID]],Table2[Store_ID],Table2[Region],"Region not found")</f>
        <v>North</v>
      </c>
      <c r="M745" s="25">
        <v>3</v>
      </c>
      <c r="N745" s="36">
        <v>339.41</v>
      </c>
      <c r="O745" s="29">
        <v>0.26</v>
      </c>
      <c r="P745" s="2" t="s">
        <v>1807</v>
      </c>
      <c r="Q745" s="36">
        <v>753.49019999999996</v>
      </c>
    </row>
    <row r="746" spans="1:17" x14ac:dyDescent="0.3">
      <c r="A746" s="2" t="s">
        <v>2553</v>
      </c>
      <c r="B746" s="14">
        <v>45687</v>
      </c>
      <c r="C746" s="2">
        <f>YEAR(Sales_Details2[[#This Row],[Order_Date]])</f>
        <v>2025</v>
      </c>
      <c r="D746" s="2" t="s">
        <v>1433</v>
      </c>
      <c r="E746" s="2" t="str">
        <f>VLOOKUP(Sales_Details2[[#This Row],[Customer_ID]],Customer_Details[#All],4,0)</f>
        <v>Adult</v>
      </c>
      <c r="F746" s="2" t="str">
        <f>VLOOKUP(Sales_Details2[[#This Row],[Customer_ID]],Customer_Details[#All],5,0)</f>
        <v>Female</v>
      </c>
      <c r="G746" s="2" t="str">
        <f>VLOOKUP(Sales_Details2[[#This Row],[Customer_ID]],Customer_Details[#All],9,0)</f>
        <v>Gold</v>
      </c>
      <c r="H746" s="2" t="s">
        <v>1689</v>
      </c>
      <c r="I746" s="2" t="str">
        <f>VLOOKUP(Sales_Details2[[#This Row],[Product_ID]],Product_details[[#All],[Product_ID]:[Cost]],3,0)</f>
        <v>Home</v>
      </c>
      <c r="J746" s="2" t="str">
        <f>VLOOKUP(Sales_Details2[[#This Row],[Product_ID]],Product_details[[#All],[Product_ID]:[Cost]],4,0)</f>
        <v>Lighting</v>
      </c>
      <c r="K746" s="2" t="s">
        <v>1769</v>
      </c>
      <c r="L746" s="2" t="str">
        <f>_xlfn.XLOOKUP(Sales_Details2[[#This Row],[Store_ID]],Table2[Store_ID],Table2[Region],"Region not found")</f>
        <v>South</v>
      </c>
      <c r="M746" s="25">
        <v>4</v>
      </c>
      <c r="N746" s="36">
        <v>848.47</v>
      </c>
      <c r="O746" s="29">
        <v>0.21</v>
      </c>
      <c r="P746" s="2" t="s">
        <v>1812</v>
      </c>
      <c r="Q746" s="36">
        <v>2681.1651999999999</v>
      </c>
    </row>
    <row r="747" spans="1:17" x14ac:dyDescent="0.3">
      <c r="A747" s="2" t="s">
        <v>2554</v>
      </c>
      <c r="B747" s="14">
        <v>45747</v>
      </c>
      <c r="C747" s="2">
        <f>YEAR(Sales_Details2[[#This Row],[Order_Date]])</f>
        <v>2025</v>
      </c>
      <c r="D747" s="2" t="s">
        <v>625</v>
      </c>
      <c r="E747" s="2" t="str">
        <f>VLOOKUP(Sales_Details2[[#This Row],[Customer_ID]],Customer_Details[#All],4,0)</f>
        <v>Adult</v>
      </c>
      <c r="F747" s="2" t="str">
        <f>VLOOKUP(Sales_Details2[[#This Row],[Customer_ID]],Customer_Details[#All],5,0)</f>
        <v>Male</v>
      </c>
      <c r="G747" s="2" t="str">
        <f>VLOOKUP(Sales_Details2[[#This Row],[Customer_ID]],Customer_Details[#All],9,0)</f>
        <v>Gold</v>
      </c>
      <c r="H747" s="2" t="s">
        <v>1665</v>
      </c>
      <c r="I747" s="2" t="str">
        <f>VLOOKUP(Sales_Details2[[#This Row],[Product_ID]],Product_details[[#All],[Product_ID]:[Cost]],3,0)</f>
        <v>Electronics</v>
      </c>
      <c r="J747" s="2" t="str">
        <f>VLOOKUP(Sales_Details2[[#This Row],[Product_ID]],Product_details[[#All],[Product_ID]:[Cost]],4,0)</f>
        <v>Accessories</v>
      </c>
      <c r="K747" s="2" t="s">
        <v>1765</v>
      </c>
      <c r="L747" s="2" t="str">
        <f>_xlfn.XLOOKUP(Sales_Details2[[#This Row],[Store_ID]],Table2[Store_ID],Table2[Region],"Region not found")</f>
        <v>West</v>
      </c>
      <c r="M747" s="25">
        <v>1</v>
      </c>
      <c r="N747" s="36">
        <v>664.87</v>
      </c>
      <c r="O747" s="29">
        <v>0.08</v>
      </c>
      <c r="P747" s="2" t="s">
        <v>1809</v>
      </c>
      <c r="Q747" s="36">
        <v>611.68040000000008</v>
      </c>
    </row>
    <row r="748" spans="1:17" x14ac:dyDescent="0.3">
      <c r="A748" s="2" t="s">
        <v>2555</v>
      </c>
      <c r="B748" s="14">
        <v>45687</v>
      </c>
      <c r="C748" s="2">
        <f>YEAR(Sales_Details2[[#This Row],[Order_Date]])</f>
        <v>2025</v>
      </c>
      <c r="D748" s="2" t="s">
        <v>348</v>
      </c>
      <c r="E748" s="2" t="str">
        <f>VLOOKUP(Sales_Details2[[#This Row],[Customer_ID]],Customer_Details[#All],4,0)</f>
        <v>Mid-Adult</v>
      </c>
      <c r="F748" s="2" t="str">
        <f>VLOOKUP(Sales_Details2[[#This Row],[Customer_ID]],Customer_Details[#All],5,0)</f>
        <v>Male</v>
      </c>
      <c r="G748" s="2" t="str">
        <f>VLOOKUP(Sales_Details2[[#This Row],[Customer_ID]],Customer_Details[#All],9,0)</f>
        <v>Silver</v>
      </c>
      <c r="H748" s="2" t="s">
        <v>1579</v>
      </c>
      <c r="I748" s="2" t="str">
        <f>VLOOKUP(Sales_Details2[[#This Row],[Product_ID]],Product_details[[#All],[Product_ID]:[Cost]],3,0)</f>
        <v>Sports</v>
      </c>
      <c r="J748" s="2" t="str">
        <f>VLOOKUP(Sales_Details2[[#This Row],[Product_ID]],Product_details[[#All],[Product_ID]:[Cost]],4,0)</f>
        <v>Outdoor</v>
      </c>
      <c r="K748" s="2" t="s">
        <v>1762</v>
      </c>
      <c r="L748" s="2" t="str">
        <f>_xlfn.XLOOKUP(Sales_Details2[[#This Row],[Store_ID]],Table2[Store_ID],Table2[Region],"Region not found")</f>
        <v>South</v>
      </c>
      <c r="M748" s="25">
        <v>1</v>
      </c>
      <c r="N748" s="36">
        <v>412.11</v>
      </c>
      <c r="O748" s="29">
        <v>0.23</v>
      </c>
      <c r="P748" s="2" t="s">
        <v>1809</v>
      </c>
      <c r="Q748" s="36">
        <v>317.32470000000001</v>
      </c>
    </row>
    <row r="749" spans="1:17" x14ac:dyDescent="0.3">
      <c r="A749" s="2" t="s">
        <v>2556</v>
      </c>
      <c r="B749" s="14">
        <v>45916</v>
      </c>
      <c r="C749" s="2">
        <f>YEAR(Sales_Details2[[#This Row],[Order_Date]])</f>
        <v>2025</v>
      </c>
      <c r="D749" s="2" t="s">
        <v>417</v>
      </c>
      <c r="E749" s="2" t="str">
        <f>VLOOKUP(Sales_Details2[[#This Row],[Customer_ID]],Customer_Details[#All],4,0)</f>
        <v>Mid-Adult</v>
      </c>
      <c r="F749" s="2" t="str">
        <f>VLOOKUP(Sales_Details2[[#This Row],[Customer_ID]],Customer_Details[#All],5,0)</f>
        <v>Male</v>
      </c>
      <c r="G749" s="2" t="str">
        <f>VLOOKUP(Sales_Details2[[#This Row],[Customer_ID]],Customer_Details[#All],9,0)</f>
        <v>Platinum</v>
      </c>
      <c r="H749" s="2" t="s">
        <v>1719</v>
      </c>
      <c r="I749" s="2" t="str">
        <f>VLOOKUP(Sales_Details2[[#This Row],[Product_ID]],Product_details[[#All],[Product_ID]:[Cost]],3,0)</f>
        <v>Beauty</v>
      </c>
      <c r="J749" s="2" t="str">
        <f>VLOOKUP(Sales_Details2[[#This Row],[Product_ID]],Product_details[[#All],[Product_ID]:[Cost]],4,0)</f>
        <v>Skincare</v>
      </c>
      <c r="K749" s="2" t="s">
        <v>1740</v>
      </c>
      <c r="L749" s="2" t="str">
        <f>_xlfn.XLOOKUP(Sales_Details2[[#This Row],[Store_ID]],Table2[Store_ID],Table2[Region],"Region not found")</f>
        <v>North</v>
      </c>
      <c r="M749" s="25">
        <v>1</v>
      </c>
      <c r="N749" s="36">
        <v>126.09</v>
      </c>
      <c r="O749" s="29">
        <v>0.05</v>
      </c>
      <c r="P749" s="2" t="s">
        <v>1812</v>
      </c>
      <c r="Q749" s="36">
        <v>119.7855</v>
      </c>
    </row>
    <row r="750" spans="1:17" x14ac:dyDescent="0.3">
      <c r="A750" s="2" t="s">
        <v>2557</v>
      </c>
      <c r="B750" s="14">
        <v>45917</v>
      </c>
      <c r="C750" s="2">
        <f>YEAR(Sales_Details2[[#This Row],[Order_Date]])</f>
        <v>2025</v>
      </c>
      <c r="D750" s="2" t="s">
        <v>642</v>
      </c>
      <c r="E750" s="2" t="str">
        <f>VLOOKUP(Sales_Details2[[#This Row],[Customer_ID]],Customer_Details[#All],4,0)</f>
        <v>Senior</v>
      </c>
      <c r="F750" s="2" t="str">
        <f>VLOOKUP(Sales_Details2[[#This Row],[Customer_ID]],Customer_Details[#All],5,0)</f>
        <v>Male</v>
      </c>
      <c r="G750" s="2" t="str">
        <f>VLOOKUP(Sales_Details2[[#This Row],[Customer_ID]],Customer_Details[#All],9,0)</f>
        <v>Bronze</v>
      </c>
      <c r="H750" s="2" t="s">
        <v>1665</v>
      </c>
      <c r="I750" s="2" t="str">
        <f>VLOOKUP(Sales_Details2[[#This Row],[Product_ID]],Product_details[[#All],[Product_ID]:[Cost]],3,0)</f>
        <v>Electronics</v>
      </c>
      <c r="J750" s="2" t="str">
        <f>VLOOKUP(Sales_Details2[[#This Row],[Product_ID]],Product_details[[#All],[Product_ID]:[Cost]],4,0)</f>
        <v>Accessories</v>
      </c>
      <c r="K750" s="2" t="s">
        <v>1772</v>
      </c>
      <c r="L750" s="2" t="str">
        <f>_xlfn.XLOOKUP(Sales_Details2[[#This Row],[Store_ID]],Table2[Store_ID],Table2[Region],"Region not found")</f>
        <v>East</v>
      </c>
      <c r="M750" s="25">
        <v>4</v>
      </c>
      <c r="N750" s="36">
        <v>602.39</v>
      </c>
      <c r="O750" s="29">
        <v>0.19</v>
      </c>
      <c r="P750" s="2" t="s">
        <v>1812</v>
      </c>
      <c r="Q750" s="36">
        <v>1951.7436</v>
      </c>
    </row>
    <row r="751" spans="1:17" x14ac:dyDescent="0.3">
      <c r="A751" s="2" t="s">
        <v>2558</v>
      </c>
      <c r="B751" s="14">
        <v>45941</v>
      </c>
      <c r="C751" s="2">
        <f>YEAR(Sales_Details2[[#This Row],[Order_Date]])</f>
        <v>2025</v>
      </c>
      <c r="D751" s="2" t="s">
        <v>1012</v>
      </c>
      <c r="E751" s="2" t="str">
        <f>VLOOKUP(Sales_Details2[[#This Row],[Customer_ID]],Customer_Details[#All],4,0)</f>
        <v>Senior</v>
      </c>
      <c r="F751" s="2" t="str">
        <f>VLOOKUP(Sales_Details2[[#This Row],[Customer_ID]],Customer_Details[#All],5,0)</f>
        <v>Male</v>
      </c>
      <c r="G751" s="2" t="str">
        <f>VLOOKUP(Sales_Details2[[#This Row],[Customer_ID]],Customer_Details[#All],9,0)</f>
        <v>Bronze</v>
      </c>
      <c r="H751" s="2" t="s">
        <v>1695</v>
      </c>
      <c r="I751" s="2" t="str">
        <f>VLOOKUP(Sales_Details2[[#This Row],[Product_ID]],Product_details[[#All],[Product_ID]:[Cost]],3,0)</f>
        <v>Sports</v>
      </c>
      <c r="J751" s="2" t="str">
        <f>VLOOKUP(Sales_Details2[[#This Row],[Product_ID]],Product_details[[#All],[Product_ID]:[Cost]],4,0)</f>
        <v>Fitness</v>
      </c>
      <c r="K751" s="2" t="s">
        <v>1749</v>
      </c>
      <c r="L751" s="2" t="str">
        <f>_xlfn.XLOOKUP(Sales_Details2[[#This Row],[Store_ID]],Table2[Store_ID],Table2[Region],"Region not found")</f>
        <v>North</v>
      </c>
      <c r="M751" s="25">
        <v>3</v>
      </c>
      <c r="N751" s="36">
        <v>447.69</v>
      </c>
      <c r="O751" s="29">
        <v>0.02</v>
      </c>
      <c r="P751" s="2" t="s">
        <v>1812</v>
      </c>
      <c r="Q751" s="36">
        <v>1316.2085999999999</v>
      </c>
    </row>
    <row r="752" spans="1:17" x14ac:dyDescent="0.3">
      <c r="A752" s="2" t="s">
        <v>2559</v>
      </c>
      <c r="B752" s="14">
        <v>45778</v>
      </c>
      <c r="C752" s="2">
        <f>YEAR(Sales_Details2[[#This Row],[Order_Date]])</f>
        <v>2025</v>
      </c>
      <c r="D752" s="2" t="s">
        <v>788</v>
      </c>
      <c r="E752" s="2" t="str">
        <f>VLOOKUP(Sales_Details2[[#This Row],[Customer_ID]],Customer_Details[#All],4,0)</f>
        <v>Adult</v>
      </c>
      <c r="F752" s="2" t="str">
        <f>VLOOKUP(Sales_Details2[[#This Row],[Customer_ID]],Customer_Details[#All],5,0)</f>
        <v>Male</v>
      </c>
      <c r="G752" s="2" t="str">
        <f>VLOOKUP(Sales_Details2[[#This Row],[Customer_ID]],Customer_Details[#All],9,0)</f>
        <v>Gold</v>
      </c>
      <c r="H752" s="2" t="s">
        <v>1599</v>
      </c>
      <c r="I752" s="2" t="str">
        <f>VLOOKUP(Sales_Details2[[#This Row],[Product_ID]],Product_details[[#All],[Product_ID]:[Cost]],3,0)</f>
        <v>Electronics</v>
      </c>
      <c r="J752" s="2" t="str">
        <f>VLOOKUP(Sales_Details2[[#This Row],[Product_ID]],Product_details[[#All],[Product_ID]:[Cost]],4,0)</f>
        <v>Computer</v>
      </c>
      <c r="K752" s="2" t="s">
        <v>1749</v>
      </c>
      <c r="L752" s="2" t="str">
        <f>_xlfn.XLOOKUP(Sales_Details2[[#This Row],[Store_ID]],Table2[Store_ID],Table2[Region],"Region not found")</f>
        <v>North</v>
      </c>
      <c r="M752" s="25">
        <v>3</v>
      </c>
      <c r="N752" s="36">
        <v>35.159999999999997</v>
      </c>
      <c r="O752" s="29">
        <v>0.04</v>
      </c>
      <c r="P752" s="2" t="s">
        <v>1812</v>
      </c>
      <c r="Q752" s="36">
        <v>101.2608</v>
      </c>
    </row>
    <row r="753" spans="1:17" x14ac:dyDescent="0.3">
      <c r="A753" s="2" t="s">
        <v>2560</v>
      </c>
      <c r="B753" s="14">
        <v>45740</v>
      </c>
      <c r="C753" s="2">
        <f>YEAR(Sales_Details2[[#This Row],[Order_Date]])</f>
        <v>2025</v>
      </c>
      <c r="D753" s="2" t="s">
        <v>1027</v>
      </c>
      <c r="E753" s="2" t="str">
        <f>VLOOKUP(Sales_Details2[[#This Row],[Customer_ID]],Customer_Details[#All],4,0)</f>
        <v>Senior</v>
      </c>
      <c r="F753" s="2" t="str">
        <f>VLOOKUP(Sales_Details2[[#This Row],[Customer_ID]],Customer_Details[#All],5,0)</f>
        <v>Male</v>
      </c>
      <c r="G753" s="2" t="str">
        <f>VLOOKUP(Sales_Details2[[#This Row],[Customer_ID]],Customer_Details[#All],9,0)</f>
        <v>Platinum</v>
      </c>
      <c r="H753" s="2" t="s">
        <v>1675</v>
      </c>
      <c r="I753" s="2" t="str">
        <f>VLOOKUP(Sales_Details2[[#This Row],[Product_ID]],Product_details[[#All],[Product_ID]:[Cost]],3,0)</f>
        <v>Sports</v>
      </c>
      <c r="J753" s="2" t="str">
        <f>VLOOKUP(Sales_Details2[[#This Row],[Product_ID]],Product_details[[#All],[Product_ID]:[Cost]],4,0)</f>
        <v>Fitness</v>
      </c>
      <c r="K753" s="2" t="s">
        <v>1775</v>
      </c>
      <c r="L753" s="2" t="str">
        <f>_xlfn.XLOOKUP(Sales_Details2[[#This Row],[Store_ID]],Table2[Store_ID],Table2[Region],"Region not found")</f>
        <v>South</v>
      </c>
      <c r="M753" s="25">
        <v>2</v>
      </c>
      <c r="N753" s="36">
        <v>838.59</v>
      </c>
      <c r="O753" s="29">
        <v>0.18</v>
      </c>
      <c r="P753" s="2" t="s">
        <v>1812</v>
      </c>
      <c r="Q753" s="36">
        <v>1375.2876000000001</v>
      </c>
    </row>
    <row r="754" spans="1:17" x14ac:dyDescent="0.3">
      <c r="A754" s="2" t="s">
        <v>2561</v>
      </c>
      <c r="B754" s="14">
        <v>45598</v>
      </c>
      <c r="C754" s="2">
        <f>YEAR(Sales_Details2[[#This Row],[Order_Date]])</f>
        <v>2024</v>
      </c>
      <c r="D754" s="2" t="s">
        <v>316</v>
      </c>
      <c r="E754" s="2" t="str">
        <f>VLOOKUP(Sales_Details2[[#This Row],[Customer_ID]],Customer_Details[#All],4,0)</f>
        <v>Mid-Adult</v>
      </c>
      <c r="F754" s="2" t="str">
        <f>VLOOKUP(Sales_Details2[[#This Row],[Customer_ID]],Customer_Details[#All],5,0)</f>
        <v>Male</v>
      </c>
      <c r="G754" s="2" t="str">
        <f>VLOOKUP(Sales_Details2[[#This Row],[Customer_ID]],Customer_Details[#All],9,0)</f>
        <v>Platinum</v>
      </c>
      <c r="H754" s="2" t="s">
        <v>1649</v>
      </c>
      <c r="I754" s="2" t="str">
        <f>VLOOKUP(Sales_Details2[[#This Row],[Product_ID]],Product_details[[#All],[Product_ID]:[Cost]],3,0)</f>
        <v>Beauty</v>
      </c>
      <c r="J754" s="2" t="str">
        <f>VLOOKUP(Sales_Details2[[#This Row],[Product_ID]],Product_details[[#All],[Product_ID]:[Cost]],4,0)</f>
        <v>Haircare</v>
      </c>
      <c r="K754" s="2" t="s">
        <v>1759</v>
      </c>
      <c r="L754" s="2" t="str">
        <f>_xlfn.XLOOKUP(Sales_Details2[[#This Row],[Store_ID]],Table2[Store_ID],Table2[Region],"Region not found")</f>
        <v>East</v>
      </c>
      <c r="M754" s="25">
        <v>4</v>
      </c>
      <c r="N754" s="36">
        <v>867.94</v>
      </c>
      <c r="O754" s="29">
        <v>0.26</v>
      </c>
      <c r="P754" s="2" t="s">
        <v>1809</v>
      </c>
      <c r="Q754" s="36">
        <v>2569.1024000000002</v>
      </c>
    </row>
    <row r="755" spans="1:17" x14ac:dyDescent="0.3">
      <c r="A755" s="2" t="s">
        <v>2562</v>
      </c>
      <c r="B755" s="14">
        <v>45591</v>
      </c>
      <c r="C755" s="2">
        <f>YEAR(Sales_Details2[[#This Row],[Order_Date]])</f>
        <v>2024</v>
      </c>
      <c r="D755" s="2" t="s">
        <v>637</v>
      </c>
      <c r="E755" s="2" t="str">
        <f>VLOOKUP(Sales_Details2[[#This Row],[Customer_ID]],Customer_Details[#All],4,0)</f>
        <v>Adult</v>
      </c>
      <c r="F755" s="2" t="str">
        <f>VLOOKUP(Sales_Details2[[#This Row],[Customer_ID]],Customer_Details[#All],5,0)</f>
        <v>Female</v>
      </c>
      <c r="G755" s="2" t="str">
        <f>VLOOKUP(Sales_Details2[[#This Row],[Customer_ID]],Customer_Details[#All],9,0)</f>
        <v>Platinum</v>
      </c>
      <c r="H755" s="2" t="s">
        <v>1609</v>
      </c>
      <c r="I755" s="2" t="str">
        <f>VLOOKUP(Sales_Details2[[#This Row],[Product_ID]],Product_details[[#All],[Product_ID]:[Cost]],3,0)</f>
        <v>Electronics</v>
      </c>
      <c r="J755" s="2" t="str">
        <f>VLOOKUP(Sales_Details2[[#This Row],[Product_ID]],Product_details[[#All],[Product_ID]:[Cost]],4,0)</f>
        <v>Mobile</v>
      </c>
      <c r="K755" s="2" t="s">
        <v>1790</v>
      </c>
      <c r="L755" s="2" t="str">
        <f>_xlfn.XLOOKUP(Sales_Details2[[#This Row],[Store_ID]],Table2[Store_ID],Table2[Region],"Region not found")</f>
        <v>North</v>
      </c>
      <c r="M755" s="25">
        <v>1</v>
      </c>
      <c r="N755" s="36">
        <v>623.88</v>
      </c>
      <c r="O755" s="29">
        <v>0.25</v>
      </c>
      <c r="P755" s="2" t="s">
        <v>1807</v>
      </c>
      <c r="Q755" s="36">
        <v>467.91</v>
      </c>
    </row>
    <row r="756" spans="1:17" x14ac:dyDescent="0.3">
      <c r="A756" s="2" t="s">
        <v>2563</v>
      </c>
      <c r="B756" s="14">
        <v>45546</v>
      </c>
      <c r="C756" s="2">
        <f>YEAR(Sales_Details2[[#This Row],[Order_Date]])</f>
        <v>2024</v>
      </c>
      <c r="D756" s="2" t="s">
        <v>579</v>
      </c>
      <c r="E756" s="2" t="str">
        <f>VLOOKUP(Sales_Details2[[#This Row],[Customer_ID]],Customer_Details[#All],4,0)</f>
        <v>Senior</v>
      </c>
      <c r="F756" s="2" t="str">
        <f>VLOOKUP(Sales_Details2[[#This Row],[Customer_ID]],Customer_Details[#All],5,0)</f>
        <v>Male</v>
      </c>
      <c r="G756" s="2" t="str">
        <f>VLOOKUP(Sales_Details2[[#This Row],[Customer_ID]],Customer_Details[#All],9,0)</f>
        <v>Platinum</v>
      </c>
      <c r="H756" s="2" t="s">
        <v>1615</v>
      </c>
      <c r="I756" s="2" t="str">
        <f>VLOOKUP(Sales_Details2[[#This Row],[Product_ID]],Product_details[[#All],[Product_ID]:[Cost]],3,0)</f>
        <v>Electronics</v>
      </c>
      <c r="J756" s="2" t="str">
        <f>VLOOKUP(Sales_Details2[[#This Row],[Product_ID]],Product_details[[#All],[Product_ID]:[Cost]],4,0)</f>
        <v>Accessories</v>
      </c>
      <c r="K756" s="2" t="s">
        <v>1782</v>
      </c>
      <c r="L756" s="2" t="str">
        <f>_xlfn.XLOOKUP(Sales_Details2[[#This Row],[Store_ID]],Table2[Store_ID],Table2[Region],"Region not found")</f>
        <v>South</v>
      </c>
      <c r="M756" s="25">
        <v>2</v>
      </c>
      <c r="N756" s="36">
        <v>567.95000000000005</v>
      </c>
      <c r="O756" s="29">
        <v>0.12</v>
      </c>
      <c r="P756" s="2" t="s">
        <v>1809</v>
      </c>
      <c r="Q756" s="36">
        <v>999.5920000000001</v>
      </c>
    </row>
    <row r="757" spans="1:17" x14ac:dyDescent="0.3">
      <c r="A757" s="2" t="s">
        <v>2564</v>
      </c>
      <c r="B757" s="14">
        <v>45483</v>
      </c>
      <c r="C757" s="2">
        <f>YEAR(Sales_Details2[[#This Row],[Order_Date]])</f>
        <v>2024</v>
      </c>
      <c r="D757" s="2" t="s">
        <v>1007</v>
      </c>
      <c r="E757" s="2" t="str">
        <f>VLOOKUP(Sales_Details2[[#This Row],[Customer_ID]],Customer_Details[#All],4,0)</f>
        <v>Senior</v>
      </c>
      <c r="F757" s="2" t="str">
        <f>VLOOKUP(Sales_Details2[[#This Row],[Customer_ID]],Customer_Details[#All],5,0)</f>
        <v>Female</v>
      </c>
      <c r="G757" s="2" t="str">
        <f>VLOOKUP(Sales_Details2[[#This Row],[Customer_ID]],Customer_Details[#All],9,0)</f>
        <v>Platinum</v>
      </c>
      <c r="H757" s="2" t="s">
        <v>1593</v>
      </c>
      <c r="I757" s="2" t="str">
        <f>VLOOKUP(Sales_Details2[[#This Row],[Product_ID]],Product_details[[#All],[Product_ID]:[Cost]],3,0)</f>
        <v>Sports</v>
      </c>
      <c r="J757" s="2" t="str">
        <f>VLOOKUP(Sales_Details2[[#This Row],[Product_ID]],Product_details[[#All],[Product_ID]:[Cost]],4,0)</f>
        <v>Team Sports</v>
      </c>
      <c r="K757" s="2" t="s">
        <v>1793</v>
      </c>
      <c r="L757" s="2" t="str">
        <f>_xlfn.XLOOKUP(Sales_Details2[[#This Row],[Store_ID]],Table2[Store_ID],Table2[Region],"Region not found")</f>
        <v>East</v>
      </c>
      <c r="M757" s="25">
        <v>2</v>
      </c>
      <c r="N757" s="36">
        <v>671.69</v>
      </c>
      <c r="O757" s="29">
        <v>0.19</v>
      </c>
      <c r="P757" s="2" t="s">
        <v>1807</v>
      </c>
      <c r="Q757" s="36">
        <v>1088.1378</v>
      </c>
    </row>
    <row r="758" spans="1:17" x14ac:dyDescent="0.3">
      <c r="A758" s="2" t="s">
        <v>2565</v>
      </c>
      <c r="B758" s="14">
        <v>45786</v>
      </c>
      <c r="C758" s="2">
        <f>YEAR(Sales_Details2[[#This Row],[Order_Date]])</f>
        <v>2025</v>
      </c>
      <c r="D758" s="2" t="s">
        <v>666</v>
      </c>
      <c r="E758" s="2" t="str">
        <f>VLOOKUP(Sales_Details2[[#This Row],[Customer_ID]],Customer_Details[#All],4,0)</f>
        <v>Adult</v>
      </c>
      <c r="F758" s="2" t="str">
        <f>VLOOKUP(Sales_Details2[[#This Row],[Customer_ID]],Customer_Details[#All],5,0)</f>
        <v>Female</v>
      </c>
      <c r="G758" s="2" t="str">
        <f>VLOOKUP(Sales_Details2[[#This Row],[Customer_ID]],Customer_Details[#All],9,0)</f>
        <v>Silver</v>
      </c>
      <c r="H758" s="2" t="s">
        <v>1540</v>
      </c>
      <c r="I758" s="2" t="str">
        <f>VLOOKUP(Sales_Details2[[#This Row],[Product_ID]],Product_details[[#All],[Product_ID]:[Cost]],3,0)</f>
        <v>Beauty</v>
      </c>
      <c r="J758" s="2" t="str">
        <f>VLOOKUP(Sales_Details2[[#This Row],[Product_ID]],Product_details[[#All],[Product_ID]:[Cost]],4,0)</f>
        <v>Skincare</v>
      </c>
      <c r="K758" s="2" t="s">
        <v>1762</v>
      </c>
      <c r="L758" s="2" t="str">
        <f>_xlfn.XLOOKUP(Sales_Details2[[#This Row],[Store_ID]],Table2[Store_ID],Table2[Region],"Region not found")</f>
        <v>South</v>
      </c>
      <c r="M758" s="25">
        <v>2</v>
      </c>
      <c r="N758" s="36">
        <v>257.95999999999998</v>
      </c>
      <c r="O758" s="29">
        <v>0.21</v>
      </c>
      <c r="P758" s="2" t="s">
        <v>1809</v>
      </c>
      <c r="Q758" s="36">
        <v>407.57679999999999</v>
      </c>
    </row>
    <row r="759" spans="1:17" x14ac:dyDescent="0.3">
      <c r="A759" s="2" t="s">
        <v>2566</v>
      </c>
      <c r="B759" s="14">
        <v>45475</v>
      </c>
      <c r="C759" s="2">
        <f>YEAR(Sales_Details2[[#This Row],[Order_Date]])</f>
        <v>2024</v>
      </c>
      <c r="D759" s="2" t="s">
        <v>660</v>
      </c>
      <c r="E759" s="2" t="str">
        <f>VLOOKUP(Sales_Details2[[#This Row],[Customer_ID]],Customer_Details[#All],4,0)</f>
        <v>Senior</v>
      </c>
      <c r="F759" s="2" t="str">
        <f>VLOOKUP(Sales_Details2[[#This Row],[Customer_ID]],Customer_Details[#All],5,0)</f>
        <v>Male</v>
      </c>
      <c r="G759" s="2" t="str">
        <f>VLOOKUP(Sales_Details2[[#This Row],[Customer_ID]],Customer_Details[#All],9,0)</f>
        <v>Platinum</v>
      </c>
      <c r="H759" s="2" t="s">
        <v>1727</v>
      </c>
      <c r="I759" s="2" t="str">
        <f>VLOOKUP(Sales_Details2[[#This Row],[Product_ID]],Product_details[[#All],[Product_ID]:[Cost]],3,0)</f>
        <v>Electronics</v>
      </c>
      <c r="J759" s="2" t="str">
        <f>VLOOKUP(Sales_Details2[[#This Row],[Product_ID]],Product_details[[#All],[Product_ID]:[Cost]],4,0)</f>
        <v>Audio</v>
      </c>
      <c r="K759" s="2" t="s">
        <v>1796</v>
      </c>
      <c r="L759" s="2" t="str">
        <f>_xlfn.XLOOKUP(Sales_Details2[[#This Row],[Store_ID]],Table2[Store_ID],Table2[Region],"Region not found")</f>
        <v>East</v>
      </c>
      <c r="M759" s="25">
        <v>4</v>
      </c>
      <c r="N759" s="36">
        <v>281.48</v>
      </c>
      <c r="O759" s="29">
        <v>0.27</v>
      </c>
      <c r="P759" s="2" t="s">
        <v>1809</v>
      </c>
      <c r="Q759" s="36">
        <v>821.92160000000001</v>
      </c>
    </row>
    <row r="760" spans="1:17" x14ac:dyDescent="0.3">
      <c r="A760" s="2" t="s">
        <v>2567</v>
      </c>
      <c r="B760" s="14">
        <v>45470</v>
      </c>
      <c r="C760" s="2">
        <f>YEAR(Sales_Details2[[#This Row],[Order_Date]])</f>
        <v>2024</v>
      </c>
      <c r="D760" s="2" t="s">
        <v>986</v>
      </c>
      <c r="E760" s="2" t="str">
        <f>VLOOKUP(Sales_Details2[[#This Row],[Customer_ID]],Customer_Details[#All],4,0)</f>
        <v>Mid-Adult</v>
      </c>
      <c r="F760" s="2" t="str">
        <f>VLOOKUP(Sales_Details2[[#This Row],[Customer_ID]],Customer_Details[#All],5,0)</f>
        <v>Male</v>
      </c>
      <c r="G760" s="2" t="str">
        <f>VLOOKUP(Sales_Details2[[#This Row],[Customer_ID]],Customer_Details[#All],9,0)</f>
        <v>Gold</v>
      </c>
      <c r="H760" s="2" t="s">
        <v>1571</v>
      </c>
      <c r="I760" s="2" t="str">
        <f>VLOOKUP(Sales_Details2[[#This Row],[Product_ID]],Product_details[[#All],[Product_ID]:[Cost]],3,0)</f>
        <v>Sports</v>
      </c>
      <c r="J760" s="2" t="str">
        <f>VLOOKUP(Sales_Details2[[#This Row],[Product_ID]],Product_details[[#All],[Product_ID]:[Cost]],4,0)</f>
        <v>Accessories</v>
      </c>
      <c r="K760" s="2" t="s">
        <v>1775</v>
      </c>
      <c r="L760" s="2" t="str">
        <f>_xlfn.XLOOKUP(Sales_Details2[[#This Row],[Store_ID]],Table2[Store_ID],Table2[Region],"Region not found")</f>
        <v>South</v>
      </c>
      <c r="M760" s="25">
        <v>1</v>
      </c>
      <c r="N760" s="36">
        <v>202.13</v>
      </c>
      <c r="O760" s="29">
        <v>0.13</v>
      </c>
      <c r="P760" s="2" t="s">
        <v>1812</v>
      </c>
      <c r="Q760" s="36">
        <v>175.85310000000001</v>
      </c>
    </row>
    <row r="761" spans="1:17" x14ac:dyDescent="0.3">
      <c r="A761" s="2" t="s">
        <v>2568</v>
      </c>
      <c r="B761" s="14">
        <v>45243</v>
      </c>
      <c r="C761" s="2">
        <f>YEAR(Sales_Details2[[#This Row],[Order_Date]])</f>
        <v>2023</v>
      </c>
      <c r="D761" s="2" t="s">
        <v>856</v>
      </c>
      <c r="E761" s="2" t="str">
        <f>VLOOKUP(Sales_Details2[[#This Row],[Customer_ID]],Customer_Details[#All],4,0)</f>
        <v>Senior</v>
      </c>
      <c r="F761" s="2" t="str">
        <f>VLOOKUP(Sales_Details2[[#This Row],[Customer_ID]],Customer_Details[#All],5,0)</f>
        <v>Male</v>
      </c>
      <c r="G761" s="2" t="str">
        <f>VLOOKUP(Sales_Details2[[#This Row],[Customer_ID]],Customer_Details[#All],9,0)</f>
        <v>Platinum</v>
      </c>
      <c r="H761" s="2" t="s">
        <v>1679</v>
      </c>
      <c r="I761" s="2" t="str">
        <f>VLOOKUP(Sales_Details2[[#This Row],[Product_ID]],Product_details[[#All],[Product_ID]:[Cost]],3,0)</f>
        <v>Electronics</v>
      </c>
      <c r="J761" s="2" t="str">
        <f>VLOOKUP(Sales_Details2[[#This Row],[Product_ID]],Product_details[[#All],[Product_ID]:[Cost]],4,0)</f>
        <v>Audio</v>
      </c>
      <c r="K761" s="2" t="s">
        <v>1756</v>
      </c>
      <c r="L761" s="2" t="str">
        <f>_xlfn.XLOOKUP(Sales_Details2[[#This Row],[Store_ID]],Table2[Store_ID],Table2[Region],"Region not found")</f>
        <v>North</v>
      </c>
      <c r="M761" s="25">
        <v>1</v>
      </c>
      <c r="N761" s="36">
        <v>370.66</v>
      </c>
      <c r="O761" s="29">
        <v>0.01</v>
      </c>
      <c r="P761" s="2" t="s">
        <v>1809</v>
      </c>
      <c r="Q761" s="36">
        <v>366.95339999999999</v>
      </c>
    </row>
    <row r="762" spans="1:17" x14ac:dyDescent="0.3">
      <c r="A762" s="2" t="s">
        <v>2569</v>
      </c>
      <c r="B762" s="14">
        <v>45341</v>
      </c>
      <c r="C762" s="2">
        <f>YEAR(Sales_Details2[[#This Row],[Order_Date]])</f>
        <v>2024</v>
      </c>
      <c r="D762" s="2" t="s">
        <v>32</v>
      </c>
      <c r="E762" s="2" t="str">
        <f>VLOOKUP(Sales_Details2[[#This Row],[Customer_ID]],Customer_Details[#All],4,0)</f>
        <v>Adult</v>
      </c>
      <c r="F762" s="2" t="str">
        <f>VLOOKUP(Sales_Details2[[#This Row],[Customer_ID]],Customer_Details[#All],5,0)</f>
        <v>Male</v>
      </c>
      <c r="G762" s="2" t="str">
        <f>VLOOKUP(Sales_Details2[[#This Row],[Customer_ID]],Customer_Details[#All],9,0)</f>
        <v>Bronze</v>
      </c>
      <c r="H762" s="2" t="s">
        <v>1653</v>
      </c>
      <c r="I762" s="2" t="str">
        <f>VLOOKUP(Sales_Details2[[#This Row],[Product_ID]],Product_details[[#All],[Product_ID]:[Cost]],3,0)</f>
        <v>Sports</v>
      </c>
      <c r="J762" s="2" t="str">
        <f>VLOOKUP(Sales_Details2[[#This Row],[Product_ID]],Product_details[[#All],[Product_ID]:[Cost]],4,0)</f>
        <v>Equipment</v>
      </c>
      <c r="K762" s="2" t="s">
        <v>1777</v>
      </c>
      <c r="L762" s="2" t="str">
        <f>_xlfn.XLOOKUP(Sales_Details2[[#This Row],[Store_ID]],Table2[Store_ID],Table2[Region],"Region not found")</f>
        <v>North</v>
      </c>
      <c r="M762" s="25">
        <v>4</v>
      </c>
      <c r="N762" s="36">
        <v>731.53</v>
      </c>
      <c r="O762" s="29">
        <v>0.12</v>
      </c>
      <c r="P762" s="2" t="s">
        <v>1807</v>
      </c>
      <c r="Q762" s="36">
        <v>2574.9856</v>
      </c>
    </row>
    <row r="763" spans="1:17" x14ac:dyDescent="0.3">
      <c r="A763" s="2" t="s">
        <v>2570</v>
      </c>
      <c r="B763" s="14">
        <v>45371</v>
      </c>
      <c r="C763" s="2">
        <f>YEAR(Sales_Details2[[#This Row],[Order_Date]])</f>
        <v>2024</v>
      </c>
      <c r="D763" s="2" t="s">
        <v>545</v>
      </c>
      <c r="E763" s="2" t="str">
        <f>VLOOKUP(Sales_Details2[[#This Row],[Customer_ID]],Customer_Details[#All],4,0)</f>
        <v>Mid-Adult</v>
      </c>
      <c r="F763" s="2" t="str">
        <f>VLOOKUP(Sales_Details2[[#This Row],[Customer_ID]],Customer_Details[#All],5,0)</f>
        <v>Female</v>
      </c>
      <c r="G763" s="2" t="str">
        <f>VLOOKUP(Sales_Details2[[#This Row],[Customer_ID]],Customer_Details[#All],9,0)</f>
        <v>Platinum</v>
      </c>
      <c r="H763" s="2" t="s">
        <v>1687</v>
      </c>
      <c r="I763" s="2" t="str">
        <f>VLOOKUP(Sales_Details2[[#This Row],[Product_ID]],Product_details[[#All],[Product_ID]:[Cost]],3,0)</f>
        <v>Home</v>
      </c>
      <c r="J763" s="2" t="str">
        <f>VLOOKUP(Sales_Details2[[#This Row],[Product_ID]],Product_details[[#All],[Product_ID]:[Cost]],4,0)</f>
        <v>Decor</v>
      </c>
      <c r="K763" s="2" t="s">
        <v>1740</v>
      </c>
      <c r="L763" s="2" t="str">
        <f>_xlfn.XLOOKUP(Sales_Details2[[#This Row],[Store_ID]],Table2[Store_ID],Table2[Region],"Region not found")</f>
        <v>North</v>
      </c>
      <c r="M763" s="25">
        <v>3</v>
      </c>
      <c r="N763" s="36">
        <v>468.25</v>
      </c>
      <c r="O763" s="29">
        <v>7.0000000000000007E-2</v>
      </c>
      <c r="P763" s="2" t="s">
        <v>1809</v>
      </c>
      <c r="Q763" s="36">
        <v>1306.4175</v>
      </c>
    </row>
    <row r="764" spans="1:17" x14ac:dyDescent="0.3">
      <c r="A764" s="2" t="s">
        <v>2571</v>
      </c>
      <c r="B764" s="14">
        <v>45360</v>
      </c>
      <c r="C764" s="2">
        <f>YEAR(Sales_Details2[[#This Row],[Order_Date]])</f>
        <v>2024</v>
      </c>
      <c r="D764" s="2" t="s">
        <v>14</v>
      </c>
      <c r="E764" s="2" t="str">
        <f>VLOOKUP(Sales_Details2[[#This Row],[Customer_ID]],Customer_Details[#All],4,0)</f>
        <v>Adult</v>
      </c>
      <c r="F764" s="2" t="str">
        <f>VLOOKUP(Sales_Details2[[#This Row],[Customer_ID]],Customer_Details[#All],5,0)</f>
        <v>Female</v>
      </c>
      <c r="G764" s="2" t="str">
        <f>VLOOKUP(Sales_Details2[[#This Row],[Customer_ID]],Customer_Details[#All],9,0)</f>
        <v>Platinum</v>
      </c>
      <c r="H764" s="2" t="s">
        <v>1665</v>
      </c>
      <c r="I764" s="2" t="str">
        <f>VLOOKUP(Sales_Details2[[#This Row],[Product_ID]],Product_details[[#All],[Product_ID]:[Cost]],3,0)</f>
        <v>Electronics</v>
      </c>
      <c r="J764" s="2" t="str">
        <f>VLOOKUP(Sales_Details2[[#This Row],[Product_ID]],Product_details[[#All],[Product_ID]:[Cost]],4,0)</f>
        <v>Accessories</v>
      </c>
      <c r="K764" s="2" t="s">
        <v>1735</v>
      </c>
      <c r="L764" s="2" t="str">
        <f>_xlfn.XLOOKUP(Sales_Details2[[#This Row],[Store_ID]],Table2[Store_ID],Table2[Region],"Region not found")</f>
        <v>East</v>
      </c>
      <c r="M764" s="25">
        <v>1</v>
      </c>
      <c r="N764" s="36">
        <v>928.72</v>
      </c>
      <c r="O764" s="29">
        <v>0.1</v>
      </c>
      <c r="P764" s="2" t="s">
        <v>1812</v>
      </c>
      <c r="Q764" s="36">
        <v>835.84800000000007</v>
      </c>
    </row>
    <row r="765" spans="1:17" x14ac:dyDescent="0.3">
      <c r="A765" s="2" t="s">
        <v>2572</v>
      </c>
      <c r="B765" s="14">
        <v>45499</v>
      </c>
      <c r="C765" s="2">
        <f>YEAR(Sales_Details2[[#This Row],[Order_Date]])</f>
        <v>2024</v>
      </c>
      <c r="D765" s="2" t="s">
        <v>355</v>
      </c>
      <c r="E765" s="2" t="str">
        <f>VLOOKUP(Sales_Details2[[#This Row],[Customer_ID]],Customer_Details[#All],4,0)</f>
        <v>Adult</v>
      </c>
      <c r="F765" s="2" t="str">
        <f>VLOOKUP(Sales_Details2[[#This Row],[Customer_ID]],Customer_Details[#All],5,0)</f>
        <v>Male</v>
      </c>
      <c r="G765" s="2" t="str">
        <f>VLOOKUP(Sales_Details2[[#This Row],[Customer_ID]],Customer_Details[#All],9,0)</f>
        <v>Gold</v>
      </c>
      <c r="H765" s="2" t="s">
        <v>1536</v>
      </c>
      <c r="I765" s="2" t="str">
        <f>VLOOKUP(Sales_Details2[[#This Row],[Product_ID]],Product_details[[#All],[Product_ID]:[Cost]],3,0)</f>
        <v>Clothing</v>
      </c>
      <c r="J765" s="2" t="str">
        <f>VLOOKUP(Sales_Details2[[#This Row],[Product_ID]],Product_details[[#All],[Product_ID]:[Cost]],4,0)</f>
        <v>Bottoms</v>
      </c>
      <c r="K765" s="2" t="s">
        <v>1793</v>
      </c>
      <c r="L765" s="2" t="str">
        <f>_xlfn.XLOOKUP(Sales_Details2[[#This Row],[Store_ID]],Table2[Store_ID],Table2[Region],"Region not found")</f>
        <v>East</v>
      </c>
      <c r="M765" s="25">
        <v>3</v>
      </c>
      <c r="N765" s="36">
        <v>217.22</v>
      </c>
      <c r="O765" s="29">
        <v>0.06</v>
      </c>
      <c r="P765" s="2" t="s">
        <v>1809</v>
      </c>
      <c r="Q765" s="36">
        <v>612.56039999999996</v>
      </c>
    </row>
    <row r="766" spans="1:17" x14ac:dyDescent="0.3">
      <c r="A766" s="2" t="s">
        <v>2573</v>
      </c>
      <c r="B766" s="14">
        <v>45745</v>
      </c>
      <c r="C766" s="2">
        <f>YEAR(Sales_Details2[[#This Row],[Order_Date]])</f>
        <v>2025</v>
      </c>
      <c r="D766" s="2" t="s">
        <v>1246</v>
      </c>
      <c r="E766" s="2" t="str">
        <f>VLOOKUP(Sales_Details2[[#This Row],[Customer_ID]],Customer_Details[#All],4,0)</f>
        <v>Adult</v>
      </c>
      <c r="F766" s="2" t="str">
        <f>VLOOKUP(Sales_Details2[[#This Row],[Customer_ID]],Customer_Details[#All],5,0)</f>
        <v>Female</v>
      </c>
      <c r="G766" s="2" t="str">
        <f>VLOOKUP(Sales_Details2[[#This Row],[Customer_ID]],Customer_Details[#All],9,0)</f>
        <v>Gold</v>
      </c>
      <c r="H766" s="2" t="s">
        <v>1579</v>
      </c>
      <c r="I766" s="2" t="str">
        <f>VLOOKUP(Sales_Details2[[#This Row],[Product_ID]],Product_details[[#All],[Product_ID]:[Cost]],3,0)</f>
        <v>Sports</v>
      </c>
      <c r="J766" s="2" t="str">
        <f>VLOOKUP(Sales_Details2[[#This Row],[Product_ID]],Product_details[[#All],[Product_ID]:[Cost]],4,0)</f>
        <v>Outdoor</v>
      </c>
      <c r="K766" s="2" t="s">
        <v>1749</v>
      </c>
      <c r="L766" s="2" t="str">
        <f>_xlfn.XLOOKUP(Sales_Details2[[#This Row],[Store_ID]],Table2[Store_ID],Table2[Region],"Region not found")</f>
        <v>North</v>
      </c>
      <c r="M766" s="25">
        <v>1</v>
      </c>
      <c r="N766" s="36">
        <v>387.99</v>
      </c>
      <c r="O766" s="29">
        <v>0.3</v>
      </c>
      <c r="P766" s="2" t="s">
        <v>1807</v>
      </c>
      <c r="Q766" s="36">
        <v>271.59300000000002</v>
      </c>
    </row>
    <row r="767" spans="1:17" x14ac:dyDescent="0.3">
      <c r="A767" s="2" t="s">
        <v>2574</v>
      </c>
      <c r="B767" s="14">
        <v>45718</v>
      </c>
      <c r="C767" s="2">
        <f>YEAR(Sales_Details2[[#This Row],[Order_Date]])</f>
        <v>2025</v>
      </c>
      <c r="D767" s="2" t="s">
        <v>1450</v>
      </c>
      <c r="E767" s="2" t="str">
        <f>VLOOKUP(Sales_Details2[[#This Row],[Customer_ID]],Customer_Details[#All],4,0)</f>
        <v>Mid-Adult</v>
      </c>
      <c r="F767" s="2" t="str">
        <f>VLOOKUP(Sales_Details2[[#This Row],[Customer_ID]],Customer_Details[#All],5,0)</f>
        <v>Female</v>
      </c>
      <c r="G767" s="2" t="str">
        <f>VLOOKUP(Sales_Details2[[#This Row],[Customer_ID]],Customer_Details[#All],9,0)</f>
        <v>Gold</v>
      </c>
      <c r="H767" s="2" t="s">
        <v>1567</v>
      </c>
      <c r="I767" s="2" t="str">
        <f>VLOOKUP(Sales_Details2[[#This Row],[Product_ID]],Product_details[[#All],[Product_ID]:[Cost]],3,0)</f>
        <v>Clothing</v>
      </c>
      <c r="J767" s="2" t="str">
        <f>VLOOKUP(Sales_Details2[[#This Row],[Product_ID]],Product_details[[#All],[Product_ID]:[Cost]],4,0)</f>
        <v>Bottoms</v>
      </c>
      <c r="K767" s="2" t="s">
        <v>1759</v>
      </c>
      <c r="L767" s="2" t="str">
        <f>_xlfn.XLOOKUP(Sales_Details2[[#This Row],[Store_ID]],Table2[Store_ID],Table2[Region],"Region not found")</f>
        <v>East</v>
      </c>
      <c r="M767" s="25">
        <v>4</v>
      </c>
      <c r="N767" s="36">
        <v>186.24</v>
      </c>
      <c r="O767" s="29">
        <v>0.23</v>
      </c>
      <c r="P767" s="2" t="s">
        <v>1807</v>
      </c>
      <c r="Q767" s="36">
        <v>573.61920000000009</v>
      </c>
    </row>
    <row r="768" spans="1:17" x14ac:dyDescent="0.3">
      <c r="A768" s="2" t="s">
        <v>2575</v>
      </c>
      <c r="B768" s="14">
        <v>45454</v>
      </c>
      <c r="C768" s="2">
        <f>YEAR(Sales_Details2[[#This Row],[Order_Date]])</f>
        <v>2024</v>
      </c>
      <c r="D768" s="2" t="s">
        <v>928</v>
      </c>
      <c r="E768" s="2" t="str">
        <f>VLOOKUP(Sales_Details2[[#This Row],[Customer_ID]],Customer_Details[#All],4,0)</f>
        <v>Adult</v>
      </c>
      <c r="F768" s="2" t="str">
        <f>VLOOKUP(Sales_Details2[[#This Row],[Customer_ID]],Customer_Details[#All],5,0)</f>
        <v>Female</v>
      </c>
      <c r="G768" s="2" t="str">
        <f>VLOOKUP(Sales_Details2[[#This Row],[Customer_ID]],Customer_Details[#All],9,0)</f>
        <v>Bronze</v>
      </c>
      <c r="H768" s="2" t="s">
        <v>1611</v>
      </c>
      <c r="I768" s="2" t="str">
        <f>VLOOKUP(Sales_Details2[[#This Row],[Product_ID]],Product_details[[#All],[Product_ID]:[Cost]],3,0)</f>
        <v>Electronics</v>
      </c>
      <c r="J768" s="2" t="str">
        <f>VLOOKUP(Sales_Details2[[#This Row],[Product_ID]],Product_details[[#All],[Product_ID]:[Cost]],4,0)</f>
        <v>Audio</v>
      </c>
      <c r="K768" s="2" t="s">
        <v>1765</v>
      </c>
      <c r="L768" s="2" t="str">
        <f>_xlfn.XLOOKUP(Sales_Details2[[#This Row],[Store_ID]],Table2[Store_ID],Table2[Region],"Region not found")</f>
        <v>West</v>
      </c>
      <c r="M768" s="25">
        <v>4</v>
      </c>
      <c r="N768" s="36">
        <v>609.05999999999995</v>
      </c>
      <c r="O768" s="29">
        <v>0.22</v>
      </c>
      <c r="P768" s="2" t="s">
        <v>1812</v>
      </c>
      <c r="Q768" s="36">
        <v>1900.2672</v>
      </c>
    </row>
    <row r="769" spans="1:17" x14ac:dyDescent="0.3">
      <c r="A769" s="2" t="s">
        <v>2576</v>
      </c>
      <c r="B769" s="14">
        <v>45434</v>
      </c>
      <c r="C769" s="2">
        <f>YEAR(Sales_Details2[[#This Row],[Order_Date]])</f>
        <v>2024</v>
      </c>
      <c r="D769" s="2" t="s">
        <v>1339</v>
      </c>
      <c r="E769" s="2" t="str">
        <f>VLOOKUP(Sales_Details2[[#This Row],[Customer_ID]],Customer_Details[#All],4,0)</f>
        <v>Mid-Adult</v>
      </c>
      <c r="F769" s="2" t="str">
        <f>VLOOKUP(Sales_Details2[[#This Row],[Customer_ID]],Customer_Details[#All],5,0)</f>
        <v>Female</v>
      </c>
      <c r="G769" s="2" t="str">
        <f>VLOOKUP(Sales_Details2[[#This Row],[Customer_ID]],Customer_Details[#All],9,0)</f>
        <v>Platinum</v>
      </c>
      <c r="H769" s="2" t="s">
        <v>1597</v>
      </c>
      <c r="I769" s="2" t="str">
        <f>VLOOKUP(Sales_Details2[[#This Row],[Product_ID]],Product_details[[#All],[Product_ID]:[Cost]],3,0)</f>
        <v>Home</v>
      </c>
      <c r="J769" s="2" t="str">
        <f>VLOOKUP(Sales_Details2[[#This Row],[Product_ID]],Product_details[[#All],[Product_ID]:[Cost]],4,0)</f>
        <v>Decor</v>
      </c>
      <c r="K769" s="2" t="s">
        <v>1775</v>
      </c>
      <c r="L769" s="2" t="str">
        <f>_xlfn.XLOOKUP(Sales_Details2[[#This Row],[Store_ID]],Table2[Store_ID],Table2[Region],"Region not found")</f>
        <v>South</v>
      </c>
      <c r="M769" s="25">
        <v>1</v>
      </c>
      <c r="N769" s="36">
        <v>827.91</v>
      </c>
      <c r="O769" s="29">
        <v>0.21</v>
      </c>
      <c r="P769" s="2" t="s">
        <v>1809</v>
      </c>
      <c r="Q769" s="36">
        <v>654.0489</v>
      </c>
    </row>
    <row r="770" spans="1:17" x14ac:dyDescent="0.3">
      <c r="A770" s="2" t="s">
        <v>2577</v>
      </c>
      <c r="B770" s="14">
        <v>45486</v>
      </c>
      <c r="C770" s="2">
        <f>YEAR(Sales_Details2[[#This Row],[Order_Date]])</f>
        <v>2024</v>
      </c>
      <c r="D770" s="2" t="s">
        <v>576</v>
      </c>
      <c r="E770" s="2" t="str">
        <f>VLOOKUP(Sales_Details2[[#This Row],[Customer_ID]],Customer_Details[#All],4,0)</f>
        <v>Mid-Adult</v>
      </c>
      <c r="F770" s="2" t="str">
        <f>VLOOKUP(Sales_Details2[[#This Row],[Customer_ID]],Customer_Details[#All],5,0)</f>
        <v>Male</v>
      </c>
      <c r="G770" s="2" t="str">
        <f>VLOOKUP(Sales_Details2[[#This Row],[Customer_ID]],Customer_Details[#All],9,0)</f>
        <v>Silver</v>
      </c>
      <c r="H770" s="2" t="s">
        <v>1697</v>
      </c>
      <c r="I770" s="2" t="str">
        <f>VLOOKUP(Sales_Details2[[#This Row],[Product_ID]],Product_details[[#All],[Product_ID]:[Cost]],3,0)</f>
        <v>Beauty</v>
      </c>
      <c r="J770" s="2" t="str">
        <f>VLOOKUP(Sales_Details2[[#This Row],[Product_ID]],Product_details[[#All],[Product_ID]:[Cost]],4,0)</f>
        <v>Skincare</v>
      </c>
      <c r="K770" s="2" t="s">
        <v>1735</v>
      </c>
      <c r="L770" s="2" t="str">
        <f>_xlfn.XLOOKUP(Sales_Details2[[#This Row],[Store_ID]],Table2[Store_ID],Table2[Region],"Region not found")</f>
        <v>East</v>
      </c>
      <c r="M770" s="25">
        <v>1</v>
      </c>
      <c r="N770" s="36">
        <v>303.79000000000002</v>
      </c>
      <c r="O770" s="29">
        <v>0.24</v>
      </c>
      <c r="P770" s="2" t="s">
        <v>1809</v>
      </c>
      <c r="Q770" s="36">
        <v>230.88040000000001</v>
      </c>
    </row>
    <row r="771" spans="1:17" x14ac:dyDescent="0.3">
      <c r="A771" s="2" t="s">
        <v>2578</v>
      </c>
      <c r="B771" s="14">
        <v>45902</v>
      </c>
      <c r="C771" s="2">
        <f>YEAR(Sales_Details2[[#This Row],[Order_Date]])</f>
        <v>2025</v>
      </c>
      <c r="D771" s="2" t="s">
        <v>364</v>
      </c>
      <c r="E771" s="2" t="str">
        <f>VLOOKUP(Sales_Details2[[#This Row],[Customer_ID]],Customer_Details[#All],4,0)</f>
        <v>Senior</v>
      </c>
      <c r="F771" s="2" t="str">
        <f>VLOOKUP(Sales_Details2[[#This Row],[Customer_ID]],Customer_Details[#All],5,0)</f>
        <v>Male</v>
      </c>
      <c r="G771" s="2" t="str">
        <f>VLOOKUP(Sales_Details2[[#This Row],[Customer_ID]],Customer_Details[#All],9,0)</f>
        <v>Silver</v>
      </c>
      <c r="H771" s="2" t="s">
        <v>1605</v>
      </c>
      <c r="I771" s="2" t="str">
        <f>VLOOKUP(Sales_Details2[[#This Row],[Product_ID]],Product_details[[#All],[Product_ID]:[Cost]],3,0)</f>
        <v>Clothing</v>
      </c>
      <c r="J771" s="2" t="str">
        <f>VLOOKUP(Sales_Details2[[#This Row],[Product_ID]],Product_details[[#All],[Product_ID]:[Cost]],4,0)</f>
        <v>Footwear</v>
      </c>
      <c r="K771" s="2" t="s">
        <v>1759</v>
      </c>
      <c r="L771" s="2" t="str">
        <f>_xlfn.XLOOKUP(Sales_Details2[[#This Row],[Store_ID]],Table2[Store_ID],Table2[Region],"Region not found")</f>
        <v>East</v>
      </c>
      <c r="M771" s="25">
        <v>2</v>
      </c>
      <c r="N771" s="36">
        <v>365.91</v>
      </c>
      <c r="O771" s="29">
        <v>0.14000000000000001</v>
      </c>
      <c r="P771" s="2" t="s">
        <v>1812</v>
      </c>
      <c r="Q771" s="36">
        <v>629.36520000000007</v>
      </c>
    </row>
    <row r="772" spans="1:17" x14ac:dyDescent="0.3">
      <c r="A772" s="2" t="s">
        <v>2579</v>
      </c>
      <c r="B772" s="14">
        <v>45762</v>
      </c>
      <c r="C772" s="2">
        <f>YEAR(Sales_Details2[[#This Row],[Order_Date]])</f>
        <v>2025</v>
      </c>
      <c r="D772" s="2" t="s">
        <v>252</v>
      </c>
      <c r="E772" s="2" t="str">
        <f>VLOOKUP(Sales_Details2[[#This Row],[Customer_ID]],Customer_Details[#All],4,0)</f>
        <v>Adult</v>
      </c>
      <c r="F772" s="2" t="str">
        <f>VLOOKUP(Sales_Details2[[#This Row],[Customer_ID]],Customer_Details[#All],5,0)</f>
        <v>Female</v>
      </c>
      <c r="G772" s="2" t="str">
        <f>VLOOKUP(Sales_Details2[[#This Row],[Customer_ID]],Customer_Details[#All],9,0)</f>
        <v>Platinum</v>
      </c>
      <c r="H772" s="2" t="s">
        <v>1581</v>
      </c>
      <c r="I772" s="2" t="str">
        <f>VLOOKUP(Sales_Details2[[#This Row],[Product_ID]],Product_details[[#All],[Product_ID]:[Cost]],3,0)</f>
        <v>Clothing</v>
      </c>
      <c r="J772" s="2" t="str">
        <f>VLOOKUP(Sales_Details2[[#This Row],[Product_ID]],Product_details[[#All],[Product_ID]:[Cost]],4,0)</f>
        <v>Accessories</v>
      </c>
      <c r="K772" s="2" t="s">
        <v>1790</v>
      </c>
      <c r="L772" s="2" t="str">
        <f>_xlfn.XLOOKUP(Sales_Details2[[#This Row],[Store_ID]],Table2[Store_ID],Table2[Region],"Region not found")</f>
        <v>North</v>
      </c>
      <c r="M772" s="25">
        <v>3</v>
      </c>
      <c r="N772" s="36">
        <v>852.72</v>
      </c>
      <c r="O772" s="29">
        <v>0.16</v>
      </c>
      <c r="P772" s="2" t="s">
        <v>1807</v>
      </c>
      <c r="Q772" s="36">
        <v>2148.8544000000002</v>
      </c>
    </row>
    <row r="773" spans="1:17" x14ac:dyDescent="0.3">
      <c r="A773" s="2" t="s">
        <v>2580</v>
      </c>
      <c r="B773" s="14">
        <v>45752</v>
      </c>
      <c r="C773" s="2">
        <f>YEAR(Sales_Details2[[#This Row],[Order_Date]])</f>
        <v>2025</v>
      </c>
      <c r="D773" s="2" t="s">
        <v>785</v>
      </c>
      <c r="E773" s="2" t="str">
        <f>VLOOKUP(Sales_Details2[[#This Row],[Customer_ID]],Customer_Details[#All],4,0)</f>
        <v>Mid-Adult</v>
      </c>
      <c r="F773" s="2" t="str">
        <f>VLOOKUP(Sales_Details2[[#This Row],[Customer_ID]],Customer_Details[#All],5,0)</f>
        <v>Male</v>
      </c>
      <c r="G773" s="2" t="str">
        <f>VLOOKUP(Sales_Details2[[#This Row],[Customer_ID]],Customer_Details[#All],9,0)</f>
        <v>Platinum</v>
      </c>
      <c r="H773" s="2" t="s">
        <v>1551</v>
      </c>
      <c r="I773" s="2" t="str">
        <f>VLOOKUP(Sales_Details2[[#This Row],[Product_ID]],Product_details[[#All],[Product_ID]:[Cost]],3,0)</f>
        <v>Home</v>
      </c>
      <c r="J773" s="2" t="str">
        <f>VLOOKUP(Sales_Details2[[#This Row],[Product_ID]],Product_details[[#All],[Product_ID]:[Cost]],4,0)</f>
        <v>Kitchen</v>
      </c>
      <c r="K773" s="2" t="s">
        <v>1752</v>
      </c>
      <c r="L773" s="2" t="str">
        <f>_xlfn.XLOOKUP(Sales_Details2[[#This Row],[Store_ID]],Table2[Store_ID],Table2[Region],"Region not found")</f>
        <v>South</v>
      </c>
      <c r="M773" s="25">
        <v>1</v>
      </c>
      <c r="N773" s="36">
        <v>768.25</v>
      </c>
      <c r="O773" s="29">
        <v>0.18</v>
      </c>
      <c r="P773" s="2" t="s">
        <v>1807</v>
      </c>
      <c r="Q773" s="36">
        <v>629.96500000000003</v>
      </c>
    </row>
    <row r="774" spans="1:17" x14ac:dyDescent="0.3">
      <c r="A774" s="2" t="s">
        <v>2581</v>
      </c>
      <c r="B774" s="14">
        <v>45254</v>
      </c>
      <c r="C774" s="2">
        <f>YEAR(Sales_Details2[[#This Row],[Order_Date]])</f>
        <v>2023</v>
      </c>
      <c r="D774" s="2" t="s">
        <v>1086</v>
      </c>
      <c r="E774" s="2" t="str">
        <f>VLOOKUP(Sales_Details2[[#This Row],[Customer_ID]],Customer_Details[#All],4,0)</f>
        <v>Adult</v>
      </c>
      <c r="F774" s="2" t="str">
        <f>VLOOKUP(Sales_Details2[[#This Row],[Customer_ID]],Customer_Details[#All],5,0)</f>
        <v>Male</v>
      </c>
      <c r="G774" s="2" t="str">
        <f>VLOOKUP(Sales_Details2[[#This Row],[Customer_ID]],Customer_Details[#All],9,0)</f>
        <v>Silver</v>
      </c>
      <c r="H774" s="2" t="s">
        <v>1715</v>
      </c>
      <c r="I774" s="2" t="str">
        <f>VLOOKUP(Sales_Details2[[#This Row],[Product_ID]],Product_details[[#All],[Product_ID]:[Cost]],3,0)</f>
        <v>Home</v>
      </c>
      <c r="J774" s="2" t="str">
        <f>VLOOKUP(Sales_Details2[[#This Row],[Product_ID]],Product_details[[#All],[Product_ID]:[Cost]],4,0)</f>
        <v>Appliances</v>
      </c>
      <c r="K774" s="2" t="s">
        <v>1796</v>
      </c>
      <c r="L774" s="2" t="str">
        <f>_xlfn.XLOOKUP(Sales_Details2[[#This Row],[Store_ID]],Table2[Store_ID],Table2[Region],"Region not found")</f>
        <v>East</v>
      </c>
      <c r="M774" s="25">
        <v>2</v>
      </c>
      <c r="N774" s="36">
        <v>318.62</v>
      </c>
      <c r="O774" s="29">
        <v>0.02</v>
      </c>
      <c r="P774" s="2" t="s">
        <v>1812</v>
      </c>
      <c r="Q774" s="36">
        <v>624.49519999999995</v>
      </c>
    </row>
    <row r="775" spans="1:17" x14ac:dyDescent="0.3">
      <c r="A775" s="2" t="s">
        <v>2582</v>
      </c>
      <c r="B775" s="14">
        <v>45683</v>
      </c>
      <c r="C775" s="2">
        <f>YEAR(Sales_Details2[[#This Row],[Order_Date]])</f>
        <v>2025</v>
      </c>
      <c r="D775" s="2" t="s">
        <v>185</v>
      </c>
      <c r="E775" s="2" t="str">
        <f>VLOOKUP(Sales_Details2[[#This Row],[Customer_ID]],Customer_Details[#All],4,0)</f>
        <v>Mid-Adult</v>
      </c>
      <c r="F775" s="2" t="str">
        <f>VLOOKUP(Sales_Details2[[#This Row],[Customer_ID]],Customer_Details[#All],5,0)</f>
        <v>Female</v>
      </c>
      <c r="G775" s="2" t="str">
        <f>VLOOKUP(Sales_Details2[[#This Row],[Customer_ID]],Customer_Details[#All],9,0)</f>
        <v>Gold</v>
      </c>
      <c r="H775" s="2" t="s">
        <v>1683</v>
      </c>
      <c r="I775" s="2" t="str">
        <f>VLOOKUP(Sales_Details2[[#This Row],[Product_ID]],Product_details[[#All],[Product_ID]:[Cost]],3,0)</f>
        <v>Electronics</v>
      </c>
      <c r="J775" s="2" t="str">
        <f>VLOOKUP(Sales_Details2[[#This Row],[Product_ID]],Product_details[[#All],[Product_ID]:[Cost]],4,0)</f>
        <v>Computer</v>
      </c>
      <c r="K775" s="2" t="s">
        <v>1744</v>
      </c>
      <c r="L775" s="2" t="str">
        <f>_xlfn.XLOOKUP(Sales_Details2[[#This Row],[Store_ID]],Table2[Store_ID],Table2[Region],"Region not found")</f>
        <v>South</v>
      </c>
      <c r="M775" s="25">
        <v>4</v>
      </c>
      <c r="N775" s="36">
        <v>402.11</v>
      </c>
      <c r="O775" s="29">
        <v>0.14000000000000001</v>
      </c>
      <c r="P775" s="2" t="s">
        <v>1809</v>
      </c>
      <c r="Q775" s="36">
        <v>1383.2583999999999</v>
      </c>
    </row>
    <row r="776" spans="1:17" x14ac:dyDescent="0.3">
      <c r="A776" s="2" t="s">
        <v>2583</v>
      </c>
      <c r="B776" s="14">
        <v>45804</v>
      </c>
      <c r="C776" s="2">
        <f>YEAR(Sales_Details2[[#This Row],[Order_Date]])</f>
        <v>2025</v>
      </c>
      <c r="D776" s="2" t="s">
        <v>1255</v>
      </c>
      <c r="E776" s="2" t="str">
        <f>VLOOKUP(Sales_Details2[[#This Row],[Customer_ID]],Customer_Details[#All],4,0)</f>
        <v>Mid-Adult</v>
      </c>
      <c r="F776" s="2" t="str">
        <f>VLOOKUP(Sales_Details2[[#This Row],[Customer_ID]],Customer_Details[#All],5,0)</f>
        <v>Male</v>
      </c>
      <c r="G776" s="2" t="str">
        <f>VLOOKUP(Sales_Details2[[#This Row],[Customer_ID]],Customer_Details[#All],9,0)</f>
        <v>Gold</v>
      </c>
      <c r="H776" s="2" t="s">
        <v>1699</v>
      </c>
      <c r="I776" s="2" t="str">
        <f>VLOOKUP(Sales_Details2[[#This Row],[Product_ID]],Product_details[[#All],[Product_ID]:[Cost]],3,0)</f>
        <v>Home</v>
      </c>
      <c r="J776" s="2" t="str">
        <f>VLOOKUP(Sales_Details2[[#This Row],[Product_ID]],Product_details[[#All],[Product_ID]:[Cost]],4,0)</f>
        <v>Furniture</v>
      </c>
      <c r="K776" s="2" t="s">
        <v>1790</v>
      </c>
      <c r="L776" s="2" t="str">
        <f>_xlfn.XLOOKUP(Sales_Details2[[#This Row],[Store_ID]],Table2[Store_ID],Table2[Region],"Region not found")</f>
        <v>North</v>
      </c>
      <c r="M776" s="25">
        <v>3</v>
      </c>
      <c r="N776" s="36">
        <v>846.31</v>
      </c>
      <c r="O776" s="29">
        <v>0.18</v>
      </c>
      <c r="P776" s="2" t="s">
        <v>1812</v>
      </c>
      <c r="Q776" s="36">
        <v>2081.9225999999999</v>
      </c>
    </row>
    <row r="777" spans="1:17" x14ac:dyDescent="0.3">
      <c r="A777" s="2" t="s">
        <v>2584</v>
      </c>
      <c r="B777" s="14">
        <v>45821</v>
      </c>
      <c r="C777" s="2">
        <f>YEAR(Sales_Details2[[#This Row],[Order_Date]])</f>
        <v>2025</v>
      </c>
      <c r="D777" s="2" t="s">
        <v>554</v>
      </c>
      <c r="E777" s="2" t="str">
        <f>VLOOKUP(Sales_Details2[[#This Row],[Customer_ID]],Customer_Details[#All],4,0)</f>
        <v>Mid-Adult</v>
      </c>
      <c r="F777" s="2" t="str">
        <f>VLOOKUP(Sales_Details2[[#This Row],[Customer_ID]],Customer_Details[#All],5,0)</f>
        <v>Female</v>
      </c>
      <c r="G777" s="2" t="str">
        <f>VLOOKUP(Sales_Details2[[#This Row],[Customer_ID]],Customer_Details[#All],9,0)</f>
        <v>Platinum</v>
      </c>
      <c r="H777" s="2" t="s">
        <v>1719</v>
      </c>
      <c r="I777" s="2" t="str">
        <f>VLOOKUP(Sales_Details2[[#This Row],[Product_ID]],Product_details[[#All],[Product_ID]:[Cost]],3,0)</f>
        <v>Beauty</v>
      </c>
      <c r="J777" s="2" t="str">
        <f>VLOOKUP(Sales_Details2[[#This Row],[Product_ID]],Product_details[[#All],[Product_ID]:[Cost]],4,0)</f>
        <v>Skincare</v>
      </c>
      <c r="K777" s="2" t="s">
        <v>1782</v>
      </c>
      <c r="L777" s="2" t="str">
        <f>_xlfn.XLOOKUP(Sales_Details2[[#This Row],[Store_ID]],Table2[Store_ID],Table2[Region],"Region not found")</f>
        <v>South</v>
      </c>
      <c r="M777" s="25">
        <v>1</v>
      </c>
      <c r="N777" s="36">
        <v>269.94</v>
      </c>
      <c r="O777" s="29">
        <v>7.0000000000000007E-2</v>
      </c>
      <c r="P777" s="2" t="s">
        <v>1812</v>
      </c>
      <c r="Q777" s="36">
        <v>251.04419999999999</v>
      </c>
    </row>
    <row r="778" spans="1:17" x14ac:dyDescent="0.3">
      <c r="A778" s="2" t="s">
        <v>2585</v>
      </c>
      <c r="B778" s="14">
        <v>45472</v>
      </c>
      <c r="C778" s="2">
        <f>YEAR(Sales_Details2[[#This Row],[Order_Date]])</f>
        <v>2024</v>
      </c>
      <c r="D778" s="2" t="s">
        <v>767</v>
      </c>
      <c r="E778" s="2" t="str">
        <f>VLOOKUP(Sales_Details2[[#This Row],[Customer_ID]],Customer_Details[#All],4,0)</f>
        <v>Mid-Adult</v>
      </c>
      <c r="F778" s="2" t="str">
        <f>VLOOKUP(Sales_Details2[[#This Row],[Customer_ID]],Customer_Details[#All],5,0)</f>
        <v>Male</v>
      </c>
      <c r="G778" s="2" t="str">
        <f>VLOOKUP(Sales_Details2[[#This Row],[Customer_ID]],Customer_Details[#All],9,0)</f>
        <v>Platinum</v>
      </c>
      <c r="H778" s="2" t="s">
        <v>1571</v>
      </c>
      <c r="I778" s="2" t="str">
        <f>VLOOKUP(Sales_Details2[[#This Row],[Product_ID]],Product_details[[#All],[Product_ID]:[Cost]],3,0)</f>
        <v>Sports</v>
      </c>
      <c r="J778" s="2" t="str">
        <f>VLOOKUP(Sales_Details2[[#This Row],[Product_ID]],Product_details[[#All],[Product_ID]:[Cost]],4,0)</f>
        <v>Accessories</v>
      </c>
      <c r="K778" s="2" t="s">
        <v>1752</v>
      </c>
      <c r="L778" s="2" t="str">
        <f>_xlfn.XLOOKUP(Sales_Details2[[#This Row],[Store_ID]],Table2[Store_ID],Table2[Region],"Region not found")</f>
        <v>South</v>
      </c>
      <c r="M778" s="25">
        <v>3</v>
      </c>
      <c r="N778" s="36">
        <v>909.25</v>
      </c>
      <c r="O778" s="29">
        <v>0.28999999999999998</v>
      </c>
      <c r="P778" s="2" t="s">
        <v>1812</v>
      </c>
      <c r="Q778" s="36">
        <v>1936.7025000000001</v>
      </c>
    </row>
    <row r="779" spans="1:17" x14ac:dyDescent="0.3">
      <c r="A779" s="2" t="s">
        <v>2586</v>
      </c>
      <c r="B779" s="14">
        <v>45331</v>
      </c>
      <c r="C779" s="2">
        <f>YEAR(Sales_Details2[[#This Row],[Order_Date]])</f>
        <v>2024</v>
      </c>
      <c r="D779" s="2" t="s">
        <v>1123</v>
      </c>
      <c r="E779" s="2" t="str">
        <f>VLOOKUP(Sales_Details2[[#This Row],[Customer_ID]],Customer_Details[#All],4,0)</f>
        <v>Adult</v>
      </c>
      <c r="F779" s="2" t="str">
        <f>VLOOKUP(Sales_Details2[[#This Row],[Customer_ID]],Customer_Details[#All],5,0)</f>
        <v>Male</v>
      </c>
      <c r="G779" s="2" t="str">
        <f>VLOOKUP(Sales_Details2[[#This Row],[Customer_ID]],Customer_Details[#All],9,0)</f>
        <v>Bronze</v>
      </c>
      <c r="H779" s="2" t="s">
        <v>1713</v>
      </c>
      <c r="I779" s="2" t="str">
        <f>VLOOKUP(Sales_Details2[[#This Row],[Product_ID]],Product_details[[#All],[Product_ID]:[Cost]],3,0)</f>
        <v>Clothing</v>
      </c>
      <c r="J779" s="2" t="str">
        <f>VLOOKUP(Sales_Details2[[#This Row],[Product_ID]],Product_details[[#All],[Product_ID]:[Cost]],4,0)</f>
        <v>Footwear</v>
      </c>
      <c r="K779" s="2" t="s">
        <v>1777</v>
      </c>
      <c r="L779" s="2" t="str">
        <f>_xlfn.XLOOKUP(Sales_Details2[[#This Row],[Store_ID]],Table2[Store_ID],Table2[Region],"Region not found")</f>
        <v>North</v>
      </c>
      <c r="M779" s="25">
        <v>2</v>
      </c>
      <c r="N779" s="36">
        <v>229.81</v>
      </c>
      <c r="O779" s="29">
        <v>0.21</v>
      </c>
      <c r="P779" s="2" t="s">
        <v>1812</v>
      </c>
      <c r="Q779" s="36">
        <v>363.09980000000002</v>
      </c>
    </row>
    <row r="780" spans="1:17" x14ac:dyDescent="0.3">
      <c r="A780" s="2" t="s">
        <v>2587</v>
      </c>
      <c r="B780" s="14">
        <v>45451</v>
      </c>
      <c r="C780" s="2">
        <f>YEAR(Sales_Details2[[#This Row],[Order_Date]])</f>
        <v>2024</v>
      </c>
      <c r="D780" s="2" t="s">
        <v>146</v>
      </c>
      <c r="E780" s="2" t="str">
        <f>VLOOKUP(Sales_Details2[[#This Row],[Customer_ID]],Customer_Details[#All],4,0)</f>
        <v>Adult</v>
      </c>
      <c r="F780" s="2" t="str">
        <f>VLOOKUP(Sales_Details2[[#This Row],[Customer_ID]],Customer_Details[#All],5,0)</f>
        <v>Female</v>
      </c>
      <c r="G780" s="2" t="str">
        <f>VLOOKUP(Sales_Details2[[#This Row],[Customer_ID]],Customer_Details[#All],9,0)</f>
        <v>Platinum</v>
      </c>
      <c r="H780" s="2" t="s">
        <v>1687</v>
      </c>
      <c r="I780" s="2" t="str">
        <f>VLOOKUP(Sales_Details2[[#This Row],[Product_ID]],Product_details[[#All],[Product_ID]:[Cost]],3,0)</f>
        <v>Home</v>
      </c>
      <c r="J780" s="2" t="str">
        <f>VLOOKUP(Sales_Details2[[#This Row],[Product_ID]],Product_details[[#All],[Product_ID]:[Cost]],4,0)</f>
        <v>Decor</v>
      </c>
      <c r="K780" s="2" t="s">
        <v>1784</v>
      </c>
      <c r="L780" s="2" t="str">
        <f>_xlfn.XLOOKUP(Sales_Details2[[#This Row],[Store_ID]],Table2[Store_ID],Table2[Region],"Region not found")</f>
        <v>North</v>
      </c>
      <c r="M780" s="25">
        <v>3</v>
      </c>
      <c r="N780" s="36">
        <v>442.36</v>
      </c>
      <c r="O780" s="29">
        <v>0.06</v>
      </c>
      <c r="P780" s="2" t="s">
        <v>1809</v>
      </c>
      <c r="Q780" s="36">
        <v>1247.4552000000001</v>
      </c>
    </row>
    <row r="781" spans="1:17" x14ac:dyDescent="0.3">
      <c r="A781" s="2" t="s">
        <v>2588</v>
      </c>
      <c r="B781" s="14">
        <v>45386</v>
      </c>
      <c r="C781" s="2">
        <f>YEAR(Sales_Details2[[#This Row],[Order_Date]])</f>
        <v>2024</v>
      </c>
      <c r="D781" s="2" t="s">
        <v>761</v>
      </c>
      <c r="E781" s="2" t="str">
        <f>VLOOKUP(Sales_Details2[[#This Row],[Customer_ID]],Customer_Details[#All],4,0)</f>
        <v>Senior</v>
      </c>
      <c r="F781" s="2" t="str">
        <f>VLOOKUP(Sales_Details2[[#This Row],[Customer_ID]],Customer_Details[#All],5,0)</f>
        <v>Female</v>
      </c>
      <c r="G781" s="2" t="str">
        <f>VLOOKUP(Sales_Details2[[#This Row],[Customer_ID]],Customer_Details[#All],9,0)</f>
        <v>Platinum</v>
      </c>
      <c r="H781" s="2" t="s">
        <v>1703</v>
      </c>
      <c r="I781" s="2" t="str">
        <f>VLOOKUP(Sales_Details2[[#This Row],[Product_ID]],Product_details[[#All],[Product_ID]:[Cost]],3,0)</f>
        <v>Home</v>
      </c>
      <c r="J781" s="2" t="str">
        <f>VLOOKUP(Sales_Details2[[#This Row],[Product_ID]],Product_details[[#All],[Product_ID]:[Cost]],4,0)</f>
        <v>Kitchen</v>
      </c>
      <c r="K781" s="2" t="s">
        <v>1749</v>
      </c>
      <c r="L781" s="2" t="str">
        <f>_xlfn.XLOOKUP(Sales_Details2[[#This Row],[Store_ID]],Table2[Store_ID],Table2[Region],"Region not found")</f>
        <v>North</v>
      </c>
      <c r="M781" s="25">
        <v>3</v>
      </c>
      <c r="N781" s="36">
        <v>413.74</v>
      </c>
      <c r="O781" s="29">
        <v>0.01</v>
      </c>
      <c r="P781" s="2" t="s">
        <v>1807</v>
      </c>
      <c r="Q781" s="36">
        <v>1228.8078</v>
      </c>
    </row>
    <row r="782" spans="1:17" x14ac:dyDescent="0.3">
      <c r="A782" s="2" t="s">
        <v>2589</v>
      </c>
      <c r="B782" s="14">
        <v>45477</v>
      </c>
      <c r="C782" s="2">
        <f>YEAR(Sales_Details2[[#This Row],[Order_Date]])</f>
        <v>2024</v>
      </c>
      <c r="D782" s="2" t="s">
        <v>1507</v>
      </c>
      <c r="E782" s="2" t="str">
        <f>VLOOKUP(Sales_Details2[[#This Row],[Customer_ID]],Customer_Details[#All],4,0)</f>
        <v>Senior</v>
      </c>
      <c r="F782" s="2" t="str">
        <f>VLOOKUP(Sales_Details2[[#This Row],[Customer_ID]],Customer_Details[#All],5,0)</f>
        <v>Male</v>
      </c>
      <c r="G782" s="2" t="str">
        <f>VLOOKUP(Sales_Details2[[#This Row],[Customer_ID]],Customer_Details[#All],9,0)</f>
        <v>Bronze</v>
      </c>
      <c r="H782" s="2" t="s">
        <v>1709</v>
      </c>
      <c r="I782" s="2" t="str">
        <f>VLOOKUP(Sales_Details2[[#This Row],[Product_ID]],Product_details[[#All],[Product_ID]:[Cost]],3,0)</f>
        <v>Beauty</v>
      </c>
      <c r="J782" s="2" t="str">
        <f>VLOOKUP(Sales_Details2[[#This Row],[Product_ID]],Product_details[[#All],[Product_ID]:[Cost]],4,0)</f>
        <v>Makeup</v>
      </c>
      <c r="K782" s="2" t="s">
        <v>1782</v>
      </c>
      <c r="L782" s="2" t="str">
        <f>_xlfn.XLOOKUP(Sales_Details2[[#This Row],[Store_ID]],Table2[Store_ID],Table2[Region],"Region not found")</f>
        <v>South</v>
      </c>
      <c r="M782" s="25">
        <v>4</v>
      </c>
      <c r="N782" s="36">
        <v>79.75</v>
      </c>
      <c r="O782" s="29">
        <v>0.18</v>
      </c>
      <c r="P782" s="2" t="s">
        <v>1809</v>
      </c>
      <c r="Q782" s="36">
        <v>261.58</v>
      </c>
    </row>
    <row r="783" spans="1:17" x14ac:dyDescent="0.3">
      <c r="A783" s="2" t="s">
        <v>2590</v>
      </c>
      <c r="B783" s="14">
        <v>45433</v>
      </c>
      <c r="C783" s="2">
        <f>YEAR(Sales_Details2[[#This Row],[Order_Date]])</f>
        <v>2024</v>
      </c>
      <c r="D783" s="2" t="s">
        <v>1504</v>
      </c>
      <c r="E783" s="2" t="str">
        <f>VLOOKUP(Sales_Details2[[#This Row],[Customer_ID]],Customer_Details[#All],4,0)</f>
        <v>Adult</v>
      </c>
      <c r="F783" s="2" t="str">
        <f>VLOOKUP(Sales_Details2[[#This Row],[Customer_ID]],Customer_Details[#All],5,0)</f>
        <v>Female</v>
      </c>
      <c r="G783" s="2" t="str">
        <f>VLOOKUP(Sales_Details2[[#This Row],[Customer_ID]],Customer_Details[#All],9,0)</f>
        <v>Bronze</v>
      </c>
      <c r="H783" s="2" t="s">
        <v>1611</v>
      </c>
      <c r="I783" s="2" t="str">
        <f>VLOOKUP(Sales_Details2[[#This Row],[Product_ID]],Product_details[[#All],[Product_ID]:[Cost]],3,0)</f>
        <v>Electronics</v>
      </c>
      <c r="J783" s="2" t="str">
        <f>VLOOKUP(Sales_Details2[[#This Row],[Product_ID]],Product_details[[#All],[Product_ID]:[Cost]],4,0)</f>
        <v>Audio</v>
      </c>
      <c r="K783" s="2" t="s">
        <v>1777</v>
      </c>
      <c r="L783" s="2" t="str">
        <f>_xlfn.XLOOKUP(Sales_Details2[[#This Row],[Store_ID]],Table2[Store_ID],Table2[Region],"Region not found")</f>
        <v>North</v>
      </c>
      <c r="M783" s="25">
        <v>4</v>
      </c>
      <c r="N783" s="36">
        <v>95.06</v>
      </c>
      <c r="O783" s="29">
        <v>0.03</v>
      </c>
      <c r="P783" s="2" t="s">
        <v>1807</v>
      </c>
      <c r="Q783" s="36">
        <v>368.83280000000002</v>
      </c>
    </row>
    <row r="784" spans="1:17" x14ac:dyDescent="0.3">
      <c r="A784" s="2" t="s">
        <v>2591</v>
      </c>
      <c r="B784" s="14">
        <v>45759</v>
      </c>
      <c r="C784" s="2">
        <f>YEAR(Sales_Details2[[#This Row],[Order_Date]])</f>
        <v>2025</v>
      </c>
      <c r="D784" s="2" t="s">
        <v>1278</v>
      </c>
      <c r="E784" s="2" t="str">
        <f>VLOOKUP(Sales_Details2[[#This Row],[Customer_ID]],Customer_Details[#All],4,0)</f>
        <v>Mid-Adult</v>
      </c>
      <c r="F784" s="2" t="str">
        <f>VLOOKUP(Sales_Details2[[#This Row],[Customer_ID]],Customer_Details[#All],5,0)</f>
        <v>Male</v>
      </c>
      <c r="G784" s="2" t="str">
        <f>VLOOKUP(Sales_Details2[[#This Row],[Customer_ID]],Customer_Details[#All],9,0)</f>
        <v>Platinum</v>
      </c>
      <c r="H784" s="2" t="s">
        <v>1727</v>
      </c>
      <c r="I784" s="2" t="str">
        <f>VLOOKUP(Sales_Details2[[#This Row],[Product_ID]],Product_details[[#All],[Product_ID]:[Cost]],3,0)</f>
        <v>Electronics</v>
      </c>
      <c r="J784" s="2" t="str">
        <f>VLOOKUP(Sales_Details2[[#This Row],[Product_ID]],Product_details[[#All],[Product_ID]:[Cost]],4,0)</f>
        <v>Audio</v>
      </c>
      <c r="K784" s="2" t="s">
        <v>1762</v>
      </c>
      <c r="L784" s="2" t="str">
        <f>_xlfn.XLOOKUP(Sales_Details2[[#This Row],[Store_ID]],Table2[Store_ID],Table2[Region],"Region not found")</f>
        <v>South</v>
      </c>
      <c r="M784" s="25">
        <v>4</v>
      </c>
      <c r="N784" s="36">
        <v>107.08</v>
      </c>
      <c r="O784" s="29">
        <v>0.27</v>
      </c>
      <c r="P784" s="2" t="s">
        <v>1812</v>
      </c>
      <c r="Q784" s="36">
        <v>312.67360000000002</v>
      </c>
    </row>
    <row r="785" spans="1:17" x14ac:dyDescent="0.3">
      <c r="A785" s="2" t="s">
        <v>2592</v>
      </c>
      <c r="B785" s="14">
        <v>45794</v>
      </c>
      <c r="C785" s="2">
        <f>YEAR(Sales_Details2[[#This Row],[Order_Date]])</f>
        <v>2025</v>
      </c>
      <c r="D785" s="2" t="s">
        <v>1445</v>
      </c>
      <c r="E785" s="2" t="str">
        <f>VLOOKUP(Sales_Details2[[#This Row],[Customer_ID]],Customer_Details[#All],4,0)</f>
        <v>Mid-Adult</v>
      </c>
      <c r="F785" s="2" t="str">
        <f>VLOOKUP(Sales_Details2[[#This Row],[Customer_ID]],Customer_Details[#All],5,0)</f>
        <v>Female</v>
      </c>
      <c r="G785" s="2" t="str">
        <f>VLOOKUP(Sales_Details2[[#This Row],[Customer_ID]],Customer_Details[#All],9,0)</f>
        <v>Platinum</v>
      </c>
      <c r="H785" s="2" t="s">
        <v>1729</v>
      </c>
      <c r="I785" s="2" t="str">
        <f>VLOOKUP(Sales_Details2[[#This Row],[Product_ID]],Product_details[[#All],[Product_ID]:[Cost]],3,0)</f>
        <v>Home</v>
      </c>
      <c r="J785" s="2" t="str">
        <f>VLOOKUP(Sales_Details2[[#This Row],[Product_ID]],Product_details[[#All],[Product_ID]:[Cost]],4,0)</f>
        <v>Kitchen</v>
      </c>
      <c r="K785" s="2" t="s">
        <v>1793</v>
      </c>
      <c r="L785" s="2" t="str">
        <f>_xlfn.XLOOKUP(Sales_Details2[[#This Row],[Store_ID]],Table2[Store_ID],Table2[Region],"Region not found")</f>
        <v>East</v>
      </c>
      <c r="M785" s="25">
        <v>1</v>
      </c>
      <c r="N785" s="36">
        <v>873.18</v>
      </c>
      <c r="O785" s="29">
        <v>0.03</v>
      </c>
      <c r="P785" s="2" t="s">
        <v>1812</v>
      </c>
      <c r="Q785" s="36">
        <v>846.98459999999989</v>
      </c>
    </row>
    <row r="786" spans="1:17" x14ac:dyDescent="0.3">
      <c r="A786" s="2" t="s">
        <v>2593</v>
      </c>
      <c r="B786" s="14">
        <v>45764</v>
      </c>
      <c r="C786" s="2">
        <f>YEAR(Sales_Details2[[#This Row],[Order_Date]])</f>
        <v>2025</v>
      </c>
      <c r="D786" s="2" t="s">
        <v>1165</v>
      </c>
      <c r="E786" s="2" t="str">
        <f>VLOOKUP(Sales_Details2[[#This Row],[Customer_ID]],Customer_Details[#All],4,0)</f>
        <v>Mid-Adult</v>
      </c>
      <c r="F786" s="2" t="str">
        <f>VLOOKUP(Sales_Details2[[#This Row],[Customer_ID]],Customer_Details[#All],5,0)</f>
        <v>Female</v>
      </c>
      <c r="G786" s="2" t="str">
        <f>VLOOKUP(Sales_Details2[[#This Row],[Customer_ID]],Customer_Details[#All],9,0)</f>
        <v>Gold</v>
      </c>
      <c r="H786" s="2" t="s">
        <v>1671</v>
      </c>
      <c r="I786" s="2" t="str">
        <f>VLOOKUP(Sales_Details2[[#This Row],[Product_ID]],Product_details[[#All],[Product_ID]:[Cost]],3,0)</f>
        <v>Home</v>
      </c>
      <c r="J786" s="2" t="str">
        <f>VLOOKUP(Sales_Details2[[#This Row],[Product_ID]],Product_details[[#All],[Product_ID]:[Cost]],4,0)</f>
        <v>Storage</v>
      </c>
      <c r="K786" s="2" t="s">
        <v>1793</v>
      </c>
      <c r="L786" s="2" t="str">
        <f>_xlfn.XLOOKUP(Sales_Details2[[#This Row],[Store_ID]],Table2[Store_ID],Table2[Region],"Region not found")</f>
        <v>East</v>
      </c>
      <c r="M786" s="25">
        <v>1</v>
      </c>
      <c r="N786" s="36">
        <v>914.75</v>
      </c>
      <c r="O786" s="29">
        <v>0.1</v>
      </c>
      <c r="P786" s="2" t="s">
        <v>1812</v>
      </c>
      <c r="Q786" s="36">
        <v>823.27499999999998</v>
      </c>
    </row>
    <row r="787" spans="1:17" x14ac:dyDescent="0.3">
      <c r="A787" s="2" t="s">
        <v>2594</v>
      </c>
      <c r="B787" s="14">
        <v>45279</v>
      </c>
      <c r="C787" s="2">
        <f>YEAR(Sales_Details2[[#This Row],[Order_Date]])</f>
        <v>2023</v>
      </c>
      <c r="D787" s="2" t="s">
        <v>185</v>
      </c>
      <c r="E787" s="2" t="str">
        <f>VLOOKUP(Sales_Details2[[#This Row],[Customer_ID]],Customer_Details[#All],4,0)</f>
        <v>Mid-Adult</v>
      </c>
      <c r="F787" s="2" t="str">
        <f>VLOOKUP(Sales_Details2[[#This Row],[Customer_ID]],Customer_Details[#All],5,0)</f>
        <v>Female</v>
      </c>
      <c r="G787" s="2" t="str">
        <f>VLOOKUP(Sales_Details2[[#This Row],[Customer_ID]],Customer_Details[#All],9,0)</f>
        <v>Gold</v>
      </c>
      <c r="H787" s="2" t="s">
        <v>1677</v>
      </c>
      <c r="I787" s="2" t="str">
        <f>VLOOKUP(Sales_Details2[[#This Row],[Product_ID]],Product_details[[#All],[Product_ID]:[Cost]],3,0)</f>
        <v>Sports</v>
      </c>
      <c r="J787" s="2" t="str">
        <f>VLOOKUP(Sales_Details2[[#This Row],[Product_ID]],Product_details[[#All],[Product_ID]:[Cost]],4,0)</f>
        <v>Team Sports</v>
      </c>
      <c r="K787" s="2" t="s">
        <v>1780</v>
      </c>
      <c r="L787" s="2" t="str">
        <f>_xlfn.XLOOKUP(Sales_Details2[[#This Row],[Store_ID]],Table2[Store_ID],Table2[Region],"Region not found")</f>
        <v>East</v>
      </c>
      <c r="M787" s="25">
        <v>4</v>
      </c>
      <c r="N787" s="36">
        <v>457.33</v>
      </c>
      <c r="O787" s="29">
        <v>0.1</v>
      </c>
      <c r="P787" s="2" t="s">
        <v>1807</v>
      </c>
      <c r="Q787" s="36">
        <v>1646.3879999999999</v>
      </c>
    </row>
    <row r="788" spans="1:17" x14ac:dyDescent="0.3">
      <c r="A788" s="2" t="s">
        <v>2595</v>
      </c>
      <c r="B788" s="14">
        <v>45602</v>
      </c>
      <c r="C788" s="2">
        <f>YEAR(Sales_Details2[[#This Row],[Order_Date]])</f>
        <v>2024</v>
      </c>
      <c r="D788" s="2" t="s">
        <v>917</v>
      </c>
      <c r="E788" s="2" t="str">
        <f>VLOOKUP(Sales_Details2[[#This Row],[Customer_ID]],Customer_Details[#All],4,0)</f>
        <v>Adult</v>
      </c>
      <c r="F788" s="2" t="str">
        <f>VLOOKUP(Sales_Details2[[#This Row],[Customer_ID]],Customer_Details[#All],5,0)</f>
        <v>Male</v>
      </c>
      <c r="G788" s="2" t="str">
        <f>VLOOKUP(Sales_Details2[[#This Row],[Customer_ID]],Customer_Details[#All],9,0)</f>
        <v>Silver</v>
      </c>
      <c r="H788" s="2" t="s">
        <v>1729</v>
      </c>
      <c r="I788" s="2" t="str">
        <f>VLOOKUP(Sales_Details2[[#This Row],[Product_ID]],Product_details[[#All],[Product_ID]:[Cost]],3,0)</f>
        <v>Home</v>
      </c>
      <c r="J788" s="2" t="str">
        <f>VLOOKUP(Sales_Details2[[#This Row],[Product_ID]],Product_details[[#All],[Product_ID]:[Cost]],4,0)</f>
        <v>Kitchen</v>
      </c>
      <c r="K788" s="2" t="s">
        <v>1749</v>
      </c>
      <c r="L788" s="2" t="str">
        <f>_xlfn.XLOOKUP(Sales_Details2[[#This Row],[Store_ID]],Table2[Store_ID],Table2[Region],"Region not found")</f>
        <v>North</v>
      </c>
      <c r="M788" s="25">
        <v>3</v>
      </c>
      <c r="N788" s="36">
        <v>761.88</v>
      </c>
      <c r="O788" s="29">
        <v>0.23</v>
      </c>
      <c r="P788" s="2" t="s">
        <v>1809</v>
      </c>
      <c r="Q788" s="36">
        <v>1759.9428</v>
      </c>
    </row>
    <row r="789" spans="1:17" x14ac:dyDescent="0.3">
      <c r="A789" s="2" t="s">
        <v>2596</v>
      </c>
      <c r="B789" s="14">
        <v>45793</v>
      </c>
      <c r="C789" s="2">
        <f>YEAR(Sales_Details2[[#This Row],[Order_Date]])</f>
        <v>2025</v>
      </c>
      <c r="D789" s="2" t="s">
        <v>579</v>
      </c>
      <c r="E789" s="2" t="str">
        <f>VLOOKUP(Sales_Details2[[#This Row],[Customer_ID]],Customer_Details[#All],4,0)</f>
        <v>Senior</v>
      </c>
      <c r="F789" s="2" t="str">
        <f>VLOOKUP(Sales_Details2[[#This Row],[Customer_ID]],Customer_Details[#All],5,0)</f>
        <v>Male</v>
      </c>
      <c r="G789" s="2" t="str">
        <f>VLOOKUP(Sales_Details2[[#This Row],[Customer_ID]],Customer_Details[#All],9,0)</f>
        <v>Platinum</v>
      </c>
      <c r="H789" s="2" t="s">
        <v>1605</v>
      </c>
      <c r="I789" s="2" t="str">
        <f>VLOOKUP(Sales_Details2[[#This Row],[Product_ID]],Product_details[[#All],[Product_ID]:[Cost]],3,0)</f>
        <v>Clothing</v>
      </c>
      <c r="J789" s="2" t="str">
        <f>VLOOKUP(Sales_Details2[[#This Row],[Product_ID]],Product_details[[#All],[Product_ID]:[Cost]],4,0)</f>
        <v>Footwear</v>
      </c>
      <c r="K789" s="2" t="s">
        <v>1796</v>
      </c>
      <c r="L789" s="2" t="str">
        <f>_xlfn.XLOOKUP(Sales_Details2[[#This Row],[Store_ID]],Table2[Store_ID],Table2[Region],"Region not found")</f>
        <v>East</v>
      </c>
      <c r="M789" s="25">
        <v>4</v>
      </c>
      <c r="N789" s="36">
        <v>122.87</v>
      </c>
      <c r="O789" s="29">
        <v>0.13</v>
      </c>
      <c r="P789" s="2" t="s">
        <v>1807</v>
      </c>
      <c r="Q789" s="36">
        <v>427.58760000000001</v>
      </c>
    </row>
    <row r="790" spans="1:17" x14ac:dyDescent="0.3">
      <c r="A790" s="2" t="s">
        <v>2597</v>
      </c>
      <c r="B790" s="14">
        <v>45778</v>
      </c>
      <c r="C790" s="2">
        <f>YEAR(Sales_Details2[[#This Row],[Order_Date]])</f>
        <v>2025</v>
      </c>
      <c r="D790" s="2" t="s">
        <v>1448</v>
      </c>
      <c r="E790" s="2" t="str">
        <f>VLOOKUP(Sales_Details2[[#This Row],[Customer_ID]],Customer_Details[#All],4,0)</f>
        <v>Adult</v>
      </c>
      <c r="F790" s="2" t="str">
        <f>VLOOKUP(Sales_Details2[[#This Row],[Customer_ID]],Customer_Details[#All],5,0)</f>
        <v>Female</v>
      </c>
      <c r="G790" s="2" t="str">
        <f>VLOOKUP(Sales_Details2[[#This Row],[Customer_ID]],Customer_Details[#All],9,0)</f>
        <v>Platinum</v>
      </c>
      <c r="H790" s="2" t="s">
        <v>1677</v>
      </c>
      <c r="I790" s="2" t="str">
        <f>VLOOKUP(Sales_Details2[[#This Row],[Product_ID]],Product_details[[#All],[Product_ID]:[Cost]],3,0)</f>
        <v>Sports</v>
      </c>
      <c r="J790" s="2" t="str">
        <f>VLOOKUP(Sales_Details2[[#This Row],[Product_ID]],Product_details[[#All],[Product_ID]:[Cost]],4,0)</f>
        <v>Team Sports</v>
      </c>
      <c r="K790" s="2" t="s">
        <v>1752</v>
      </c>
      <c r="L790" s="2" t="str">
        <f>_xlfn.XLOOKUP(Sales_Details2[[#This Row],[Store_ID]],Table2[Store_ID],Table2[Region],"Region not found")</f>
        <v>South</v>
      </c>
      <c r="M790" s="25">
        <v>4</v>
      </c>
      <c r="N790" s="36">
        <v>753</v>
      </c>
      <c r="O790" s="29">
        <v>0.28000000000000003</v>
      </c>
      <c r="P790" s="2" t="s">
        <v>1812</v>
      </c>
      <c r="Q790" s="36">
        <v>2168.64</v>
      </c>
    </row>
    <row r="791" spans="1:17" x14ac:dyDescent="0.3">
      <c r="A791" s="2" t="s">
        <v>2598</v>
      </c>
      <c r="B791" s="14">
        <v>45325</v>
      </c>
      <c r="C791" s="2">
        <f>YEAR(Sales_Details2[[#This Row],[Order_Date]])</f>
        <v>2024</v>
      </c>
      <c r="D791" s="2" t="s">
        <v>1144</v>
      </c>
      <c r="E791" s="2" t="str">
        <f>VLOOKUP(Sales_Details2[[#This Row],[Customer_ID]],Customer_Details[#All],4,0)</f>
        <v>Mid-Adult</v>
      </c>
      <c r="F791" s="2" t="str">
        <f>VLOOKUP(Sales_Details2[[#This Row],[Customer_ID]],Customer_Details[#All],5,0)</f>
        <v>Male</v>
      </c>
      <c r="G791" s="2" t="str">
        <f>VLOOKUP(Sales_Details2[[#This Row],[Customer_ID]],Customer_Details[#All],9,0)</f>
        <v>Silver</v>
      </c>
      <c r="H791" s="2" t="s">
        <v>1538</v>
      </c>
      <c r="I791" s="2" t="str">
        <f>VLOOKUP(Sales_Details2[[#This Row],[Product_ID]],Product_details[[#All],[Product_ID]:[Cost]],3,0)</f>
        <v>Clothing</v>
      </c>
      <c r="J791" s="2" t="str">
        <f>VLOOKUP(Sales_Details2[[#This Row],[Product_ID]],Product_details[[#All],[Product_ID]:[Cost]],4,0)</f>
        <v>Accessories</v>
      </c>
      <c r="K791" s="2" t="s">
        <v>1756</v>
      </c>
      <c r="L791" s="2" t="str">
        <f>_xlfn.XLOOKUP(Sales_Details2[[#This Row],[Store_ID]],Table2[Store_ID],Table2[Region],"Region not found")</f>
        <v>North</v>
      </c>
      <c r="M791" s="25">
        <v>2</v>
      </c>
      <c r="N791" s="36">
        <v>788.05</v>
      </c>
      <c r="O791" s="29">
        <v>0.21</v>
      </c>
      <c r="P791" s="2" t="s">
        <v>1807</v>
      </c>
      <c r="Q791" s="36">
        <v>1245.1189999999999</v>
      </c>
    </row>
    <row r="792" spans="1:17" x14ac:dyDescent="0.3">
      <c r="A792" s="2" t="s">
        <v>2599</v>
      </c>
      <c r="B792" s="14">
        <v>45875</v>
      </c>
      <c r="C792" s="2">
        <f>YEAR(Sales_Details2[[#This Row],[Order_Date]])</f>
        <v>2025</v>
      </c>
      <c r="D792" s="2" t="s">
        <v>1409</v>
      </c>
      <c r="E792" s="2" t="str">
        <f>VLOOKUP(Sales_Details2[[#This Row],[Customer_ID]],Customer_Details[#All],4,0)</f>
        <v>Mid-Adult</v>
      </c>
      <c r="F792" s="2" t="str">
        <f>VLOOKUP(Sales_Details2[[#This Row],[Customer_ID]],Customer_Details[#All],5,0)</f>
        <v>Female</v>
      </c>
      <c r="G792" s="2" t="str">
        <f>VLOOKUP(Sales_Details2[[#This Row],[Customer_ID]],Customer_Details[#All],9,0)</f>
        <v>Silver</v>
      </c>
      <c r="H792" s="2" t="s">
        <v>1695</v>
      </c>
      <c r="I792" s="2" t="str">
        <f>VLOOKUP(Sales_Details2[[#This Row],[Product_ID]],Product_details[[#All],[Product_ID]:[Cost]],3,0)</f>
        <v>Sports</v>
      </c>
      <c r="J792" s="2" t="str">
        <f>VLOOKUP(Sales_Details2[[#This Row],[Product_ID]],Product_details[[#All],[Product_ID]:[Cost]],4,0)</f>
        <v>Fitness</v>
      </c>
      <c r="K792" s="2" t="s">
        <v>1772</v>
      </c>
      <c r="L792" s="2" t="str">
        <f>_xlfn.XLOOKUP(Sales_Details2[[#This Row],[Store_ID]],Table2[Store_ID],Table2[Region],"Region not found")</f>
        <v>East</v>
      </c>
      <c r="M792" s="25">
        <v>2</v>
      </c>
      <c r="N792" s="36">
        <v>807.1</v>
      </c>
      <c r="O792" s="29">
        <v>0.28999999999999998</v>
      </c>
      <c r="P792" s="2" t="s">
        <v>1807</v>
      </c>
      <c r="Q792" s="36">
        <v>1146.0820000000001</v>
      </c>
    </row>
    <row r="793" spans="1:17" x14ac:dyDescent="0.3">
      <c r="A793" s="2" t="s">
        <v>2600</v>
      </c>
      <c r="B793" s="14">
        <v>45320</v>
      </c>
      <c r="C793" s="2">
        <f>YEAR(Sales_Details2[[#This Row],[Order_Date]])</f>
        <v>2024</v>
      </c>
      <c r="D793" s="2" t="s">
        <v>453</v>
      </c>
      <c r="E793" s="2" t="str">
        <f>VLOOKUP(Sales_Details2[[#This Row],[Customer_ID]],Customer_Details[#All],4,0)</f>
        <v>Senior</v>
      </c>
      <c r="F793" s="2" t="str">
        <f>VLOOKUP(Sales_Details2[[#This Row],[Customer_ID]],Customer_Details[#All],5,0)</f>
        <v>Male</v>
      </c>
      <c r="G793" s="2" t="str">
        <f>VLOOKUP(Sales_Details2[[#This Row],[Customer_ID]],Customer_Details[#All],9,0)</f>
        <v>Gold</v>
      </c>
      <c r="H793" s="2" t="s">
        <v>1545</v>
      </c>
      <c r="I793" s="2" t="str">
        <f>VLOOKUP(Sales_Details2[[#This Row],[Product_ID]],Product_details[[#All],[Product_ID]:[Cost]],3,0)</f>
        <v>Electronics</v>
      </c>
      <c r="J793" s="2" t="str">
        <f>VLOOKUP(Sales_Details2[[#This Row],[Product_ID]],Product_details[[#All],[Product_ID]:[Cost]],4,0)</f>
        <v>Audio</v>
      </c>
      <c r="K793" s="2" t="s">
        <v>1740</v>
      </c>
      <c r="L793" s="2" t="str">
        <f>_xlfn.XLOOKUP(Sales_Details2[[#This Row],[Store_ID]],Table2[Store_ID],Table2[Region],"Region not found")</f>
        <v>North</v>
      </c>
      <c r="M793" s="25">
        <v>2</v>
      </c>
      <c r="N793" s="36">
        <v>443.09</v>
      </c>
      <c r="O793" s="29">
        <v>0.02</v>
      </c>
      <c r="P793" s="2" t="s">
        <v>1809</v>
      </c>
      <c r="Q793" s="36">
        <v>868.45639999999992</v>
      </c>
    </row>
    <row r="794" spans="1:17" x14ac:dyDescent="0.3">
      <c r="A794" s="2" t="s">
        <v>2601</v>
      </c>
      <c r="B794" s="14">
        <v>45870</v>
      </c>
      <c r="C794" s="2">
        <f>YEAR(Sales_Details2[[#This Row],[Order_Date]])</f>
        <v>2025</v>
      </c>
      <c r="D794" s="2" t="s">
        <v>1427</v>
      </c>
      <c r="E794" s="2" t="str">
        <f>VLOOKUP(Sales_Details2[[#This Row],[Customer_ID]],Customer_Details[#All],4,0)</f>
        <v>Mid-Adult</v>
      </c>
      <c r="F794" s="2" t="str">
        <f>VLOOKUP(Sales_Details2[[#This Row],[Customer_ID]],Customer_Details[#All],5,0)</f>
        <v>Male</v>
      </c>
      <c r="G794" s="2" t="str">
        <f>VLOOKUP(Sales_Details2[[#This Row],[Customer_ID]],Customer_Details[#All],9,0)</f>
        <v>Bronze</v>
      </c>
      <c r="H794" s="2" t="s">
        <v>1569</v>
      </c>
      <c r="I794" s="2" t="str">
        <f>VLOOKUP(Sales_Details2[[#This Row],[Product_ID]],Product_details[[#All],[Product_ID]:[Cost]],3,0)</f>
        <v>Sports</v>
      </c>
      <c r="J794" s="2" t="str">
        <f>VLOOKUP(Sales_Details2[[#This Row],[Product_ID]],Product_details[[#All],[Product_ID]:[Cost]],4,0)</f>
        <v>Equipment</v>
      </c>
      <c r="K794" s="2" t="s">
        <v>1784</v>
      </c>
      <c r="L794" s="2" t="str">
        <f>_xlfn.XLOOKUP(Sales_Details2[[#This Row],[Store_ID]],Table2[Store_ID],Table2[Region],"Region not found")</f>
        <v>North</v>
      </c>
      <c r="M794" s="25">
        <v>1</v>
      </c>
      <c r="N794" s="36">
        <v>512.16</v>
      </c>
      <c r="O794" s="29">
        <v>0.02</v>
      </c>
      <c r="P794" s="2" t="s">
        <v>1812</v>
      </c>
      <c r="Q794" s="36">
        <v>501.91680000000002</v>
      </c>
    </row>
    <row r="795" spans="1:17" x14ac:dyDescent="0.3">
      <c r="A795" s="2" t="s">
        <v>2602</v>
      </c>
      <c r="B795" s="14">
        <v>45577</v>
      </c>
      <c r="C795" s="2">
        <f>YEAR(Sales_Details2[[#This Row],[Order_Date]])</f>
        <v>2024</v>
      </c>
      <c r="D795" s="2" t="s">
        <v>672</v>
      </c>
      <c r="E795" s="2" t="str">
        <f>VLOOKUP(Sales_Details2[[#This Row],[Customer_ID]],Customer_Details[#All],4,0)</f>
        <v>Senior</v>
      </c>
      <c r="F795" s="2" t="str">
        <f>VLOOKUP(Sales_Details2[[#This Row],[Customer_ID]],Customer_Details[#All],5,0)</f>
        <v>Male</v>
      </c>
      <c r="G795" s="2" t="str">
        <f>VLOOKUP(Sales_Details2[[#This Row],[Customer_ID]],Customer_Details[#All],9,0)</f>
        <v>Platinum</v>
      </c>
      <c r="H795" s="2" t="s">
        <v>1613</v>
      </c>
      <c r="I795" s="2" t="str">
        <f>VLOOKUP(Sales_Details2[[#This Row],[Product_ID]],Product_details[[#All],[Product_ID]:[Cost]],3,0)</f>
        <v>Sports</v>
      </c>
      <c r="J795" s="2" t="str">
        <f>VLOOKUP(Sales_Details2[[#This Row],[Product_ID]],Product_details[[#All],[Product_ID]:[Cost]],4,0)</f>
        <v>Fitness</v>
      </c>
      <c r="K795" s="2" t="s">
        <v>1793</v>
      </c>
      <c r="L795" s="2" t="str">
        <f>_xlfn.XLOOKUP(Sales_Details2[[#This Row],[Store_ID]],Table2[Store_ID],Table2[Region],"Region not found")</f>
        <v>East</v>
      </c>
      <c r="M795" s="25">
        <v>2</v>
      </c>
      <c r="N795" s="36">
        <v>602.54999999999995</v>
      </c>
      <c r="O795" s="29">
        <v>0.23</v>
      </c>
      <c r="P795" s="2" t="s">
        <v>1812</v>
      </c>
      <c r="Q795" s="36">
        <v>927.92699999999991</v>
      </c>
    </row>
    <row r="796" spans="1:17" x14ac:dyDescent="0.3">
      <c r="A796" s="2" t="s">
        <v>2603</v>
      </c>
      <c r="B796" s="14">
        <v>45745</v>
      </c>
      <c r="C796" s="2">
        <f>YEAR(Sales_Details2[[#This Row],[Order_Date]])</f>
        <v>2025</v>
      </c>
      <c r="D796" s="2" t="s">
        <v>542</v>
      </c>
      <c r="E796" s="2" t="str">
        <f>VLOOKUP(Sales_Details2[[#This Row],[Customer_ID]],Customer_Details[#All],4,0)</f>
        <v>Mid-Adult</v>
      </c>
      <c r="F796" s="2" t="str">
        <f>VLOOKUP(Sales_Details2[[#This Row],[Customer_ID]],Customer_Details[#All],5,0)</f>
        <v>Female</v>
      </c>
      <c r="G796" s="2" t="str">
        <f>VLOOKUP(Sales_Details2[[#This Row],[Customer_ID]],Customer_Details[#All],9,0)</f>
        <v>Silver</v>
      </c>
      <c r="H796" s="2" t="s">
        <v>1615</v>
      </c>
      <c r="I796" s="2" t="str">
        <f>VLOOKUP(Sales_Details2[[#This Row],[Product_ID]],Product_details[[#All],[Product_ID]:[Cost]],3,0)</f>
        <v>Electronics</v>
      </c>
      <c r="J796" s="2" t="str">
        <f>VLOOKUP(Sales_Details2[[#This Row],[Product_ID]],Product_details[[#All],[Product_ID]:[Cost]],4,0)</f>
        <v>Accessories</v>
      </c>
      <c r="K796" s="2" t="s">
        <v>1735</v>
      </c>
      <c r="L796" s="2" t="str">
        <f>_xlfn.XLOOKUP(Sales_Details2[[#This Row],[Store_ID]],Table2[Store_ID],Table2[Region],"Region not found")</f>
        <v>East</v>
      </c>
      <c r="M796" s="25">
        <v>3</v>
      </c>
      <c r="N796" s="36">
        <v>846.19</v>
      </c>
      <c r="O796" s="29">
        <v>0.09</v>
      </c>
      <c r="P796" s="2" t="s">
        <v>1812</v>
      </c>
      <c r="Q796" s="36">
        <v>2310.0987</v>
      </c>
    </row>
    <row r="797" spans="1:17" x14ac:dyDescent="0.3">
      <c r="A797" s="2" t="s">
        <v>2604</v>
      </c>
      <c r="B797" s="14">
        <v>45772</v>
      </c>
      <c r="C797" s="2">
        <f>YEAR(Sales_Details2[[#This Row],[Order_Date]])</f>
        <v>2025</v>
      </c>
      <c r="D797" s="2" t="s">
        <v>1015</v>
      </c>
      <c r="E797" s="2" t="str">
        <f>VLOOKUP(Sales_Details2[[#This Row],[Customer_ID]],Customer_Details[#All],4,0)</f>
        <v>Senior</v>
      </c>
      <c r="F797" s="2" t="str">
        <f>VLOOKUP(Sales_Details2[[#This Row],[Customer_ID]],Customer_Details[#All],5,0)</f>
        <v>Female</v>
      </c>
      <c r="G797" s="2" t="str">
        <f>VLOOKUP(Sales_Details2[[#This Row],[Customer_ID]],Customer_Details[#All],9,0)</f>
        <v>Gold</v>
      </c>
      <c r="H797" s="2" t="s">
        <v>1669</v>
      </c>
      <c r="I797" s="2" t="str">
        <f>VLOOKUP(Sales_Details2[[#This Row],[Product_ID]],Product_details[[#All],[Product_ID]:[Cost]],3,0)</f>
        <v>Clothing</v>
      </c>
      <c r="J797" s="2" t="str">
        <f>VLOOKUP(Sales_Details2[[#This Row],[Product_ID]],Product_details[[#All],[Product_ID]:[Cost]],4,0)</f>
        <v>Bottoms</v>
      </c>
      <c r="K797" s="2" t="s">
        <v>1765</v>
      </c>
      <c r="L797" s="2" t="str">
        <f>_xlfn.XLOOKUP(Sales_Details2[[#This Row],[Store_ID]],Table2[Store_ID],Table2[Region],"Region not found")</f>
        <v>West</v>
      </c>
      <c r="M797" s="25">
        <v>1</v>
      </c>
      <c r="N797" s="36">
        <v>506.73</v>
      </c>
      <c r="O797" s="29">
        <v>0.28999999999999998</v>
      </c>
      <c r="P797" s="2" t="s">
        <v>1807</v>
      </c>
      <c r="Q797" s="36">
        <v>359.7783</v>
      </c>
    </row>
    <row r="798" spans="1:17" x14ac:dyDescent="0.3">
      <c r="A798" s="2" t="s">
        <v>2605</v>
      </c>
      <c r="B798" s="14">
        <v>45299</v>
      </c>
      <c r="C798" s="2">
        <f>YEAR(Sales_Details2[[#This Row],[Order_Date]])</f>
        <v>2024</v>
      </c>
      <c r="D798" s="2" t="s">
        <v>195</v>
      </c>
      <c r="E798" s="2" t="str">
        <f>VLOOKUP(Sales_Details2[[#This Row],[Customer_ID]],Customer_Details[#All],4,0)</f>
        <v>Senior</v>
      </c>
      <c r="F798" s="2" t="str">
        <f>VLOOKUP(Sales_Details2[[#This Row],[Customer_ID]],Customer_Details[#All],5,0)</f>
        <v>Male</v>
      </c>
      <c r="G798" s="2" t="str">
        <f>VLOOKUP(Sales_Details2[[#This Row],[Customer_ID]],Customer_Details[#All],9,0)</f>
        <v>Bronze</v>
      </c>
      <c r="H798" s="2" t="s">
        <v>1633</v>
      </c>
      <c r="I798" s="2" t="str">
        <f>VLOOKUP(Sales_Details2[[#This Row],[Product_ID]],Product_details[[#All],[Product_ID]:[Cost]],3,0)</f>
        <v>Electronics</v>
      </c>
      <c r="J798" s="2" t="str">
        <f>VLOOKUP(Sales_Details2[[#This Row],[Product_ID]],Product_details[[#All],[Product_ID]:[Cost]],4,0)</f>
        <v>Accessories</v>
      </c>
      <c r="K798" s="2" t="s">
        <v>1787</v>
      </c>
      <c r="L798" s="2" t="str">
        <f>_xlfn.XLOOKUP(Sales_Details2[[#This Row],[Store_ID]],Table2[Store_ID],Table2[Region],"Region not found")</f>
        <v>West</v>
      </c>
      <c r="M798" s="25">
        <v>1</v>
      </c>
      <c r="N798" s="36">
        <v>408.66</v>
      </c>
      <c r="O798" s="29">
        <v>0.13</v>
      </c>
      <c r="P798" s="2" t="s">
        <v>1812</v>
      </c>
      <c r="Q798" s="36">
        <v>355.5342</v>
      </c>
    </row>
    <row r="799" spans="1:17" x14ac:dyDescent="0.3">
      <c r="A799" s="2" t="s">
        <v>2606</v>
      </c>
      <c r="B799" s="14">
        <v>45447</v>
      </c>
      <c r="C799" s="2">
        <f>YEAR(Sales_Details2[[#This Row],[Order_Date]])</f>
        <v>2024</v>
      </c>
      <c r="D799" s="2" t="s">
        <v>382</v>
      </c>
      <c r="E799" s="2" t="str">
        <f>VLOOKUP(Sales_Details2[[#This Row],[Customer_ID]],Customer_Details[#All],4,0)</f>
        <v>Mid-Adult</v>
      </c>
      <c r="F799" s="2" t="str">
        <f>VLOOKUP(Sales_Details2[[#This Row],[Customer_ID]],Customer_Details[#All],5,0)</f>
        <v>Female</v>
      </c>
      <c r="G799" s="2" t="str">
        <f>VLOOKUP(Sales_Details2[[#This Row],[Customer_ID]],Customer_Details[#All],9,0)</f>
        <v>Gold</v>
      </c>
      <c r="H799" s="2" t="s">
        <v>1545</v>
      </c>
      <c r="I799" s="2" t="str">
        <f>VLOOKUP(Sales_Details2[[#This Row],[Product_ID]],Product_details[[#All],[Product_ID]:[Cost]],3,0)</f>
        <v>Electronics</v>
      </c>
      <c r="J799" s="2" t="str">
        <f>VLOOKUP(Sales_Details2[[#This Row],[Product_ID]],Product_details[[#All],[Product_ID]:[Cost]],4,0)</f>
        <v>Audio</v>
      </c>
      <c r="K799" s="2" t="s">
        <v>1790</v>
      </c>
      <c r="L799" s="2" t="str">
        <f>_xlfn.XLOOKUP(Sales_Details2[[#This Row],[Store_ID]],Table2[Store_ID],Table2[Region],"Region not found")</f>
        <v>North</v>
      </c>
      <c r="M799" s="25">
        <v>3</v>
      </c>
      <c r="N799" s="36">
        <v>170.48</v>
      </c>
      <c r="O799" s="29">
        <v>0.06</v>
      </c>
      <c r="P799" s="2" t="s">
        <v>1812</v>
      </c>
      <c r="Q799" s="36">
        <v>480.75359999999989</v>
      </c>
    </row>
    <row r="800" spans="1:17" x14ac:dyDescent="0.3">
      <c r="A800" s="2" t="s">
        <v>2607</v>
      </c>
      <c r="B800" s="14">
        <v>45717</v>
      </c>
      <c r="C800" s="2">
        <f>YEAR(Sales_Details2[[#This Row],[Order_Date]])</f>
        <v>2025</v>
      </c>
      <c r="D800" s="2" t="s">
        <v>342</v>
      </c>
      <c r="E800" s="2" t="str">
        <f>VLOOKUP(Sales_Details2[[#This Row],[Customer_ID]],Customer_Details[#All],4,0)</f>
        <v>Mid-Adult</v>
      </c>
      <c r="F800" s="2" t="str">
        <f>VLOOKUP(Sales_Details2[[#This Row],[Customer_ID]],Customer_Details[#All],5,0)</f>
        <v>Male</v>
      </c>
      <c r="G800" s="2" t="str">
        <f>VLOOKUP(Sales_Details2[[#This Row],[Customer_ID]],Customer_Details[#All],9,0)</f>
        <v>Silver</v>
      </c>
      <c r="H800" s="2" t="s">
        <v>1567</v>
      </c>
      <c r="I800" s="2" t="str">
        <f>VLOOKUP(Sales_Details2[[#This Row],[Product_ID]],Product_details[[#All],[Product_ID]:[Cost]],3,0)</f>
        <v>Clothing</v>
      </c>
      <c r="J800" s="2" t="str">
        <f>VLOOKUP(Sales_Details2[[#This Row],[Product_ID]],Product_details[[#All],[Product_ID]:[Cost]],4,0)</f>
        <v>Bottoms</v>
      </c>
      <c r="K800" s="2" t="s">
        <v>1769</v>
      </c>
      <c r="L800" s="2" t="str">
        <f>_xlfn.XLOOKUP(Sales_Details2[[#This Row],[Store_ID]],Table2[Store_ID],Table2[Region],"Region not found")</f>
        <v>South</v>
      </c>
      <c r="M800" s="25">
        <v>1</v>
      </c>
      <c r="N800" s="36">
        <v>423.48</v>
      </c>
      <c r="O800" s="29">
        <v>0.18</v>
      </c>
      <c r="P800" s="2" t="s">
        <v>1809</v>
      </c>
      <c r="Q800" s="36">
        <v>347.25360000000012</v>
      </c>
    </row>
    <row r="801" spans="1:17" x14ac:dyDescent="0.3">
      <c r="A801" s="2" t="s">
        <v>2608</v>
      </c>
      <c r="B801" s="14">
        <v>45213</v>
      </c>
      <c r="C801" s="2">
        <f>YEAR(Sales_Details2[[#This Row],[Order_Date]])</f>
        <v>2023</v>
      </c>
      <c r="D801" s="2" t="s">
        <v>749</v>
      </c>
      <c r="E801" s="2" t="str">
        <f>VLOOKUP(Sales_Details2[[#This Row],[Customer_ID]],Customer_Details[#All],4,0)</f>
        <v>Adult</v>
      </c>
      <c r="F801" s="2" t="str">
        <f>VLOOKUP(Sales_Details2[[#This Row],[Customer_ID]],Customer_Details[#All],5,0)</f>
        <v>Female</v>
      </c>
      <c r="G801" s="2" t="str">
        <f>VLOOKUP(Sales_Details2[[#This Row],[Customer_ID]],Customer_Details[#All],9,0)</f>
        <v>Bronze</v>
      </c>
      <c r="H801" s="2" t="s">
        <v>1715</v>
      </c>
      <c r="I801" s="2" t="str">
        <f>VLOOKUP(Sales_Details2[[#This Row],[Product_ID]],Product_details[[#All],[Product_ID]:[Cost]],3,0)</f>
        <v>Home</v>
      </c>
      <c r="J801" s="2" t="str">
        <f>VLOOKUP(Sales_Details2[[#This Row],[Product_ID]],Product_details[[#All],[Product_ID]:[Cost]],4,0)</f>
        <v>Appliances</v>
      </c>
      <c r="K801" s="2" t="s">
        <v>1775</v>
      </c>
      <c r="L801" s="2" t="str">
        <f>_xlfn.XLOOKUP(Sales_Details2[[#This Row],[Store_ID]],Table2[Store_ID],Table2[Region],"Region not found")</f>
        <v>South</v>
      </c>
      <c r="M801" s="25">
        <v>4</v>
      </c>
      <c r="N801" s="36">
        <v>23.57</v>
      </c>
      <c r="O801" s="29">
        <v>0.1</v>
      </c>
      <c r="P801" s="2" t="s">
        <v>1807</v>
      </c>
      <c r="Q801" s="36">
        <v>84.852000000000004</v>
      </c>
    </row>
    <row r="802" spans="1:17" x14ac:dyDescent="0.3">
      <c r="A802" s="2" t="s">
        <v>2609</v>
      </c>
      <c r="B802" s="14">
        <v>45837</v>
      </c>
      <c r="C802" s="2">
        <f>YEAR(Sales_Details2[[#This Row],[Order_Date]])</f>
        <v>2025</v>
      </c>
      <c r="D802" s="2" t="s">
        <v>1177</v>
      </c>
      <c r="E802" s="2" t="str">
        <f>VLOOKUP(Sales_Details2[[#This Row],[Customer_ID]],Customer_Details[#All],4,0)</f>
        <v>Mid-Adult</v>
      </c>
      <c r="F802" s="2" t="str">
        <f>VLOOKUP(Sales_Details2[[#This Row],[Customer_ID]],Customer_Details[#All],5,0)</f>
        <v>Male</v>
      </c>
      <c r="G802" s="2" t="str">
        <f>VLOOKUP(Sales_Details2[[#This Row],[Customer_ID]],Customer_Details[#All],9,0)</f>
        <v>Silver</v>
      </c>
      <c r="H802" s="2" t="s">
        <v>1615</v>
      </c>
      <c r="I802" s="2" t="str">
        <f>VLOOKUP(Sales_Details2[[#This Row],[Product_ID]],Product_details[[#All],[Product_ID]:[Cost]],3,0)</f>
        <v>Electronics</v>
      </c>
      <c r="J802" s="2" t="str">
        <f>VLOOKUP(Sales_Details2[[#This Row],[Product_ID]],Product_details[[#All],[Product_ID]:[Cost]],4,0)</f>
        <v>Accessories</v>
      </c>
      <c r="K802" s="2" t="s">
        <v>1793</v>
      </c>
      <c r="L802" s="2" t="str">
        <f>_xlfn.XLOOKUP(Sales_Details2[[#This Row],[Store_ID]],Table2[Store_ID],Table2[Region],"Region not found")</f>
        <v>East</v>
      </c>
      <c r="M802" s="25">
        <v>2</v>
      </c>
      <c r="N802" s="36">
        <v>953.26</v>
      </c>
      <c r="O802" s="29">
        <v>0.1</v>
      </c>
      <c r="P802" s="2" t="s">
        <v>1812</v>
      </c>
      <c r="Q802" s="36">
        <v>1715.8679999999999</v>
      </c>
    </row>
    <row r="803" spans="1:17" x14ac:dyDescent="0.3">
      <c r="A803" s="2" t="s">
        <v>2610</v>
      </c>
      <c r="B803" s="14">
        <v>45277</v>
      </c>
      <c r="C803" s="2">
        <f>YEAR(Sales_Details2[[#This Row],[Order_Date]])</f>
        <v>2023</v>
      </c>
      <c r="D803" s="2" t="s">
        <v>1078</v>
      </c>
      <c r="E803" s="2" t="str">
        <f>VLOOKUP(Sales_Details2[[#This Row],[Customer_ID]],Customer_Details[#All],4,0)</f>
        <v>Mid-Adult</v>
      </c>
      <c r="F803" s="2" t="str">
        <f>VLOOKUP(Sales_Details2[[#This Row],[Customer_ID]],Customer_Details[#All],5,0)</f>
        <v>Female</v>
      </c>
      <c r="G803" s="2" t="str">
        <f>VLOOKUP(Sales_Details2[[#This Row],[Customer_ID]],Customer_Details[#All],9,0)</f>
        <v>Gold</v>
      </c>
      <c r="H803" s="2" t="s">
        <v>1677</v>
      </c>
      <c r="I803" s="2" t="str">
        <f>VLOOKUP(Sales_Details2[[#This Row],[Product_ID]],Product_details[[#All],[Product_ID]:[Cost]],3,0)</f>
        <v>Sports</v>
      </c>
      <c r="J803" s="2" t="str">
        <f>VLOOKUP(Sales_Details2[[#This Row],[Product_ID]],Product_details[[#All],[Product_ID]:[Cost]],4,0)</f>
        <v>Team Sports</v>
      </c>
      <c r="K803" s="2" t="s">
        <v>1762</v>
      </c>
      <c r="L803" s="2" t="str">
        <f>_xlfn.XLOOKUP(Sales_Details2[[#This Row],[Store_ID]],Table2[Store_ID],Table2[Region],"Region not found")</f>
        <v>South</v>
      </c>
      <c r="M803" s="25">
        <v>3</v>
      </c>
      <c r="N803" s="36">
        <v>405.13</v>
      </c>
      <c r="O803" s="29">
        <v>0.14000000000000001</v>
      </c>
      <c r="P803" s="2" t="s">
        <v>1812</v>
      </c>
      <c r="Q803" s="36">
        <v>1045.2354</v>
      </c>
    </row>
    <row r="804" spans="1:17" x14ac:dyDescent="0.3">
      <c r="A804" s="2" t="s">
        <v>2611</v>
      </c>
      <c r="B804" s="14">
        <v>45248</v>
      </c>
      <c r="C804" s="2">
        <f>YEAR(Sales_Details2[[#This Row],[Order_Date]])</f>
        <v>2023</v>
      </c>
      <c r="D804" s="2" t="s">
        <v>1054</v>
      </c>
      <c r="E804" s="2" t="str">
        <f>VLOOKUP(Sales_Details2[[#This Row],[Customer_ID]],Customer_Details[#All],4,0)</f>
        <v>Senior</v>
      </c>
      <c r="F804" s="2" t="str">
        <f>VLOOKUP(Sales_Details2[[#This Row],[Customer_ID]],Customer_Details[#All],5,0)</f>
        <v>Female</v>
      </c>
      <c r="G804" s="2" t="str">
        <f>VLOOKUP(Sales_Details2[[#This Row],[Customer_ID]],Customer_Details[#All],9,0)</f>
        <v>Platinum</v>
      </c>
      <c r="H804" s="2" t="s">
        <v>1532</v>
      </c>
      <c r="I804" s="2" t="str">
        <f>VLOOKUP(Sales_Details2[[#This Row],[Product_ID]],Product_details[[#All],[Product_ID]:[Cost]],3,0)</f>
        <v>Clothing</v>
      </c>
      <c r="J804" s="2" t="str">
        <f>VLOOKUP(Sales_Details2[[#This Row],[Product_ID]],Product_details[[#All],[Product_ID]:[Cost]],4,0)</f>
        <v>Outerwear</v>
      </c>
      <c r="K804" s="2" t="s">
        <v>1752</v>
      </c>
      <c r="L804" s="2" t="str">
        <f>_xlfn.XLOOKUP(Sales_Details2[[#This Row],[Store_ID]],Table2[Store_ID],Table2[Region],"Region not found")</f>
        <v>South</v>
      </c>
      <c r="M804" s="25">
        <v>2</v>
      </c>
      <c r="N804" s="36">
        <v>333.83</v>
      </c>
      <c r="O804" s="29">
        <v>0.26</v>
      </c>
      <c r="P804" s="2" t="s">
        <v>1809</v>
      </c>
      <c r="Q804" s="36">
        <v>494.0684</v>
      </c>
    </row>
    <row r="805" spans="1:17" x14ac:dyDescent="0.3">
      <c r="A805" s="2" t="s">
        <v>2612</v>
      </c>
      <c r="B805" s="14">
        <v>45741</v>
      </c>
      <c r="C805" s="2">
        <f>YEAR(Sales_Details2[[#This Row],[Order_Date]])</f>
        <v>2025</v>
      </c>
      <c r="D805" s="2" t="s">
        <v>1036</v>
      </c>
      <c r="E805" s="2" t="str">
        <f>VLOOKUP(Sales_Details2[[#This Row],[Customer_ID]],Customer_Details[#All],4,0)</f>
        <v>Senior</v>
      </c>
      <c r="F805" s="2" t="str">
        <f>VLOOKUP(Sales_Details2[[#This Row],[Customer_ID]],Customer_Details[#All],5,0)</f>
        <v>Female</v>
      </c>
      <c r="G805" s="2" t="str">
        <f>VLOOKUP(Sales_Details2[[#This Row],[Customer_ID]],Customer_Details[#All],9,0)</f>
        <v>Gold</v>
      </c>
      <c r="H805" s="2" t="s">
        <v>1713</v>
      </c>
      <c r="I805" s="2" t="str">
        <f>VLOOKUP(Sales_Details2[[#This Row],[Product_ID]],Product_details[[#All],[Product_ID]:[Cost]],3,0)</f>
        <v>Clothing</v>
      </c>
      <c r="J805" s="2" t="str">
        <f>VLOOKUP(Sales_Details2[[#This Row],[Product_ID]],Product_details[[#All],[Product_ID]:[Cost]],4,0)</f>
        <v>Footwear</v>
      </c>
      <c r="K805" s="2" t="s">
        <v>1749</v>
      </c>
      <c r="L805" s="2" t="str">
        <f>_xlfn.XLOOKUP(Sales_Details2[[#This Row],[Store_ID]],Table2[Store_ID],Table2[Region],"Region not found")</f>
        <v>North</v>
      </c>
      <c r="M805" s="25">
        <v>2</v>
      </c>
      <c r="N805" s="36">
        <v>727.18</v>
      </c>
      <c r="O805" s="29">
        <v>0.22</v>
      </c>
      <c r="P805" s="2" t="s">
        <v>1809</v>
      </c>
      <c r="Q805" s="36">
        <v>1134.4007999999999</v>
      </c>
    </row>
    <row r="806" spans="1:17" x14ac:dyDescent="0.3">
      <c r="A806" s="2" t="s">
        <v>2613</v>
      </c>
      <c r="B806" s="14">
        <v>45778</v>
      </c>
      <c r="C806" s="2">
        <f>YEAR(Sales_Details2[[#This Row],[Order_Date]])</f>
        <v>2025</v>
      </c>
      <c r="D806" s="2" t="s">
        <v>956</v>
      </c>
      <c r="E806" s="2" t="str">
        <f>VLOOKUP(Sales_Details2[[#This Row],[Customer_ID]],Customer_Details[#All],4,0)</f>
        <v>Mid-Adult</v>
      </c>
      <c r="F806" s="2" t="str">
        <f>VLOOKUP(Sales_Details2[[#This Row],[Customer_ID]],Customer_Details[#All],5,0)</f>
        <v>Male</v>
      </c>
      <c r="G806" s="2" t="str">
        <f>VLOOKUP(Sales_Details2[[#This Row],[Customer_ID]],Customer_Details[#All],9,0)</f>
        <v>Platinum</v>
      </c>
      <c r="H806" s="2" t="s">
        <v>1538</v>
      </c>
      <c r="I806" s="2" t="str">
        <f>VLOOKUP(Sales_Details2[[#This Row],[Product_ID]],Product_details[[#All],[Product_ID]:[Cost]],3,0)</f>
        <v>Clothing</v>
      </c>
      <c r="J806" s="2" t="str">
        <f>VLOOKUP(Sales_Details2[[#This Row],[Product_ID]],Product_details[[#All],[Product_ID]:[Cost]],4,0)</f>
        <v>Accessories</v>
      </c>
      <c r="K806" s="2" t="s">
        <v>1772</v>
      </c>
      <c r="L806" s="2" t="str">
        <f>_xlfn.XLOOKUP(Sales_Details2[[#This Row],[Store_ID]],Table2[Store_ID],Table2[Region],"Region not found")</f>
        <v>East</v>
      </c>
      <c r="M806" s="25">
        <v>2</v>
      </c>
      <c r="N806" s="36">
        <v>516.02</v>
      </c>
      <c r="O806" s="29">
        <v>0.19</v>
      </c>
      <c r="P806" s="2" t="s">
        <v>1812</v>
      </c>
      <c r="Q806" s="36">
        <v>835.95240000000001</v>
      </c>
    </row>
    <row r="807" spans="1:17" x14ac:dyDescent="0.3">
      <c r="A807" s="2" t="s">
        <v>2614</v>
      </c>
      <c r="B807" s="14">
        <v>45361</v>
      </c>
      <c r="C807" s="2">
        <f>YEAR(Sales_Details2[[#This Row],[Order_Date]])</f>
        <v>2024</v>
      </c>
      <c r="D807" s="2" t="s">
        <v>923</v>
      </c>
      <c r="E807" s="2" t="str">
        <f>VLOOKUP(Sales_Details2[[#This Row],[Customer_ID]],Customer_Details[#All],4,0)</f>
        <v>Adult</v>
      </c>
      <c r="F807" s="2" t="str">
        <f>VLOOKUP(Sales_Details2[[#This Row],[Customer_ID]],Customer_Details[#All],5,0)</f>
        <v>Male</v>
      </c>
      <c r="G807" s="2" t="str">
        <f>VLOOKUP(Sales_Details2[[#This Row],[Customer_ID]],Customer_Details[#All],9,0)</f>
        <v>Platinum</v>
      </c>
      <c r="H807" s="2" t="s">
        <v>1615</v>
      </c>
      <c r="I807" s="2" t="str">
        <f>VLOOKUP(Sales_Details2[[#This Row],[Product_ID]],Product_details[[#All],[Product_ID]:[Cost]],3,0)</f>
        <v>Electronics</v>
      </c>
      <c r="J807" s="2" t="str">
        <f>VLOOKUP(Sales_Details2[[#This Row],[Product_ID]],Product_details[[#All],[Product_ID]:[Cost]],4,0)</f>
        <v>Accessories</v>
      </c>
      <c r="K807" s="2" t="s">
        <v>1775</v>
      </c>
      <c r="L807" s="2" t="str">
        <f>_xlfn.XLOOKUP(Sales_Details2[[#This Row],[Store_ID]],Table2[Store_ID],Table2[Region],"Region not found")</f>
        <v>South</v>
      </c>
      <c r="M807" s="25">
        <v>2</v>
      </c>
      <c r="N807" s="36">
        <v>705.61</v>
      </c>
      <c r="O807" s="29">
        <v>0.28000000000000003</v>
      </c>
      <c r="P807" s="2" t="s">
        <v>1807</v>
      </c>
      <c r="Q807" s="36">
        <v>1016.0784</v>
      </c>
    </row>
    <row r="808" spans="1:17" x14ac:dyDescent="0.3">
      <c r="A808" s="2" t="s">
        <v>2615</v>
      </c>
      <c r="B808" s="14">
        <v>45414</v>
      </c>
      <c r="C808" s="2">
        <f>YEAR(Sales_Details2[[#This Row],[Order_Date]])</f>
        <v>2024</v>
      </c>
      <c r="D808" s="2" t="s">
        <v>867</v>
      </c>
      <c r="E808" s="2" t="str">
        <f>VLOOKUP(Sales_Details2[[#This Row],[Customer_ID]],Customer_Details[#All],4,0)</f>
        <v>Adult</v>
      </c>
      <c r="F808" s="2" t="str">
        <f>VLOOKUP(Sales_Details2[[#This Row],[Customer_ID]],Customer_Details[#All],5,0)</f>
        <v>Male</v>
      </c>
      <c r="G808" s="2" t="str">
        <f>VLOOKUP(Sales_Details2[[#This Row],[Customer_ID]],Customer_Details[#All],9,0)</f>
        <v>Gold</v>
      </c>
      <c r="H808" s="2" t="s">
        <v>1699</v>
      </c>
      <c r="I808" s="2" t="str">
        <f>VLOOKUP(Sales_Details2[[#This Row],[Product_ID]],Product_details[[#All],[Product_ID]:[Cost]],3,0)</f>
        <v>Home</v>
      </c>
      <c r="J808" s="2" t="str">
        <f>VLOOKUP(Sales_Details2[[#This Row],[Product_ID]],Product_details[[#All],[Product_ID]:[Cost]],4,0)</f>
        <v>Furniture</v>
      </c>
      <c r="K808" s="2" t="s">
        <v>1765</v>
      </c>
      <c r="L808" s="2" t="str">
        <f>_xlfn.XLOOKUP(Sales_Details2[[#This Row],[Store_ID]],Table2[Store_ID],Table2[Region],"Region not found")</f>
        <v>West</v>
      </c>
      <c r="M808" s="25">
        <v>3</v>
      </c>
      <c r="N808" s="36">
        <v>654.47</v>
      </c>
      <c r="O808" s="29">
        <v>0.18</v>
      </c>
      <c r="P808" s="2" t="s">
        <v>1812</v>
      </c>
      <c r="Q808" s="36">
        <v>1609.9962</v>
      </c>
    </row>
    <row r="809" spans="1:17" x14ac:dyDescent="0.3">
      <c r="A809" s="2" t="s">
        <v>2616</v>
      </c>
      <c r="B809" s="14">
        <v>45734</v>
      </c>
      <c r="C809" s="2">
        <f>YEAR(Sales_Details2[[#This Row],[Order_Date]])</f>
        <v>2025</v>
      </c>
      <c r="D809" s="2" t="s">
        <v>562</v>
      </c>
      <c r="E809" s="2" t="str">
        <f>VLOOKUP(Sales_Details2[[#This Row],[Customer_ID]],Customer_Details[#All],4,0)</f>
        <v>Mid-Adult</v>
      </c>
      <c r="F809" s="2" t="str">
        <f>VLOOKUP(Sales_Details2[[#This Row],[Customer_ID]],Customer_Details[#All],5,0)</f>
        <v>Female</v>
      </c>
      <c r="G809" s="2" t="str">
        <f>VLOOKUP(Sales_Details2[[#This Row],[Customer_ID]],Customer_Details[#All],9,0)</f>
        <v>Platinum</v>
      </c>
      <c r="H809" s="2" t="s">
        <v>1707</v>
      </c>
      <c r="I809" s="2" t="str">
        <f>VLOOKUP(Sales_Details2[[#This Row],[Product_ID]],Product_details[[#All],[Product_ID]:[Cost]],3,0)</f>
        <v>Sports</v>
      </c>
      <c r="J809" s="2" t="str">
        <f>VLOOKUP(Sales_Details2[[#This Row],[Product_ID]],Product_details[[#All],[Product_ID]:[Cost]],4,0)</f>
        <v>Accessories</v>
      </c>
      <c r="K809" s="2" t="s">
        <v>1784</v>
      </c>
      <c r="L809" s="2" t="str">
        <f>_xlfn.XLOOKUP(Sales_Details2[[#This Row],[Store_ID]],Table2[Store_ID],Table2[Region],"Region not found")</f>
        <v>North</v>
      </c>
      <c r="M809" s="25">
        <v>2</v>
      </c>
      <c r="N809" s="36">
        <v>315.27</v>
      </c>
      <c r="O809" s="29">
        <v>0.23</v>
      </c>
      <c r="P809" s="2" t="s">
        <v>1807</v>
      </c>
      <c r="Q809" s="36">
        <v>485.51580000000001</v>
      </c>
    </row>
    <row r="810" spans="1:17" x14ac:dyDescent="0.3">
      <c r="A810" s="2" t="s">
        <v>2617</v>
      </c>
      <c r="B810" s="14">
        <v>45623</v>
      </c>
      <c r="C810" s="2">
        <f>YEAR(Sales_Details2[[#This Row],[Order_Date]])</f>
        <v>2024</v>
      </c>
      <c r="D810" s="2" t="s">
        <v>713</v>
      </c>
      <c r="E810" s="2" t="str">
        <f>VLOOKUP(Sales_Details2[[#This Row],[Customer_ID]],Customer_Details[#All],4,0)</f>
        <v>Mid-Adult</v>
      </c>
      <c r="F810" s="2" t="str">
        <f>VLOOKUP(Sales_Details2[[#This Row],[Customer_ID]],Customer_Details[#All],5,0)</f>
        <v>Male</v>
      </c>
      <c r="G810" s="2" t="str">
        <f>VLOOKUP(Sales_Details2[[#This Row],[Customer_ID]],Customer_Details[#All],9,0)</f>
        <v>Platinum</v>
      </c>
      <c r="H810" s="2" t="s">
        <v>1587</v>
      </c>
      <c r="I810" s="2" t="str">
        <f>VLOOKUP(Sales_Details2[[#This Row],[Product_ID]],Product_details[[#All],[Product_ID]:[Cost]],3,0)</f>
        <v>Sports</v>
      </c>
      <c r="J810" s="2" t="str">
        <f>VLOOKUP(Sales_Details2[[#This Row],[Product_ID]],Product_details[[#All],[Product_ID]:[Cost]],4,0)</f>
        <v>Accessories</v>
      </c>
      <c r="K810" s="2" t="s">
        <v>1744</v>
      </c>
      <c r="L810" s="2" t="str">
        <f>_xlfn.XLOOKUP(Sales_Details2[[#This Row],[Store_ID]],Table2[Store_ID],Table2[Region],"Region not found")</f>
        <v>South</v>
      </c>
      <c r="M810" s="25">
        <v>1</v>
      </c>
      <c r="N810" s="36">
        <v>974.47</v>
      </c>
      <c r="O810" s="29">
        <v>0.05</v>
      </c>
      <c r="P810" s="2" t="s">
        <v>1807</v>
      </c>
      <c r="Q810" s="36">
        <v>925.74649999999997</v>
      </c>
    </row>
    <row r="811" spans="1:17" x14ac:dyDescent="0.3">
      <c r="A811" s="2" t="s">
        <v>2618</v>
      </c>
      <c r="B811" s="14">
        <v>45340</v>
      </c>
      <c r="C811" s="2">
        <f>YEAR(Sales_Details2[[#This Row],[Order_Date]])</f>
        <v>2024</v>
      </c>
      <c r="D811" s="2" t="s">
        <v>244</v>
      </c>
      <c r="E811" s="2" t="str">
        <f>VLOOKUP(Sales_Details2[[#This Row],[Customer_ID]],Customer_Details[#All],4,0)</f>
        <v>Senior</v>
      </c>
      <c r="F811" s="2" t="str">
        <f>VLOOKUP(Sales_Details2[[#This Row],[Customer_ID]],Customer_Details[#All],5,0)</f>
        <v>Male</v>
      </c>
      <c r="G811" s="2" t="str">
        <f>VLOOKUP(Sales_Details2[[#This Row],[Customer_ID]],Customer_Details[#All],9,0)</f>
        <v>Silver</v>
      </c>
      <c r="H811" s="2" t="s">
        <v>1532</v>
      </c>
      <c r="I811" s="2" t="str">
        <f>VLOOKUP(Sales_Details2[[#This Row],[Product_ID]],Product_details[[#All],[Product_ID]:[Cost]],3,0)</f>
        <v>Clothing</v>
      </c>
      <c r="J811" s="2" t="str">
        <f>VLOOKUP(Sales_Details2[[#This Row],[Product_ID]],Product_details[[#All],[Product_ID]:[Cost]],4,0)</f>
        <v>Outerwear</v>
      </c>
      <c r="K811" s="2" t="s">
        <v>1752</v>
      </c>
      <c r="L811" s="2" t="str">
        <f>_xlfn.XLOOKUP(Sales_Details2[[#This Row],[Store_ID]],Table2[Store_ID],Table2[Region],"Region not found")</f>
        <v>South</v>
      </c>
      <c r="M811" s="25">
        <v>2</v>
      </c>
      <c r="N811" s="36">
        <v>803.3</v>
      </c>
      <c r="O811" s="29">
        <v>0.17</v>
      </c>
      <c r="P811" s="2" t="s">
        <v>1807</v>
      </c>
      <c r="Q811" s="36">
        <v>1333.4780000000001</v>
      </c>
    </row>
    <row r="812" spans="1:17" x14ac:dyDescent="0.3">
      <c r="A812" s="2" t="s">
        <v>2619</v>
      </c>
      <c r="B812" s="14">
        <v>45447</v>
      </c>
      <c r="C812" s="2">
        <f>YEAR(Sales_Details2[[#This Row],[Order_Date]])</f>
        <v>2024</v>
      </c>
      <c r="D812" s="2" t="s">
        <v>63</v>
      </c>
      <c r="E812" s="2" t="str">
        <f>VLOOKUP(Sales_Details2[[#This Row],[Customer_ID]],Customer_Details[#All],4,0)</f>
        <v>Mid-Adult</v>
      </c>
      <c r="F812" s="2" t="str">
        <f>VLOOKUP(Sales_Details2[[#This Row],[Customer_ID]],Customer_Details[#All],5,0)</f>
        <v>Female</v>
      </c>
      <c r="G812" s="2" t="str">
        <f>VLOOKUP(Sales_Details2[[#This Row],[Customer_ID]],Customer_Details[#All],9,0)</f>
        <v>Silver</v>
      </c>
      <c r="H812" s="2" t="s">
        <v>1532</v>
      </c>
      <c r="I812" s="2" t="str">
        <f>VLOOKUP(Sales_Details2[[#This Row],[Product_ID]],Product_details[[#All],[Product_ID]:[Cost]],3,0)</f>
        <v>Clothing</v>
      </c>
      <c r="J812" s="2" t="str">
        <f>VLOOKUP(Sales_Details2[[#This Row],[Product_ID]],Product_details[[#All],[Product_ID]:[Cost]],4,0)</f>
        <v>Outerwear</v>
      </c>
      <c r="K812" s="2" t="s">
        <v>1772</v>
      </c>
      <c r="L812" s="2" t="str">
        <f>_xlfn.XLOOKUP(Sales_Details2[[#This Row],[Store_ID]],Table2[Store_ID],Table2[Region],"Region not found")</f>
        <v>East</v>
      </c>
      <c r="M812" s="25">
        <v>4</v>
      </c>
      <c r="N812" s="36">
        <v>863.87</v>
      </c>
      <c r="O812" s="29">
        <v>0.21</v>
      </c>
      <c r="P812" s="2" t="s">
        <v>1812</v>
      </c>
      <c r="Q812" s="36">
        <v>2729.8292000000001</v>
      </c>
    </row>
    <row r="813" spans="1:17" x14ac:dyDescent="0.3">
      <c r="A813" s="2" t="s">
        <v>2620</v>
      </c>
      <c r="B813" s="14">
        <v>45513</v>
      </c>
      <c r="C813" s="2">
        <f>YEAR(Sales_Details2[[#This Row],[Order_Date]])</f>
        <v>2024</v>
      </c>
      <c r="D813" s="2" t="s">
        <v>1430</v>
      </c>
      <c r="E813" s="2" t="str">
        <f>VLOOKUP(Sales_Details2[[#This Row],[Customer_ID]],Customer_Details[#All],4,0)</f>
        <v>Adult</v>
      </c>
      <c r="F813" s="2" t="str">
        <f>VLOOKUP(Sales_Details2[[#This Row],[Customer_ID]],Customer_Details[#All],5,0)</f>
        <v>Male</v>
      </c>
      <c r="G813" s="2" t="str">
        <f>VLOOKUP(Sales_Details2[[#This Row],[Customer_ID]],Customer_Details[#All],9,0)</f>
        <v>Gold</v>
      </c>
      <c r="H813" s="2" t="s">
        <v>1691</v>
      </c>
      <c r="I813" s="2" t="str">
        <f>VLOOKUP(Sales_Details2[[#This Row],[Product_ID]],Product_details[[#All],[Product_ID]:[Cost]],3,0)</f>
        <v>Home</v>
      </c>
      <c r="J813" s="2" t="str">
        <f>VLOOKUP(Sales_Details2[[#This Row],[Product_ID]],Product_details[[#All],[Product_ID]:[Cost]],4,0)</f>
        <v>Kitchen</v>
      </c>
      <c r="K813" s="2" t="s">
        <v>1793</v>
      </c>
      <c r="L813" s="2" t="str">
        <f>_xlfn.XLOOKUP(Sales_Details2[[#This Row],[Store_ID]],Table2[Store_ID],Table2[Region],"Region not found")</f>
        <v>East</v>
      </c>
      <c r="M813" s="25">
        <v>1</v>
      </c>
      <c r="N813" s="36">
        <v>450.11</v>
      </c>
      <c r="O813" s="29">
        <v>0.17</v>
      </c>
      <c r="P813" s="2" t="s">
        <v>1807</v>
      </c>
      <c r="Q813" s="36">
        <v>373.59129999999999</v>
      </c>
    </row>
    <row r="814" spans="1:17" x14ac:dyDescent="0.3">
      <c r="A814" s="2" t="s">
        <v>2621</v>
      </c>
      <c r="B814" s="14">
        <v>45486</v>
      </c>
      <c r="C814" s="2">
        <f>YEAR(Sales_Details2[[#This Row],[Order_Date]])</f>
        <v>2024</v>
      </c>
      <c r="D814" s="2" t="s">
        <v>734</v>
      </c>
      <c r="E814" s="2" t="str">
        <f>VLOOKUP(Sales_Details2[[#This Row],[Customer_ID]],Customer_Details[#All],4,0)</f>
        <v>Adult</v>
      </c>
      <c r="F814" s="2" t="str">
        <f>VLOOKUP(Sales_Details2[[#This Row],[Customer_ID]],Customer_Details[#All],5,0)</f>
        <v>Male</v>
      </c>
      <c r="G814" s="2" t="str">
        <f>VLOOKUP(Sales_Details2[[#This Row],[Customer_ID]],Customer_Details[#All],9,0)</f>
        <v>Bronze</v>
      </c>
      <c r="H814" s="2" t="s">
        <v>1667</v>
      </c>
      <c r="I814" s="2" t="str">
        <f>VLOOKUP(Sales_Details2[[#This Row],[Product_ID]],Product_details[[#All],[Product_ID]:[Cost]],3,0)</f>
        <v>Home</v>
      </c>
      <c r="J814" s="2" t="str">
        <f>VLOOKUP(Sales_Details2[[#This Row],[Product_ID]],Product_details[[#All],[Product_ID]:[Cost]],4,0)</f>
        <v>Furniture</v>
      </c>
      <c r="K814" s="2" t="s">
        <v>1780</v>
      </c>
      <c r="L814" s="2" t="str">
        <f>_xlfn.XLOOKUP(Sales_Details2[[#This Row],[Store_ID]],Table2[Store_ID],Table2[Region],"Region not found")</f>
        <v>East</v>
      </c>
      <c r="M814" s="25">
        <v>1</v>
      </c>
      <c r="N814" s="36">
        <v>289.82</v>
      </c>
      <c r="O814" s="29">
        <v>0.18</v>
      </c>
      <c r="P814" s="2" t="s">
        <v>1812</v>
      </c>
      <c r="Q814" s="36">
        <v>237.6524</v>
      </c>
    </row>
    <row r="815" spans="1:17" x14ac:dyDescent="0.3">
      <c r="A815" s="2" t="s">
        <v>2622</v>
      </c>
      <c r="B815" s="14">
        <v>45890</v>
      </c>
      <c r="C815" s="2">
        <f>YEAR(Sales_Details2[[#This Row],[Order_Date]])</f>
        <v>2025</v>
      </c>
      <c r="D815" s="2" t="s">
        <v>1039</v>
      </c>
      <c r="E815" s="2" t="str">
        <f>VLOOKUP(Sales_Details2[[#This Row],[Customer_ID]],Customer_Details[#All],4,0)</f>
        <v>Mid-Adult</v>
      </c>
      <c r="F815" s="2" t="str">
        <f>VLOOKUP(Sales_Details2[[#This Row],[Customer_ID]],Customer_Details[#All],5,0)</f>
        <v>Female</v>
      </c>
      <c r="G815" s="2" t="str">
        <f>VLOOKUP(Sales_Details2[[#This Row],[Customer_ID]],Customer_Details[#All],9,0)</f>
        <v>Silver</v>
      </c>
      <c r="H815" s="2" t="s">
        <v>1639</v>
      </c>
      <c r="I815" s="2" t="str">
        <f>VLOOKUP(Sales_Details2[[#This Row],[Product_ID]],Product_details[[#All],[Product_ID]:[Cost]],3,0)</f>
        <v>Sports</v>
      </c>
      <c r="J815" s="2" t="str">
        <f>VLOOKUP(Sales_Details2[[#This Row],[Product_ID]],Product_details[[#All],[Product_ID]:[Cost]],4,0)</f>
        <v>Accessories</v>
      </c>
      <c r="K815" s="2" t="s">
        <v>1772</v>
      </c>
      <c r="L815" s="2" t="str">
        <f>_xlfn.XLOOKUP(Sales_Details2[[#This Row],[Store_ID]],Table2[Store_ID],Table2[Region],"Region not found")</f>
        <v>East</v>
      </c>
      <c r="M815" s="25">
        <v>4</v>
      </c>
      <c r="N815" s="36">
        <v>250.64</v>
      </c>
      <c r="O815" s="29">
        <v>0.1</v>
      </c>
      <c r="P815" s="2" t="s">
        <v>1809</v>
      </c>
      <c r="Q815" s="36">
        <v>902.30399999999997</v>
      </c>
    </row>
    <row r="816" spans="1:17" x14ac:dyDescent="0.3">
      <c r="A816" s="2" t="s">
        <v>2623</v>
      </c>
      <c r="B816" s="14">
        <v>45876</v>
      </c>
      <c r="C816" s="2">
        <f>YEAR(Sales_Details2[[#This Row],[Order_Date]])</f>
        <v>2025</v>
      </c>
      <c r="D816" s="2" t="s">
        <v>903</v>
      </c>
      <c r="E816" s="2" t="str">
        <f>VLOOKUP(Sales_Details2[[#This Row],[Customer_ID]],Customer_Details[#All],4,0)</f>
        <v>Adult</v>
      </c>
      <c r="F816" s="2" t="str">
        <f>VLOOKUP(Sales_Details2[[#This Row],[Customer_ID]],Customer_Details[#All],5,0)</f>
        <v>Female</v>
      </c>
      <c r="G816" s="2" t="str">
        <f>VLOOKUP(Sales_Details2[[#This Row],[Customer_ID]],Customer_Details[#All],9,0)</f>
        <v>Gold</v>
      </c>
      <c r="H816" s="2" t="s">
        <v>1669</v>
      </c>
      <c r="I816" s="2" t="str">
        <f>VLOOKUP(Sales_Details2[[#This Row],[Product_ID]],Product_details[[#All],[Product_ID]:[Cost]],3,0)</f>
        <v>Clothing</v>
      </c>
      <c r="J816" s="2" t="str">
        <f>VLOOKUP(Sales_Details2[[#This Row],[Product_ID]],Product_details[[#All],[Product_ID]:[Cost]],4,0)</f>
        <v>Bottoms</v>
      </c>
      <c r="K816" s="2" t="s">
        <v>1796</v>
      </c>
      <c r="L816" s="2" t="str">
        <f>_xlfn.XLOOKUP(Sales_Details2[[#This Row],[Store_ID]],Table2[Store_ID],Table2[Region],"Region not found")</f>
        <v>East</v>
      </c>
      <c r="M816" s="25">
        <v>4</v>
      </c>
      <c r="N816" s="36">
        <v>373.49</v>
      </c>
      <c r="O816" s="29">
        <v>0.16</v>
      </c>
      <c r="P816" s="2" t="s">
        <v>1812</v>
      </c>
      <c r="Q816" s="36">
        <v>1254.9264000000001</v>
      </c>
    </row>
    <row r="817" spans="1:17" x14ac:dyDescent="0.3">
      <c r="A817" s="2" t="s">
        <v>2624</v>
      </c>
      <c r="B817" s="14">
        <v>45398</v>
      </c>
      <c r="C817" s="2">
        <f>YEAR(Sales_Details2[[#This Row],[Order_Date]])</f>
        <v>2024</v>
      </c>
      <c r="D817" s="2" t="s">
        <v>241</v>
      </c>
      <c r="E817" s="2" t="str">
        <f>VLOOKUP(Sales_Details2[[#This Row],[Customer_ID]],Customer_Details[#All],4,0)</f>
        <v>Adult</v>
      </c>
      <c r="F817" s="2" t="str">
        <f>VLOOKUP(Sales_Details2[[#This Row],[Customer_ID]],Customer_Details[#All],5,0)</f>
        <v>Female</v>
      </c>
      <c r="G817" s="2" t="str">
        <f>VLOOKUP(Sales_Details2[[#This Row],[Customer_ID]],Customer_Details[#All],9,0)</f>
        <v>Silver</v>
      </c>
      <c r="H817" s="2" t="s">
        <v>1534</v>
      </c>
      <c r="I817" s="2" t="str">
        <f>VLOOKUP(Sales_Details2[[#This Row],[Product_ID]],Product_details[[#All],[Product_ID]:[Cost]],3,0)</f>
        <v>Clothing</v>
      </c>
      <c r="J817" s="2" t="str">
        <f>VLOOKUP(Sales_Details2[[#This Row],[Product_ID]],Product_details[[#All],[Product_ID]:[Cost]],4,0)</f>
        <v>Outerwear</v>
      </c>
      <c r="K817" s="2" t="s">
        <v>1769</v>
      </c>
      <c r="L817" s="2" t="str">
        <f>_xlfn.XLOOKUP(Sales_Details2[[#This Row],[Store_ID]],Table2[Store_ID],Table2[Region],"Region not found")</f>
        <v>South</v>
      </c>
      <c r="M817" s="25">
        <v>4</v>
      </c>
      <c r="N817" s="36">
        <v>348.91</v>
      </c>
      <c r="O817" s="29">
        <v>0.18</v>
      </c>
      <c r="P817" s="2" t="s">
        <v>1809</v>
      </c>
      <c r="Q817" s="36">
        <v>1144.4248</v>
      </c>
    </row>
    <row r="818" spans="1:17" x14ac:dyDescent="0.3">
      <c r="A818" s="2" t="s">
        <v>2625</v>
      </c>
      <c r="B818" s="14">
        <v>45390</v>
      </c>
      <c r="C818" s="2">
        <f>YEAR(Sales_Details2[[#This Row],[Order_Date]])</f>
        <v>2024</v>
      </c>
      <c r="D818" s="2" t="s">
        <v>382</v>
      </c>
      <c r="E818" s="2" t="str">
        <f>VLOOKUP(Sales_Details2[[#This Row],[Customer_ID]],Customer_Details[#All],4,0)</f>
        <v>Mid-Adult</v>
      </c>
      <c r="F818" s="2" t="str">
        <f>VLOOKUP(Sales_Details2[[#This Row],[Customer_ID]],Customer_Details[#All],5,0)</f>
        <v>Female</v>
      </c>
      <c r="G818" s="2" t="str">
        <f>VLOOKUP(Sales_Details2[[#This Row],[Customer_ID]],Customer_Details[#All],9,0)</f>
        <v>Gold</v>
      </c>
      <c r="H818" s="2" t="s">
        <v>1719</v>
      </c>
      <c r="I818" s="2" t="str">
        <f>VLOOKUP(Sales_Details2[[#This Row],[Product_ID]],Product_details[[#All],[Product_ID]:[Cost]],3,0)</f>
        <v>Beauty</v>
      </c>
      <c r="J818" s="2" t="str">
        <f>VLOOKUP(Sales_Details2[[#This Row],[Product_ID]],Product_details[[#All],[Product_ID]:[Cost]],4,0)</f>
        <v>Skincare</v>
      </c>
      <c r="K818" s="2" t="s">
        <v>1790</v>
      </c>
      <c r="L818" s="2" t="str">
        <f>_xlfn.XLOOKUP(Sales_Details2[[#This Row],[Store_ID]],Table2[Store_ID],Table2[Region],"Region not found")</f>
        <v>North</v>
      </c>
      <c r="M818" s="25">
        <v>4</v>
      </c>
      <c r="N818" s="36">
        <v>212.96</v>
      </c>
      <c r="O818" s="29">
        <v>0.17</v>
      </c>
      <c r="P818" s="2" t="s">
        <v>1807</v>
      </c>
      <c r="Q818" s="36">
        <v>707.02719999999999</v>
      </c>
    </row>
    <row r="819" spans="1:17" x14ac:dyDescent="0.3">
      <c r="A819" s="2" t="s">
        <v>2626</v>
      </c>
      <c r="B819" s="14">
        <v>45406</v>
      </c>
      <c r="C819" s="2">
        <f>YEAR(Sales_Details2[[#This Row],[Order_Date]])</f>
        <v>2024</v>
      </c>
      <c r="D819" s="2" t="s">
        <v>619</v>
      </c>
      <c r="E819" s="2" t="str">
        <f>VLOOKUP(Sales_Details2[[#This Row],[Customer_ID]],Customer_Details[#All],4,0)</f>
        <v>Adult</v>
      </c>
      <c r="F819" s="2" t="str">
        <f>VLOOKUP(Sales_Details2[[#This Row],[Customer_ID]],Customer_Details[#All],5,0)</f>
        <v>Male</v>
      </c>
      <c r="G819" s="2" t="str">
        <f>VLOOKUP(Sales_Details2[[#This Row],[Customer_ID]],Customer_Details[#All],9,0)</f>
        <v>Bronze</v>
      </c>
      <c r="H819" s="2" t="s">
        <v>1585</v>
      </c>
      <c r="I819" s="2" t="str">
        <f>VLOOKUP(Sales_Details2[[#This Row],[Product_ID]],Product_details[[#All],[Product_ID]:[Cost]],3,0)</f>
        <v>Home</v>
      </c>
      <c r="J819" s="2" t="str">
        <f>VLOOKUP(Sales_Details2[[#This Row],[Product_ID]],Product_details[[#All],[Product_ID]:[Cost]],4,0)</f>
        <v>Decor</v>
      </c>
      <c r="K819" s="2" t="s">
        <v>1796</v>
      </c>
      <c r="L819" s="2" t="str">
        <f>_xlfn.XLOOKUP(Sales_Details2[[#This Row],[Store_ID]],Table2[Store_ID],Table2[Region],"Region not found")</f>
        <v>East</v>
      </c>
      <c r="M819" s="25">
        <v>3</v>
      </c>
      <c r="N819" s="36">
        <v>871.34</v>
      </c>
      <c r="O819" s="29">
        <v>0.11</v>
      </c>
      <c r="P819" s="2" t="s">
        <v>1812</v>
      </c>
      <c r="Q819" s="36">
        <v>2326.4778000000001</v>
      </c>
    </row>
    <row r="820" spans="1:17" x14ac:dyDescent="0.3">
      <c r="A820" s="2" t="s">
        <v>2627</v>
      </c>
      <c r="B820" s="14">
        <v>45844</v>
      </c>
      <c r="C820" s="2">
        <f>YEAR(Sales_Details2[[#This Row],[Order_Date]])</f>
        <v>2025</v>
      </c>
      <c r="D820" s="2" t="s">
        <v>351</v>
      </c>
      <c r="E820" s="2" t="str">
        <f>VLOOKUP(Sales_Details2[[#This Row],[Customer_ID]],Customer_Details[#All],4,0)</f>
        <v>Senior</v>
      </c>
      <c r="F820" s="2" t="str">
        <f>VLOOKUP(Sales_Details2[[#This Row],[Customer_ID]],Customer_Details[#All],5,0)</f>
        <v>Female</v>
      </c>
      <c r="G820" s="2" t="str">
        <f>VLOOKUP(Sales_Details2[[#This Row],[Customer_ID]],Customer_Details[#All],9,0)</f>
        <v>Platinum</v>
      </c>
      <c r="H820" s="2" t="s">
        <v>1719</v>
      </c>
      <c r="I820" s="2" t="str">
        <f>VLOOKUP(Sales_Details2[[#This Row],[Product_ID]],Product_details[[#All],[Product_ID]:[Cost]],3,0)</f>
        <v>Beauty</v>
      </c>
      <c r="J820" s="2" t="str">
        <f>VLOOKUP(Sales_Details2[[#This Row],[Product_ID]],Product_details[[#All],[Product_ID]:[Cost]],4,0)</f>
        <v>Skincare</v>
      </c>
      <c r="K820" s="2" t="s">
        <v>1735</v>
      </c>
      <c r="L820" s="2" t="str">
        <f>_xlfn.XLOOKUP(Sales_Details2[[#This Row],[Store_ID]],Table2[Store_ID],Table2[Region],"Region not found")</f>
        <v>East</v>
      </c>
      <c r="M820" s="25">
        <v>2</v>
      </c>
      <c r="N820" s="36">
        <v>698.94</v>
      </c>
      <c r="O820" s="29">
        <v>0.06</v>
      </c>
      <c r="P820" s="2" t="s">
        <v>1807</v>
      </c>
      <c r="Q820" s="36">
        <v>1314.0072</v>
      </c>
    </row>
    <row r="821" spans="1:17" x14ac:dyDescent="0.3">
      <c r="A821" s="2" t="s">
        <v>2628</v>
      </c>
      <c r="B821" s="14">
        <v>45697</v>
      </c>
      <c r="C821" s="2">
        <f>YEAR(Sales_Details2[[#This Row],[Order_Date]])</f>
        <v>2025</v>
      </c>
      <c r="D821" s="2" t="s">
        <v>986</v>
      </c>
      <c r="E821" s="2" t="str">
        <f>VLOOKUP(Sales_Details2[[#This Row],[Customer_ID]],Customer_Details[#All],4,0)</f>
        <v>Mid-Adult</v>
      </c>
      <c r="F821" s="2" t="str">
        <f>VLOOKUP(Sales_Details2[[#This Row],[Customer_ID]],Customer_Details[#All],5,0)</f>
        <v>Male</v>
      </c>
      <c r="G821" s="2" t="str">
        <f>VLOOKUP(Sales_Details2[[#This Row],[Customer_ID]],Customer_Details[#All],9,0)</f>
        <v>Gold</v>
      </c>
      <c r="H821" s="2" t="s">
        <v>1679</v>
      </c>
      <c r="I821" s="2" t="str">
        <f>VLOOKUP(Sales_Details2[[#This Row],[Product_ID]],Product_details[[#All],[Product_ID]:[Cost]],3,0)</f>
        <v>Electronics</v>
      </c>
      <c r="J821" s="2" t="str">
        <f>VLOOKUP(Sales_Details2[[#This Row],[Product_ID]],Product_details[[#All],[Product_ID]:[Cost]],4,0)</f>
        <v>Audio</v>
      </c>
      <c r="K821" s="2" t="s">
        <v>1735</v>
      </c>
      <c r="L821" s="2" t="str">
        <f>_xlfn.XLOOKUP(Sales_Details2[[#This Row],[Store_ID]],Table2[Store_ID],Table2[Region],"Region not found")</f>
        <v>East</v>
      </c>
      <c r="M821" s="25">
        <v>1</v>
      </c>
      <c r="N821" s="36">
        <v>719.94</v>
      </c>
      <c r="O821" s="29">
        <v>0.23</v>
      </c>
      <c r="P821" s="2" t="s">
        <v>1812</v>
      </c>
      <c r="Q821" s="36">
        <v>554.35380000000009</v>
      </c>
    </row>
    <row r="822" spans="1:17" x14ac:dyDescent="0.3">
      <c r="A822" s="2" t="s">
        <v>2629</v>
      </c>
      <c r="B822" s="14">
        <v>45607</v>
      </c>
      <c r="C822" s="2">
        <f>YEAR(Sales_Details2[[#This Row],[Order_Date]])</f>
        <v>2024</v>
      </c>
      <c r="D822" s="2" t="s">
        <v>36</v>
      </c>
      <c r="E822" s="2" t="str">
        <f>VLOOKUP(Sales_Details2[[#This Row],[Customer_ID]],Customer_Details[#All],4,0)</f>
        <v>Adult</v>
      </c>
      <c r="F822" s="2" t="str">
        <f>VLOOKUP(Sales_Details2[[#This Row],[Customer_ID]],Customer_Details[#All],5,0)</f>
        <v>Female</v>
      </c>
      <c r="G822" s="2" t="str">
        <f>VLOOKUP(Sales_Details2[[#This Row],[Customer_ID]],Customer_Details[#All],9,0)</f>
        <v>Platinum</v>
      </c>
      <c r="H822" s="2" t="s">
        <v>1587</v>
      </c>
      <c r="I822" s="2" t="str">
        <f>VLOOKUP(Sales_Details2[[#This Row],[Product_ID]],Product_details[[#All],[Product_ID]:[Cost]],3,0)</f>
        <v>Sports</v>
      </c>
      <c r="J822" s="2" t="str">
        <f>VLOOKUP(Sales_Details2[[#This Row],[Product_ID]],Product_details[[#All],[Product_ID]:[Cost]],4,0)</f>
        <v>Accessories</v>
      </c>
      <c r="K822" s="2" t="s">
        <v>1752</v>
      </c>
      <c r="L822" s="2" t="str">
        <f>_xlfn.XLOOKUP(Sales_Details2[[#This Row],[Store_ID]],Table2[Store_ID],Table2[Region],"Region not found")</f>
        <v>South</v>
      </c>
      <c r="M822" s="25">
        <v>2</v>
      </c>
      <c r="N822" s="36">
        <v>278.16000000000003</v>
      </c>
      <c r="O822" s="29">
        <v>0.22</v>
      </c>
      <c r="P822" s="2" t="s">
        <v>1809</v>
      </c>
      <c r="Q822" s="36">
        <v>433.92960000000011</v>
      </c>
    </row>
    <row r="823" spans="1:17" x14ac:dyDescent="0.3">
      <c r="A823" s="2" t="s">
        <v>2630</v>
      </c>
      <c r="B823" s="14">
        <v>45307</v>
      </c>
      <c r="C823" s="2">
        <f>YEAR(Sales_Details2[[#This Row],[Order_Date]])</f>
        <v>2024</v>
      </c>
      <c r="D823" s="2" t="s">
        <v>199</v>
      </c>
      <c r="E823" s="2" t="str">
        <f>VLOOKUP(Sales_Details2[[#This Row],[Customer_ID]],Customer_Details[#All],4,0)</f>
        <v>Mid-Adult</v>
      </c>
      <c r="F823" s="2" t="str">
        <f>VLOOKUP(Sales_Details2[[#This Row],[Customer_ID]],Customer_Details[#All],5,0)</f>
        <v>Female</v>
      </c>
      <c r="G823" s="2" t="str">
        <f>VLOOKUP(Sales_Details2[[#This Row],[Customer_ID]],Customer_Details[#All],9,0)</f>
        <v>Gold</v>
      </c>
      <c r="H823" s="2" t="s">
        <v>1629</v>
      </c>
      <c r="I823" s="2" t="str">
        <f>VLOOKUP(Sales_Details2[[#This Row],[Product_ID]],Product_details[[#All],[Product_ID]:[Cost]],3,0)</f>
        <v>Beauty</v>
      </c>
      <c r="J823" s="2" t="str">
        <f>VLOOKUP(Sales_Details2[[#This Row],[Product_ID]],Product_details[[#All],[Product_ID]:[Cost]],4,0)</f>
        <v>Fragrance</v>
      </c>
      <c r="K823" s="2" t="s">
        <v>1756</v>
      </c>
      <c r="L823" s="2" t="str">
        <f>_xlfn.XLOOKUP(Sales_Details2[[#This Row],[Store_ID]],Table2[Store_ID],Table2[Region],"Region not found")</f>
        <v>North</v>
      </c>
      <c r="M823" s="25">
        <v>1</v>
      </c>
      <c r="N823" s="36">
        <v>678.9</v>
      </c>
      <c r="O823" s="29">
        <v>0.17</v>
      </c>
      <c r="P823" s="2" t="s">
        <v>1807</v>
      </c>
      <c r="Q823" s="36">
        <v>563.48699999999997</v>
      </c>
    </row>
    <row r="824" spans="1:17" x14ac:dyDescent="0.3">
      <c r="A824" s="2" t="s">
        <v>2631</v>
      </c>
      <c r="B824" s="14">
        <v>45520</v>
      </c>
      <c r="C824" s="2">
        <f>YEAR(Sales_Details2[[#This Row],[Order_Date]])</f>
        <v>2024</v>
      </c>
      <c r="D824" s="2" t="s">
        <v>71</v>
      </c>
      <c r="E824" s="2" t="str">
        <f>VLOOKUP(Sales_Details2[[#This Row],[Customer_ID]],Customer_Details[#All],4,0)</f>
        <v>Mid-Adult</v>
      </c>
      <c r="F824" s="2" t="str">
        <f>VLOOKUP(Sales_Details2[[#This Row],[Customer_ID]],Customer_Details[#All],5,0)</f>
        <v>Female</v>
      </c>
      <c r="G824" s="2" t="str">
        <f>VLOOKUP(Sales_Details2[[#This Row],[Customer_ID]],Customer_Details[#All],9,0)</f>
        <v>Platinum</v>
      </c>
      <c r="H824" s="2" t="s">
        <v>1581</v>
      </c>
      <c r="I824" s="2" t="str">
        <f>VLOOKUP(Sales_Details2[[#This Row],[Product_ID]],Product_details[[#All],[Product_ID]:[Cost]],3,0)</f>
        <v>Clothing</v>
      </c>
      <c r="J824" s="2" t="str">
        <f>VLOOKUP(Sales_Details2[[#This Row],[Product_ID]],Product_details[[#All],[Product_ID]:[Cost]],4,0)</f>
        <v>Accessories</v>
      </c>
      <c r="K824" s="2" t="s">
        <v>1784</v>
      </c>
      <c r="L824" s="2" t="str">
        <f>_xlfn.XLOOKUP(Sales_Details2[[#This Row],[Store_ID]],Table2[Store_ID],Table2[Region],"Region not found")</f>
        <v>North</v>
      </c>
      <c r="M824" s="25">
        <v>4</v>
      </c>
      <c r="N824" s="36">
        <v>94.13</v>
      </c>
      <c r="O824" s="29">
        <v>0.15</v>
      </c>
      <c r="P824" s="2" t="s">
        <v>1807</v>
      </c>
      <c r="Q824" s="36">
        <v>320.04199999999997</v>
      </c>
    </row>
    <row r="825" spans="1:17" x14ac:dyDescent="0.3">
      <c r="A825" s="2" t="s">
        <v>2632</v>
      </c>
      <c r="B825" s="14">
        <v>45933</v>
      </c>
      <c r="C825" s="2">
        <f>YEAR(Sales_Details2[[#This Row],[Order_Date]])</f>
        <v>2025</v>
      </c>
      <c r="D825" s="2" t="s">
        <v>1349</v>
      </c>
      <c r="E825" s="2" t="str">
        <f>VLOOKUP(Sales_Details2[[#This Row],[Customer_ID]],Customer_Details[#All],4,0)</f>
        <v>Mid-Adult</v>
      </c>
      <c r="F825" s="2" t="str">
        <f>VLOOKUP(Sales_Details2[[#This Row],[Customer_ID]],Customer_Details[#All],5,0)</f>
        <v>Male</v>
      </c>
      <c r="G825" s="2" t="str">
        <f>VLOOKUP(Sales_Details2[[#This Row],[Customer_ID]],Customer_Details[#All],9,0)</f>
        <v>Silver</v>
      </c>
      <c r="H825" s="2" t="s">
        <v>1619</v>
      </c>
      <c r="I825" s="2" t="str">
        <f>VLOOKUP(Sales_Details2[[#This Row],[Product_ID]],Product_details[[#All],[Product_ID]:[Cost]],3,0)</f>
        <v>Sports</v>
      </c>
      <c r="J825" s="2" t="str">
        <f>VLOOKUP(Sales_Details2[[#This Row],[Product_ID]],Product_details[[#All],[Product_ID]:[Cost]],4,0)</f>
        <v>Fitness</v>
      </c>
      <c r="K825" s="2" t="s">
        <v>1740</v>
      </c>
      <c r="L825" s="2" t="str">
        <f>_xlfn.XLOOKUP(Sales_Details2[[#This Row],[Store_ID]],Table2[Store_ID],Table2[Region],"Region not found")</f>
        <v>North</v>
      </c>
      <c r="M825" s="25">
        <v>4</v>
      </c>
      <c r="N825" s="36">
        <v>415.02</v>
      </c>
      <c r="O825" s="29">
        <v>0.01</v>
      </c>
      <c r="P825" s="2" t="s">
        <v>1809</v>
      </c>
      <c r="Q825" s="36">
        <v>1643.4792</v>
      </c>
    </row>
    <row r="826" spans="1:17" x14ac:dyDescent="0.3">
      <c r="A826" s="2" t="s">
        <v>2633</v>
      </c>
      <c r="B826" s="14">
        <v>45841</v>
      </c>
      <c r="C826" s="2">
        <f>YEAR(Sales_Details2[[#This Row],[Order_Date]])</f>
        <v>2025</v>
      </c>
      <c r="D826" s="2" t="s">
        <v>192</v>
      </c>
      <c r="E826" s="2" t="str">
        <f>VLOOKUP(Sales_Details2[[#This Row],[Customer_ID]],Customer_Details[#All],4,0)</f>
        <v>Adult</v>
      </c>
      <c r="F826" s="2" t="str">
        <f>VLOOKUP(Sales_Details2[[#This Row],[Customer_ID]],Customer_Details[#All],5,0)</f>
        <v>Female</v>
      </c>
      <c r="G826" s="2" t="str">
        <f>VLOOKUP(Sales_Details2[[#This Row],[Customer_ID]],Customer_Details[#All],9,0)</f>
        <v>Gold</v>
      </c>
      <c r="H826" s="2" t="s">
        <v>1553</v>
      </c>
      <c r="I826" s="2" t="str">
        <f>VLOOKUP(Sales_Details2[[#This Row],[Product_ID]],Product_details[[#All],[Product_ID]:[Cost]],3,0)</f>
        <v>Electronics</v>
      </c>
      <c r="J826" s="2" t="str">
        <f>VLOOKUP(Sales_Details2[[#This Row],[Product_ID]],Product_details[[#All],[Product_ID]:[Cost]],4,0)</f>
        <v>Accessories</v>
      </c>
      <c r="K826" s="2" t="s">
        <v>1752</v>
      </c>
      <c r="L826" s="2" t="str">
        <f>_xlfn.XLOOKUP(Sales_Details2[[#This Row],[Store_ID]],Table2[Store_ID],Table2[Region],"Region not found")</f>
        <v>South</v>
      </c>
      <c r="M826" s="25">
        <v>4</v>
      </c>
      <c r="N826" s="36">
        <v>780.07</v>
      </c>
      <c r="O826" s="29">
        <v>0.03</v>
      </c>
      <c r="P826" s="2" t="s">
        <v>1807</v>
      </c>
      <c r="Q826" s="36">
        <v>3026.6716000000001</v>
      </c>
    </row>
    <row r="827" spans="1:17" x14ac:dyDescent="0.3">
      <c r="A827" s="2" t="s">
        <v>2634</v>
      </c>
      <c r="B827" s="14">
        <v>45877</v>
      </c>
      <c r="C827" s="2">
        <f>YEAR(Sales_Details2[[#This Row],[Order_Date]])</f>
        <v>2025</v>
      </c>
      <c r="D827" s="2" t="s">
        <v>1312</v>
      </c>
      <c r="E827" s="2" t="str">
        <f>VLOOKUP(Sales_Details2[[#This Row],[Customer_ID]],Customer_Details[#All],4,0)</f>
        <v>Adult</v>
      </c>
      <c r="F827" s="2" t="str">
        <f>VLOOKUP(Sales_Details2[[#This Row],[Customer_ID]],Customer_Details[#All],5,0)</f>
        <v>Female</v>
      </c>
      <c r="G827" s="2" t="str">
        <f>VLOOKUP(Sales_Details2[[#This Row],[Customer_ID]],Customer_Details[#All],9,0)</f>
        <v>Bronze</v>
      </c>
      <c r="H827" s="2" t="s">
        <v>1605</v>
      </c>
      <c r="I827" s="2" t="str">
        <f>VLOOKUP(Sales_Details2[[#This Row],[Product_ID]],Product_details[[#All],[Product_ID]:[Cost]],3,0)</f>
        <v>Clothing</v>
      </c>
      <c r="J827" s="2" t="str">
        <f>VLOOKUP(Sales_Details2[[#This Row],[Product_ID]],Product_details[[#All],[Product_ID]:[Cost]],4,0)</f>
        <v>Footwear</v>
      </c>
      <c r="K827" s="2" t="s">
        <v>1784</v>
      </c>
      <c r="L827" s="2" t="str">
        <f>_xlfn.XLOOKUP(Sales_Details2[[#This Row],[Store_ID]],Table2[Store_ID],Table2[Region],"Region not found")</f>
        <v>North</v>
      </c>
      <c r="M827" s="25">
        <v>4</v>
      </c>
      <c r="N827" s="36">
        <v>184.57</v>
      </c>
      <c r="O827" s="29">
        <v>0.28000000000000003</v>
      </c>
      <c r="P827" s="2" t="s">
        <v>1807</v>
      </c>
      <c r="Q827" s="36">
        <v>531.5616</v>
      </c>
    </row>
    <row r="828" spans="1:17" x14ac:dyDescent="0.3">
      <c r="A828" s="2" t="s">
        <v>2635</v>
      </c>
      <c r="B828" s="14">
        <v>45532</v>
      </c>
      <c r="C828" s="2">
        <f>YEAR(Sales_Details2[[#This Row],[Order_Date]])</f>
        <v>2024</v>
      </c>
      <c r="D828" s="2" t="s">
        <v>903</v>
      </c>
      <c r="E828" s="2" t="str">
        <f>VLOOKUP(Sales_Details2[[#This Row],[Customer_ID]],Customer_Details[#All],4,0)</f>
        <v>Adult</v>
      </c>
      <c r="F828" s="2" t="str">
        <f>VLOOKUP(Sales_Details2[[#This Row],[Customer_ID]],Customer_Details[#All],5,0)</f>
        <v>Female</v>
      </c>
      <c r="G828" s="2" t="str">
        <f>VLOOKUP(Sales_Details2[[#This Row],[Customer_ID]],Customer_Details[#All],9,0)</f>
        <v>Gold</v>
      </c>
      <c r="H828" s="2" t="s">
        <v>1661</v>
      </c>
      <c r="I828" s="2" t="str">
        <f>VLOOKUP(Sales_Details2[[#This Row],[Product_ID]],Product_details[[#All],[Product_ID]:[Cost]],3,0)</f>
        <v>Sports</v>
      </c>
      <c r="J828" s="2" t="str">
        <f>VLOOKUP(Sales_Details2[[#This Row],[Product_ID]],Product_details[[#All],[Product_ID]:[Cost]],4,0)</f>
        <v>Fitness</v>
      </c>
      <c r="K828" s="2" t="s">
        <v>1752</v>
      </c>
      <c r="L828" s="2" t="str">
        <f>_xlfn.XLOOKUP(Sales_Details2[[#This Row],[Store_ID]],Table2[Store_ID],Table2[Region],"Region not found")</f>
        <v>South</v>
      </c>
      <c r="M828" s="25">
        <v>4</v>
      </c>
      <c r="N828" s="36">
        <v>277.58</v>
      </c>
      <c r="O828" s="29">
        <v>0.22</v>
      </c>
      <c r="P828" s="2" t="s">
        <v>1809</v>
      </c>
      <c r="Q828" s="36">
        <v>866.04959999999994</v>
      </c>
    </row>
    <row r="829" spans="1:17" x14ac:dyDescent="0.3">
      <c r="A829" s="2" t="s">
        <v>2636</v>
      </c>
      <c r="B829" s="14">
        <v>45734</v>
      </c>
      <c r="C829" s="2">
        <f>YEAR(Sales_Details2[[#This Row],[Order_Date]])</f>
        <v>2025</v>
      </c>
      <c r="D829" s="2" t="s">
        <v>364</v>
      </c>
      <c r="E829" s="2" t="str">
        <f>VLOOKUP(Sales_Details2[[#This Row],[Customer_ID]],Customer_Details[#All],4,0)</f>
        <v>Senior</v>
      </c>
      <c r="F829" s="2" t="str">
        <f>VLOOKUP(Sales_Details2[[#This Row],[Customer_ID]],Customer_Details[#All],5,0)</f>
        <v>Male</v>
      </c>
      <c r="G829" s="2" t="str">
        <f>VLOOKUP(Sales_Details2[[#This Row],[Customer_ID]],Customer_Details[#All],9,0)</f>
        <v>Silver</v>
      </c>
      <c r="H829" s="2" t="s">
        <v>1593</v>
      </c>
      <c r="I829" s="2" t="str">
        <f>VLOOKUP(Sales_Details2[[#This Row],[Product_ID]],Product_details[[#All],[Product_ID]:[Cost]],3,0)</f>
        <v>Sports</v>
      </c>
      <c r="J829" s="2" t="str">
        <f>VLOOKUP(Sales_Details2[[#This Row],[Product_ID]],Product_details[[#All],[Product_ID]:[Cost]],4,0)</f>
        <v>Team Sports</v>
      </c>
      <c r="K829" s="2" t="s">
        <v>1749</v>
      </c>
      <c r="L829" s="2" t="str">
        <f>_xlfn.XLOOKUP(Sales_Details2[[#This Row],[Store_ID]],Table2[Store_ID],Table2[Region],"Region not found")</f>
        <v>North</v>
      </c>
      <c r="M829" s="25">
        <v>1</v>
      </c>
      <c r="N829" s="36">
        <v>36.799999999999997</v>
      </c>
      <c r="O829" s="29">
        <v>0.18</v>
      </c>
      <c r="P829" s="2" t="s">
        <v>1807</v>
      </c>
      <c r="Q829" s="36">
        <v>30.175999999999998</v>
      </c>
    </row>
    <row r="830" spans="1:17" x14ac:dyDescent="0.3">
      <c r="A830" s="2" t="s">
        <v>2637</v>
      </c>
      <c r="B830" s="14">
        <v>45809</v>
      </c>
      <c r="C830" s="2">
        <f>YEAR(Sales_Details2[[#This Row],[Order_Date]])</f>
        <v>2025</v>
      </c>
      <c r="D830" s="2" t="s">
        <v>1103</v>
      </c>
      <c r="E830" s="2" t="str">
        <f>VLOOKUP(Sales_Details2[[#This Row],[Customer_ID]],Customer_Details[#All],4,0)</f>
        <v>Senior</v>
      </c>
      <c r="F830" s="2" t="str">
        <f>VLOOKUP(Sales_Details2[[#This Row],[Customer_ID]],Customer_Details[#All],5,0)</f>
        <v>Male</v>
      </c>
      <c r="G830" s="2" t="str">
        <f>VLOOKUP(Sales_Details2[[#This Row],[Customer_ID]],Customer_Details[#All],9,0)</f>
        <v>Bronze</v>
      </c>
      <c r="H830" s="2" t="s">
        <v>1707</v>
      </c>
      <c r="I830" s="2" t="str">
        <f>VLOOKUP(Sales_Details2[[#This Row],[Product_ID]],Product_details[[#All],[Product_ID]:[Cost]],3,0)</f>
        <v>Sports</v>
      </c>
      <c r="J830" s="2" t="str">
        <f>VLOOKUP(Sales_Details2[[#This Row],[Product_ID]],Product_details[[#All],[Product_ID]:[Cost]],4,0)</f>
        <v>Accessories</v>
      </c>
      <c r="K830" s="2" t="s">
        <v>1759</v>
      </c>
      <c r="L830" s="2" t="str">
        <f>_xlfn.XLOOKUP(Sales_Details2[[#This Row],[Store_ID]],Table2[Store_ID],Table2[Region],"Region not found")</f>
        <v>East</v>
      </c>
      <c r="M830" s="25">
        <v>1</v>
      </c>
      <c r="N830" s="36">
        <v>539.37</v>
      </c>
      <c r="O830" s="29">
        <v>0.14000000000000001</v>
      </c>
      <c r="P830" s="2" t="s">
        <v>1807</v>
      </c>
      <c r="Q830" s="36">
        <v>463.85820000000001</v>
      </c>
    </row>
    <row r="831" spans="1:17" x14ac:dyDescent="0.3">
      <c r="A831" s="2" t="s">
        <v>2638</v>
      </c>
      <c r="B831" s="14">
        <v>45760</v>
      </c>
      <c r="C831" s="2">
        <f>YEAR(Sales_Details2[[#This Row],[Order_Date]])</f>
        <v>2025</v>
      </c>
      <c r="D831" s="2" t="s">
        <v>316</v>
      </c>
      <c r="E831" s="2" t="str">
        <f>VLOOKUP(Sales_Details2[[#This Row],[Customer_ID]],Customer_Details[#All],4,0)</f>
        <v>Mid-Adult</v>
      </c>
      <c r="F831" s="2" t="str">
        <f>VLOOKUP(Sales_Details2[[#This Row],[Customer_ID]],Customer_Details[#All],5,0)</f>
        <v>Male</v>
      </c>
      <c r="G831" s="2" t="str">
        <f>VLOOKUP(Sales_Details2[[#This Row],[Customer_ID]],Customer_Details[#All],9,0)</f>
        <v>Platinum</v>
      </c>
      <c r="H831" s="2" t="s">
        <v>1571</v>
      </c>
      <c r="I831" s="2" t="str">
        <f>VLOOKUP(Sales_Details2[[#This Row],[Product_ID]],Product_details[[#All],[Product_ID]:[Cost]],3,0)</f>
        <v>Sports</v>
      </c>
      <c r="J831" s="2" t="str">
        <f>VLOOKUP(Sales_Details2[[#This Row],[Product_ID]],Product_details[[#All],[Product_ID]:[Cost]],4,0)</f>
        <v>Accessories</v>
      </c>
      <c r="K831" s="2" t="s">
        <v>1793</v>
      </c>
      <c r="L831" s="2" t="str">
        <f>_xlfn.XLOOKUP(Sales_Details2[[#This Row],[Store_ID]],Table2[Store_ID],Table2[Region],"Region not found")</f>
        <v>East</v>
      </c>
      <c r="M831" s="25">
        <v>1</v>
      </c>
      <c r="N831" s="36">
        <v>27.83</v>
      </c>
      <c r="O831" s="29">
        <v>0.3</v>
      </c>
      <c r="P831" s="2" t="s">
        <v>1809</v>
      </c>
      <c r="Q831" s="36">
        <v>19.481000000000002</v>
      </c>
    </row>
    <row r="832" spans="1:17" x14ac:dyDescent="0.3">
      <c r="A832" s="2" t="s">
        <v>2639</v>
      </c>
      <c r="B832" s="14">
        <v>45456</v>
      </c>
      <c r="C832" s="2">
        <f>YEAR(Sales_Details2[[#This Row],[Order_Date]])</f>
        <v>2024</v>
      </c>
      <c r="D832" s="2" t="s">
        <v>891</v>
      </c>
      <c r="E832" s="2" t="str">
        <f>VLOOKUP(Sales_Details2[[#This Row],[Customer_ID]],Customer_Details[#All],4,0)</f>
        <v>Senior</v>
      </c>
      <c r="F832" s="2" t="str">
        <f>VLOOKUP(Sales_Details2[[#This Row],[Customer_ID]],Customer_Details[#All],5,0)</f>
        <v>Female</v>
      </c>
      <c r="G832" s="2" t="str">
        <f>VLOOKUP(Sales_Details2[[#This Row],[Customer_ID]],Customer_Details[#All],9,0)</f>
        <v>Silver</v>
      </c>
      <c r="H832" s="2" t="s">
        <v>1671</v>
      </c>
      <c r="I832" s="2" t="str">
        <f>VLOOKUP(Sales_Details2[[#This Row],[Product_ID]],Product_details[[#All],[Product_ID]:[Cost]],3,0)</f>
        <v>Home</v>
      </c>
      <c r="J832" s="2" t="str">
        <f>VLOOKUP(Sales_Details2[[#This Row],[Product_ID]],Product_details[[#All],[Product_ID]:[Cost]],4,0)</f>
        <v>Storage</v>
      </c>
      <c r="K832" s="2" t="s">
        <v>1752</v>
      </c>
      <c r="L832" s="2" t="str">
        <f>_xlfn.XLOOKUP(Sales_Details2[[#This Row],[Store_ID]],Table2[Store_ID],Table2[Region],"Region not found")</f>
        <v>South</v>
      </c>
      <c r="M832" s="25">
        <v>3</v>
      </c>
      <c r="N832" s="36">
        <v>698.72</v>
      </c>
      <c r="O832" s="29">
        <v>0.28000000000000003</v>
      </c>
      <c r="P832" s="2" t="s">
        <v>1812</v>
      </c>
      <c r="Q832" s="36">
        <v>1509.2352000000001</v>
      </c>
    </row>
    <row r="833" spans="1:17" x14ac:dyDescent="0.3">
      <c r="A833" s="2" t="s">
        <v>2640</v>
      </c>
      <c r="B833" s="14">
        <v>45698</v>
      </c>
      <c r="C833" s="2">
        <f>YEAR(Sales_Details2[[#This Row],[Order_Date]])</f>
        <v>2025</v>
      </c>
      <c r="D833" s="2" t="s">
        <v>59</v>
      </c>
      <c r="E833" s="2" t="str">
        <f>VLOOKUP(Sales_Details2[[#This Row],[Customer_ID]],Customer_Details[#All],4,0)</f>
        <v>Senior</v>
      </c>
      <c r="F833" s="2" t="str">
        <f>VLOOKUP(Sales_Details2[[#This Row],[Customer_ID]],Customer_Details[#All],5,0)</f>
        <v>Female</v>
      </c>
      <c r="G833" s="2" t="str">
        <f>VLOOKUP(Sales_Details2[[#This Row],[Customer_ID]],Customer_Details[#All],9,0)</f>
        <v>Platinum</v>
      </c>
      <c r="H833" s="2" t="s">
        <v>1683</v>
      </c>
      <c r="I833" s="2" t="str">
        <f>VLOOKUP(Sales_Details2[[#This Row],[Product_ID]],Product_details[[#All],[Product_ID]:[Cost]],3,0)</f>
        <v>Electronics</v>
      </c>
      <c r="J833" s="2" t="str">
        <f>VLOOKUP(Sales_Details2[[#This Row],[Product_ID]],Product_details[[#All],[Product_ID]:[Cost]],4,0)</f>
        <v>Computer</v>
      </c>
      <c r="K833" s="2" t="s">
        <v>1780</v>
      </c>
      <c r="L833" s="2" t="str">
        <f>_xlfn.XLOOKUP(Sales_Details2[[#This Row],[Store_ID]],Table2[Store_ID],Table2[Region],"Region not found")</f>
        <v>East</v>
      </c>
      <c r="M833" s="25">
        <v>4</v>
      </c>
      <c r="N833" s="36">
        <v>528.23</v>
      </c>
      <c r="O833" s="29">
        <v>0.15</v>
      </c>
      <c r="P833" s="2" t="s">
        <v>1812</v>
      </c>
      <c r="Q833" s="36">
        <v>1795.982</v>
      </c>
    </row>
    <row r="834" spans="1:17" x14ac:dyDescent="0.3">
      <c r="A834" s="2" t="s">
        <v>2641</v>
      </c>
      <c r="B834" s="14">
        <v>45548</v>
      </c>
      <c r="C834" s="2">
        <f>YEAR(Sales_Details2[[#This Row],[Order_Date]])</f>
        <v>2024</v>
      </c>
      <c r="D834" s="2" t="s">
        <v>1496</v>
      </c>
      <c r="E834" s="2" t="str">
        <f>VLOOKUP(Sales_Details2[[#This Row],[Customer_ID]],Customer_Details[#All],4,0)</f>
        <v>Senior</v>
      </c>
      <c r="F834" s="2" t="str">
        <f>VLOOKUP(Sales_Details2[[#This Row],[Customer_ID]],Customer_Details[#All],5,0)</f>
        <v>Female</v>
      </c>
      <c r="G834" s="2" t="str">
        <f>VLOOKUP(Sales_Details2[[#This Row],[Customer_ID]],Customer_Details[#All],9,0)</f>
        <v>Platinum</v>
      </c>
      <c r="H834" s="2" t="s">
        <v>1623</v>
      </c>
      <c r="I834" s="2" t="str">
        <f>VLOOKUP(Sales_Details2[[#This Row],[Product_ID]],Product_details[[#All],[Product_ID]:[Cost]],3,0)</f>
        <v>Clothing</v>
      </c>
      <c r="J834" s="2" t="str">
        <f>VLOOKUP(Sales_Details2[[#This Row],[Product_ID]],Product_details[[#All],[Product_ID]:[Cost]],4,0)</f>
        <v>Outerwear</v>
      </c>
      <c r="K834" s="2" t="s">
        <v>1787</v>
      </c>
      <c r="L834" s="2" t="str">
        <f>_xlfn.XLOOKUP(Sales_Details2[[#This Row],[Store_ID]],Table2[Store_ID],Table2[Region],"Region not found")</f>
        <v>West</v>
      </c>
      <c r="M834" s="25">
        <v>2</v>
      </c>
      <c r="N834" s="36">
        <v>780.9</v>
      </c>
      <c r="O834" s="29">
        <v>0.24</v>
      </c>
      <c r="P834" s="2" t="s">
        <v>1809</v>
      </c>
      <c r="Q834" s="36">
        <v>1186.9680000000001</v>
      </c>
    </row>
    <row r="835" spans="1:17" x14ac:dyDescent="0.3">
      <c r="A835" s="2" t="s">
        <v>2642</v>
      </c>
      <c r="B835" s="14">
        <v>45236</v>
      </c>
      <c r="C835" s="2">
        <f>YEAR(Sales_Details2[[#This Row],[Order_Date]])</f>
        <v>2023</v>
      </c>
      <c r="D835" s="2" t="s">
        <v>589</v>
      </c>
      <c r="E835" s="2" t="str">
        <f>VLOOKUP(Sales_Details2[[#This Row],[Customer_ID]],Customer_Details[#All],4,0)</f>
        <v>Mid-Adult</v>
      </c>
      <c r="F835" s="2" t="str">
        <f>VLOOKUP(Sales_Details2[[#This Row],[Customer_ID]],Customer_Details[#All],5,0)</f>
        <v>Male</v>
      </c>
      <c r="G835" s="2" t="str">
        <f>VLOOKUP(Sales_Details2[[#This Row],[Customer_ID]],Customer_Details[#All],9,0)</f>
        <v>Bronze</v>
      </c>
      <c r="H835" s="2" t="s">
        <v>1573</v>
      </c>
      <c r="I835" s="2" t="str">
        <f>VLOOKUP(Sales_Details2[[#This Row],[Product_ID]],Product_details[[#All],[Product_ID]:[Cost]],3,0)</f>
        <v>Home</v>
      </c>
      <c r="J835" s="2" t="str">
        <f>VLOOKUP(Sales_Details2[[#This Row],[Product_ID]],Product_details[[#All],[Product_ID]:[Cost]],4,0)</f>
        <v>Storage</v>
      </c>
      <c r="K835" s="2" t="s">
        <v>1782</v>
      </c>
      <c r="L835" s="2" t="str">
        <f>_xlfn.XLOOKUP(Sales_Details2[[#This Row],[Store_ID]],Table2[Store_ID],Table2[Region],"Region not found")</f>
        <v>South</v>
      </c>
      <c r="M835" s="25">
        <v>1</v>
      </c>
      <c r="N835" s="36">
        <v>977.97</v>
      </c>
      <c r="O835" s="29">
        <v>0.06</v>
      </c>
      <c r="P835" s="2" t="s">
        <v>1812</v>
      </c>
      <c r="Q835" s="36">
        <v>919.29179999999997</v>
      </c>
    </row>
    <row r="836" spans="1:17" x14ac:dyDescent="0.3">
      <c r="A836" s="2" t="s">
        <v>2643</v>
      </c>
      <c r="B836" s="14">
        <v>45310</v>
      </c>
      <c r="C836" s="2">
        <f>YEAR(Sales_Details2[[#This Row],[Order_Date]])</f>
        <v>2024</v>
      </c>
      <c r="D836" s="2" t="s">
        <v>1141</v>
      </c>
      <c r="E836" s="2" t="str">
        <f>VLOOKUP(Sales_Details2[[#This Row],[Customer_ID]],Customer_Details[#All],4,0)</f>
        <v>Adult</v>
      </c>
      <c r="F836" s="2" t="str">
        <f>VLOOKUP(Sales_Details2[[#This Row],[Customer_ID]],Customer_Details[#All],5,0)</f>
        <v>Female</v>
      </c>
      <c r="G836" s="2" t="str">
        <f>VLOOKUP(Sales_Details2[[#This Row],[Customer_ID]],Customer_Details[#All],9,0)</f>
        <v>Platinum</v>
      </c>
      <c r="H836" s="2" t="s">
        <v>1697</v>
      </c>
      <c r="I836" s="2" t="str">
        <f>VLOOKUP(Sales_Details2[[#This Row],[Product_ID]],Product_details[[#All],[Product_ID]:[Cost]],3,0)</f>
        <v>Beauty</v>
      </c>
      <c r="J836" s="2" t="str">
        <f>VLOOKUP(Sales_Details2[[#This Row],[Product_ID]],Product_details[[#All],[Product_ID]:[Cost]],4,0)</f>
        <v>Skincare</v>
      </c>
      <c r="K836" s="2" t="s">
        <v>1777</v>
      </c>
      <c r="L836" s="2" t="str">
        <f>_xlfn.XLOOKUP(Sales_Details2[[#This Row],[Store_ID]],Table2[Store_ID],Table2[Region],"Region not found")</f>
        <v>North</v>
      </c>
      <c r="M836" s="25">
        <v>4</v>
      </c>
      <c r="N836" s="36">
        <v>354.65</v>
      </c>
      <c r="O836" s="29">
        <v>0.19</v>
      </c>
      <c r="P836" s="2" t="s">
        <v>1807</v>
      </c>
      <c r="Q836" s="36">
        <v>1149.066</v>
      </c>
    </row>
    <row r="837" spans="1:17" x14ac:dyDescent="0.3">
      <c r="A837" s="2" t="s">
        <v>2644</v>
      </c>
      <c r="B837" s="14">
        <v>45376</v>
      </c>
      <c r="C837" s="2">
        <f>YEAR(Sales_Details2[[#This Row],[Order_Date]])</f>
        <v>2024</v>
      </c>
      <c r="D837" s="2" t="s">
        <v>891</v>
      </c>
      <c r="E837" s="2" t="str">
        <f>VLOOKUP(Sales_Details2[[#This Row],[Customer_ID]],Customer_Details[#All],4,0)</f>
        <v>Senior</v>
      </c>
      <c r="F837" s="2" t="str">
        <f>VLOOKUP(Sales_Details2[[#This Row],[Customer_ID]],Customer_Details[#All],5,0)</f>
        <v>Female</v>
      </c>
      <c r="G837" s="2" t="str">
        <f>VLOOKUP(Sales_Details2[[#This Row],[Customer_ID]],Customer_Details[#All],9,0)</f>
        <v>Silver</v>
      </c>
      <c r="H837" s="2" t="s">
        <v>1667</v>
      </c>
      <c r="I837" s="2" t="str">
        <f>VLOOKUP(Sales_Details2[[#This Row],[Product_ID]],Product_details[[#All],[Product_ID]:[Cost]],3,0)</f>
        <v>Home</v>
      </c>
      <c r="J837" s="2" t="str">
        <f>VLOOKUP(Sales_Details2[[#This Row],[Product_ID]],Product_details[[#All],[Product_ID]:[Cost]],4,0)</f>
        <v>Furniture</v>
      </c>
      <c r="K837" s="2" t="s">
        <v>1796</v>
      </c>
      <c r="L837" s="2" t="str">
        <f>_xlfn.XLOOKUP(Sales_Details2[[#This Row],[Store_ID]],Table2[Store_ID],Table2[Region],"Region not found")</f>
        <v>East</v>
      </c>
      <c r="M837" s="25">
        <v>1</v>
      </c>
      <c r="N837" s="36">
        <v>671.62</v>
      </c>
      <c r="O837" s="29">
        <v>0.09</v>
      </c>
      <c r="P837" s="2" t="s">
        <v>1812</v>
      </c>
      <c r="Q837" s="36">
        <v>611.17420000000004</v>
      </c>
    </row>
    <row r="838" spans="1:17" x14ac:dyDescent="0.3">
      <c r="A838" s="2" t="s">
        <v>2645</v>
      </c>
      <c r="B838" s="14">
        <v>45914</v>
      </c>
      <c r="C838" s="2">
        <f>YEAR(Sales_Details2[[#This Row],[Order_Date]])</f>
        <v>2025</v>
      </c>
      <c r="D838" s="2" t="s">
        <v>989</v>
      </c>
      <c r="E838" s="2" t="str">
        <f>VLOOKUP(Sales_Details2[[#This Row],[Customer_ID]],Customer_Details[#All],4,0)</f>
        <v>Senior</v>
      </c>
      <c r="F838" s="2" t="str">
        <f>VLOOKUP(Sales_Details2[[#This Row],[Customer_ID]],Customer_Details[#All],5,0)</f>
        <v>Female</v>
      </c>
      <c r="G838" s="2" t="str">
        <f>VLOOKUP(Sales_Details2[[#This Row],[Customer_ID]],Customer_Details[#All],9,0)</f>
        <v>Gold</v>
      </c>
      <c r="H838" s="2" t="s">
        <v>1695</v>
      </c>
      <c r="I838" s="2" t="str">
        <f>VLOOKUP(Sales_Details2[[#This Row],[Product_ID]],Product_details[[#All],[Product_ID]:[Cost]],3,0)</f>
        <v>Sports</v>
      </c>
      <c r="J838" s="2" t="str">
        <f>VLOOKUP(Sales_Details2[[#This Row],[Product_ID]],Product_details[[#All],[Product_ID]:[Cost]],4,0)</f>
        <v>Fitness</v>
      </c>
      <c r="K838" s="2" t="s">
        <v>1749</v>
      </c>
      <c r="L838" s="2" t="str">
        <f>_xlfn.XLOOKUP(Sales_Details2[[#This Row],[Store_ID]],Table2[Store_ID],Table2[Region],"Region not found")</f>
        <v>North</v>
      </c>
      <c r="M838" s="25">
        <v>1</v>
      </c>
      <c r="N838" s="36">
        <v>867.32</v>
      </c>
      <c r="O838" s="29">
        <v>0.28999999999999998</v>
      </c>
      <c r="P838" s="2" t="s">
        <v>1809</v>
      </c>
      <c r="Q838" s="36">
        <v>615.79719999999998</v>
      </c>
    </row>
    <row r="839" spans="1:17" x14ac:dyDescent="0.3">
      <c r="A839" s="2" t="s">
        <v>2646</v>
      </c>
      <c r="B839" s="14">
        <v>45336</v>
      </c>
      <c r="C839" s="2">
        <f>YEAR(Sales_Details2[[#This Row],[Order_Date]])</f>
        <v>2024</v>
      </c>
      <c r="D839" s="2" t="s">
        <v>292</v>
      </c>
      <c r="E839" s="2" t="str">
        <f>VLOOKUP(Sales_Details2[[#This Row],[Customer_ID]],Customer_Details[#All],4,0)</f>
        <v>Mid-Adult</v>
      </c>
      <c r="F839" s="2" t="str">
        <f>VLOOKUP(Sales_Details2[[#This Row],[Customer_ID]],Customer_Details[#All],5,0)</f>
        <v>Female</v>
      </c>
      <c r="G839" s="2" t="str">
        <f>VLOOKUP(Sales_Details2[[#This Row],[Customer_ID]],Customer_Details[#All],9,0)</f>
        <v>Platinum</v>
      </c>
      <c r="H839" s="2" t="s">
        <v>1551</v>
      </c>
      <c r="I839" s="2" t="str">
        <f>VLOOKUP(Sales_Details2[[#This Row],[Product_ID]],Product_details[[#All],[Product_ID]:[Cost]],3,0)</f>
        <v>Home</v>
      </c>
      <c r="J839" s="2" t="str">
        <f>VLOOKUP(Sales_Details2[[#This Row],[Product_ID]],Product_details[[#All],[Product_ID]:[Cost]],4,0)</f>
        <v>Kitchen</v>
      </c>
      <c r="K839" s="2" t="s">
        <v>1777</v>
      </c>
      <c r="L839" s="2" t="str">
        <f>_xlfn.XLOOKUP(Sales_Details2[[#This Row],[Store_ID]],Table2[Store_ID],Table2[Region],"Region not found")</f>
        <v>North</v>
      </c>
      <c r="M839" s="25">
        <v>3</v>
      </c>
      <c r="N839" s="36">
        <v>240.27</v>
      </c>
      <c r="O839" s="29">
        <v>0.15</v>
      </c>
      <c r="P839" s="2" t="s">
        <v>1809</v>
      </c>
      <c r="Q839" s="36">
        <v>612.68850000000009</v>
      </c>
    </row>
    <row r="840" spans="1:17" x14ac:dyDescent="0.3">
      <c r="A840" s="2" t="s">
        <v>2647</v>
      </c>
      <c r="B840" s="14">
        <v>45728</v>
      </c>
      <c r="C840" s="2">
        <f>YEAR(Sales_Details2[[#This Row],[Order_Date]])</f>
        <v>2025</v>
      </c>
      <c r="D840" s="2" t="s">
        <v>272</v>
      </c>
      <c r="E840" s="2" t="str">
        <f>VLOOKUP(Sales_Details2[[#This Row],[Customer_ID]],Customer_Details[#All],4,0)</f>
        <v>Senior</v>
      </c>
      <c r="F840" s="2" t="str">
        <f>VLOOKUP(Sales_Details2[[#This Row],[Customer_ID]],Customer_Details[#All],5,0)</f>
        <v>Female</v>
      </c>
      <c r="G840" s="2" t="str">
        <f>VLOOKUP(Sales_Details2[[#This Row],[Customer_ID]],Customer_Details[#All],9,0)</f>
        <v>Gold</v>
      </c>
      <c r="H840" s="2" t="s">
        <v>1587</v>
      </c>
      <c r="I840" s="2" t="str">
        <f>VLOOKUP(Sales_Details2[[#This Row],[Product_ID]],Product_details[[#All],[Product_ID]:[Cost]],3,0)</f>
        <v>Sports</v>
      </c>
      <c r="J840" s="2" t="str">
        <f>VLOOKUP(Sales_Details2[[#This Row],[Product_ID]],Product_details[[#All],[Product_ID]:[Cost]],4,0)</f>
        <v>Accessories</v>
      </c>
      <c r="K840" s="2" t="s">
        <v>1787</v>
      </c>
      <c r="L840" s="2" t="str">
        <f>_xlfn.XLOOKUP(Sales_Details2[[#This Row],[Store_ID]],Table2[Store_ID],Table2[Region],"Region not found")</f>
        <v>West</v>
      </c>
      <c r="M840" s="25">
        <v>2</v>
      </c>
      <c r="N840" s="36">
        <v>619.12</v>
      </c>
      <c r="O840" s="29">
        <v>0.28000000000000003</v>
      </c>
      <c r="P840" s="2" t="s">
        <v>1812</v>
      </c>
      <c r="Q840" s="36">
        <v>891.53279999999995</v>
      </c>
    </row>
    <row r="841" spans="1:17" x14ac:dyDescent="0.3">
      <c r="A841" s="2" t="s">
        <v>2648</v>
      </c>
      <c r="B841" s="14">
        <v>45755</v>
      </c>
      <c r="C841" s="2">
        <f>YEAR(Sales_Details2[[#This Row],[Order_Date]])</f>
        <v>2025</v>
      </c>
      <c r="D841" s="2" t="s">
        <v>687</v>
      </c>
      <c r="E841" s="2" t="str">
        <f>VLOOKUP(Sales_Details2[[#This Row],[Customer_ID]],Customer_Details[#All],4,0)</f>
        <v>Mid-Adult</v>
      </c>
      <c r="F841" s="2" t="str">
        <f>VLOOKUP(Sales_Details2[[#This Row],[Customer_ID]],Customer_Details[#All],5,0)</f>
        <v>Female</v>
      </c>
      <c r="G841" s="2" t="str">
        <f>VLOOKUP(Sales_Details2[[#This Row],[Customer_ID]],Customer_Details[#All],9,0)</f>
        <v>Platinum</v>
      </c>
      <c r="H841" s="2" t="s">
        <v>1705</v>
      </c>
      <c r="I841" s="2" t="str">
        <f>VLOOKUP(Sales_Details2[[#This Row],[Product_ID]],Product_details[[#All],[Product_ID]:[Cost]],3,0)</f>
        <v>Home</v>
      </c>
      <c r="J841" s="2" t="str">
        <f>VLOOKUP(Sales_Details2[[#This Row],[Product_ID]],Product_details[[#All],[Product_ID]:[Cost]],4,0)</f>
        <v>Lighting</v>
      </c>
      <c r="K841" s="2" t="s">
        <v>1735</v>
      </c>
      <c r="L841" s="2" t="str">
        <f>_xlfn.XLOOKUP(Sales_Details2[[#This Row],[Store_ID]],Table2[Store_ID],Table2[Region],"Region not found")</f>
        <v>East</v>
      </c>
      <c r="M841" s="25">
        <v>3</v>
      </c>
      <c r="N841" s="36">
        <v>693.42</v>
      </c>
      <c r="O841" s="29">
        <v>0.08</v>
      </c>
      <c r="P841" s="2" t="s">
        <v>1809</v>
      </c>
      <c r="Q841" s="36">
        <v>1913.8391999999999</v>
      </c>
    </row>
    <row r="842" spans="1:17" x14ac:dyDescent="0.3">
      <c r="A842" s="2" t="s">
        <v>2649</v>
      </c>
      <c r="B842" s="14">
        <v>45695</v>
      </c>
      <c r="C842" s="2">
        <f>YEAR(Sales_Details2[[#This Row],[Order_Date]])</f>
        <v>2025</v>
      </c>
      <c r="D842" s="2" t="s">
        <v>376</v>
      </c>
      <c r="E842" s="2" t="str">
        <f>VLOOKUP(Sales_Details2[[#This Row],[Customer_ID]],Customer_Details[#All],4,0)</f>
        <v>Mid-Adult</v>
      </c>
      <c r="F842" s="2" t="str">
        <f>VLOOKUP(Sales_Details2[[#This Row],[Customer_ID]],Customer_Details[#All],5,0)</f>
        <v>Male</v>
      </c>
      <c r="G842" s="2" t="str">
        <f>VLOOKUP(Sales_Details2[[#This Row],[Customer_ID]],Customer_Details[#All],9,0)</f>
        <v>Bronze</v>
      </c>
      <c r="H842" s="2" t="s">
        <v>1627</v>
      </c>
      <c r="I842" s="2" t="str">
        <f>VLOOKUP(Sales_Details2[[#This Row],[Product_ID]],Product_details[[#All],[Product_ID]:[Cost]],3,0)</f>
        <v>Electronics</v>
      </c>
      <c r="J842" s="2" t="str">
        <f>VLOOKUP(Sales_Details2[[#This Row],[Product_ID]],Product_details[[#All],[Product_ID]:[Cost]],4,0)</f>
        <v>Accessories</v>
      </c>
      <c r="K842" s="2" t="s">
        <v>1772</v>
      </c>
      <c r="L842" s="2" t="str">
        <f>_xlfn.XLOOKUP(Sales_Details2[[#This Row],[Store_ID]],Table2[Store_ID],Table2[Region],"Region not found")</f>
        <v>East</v>
      </c>
      <c r="M842" s="25">
        <v>4</v>
      </c>
      <c r="N842" s="36">
        <v>751.63</v>
      </c>
      <c r="O842" s="29">
        <v>0.28000000000000003</v>
      </c>
      <c r="P842" s="2" t="s">
        <v>1812</v>
      </c>
      <c r="Q842" s="36">
        <v>2164.6943999999999</v>
      </c>
    </row>
    <row r="843" spans="1:17" x14ac:dyDescent="0.3">
      <c r="A843" s="2" t="s">
        <v>2650</v>
      </c>
      <c r="B843" s="14">
        <v>45380</v>
      </c>
      <c r="C843" s="2">
        <f>YEAR(Sales_Details2[[#This Row],[Order_Date]])</f>
        <v>2024</v>
      </c>
      <c r="D843" s="2" t="s">
        <v>382</v>
      </c>
      <c r="E843" s="2" t="str">
        <f>VLOOKUP(Sales_Details2[[#This Row],[Customer_ID]],Customer_Details[#All],4,0)</f>
        <v>Mid-Adult</v>
      </c>
      <c r="F843" s="2" t="str">
        <f>VLOOKUP(Sales_Details2[[#This Row],[Customer_ID]],Customer_Details[#All],5,0)</f>
        <v>Female</v>
      </c>
      <c r="G843" s="2" t="str">
        <f>VLOOKUP(Sales_Details2[[#This Row],[Customer_ID]],Customer_Details[#All],9,0)</f>
        <v>Gold</v>
      </c>
      <c r="H843" s="2" t="s">
        <v>1593</v>
      </c>
      <c r="I843" s="2" t="str">
        <f>VLOOKUP(Sales_Details2[[#This Row],[Product_ID]],Product_details[[#All],[Product_ID]:[Cost]],3,0)</f>
        <v>Sports</v>
      </c>
      <c r="J843" s="2" t="str">
        <f>VLOOKUP(Sales_Details2[[#This Row],[Product_ID]],Product_details[[#All],[Product_ID]:[Cost]],4,0)</f>
        <v>Team Sports</v>
      </c>
      <c r="K843" s="2" t="s">
        <v>1784</v>
      </c>
      <c r="L843" s="2" t="str">
        <f>_xlfn.XLOOKUP(Sales_Details2[[#This Row],[Store_ID]],Table2[Store_ID],Table2[Region],"Region not found")</f>
        <v>North</v>
      </c>
      <c r="M843" s="25">
        <v>3</v>
      </c>
      <c r="N843" s="36">
        <v>108.14</v>
      </c>
      <c r="O843" s="29">
        <v>0.19</v>
      </c>
      <c r="P843" s="2" t="s">
        <v>1812</v>
      </c>
      <c r="Q843" s="36">
        <v>262.78019999999998</v>
      </c>
    </row>
    <row r="844" spans="1:17" x14ac:dyDescent="0.3">
      <c r="A844" s="2" t="s">
        <v>2651</v>
      </c>
      <c r="B844" s="14">
        <v>45446</v>
      </c>
      <c r="C844" s="2">
        <f>YEAR(Sales_Details2[[#This Row],[Order_Date]])</f>
        <v>2024</v>
      </c>
      <c r="D844" s="2" t="s">
        <v>811</v>
      </c>
      <c r="E844" s="2" t="str">
        <f>VLOOKUP(Sales_Details2[[#This Row],[Customer_ID]],Customer_Details[#All],4,0)</f>
        <v>Senior</v>
      </c>
      <c r="F844" s="2" t="str">
        <f>VLOOKUP(Sales_Details2[[#This Row],[Customer_ID]],Customer_Details[#All],5,0)</f>
        <v>Male</v>
      </c>
      <c r="G844" s="2" t="str">
        <f>VLOOKUP(Sales_Details2[[#This Row],[Customer_ID]],Customer_Details[#All],9,0)</f>
        <v>Platinum</v>
      </c>
      <c r="H844" s="2" t="s">
        <v>1585</v>
      </c>
      <c r="I844" s="2" t="str">
        <f>VLOOKUP(Sales_Details2[[#This Row],[Product_ID]],Product_details[[#All],[Product_ID]:[Cost]],3,0)</f>
        <v>Home</v>
      </c>
      <c r="J844" s="2" t="str">
        <f>VLOOKUP(Sales_Details2[[#This Row],[Product_ID]],Product_details[[#All],[Product_ID]:[Cost]],4,0)</f>
        <v>Decor</v>
      </c>
      <c r="K844" s="2" t="s">
        <v>1752</v>
      </c>
      <c r="L844" s="2" t="str">
        <f>_xlfn.XLOOKUP(Sales_Details2[[#This Row],[Store_ID]],Table2[Store_ID],Table2[Region],"Region not found")</f>
        <v>South</v>
      </c>
      <c r="M844" s="25">
        <v>1</v>
      </c>
      <c r="N844" s="36">
        <v>964.11</v>
      </c>
      <c r="O844" s="29">
        <v>0.17</v>
      </c>
      <c r="P844" s="2" t="s">
        <v>1812</v>
      </c>
      <c r="Q844" s="36">
        <v>800.21129999999994</v>
      </c>
    </row>
    <row r="845" spans="1:17" x14ac:dyDescent="0.3">
      <c r="A845" s="2" t="s">
        <v>2652</v>
      </c>
      <c r="B845" s="14">
        <v>45525</v>
      </c>
      <c r="C845" s="2">
        <f>YEAR(Sales_Details2[[#This Row],[Order_Date]])</f>
        <v>2024</v>
      </c>
      <c r="D845" s="2" t="s">
        <v>444</v>
      </c>
      <c r="E845" s="2" t="str">
        <f>VLOOKUP(Sales_Details2[[#This Row],[Customer_ID]],Customer_Details[#All],4,0)</f>
        <v>Mid-Adult</v>
      </c>
      <c r="F845" s="2" t="str">
        <f>VLOOKUP(Sales_Details2[[#This Row],[Customer_ID]],Customer_Details[#All],5,0)</f>
        <v>Female</v>
      </c>
      <c r="G845" s="2" t="str">
        <f>VLOOKUP(Sales_Details2[[#This Row],[Customer_ID]],Customer_Details[#All],9,0)</f>
        <v>Bronze</v>
      </c>
      <c r="H845" s="2" t="s">
        <v>1569</v>
      </c>
      <c r="I845" s="2" t="str">
        <f>VLOOKUP(Sales_Details2[[#This Row],[Product_ID]],Product_details[[#All],[Product_ID]:[Cost]],3,0)</f>
        <v>Sports</v>
      </c>
      <c r="J845" s="2" t="str">
        <f>VLOOKUP(Sales_Details2[[#This Row],[Product_ID]],Product_details[[#All],[Product_ID]:[Cost]],4,0)</f>
        <v>Equipment</v>
      </c>
      <c r="K845" s="2" t="s">
        <v>1735</v>
      </c>
      <c r="L845" s="2" t="str">
        <f>_xlfn.XLOOKUP(Sales_Details2[[#This Row],[Store_ID]],Table2[Store_ID],Table2[Region],"Region not found")</f>
        <v>East</v>
      </c>
      <c r="M845" s="25">
        <v>1</v>
      </c>
      <c r="N845" s="36">
        <v>346.2</v>
      </c>
      <c r="O845" s="29">
        <v>0.28999999999999998</v>
      </c>
      <c r="P845" s="2" t="s">
        <v>1807</v>
      </c>
      <c r="Q845" s="36">
        <v>245.80199999999999</v>
      </c>
    </row>
    <row r="846" spans="1:17" x14ac:dyDescent="0.3">
      <c r="A846" s="2" t="s">
        <v>2653</v>
      </c>
      <c r="B846" s="14">
        <v>45527</v>
      </c>
      <c r="C846" s="2">
        <f>YEAR(Sales_Details2[[#This Row],[Order_Date]])</f>
        <v>2024</v>
      </c>
      <c r="D846" s="2" t="s">
        <v>1395</v>
      </c>
      <c r="E846" s="2" t="str">
        <f>VLOOKUP(Sales_Details2[[#This Row],[Customer_ID]],Customer_Details[#All],4,0)</f>
        <v>Senior</v>
      </c>
      <c r="F846" s="2" t="str">
        <f>VLOOKUP(Sales_Details2[[#This Row],[Customer_ID]],Customer_Details[#All],5,0)</f>
        <v>Male</v>
      </c>
      <c r="G846" s="2" t="str">
        <f>VLOOKUP(Sales_Details2[[#This Row],[Customer_ID]],Customer_Details[#All],9,0)</f>
        <v>Platinum</v>
      </c>
      <c r="H846" s="2" t="s">
        <v>1617</v>
      </c>
      <c r="I846" s="2" t="str">
        <f>VLOOKUP(Sales_Details2[[#This Row],[Product_ID]],Product_details[[#All],[Product_ID]:[Cost]],3,0)</f>
        <v>Electronics</v>
      </c>
      <c r="J846" s="2" t="str">
        <f>VLOOKUP(Sales_Details2[[#This Row],[Product_ID]],Product_details[[#All],[Product_ID]:[Cost]],4,0)</f>
        <v>Computer</v>
      </c>
      <c r="K846" s="2" t="s">
        <v>1784</v>
      </c>
      <c r="L846" s="2" t="str">
        <f>_xlfn.XLOOKUP(Sales_Details2[[#This Row],[Store_ID]],Table2[Store_ID],Table2[Region],"Region not found")</f>
        <v>North</v>
      </c>
      <c r="M846" s="25">
        <v>3</v>
      </c>
      <c r="N846" s="36">
        <v>791.75</v>
      </c>
      <c r="O846" s="29">
        <v>0.28999999999999998</v>
      </c>
      <c r="P846" s="2" t="s">
        <v>1807</v>
      </c>
      <c r="Q846" s="36">
        <v>1686.4275</v>
      </c>
    </row>
    <row r="847" spans="1:17" x14ac:dyDescent="0.3">
      <c r="A847" s="2" t="s">
        <v>2654</v>
      </c>
      <c r="B847" s="14">
        <v>45265</v>
      </c>
      <c r="C847" s="2">
        <f>YEAR(Sales_Details2[[#This Row],[Order_Date]])</f>
        <v>2023</v>
      </c>
      <c r="D847" s="2" t="s">
        <v>995</v>
      </c>
      <c r="E847" s="2" t="str">
        <f>VLOOKUP(Sales_Details2[[#This Row],[Customer_ID]],Customer_Details[#All],4,0)</f>
        <v>Senior</v>
      </c>
      <c r="F847" s="2" t="str">
        <f>VLOOKUP(Sales_Details2[[#This Row],[Customer_ID]],Customer_Details[#All],5,0)</f>
        <v>Male</v>
      </c>
      <c r="G847" s="2" t="str">
        <f>VLOOKUP(Sales_Details2[[#This Row],[Customer_ID]],Customer_Details[#All],9,0)</f>
        <v>Platinum</v>
      </c>
      <c r="H847" s="2" t="s">
        <v>1609</v>
      </c>
      <c r="I847" s="2" t="str">
        <f>VLOOKUP(Sales_Details2[[#This Row],[Product_ID]],Product_details[[#All],[Product_ID]:[Cost]],3,0)</f>
        <v>Electronics</v>
      </c>
      <c r="J847" s="2" t="str">
        <f>VLOOKUP(Sales_Details2[[#This Row],[Product_ID]],Product_details[[#All],[Product_ID]:[Cost]],4,0)</f>
        <v>Mobile</v>
      </c>
      <c r="K847" s="2" t="s">
        <v>1780</v>
      </c>
      <c r="L847" s="2" t="str">
        <f>_xlfn.XLOOKUP(Sales_Details2[[#This Row],[Store_ID]],Table2[Store_ID],Table2[Region],"Region not found")</f>
        <v>East</v>
      </c>
      <c r="M847" s="25">
        <v>1</v>
      </c>
      <c r="N847" s="36">
        <v>529.84</v>
      </c>
      <c r="O847" s="29">
        <v>0.13</v>
      </c>
      <c r="P847" s="2" t="s">
        <v>1809</v>
      </c>
      <c r="Q847" s="36">
        <v>460.96080000000001</v>
      </c>
    </row>
    <row r="848" spans="1:17" x14ac:dyDescent="0.3">
      <c r="A848" s="2" t="s">
        <v>2655</v>
      </c>
      <c r="B848" s="14">
        <v>45936</v>
      </c>
      <c r="C848" s="2">
        <f>YEAR(Sales_Details2[[#This Row],[Order_Date]])</f>
        <v>2025</v>
      </c>
      <c r="D848" s="2" t="s">
        <v>1436</v>
      </c>
      <c r="E848" s="2" t="str">
        <f>VLOOKUP(Sales_Details2[[#This Row],[Customer_ID]],Customer_Details[#All],4,0)</f>
        <v>Mid-Adult</v>
      </c>
      <c r="F848" s="2" t="str">
        <f>VLOOKUP(Sales_Details2[[#This Row],[Customer_ID]],Customer_Details[#All],5,0)</f>
        <v>Male</v>
      </c>
      <c r="G848" s="2" t="str">
        <f>VLOOKUP(Sales_Details2[[#This Row],[Customer_ID]],Customer_Details[#All],9,0)</f>
        <v>Platinum</v>
      </c>
      <c r="H848" s="2" t="s">
        <v>1639</v>
      </c>
      <c r="I848" s="2" t="str">
        <f>VLOOKUP(Sales_Details2[[#This Row],[Product_ID]],Product_details[[#All],[Product_ID]:[Cost]],3,0)</f>
        <v>Sports</v>
      </c>
      <c r="J848" s="2" t="str">
        <f>VLOOKUP(Sales_Details2[[#This Row],[Product_ID]],Product_details[[#All],[Product_ID]:[Cost]],4,0)</f>
        <v>Accessories</v>
      </c>
      <c r="K848" s="2" t="s">
        <v>1749</v>
      </c>
      <c r="L848" s="2" t="str">
        <f>_xlfn.XLOOKUP(Sales_Details2[[#This Row],[Store_ID]],Table2[Store_ID],Table2[Region],"Region not found")</f>
        <v>North</v>
      </c>
      <c r="M848" s="25">
        <v>3</v>
      </c>
      <c r="N848" s="36">
        <v>582.57000000000005</v>
      </c>
      <c r="O848" s="29">
        <v>0.11</v>
      </c>
      <c r="P848" s="2" t="s">
        <v>1809</v>
      </c>
      <c r="Q848" s="36">
        <v>1555.4619</v>
      </c>
    </row>
    <row r="849" spans="1:17" x14ac:dyDescent="0.3">
      <c r="A849" s="2" t="s">
        <v>2656</v>
      </c>
      <c r="B849" s="14">
        <v>45242</v>
      </c>
      <c r="C849" s="2">
        <f>YEAR(Sales_Details2[[#This Row],[Order_Date]])</f>
        <v>2023</v>
      </c>
      <c r="D849" s="2" t="s">
        <v>681</v>
      </c>
      <c r="E849" s="2" t="str">
        <f>VLOOKUP(Sales_Details2[[#This Row],[Customer_ID]],Customer_Details[#All],4,0)</f>
        <v>Adult</v>
      </c>
      <c r="F849" s="2" t="str">
        <f>VLOOKUP(Sales_Details2[[#This Row],[Customer_ID]],Customer_Details[#All],5,0)</f>
        <v>Female</v>
      </c>
      <c r="G849" s="2" t="str">
        <f>VLOOKUP(Sales_Details2[[#This Row],[Customer_ID]],Customer_Details[#All],9,0)</f>
        <v>Silver</v>
      </c>
      <c r="H849" s="2" t="s">
        <v>1721</v>
      </c>
      <c r="I849" s="2" t="str">
        <f>VLOOKUP(Sales_Details2[[#This Row],[Product_ID]],Product_details[[#All],[Product_ID]:[Cost]],3,0)</f>
        <v>Sports</v>
      </c>
      <c r="J849" s="2" t="str">
        <f>VLOOKUP(Sales_Details2[[#This Row],[Product_ID]],Product_details[[#All],[Product_ID]:[Cost]],4,0)</f>
        <v>Accessories</v>
      </c>
      <c r="K849" s="2" t="s">
        <v>1790</v>
      </c>
      <c r="L849" s="2" t="str">
        <f>_xlfn.XLOOKUP(Sales_Details2[[#This Row],[Store_ID]],Table2[Store_ID],Table2[Region],"Region not found")</f>
        <v>North</v>
      </c>
      <c r="M849" s="25">
        <v>1</v>
      </c>
      <c r="N849" s="36">
        <v>219.81</v>
      </c>
      <c r="O849" s="29">
        <v>0.22</v>
      </c>
      <c r="P849" s="2" t="s">
        <v>1812</v>
      </c>
      <c r="Q849" s="36">
        <v>171.45179999999999</v>
      </c>
    </row>
    <row r="850" spans="1:17" x14ac:dyDescent="0.3">
      <c r="A850" s="2" t="s">
        <v>2657</v>
      </c>
      <c r="B850" s="14">
        <v>45437</v>
      </c>
      <c r="C850" s="2">
        <f>YEAR(Sales_Details2[[#This Row],[Order_Date]])</f>
        <v>2024</v>
      </c>
      <c r="D850" s="2" t="s">
        <v>1510</v>
      </c>
      <c r="E850" s="2" t="str">
        <f>VLOOKUP(Sales_Details2[[#This Row],[Customer_ID]],Customer_Details[#All],4,0)</f>
        <v>Mid-Adult</v>
      </c>
      <c r="F850" s="2" t="str">
        <f>VLOOKUP(Sales_Details2[[#This Row],[Customer_ID]],Customer_Details[#All],5,0)</f>
        <v>Female</v>
      </c>
      <c r="G850" s="2" t="str">
        <f>VLOOKUP(Sales_Details2[[#This Row],[Customer_ID]],Customer_Details[#All],9,0)</f>
        <v>Gold</v>
      </c>
      <c r="H850" s="2" t="s">
        <v>1671</v>
      </c>
      <c r="I850" s="2" t="str">
        <f>VLOOKUP(Sales_Details2[[#This Row],[Product_ID]],Product_details[[#All],[Product_ID]:[Cost]],3,0)</f>
        <v>Home</v>
      </c>
      <c r="J850" s="2" t="str">
        <f>VLOOKUP(Sales_Details2[[#This Row],[Product_ID]],Product_details[[#All],[Product_ID]:[Cost]],4,0)</f>
        <v>Storage</v>
      </c>
      <c r="K850" s="2" t="s">
        <v>1793</v>
      </c>
      <c r="L850" s="2" t="str">
        <f>_xlfn.XLOOKUP(Sales_Details2[[#This Row],[Store_ID]],Table2[Store_ID],Table2[Region],"Region not found")</f>
        <v>East</v>
      </c>
      <c r="M850" s="25">
        <v>4</v>
      </c>
      <c r="N850" s="36">
        <v>883.31</v>
      </c>
      <c r="O850" s="29">
        <v>0.27</v>
      </c>
      <c r="P850" s="2" t="s">
        <v>1807</v>
      </c>
      <c r="Q850" s="36">
        <v>2579.2651999999998</v>
      </c>
    </row>
    <row r="851" spans="1:17" x14ac:dyDescent="0.3">
      <c r="A851" s="2" t="s">
        <v>2658</v>
      </c>
      <c r="B851" s="14">
        <v>45627</v>
      </c>
      <c r="C851" s="2">
        <f>YEAR(Sales_Details2[[#This Row],[Order_Date]])</f>
        <v>2024</v>
      </c>
      <c r="D851" s="2" t="s">
        <v>746</v>
      </c>
      <c r="E851" s="2" t="str">
        <f>VLOOKUP(Sales_Details2[[#This Row],[Customer_ID]],Customer_Details[#All],4,0)</f>
        <v>Mid-Adult</v>
      </c>
      <c r="F851" s="2" t="str">
        <f>VLOOKUP(Sales_Details2[[#This Row],[Customer_ID]],Customer_Details[#All],5,0)</f>
        <v>Female</v>
      </c>
      <c r="G851" s="2" t="str">
        <f>VLOOKUP(Sales_Details2[[#This Row],[Customer_ID]],Customer_Details[#All],9,0)</f>
        <v>Gold</v>
      </c>
      <c r="H851" s="2" t="s">
        <v>1565</v>
      </c>
      <c r="I851" s="2" t="str">
        <f>VLOOKUP(Sales_Details2[[#This Row],[Product_ID]],Product_details[[#All],[Product_ID]:[Cost]],3,0)</f>
        <v>Sports</v>
      </c>
      <c r="J851" s="2" t="str">
        <f>VLOOKUP(Sales_Details2[[#This Row],[Product_ID]],Product_details[[#All],[Product_ID]:[Cost]],4,0)</f>
        <v>Accessories</v>
      </c>
      <c r="K851" s="2" t="s">
        <v>1782</v>
      </c>
      <c r="L851" s="2" t="str">
        <f>_xlfn.XLOOKUP(Sales_Details2[[#This Row],[Store_ID]],Table2[Store_ID],Table2[Region],"Region not found")</f>
        <v>South</v>
      </c>
      <c r="M851" s="25">
        <v>4</v>
      </c>
      <c r="N851" s="36">
        <v>329.06</v>
      </c>
      <c r="O851" s="29">
        <v>0.04</v>
      </c>
      <c r="P851" s="2" t="s">
        <v>1812</v>
      </c>
      <c r="Q851" s="36">
        <v>1263.5904</v>
      </c>
    </row>
    <row r="852" spans="1:17" x14ac:dyDescent="0.3">
      <c r="A852" s="2" t="s">
        <v>2659</v>
      </c>
      <c r="B852" s="14">
        <v>45678</v>
      </c>
      <c r="C852" s="2">
        <f>YEAR(Sales_Details2[[#This Row],[Order_Date]])</f>
        <v>2025</v>
      </c>
      <c r="D852" s="2" t="s">
        <v>367</v>
      </c>
      <c r="E852" s="2" t="str">
        <f>VLOOKUP(Sales_Details2[[#This Row],[Customer_ID]],Customer_Details[#All],4,0)</f>
        <v>Mid-Adult</v>
      </c>
      <c r="F852" s="2" t="str">
        <f>VLOOKUP(Sales_Details2[[#This Row],[Customer_ID]],Customer_Details[#All],5,0)</f>
        <v>Female</v>
      </c>
      <c r="G852" s="2" t="str">
        <f>VLOOKUP(Sales_Details2[[#This Row],[Customer_ID]],Customer_Details[#All],9,0)</f>
        <v>Gold</v>
      </c>
      <c r="H852" s="2" t="s">
        <v>1667</v>
      </c>
      <c r="I852" s="2" t="str">
        <f>VLOOKUP(Sales_Details2[[#This Row],[Product_ID]],Product_details[[#All],[Product_ID]:[Cost]],3,0)</f>
        <v>Home</v>
      </c>
      <c r="J852" s="2" t="str">
        <f>VLOOKUP(Sales_Details2[[#This Row],[Product_ID]],Product_details[[#All],[Product_ID]:[Cost]],4,0)</f>
        <v>Furniture</v>
      </c>
      <c r="K852" s="2" t="s">
        <v>1775</v>
      </c>
      <c r="L852" s="2" t="str">
        <f>_xlfn.XLOOKUP(Sales_Details2[[#This Row],[Store_ID]],Table2[Store_ID],Table2[Region],"Region not found")</f>
        <v>South</v>
      </c>
      <c r="M852" s="25">
        <v>1</v>
      </c>
      <c r="N852" s="36">
        <v>935.78</v>
      </c>
      <c r="O852" s="29">
        <v>0.03</v>
      </c>
      <c r="P852" s="2" t="s">
        <v>1809</v>
      </c>
      <c r="Q852" s="36">
        <v>907.70659999999998</v>
      </c>
    </row>
    <row r="853" spans="1:17" x14ac:dyDescent="0.3">
      <c r="A853" s="2" t="s">
        <v>2660</v>
      </c>
      <c r="B853" s="14">
        <v>45484</v>
      </c>
      <c r="C853" s="2">
        <f>YEAR(Sales_Details2[[#This Row],[Order_Date]])</f>
        <v>2024</v>
      </c>
      <c r="D853" s="2" t="s">
        <v>998</v>
      </c>
      <c r="E853" s="2" t="str">
        <f>VLOOKUP(Sales_Details2[[#This Row],[Customer_ID]],Customer_Details[#All],4,0)</f>
        <v>Mid-Adult</v>
      </c>
      <c r="F853" s="2" t="str">
        <f>VLOOKUP(Sales_Details2[[#This Row],[Customer_ID]],Customer_Details[#All],5,0)</f>
        <v>Female</v>
      </c>
      <c r="G853" s="2" t="str">
        <f>VLOOKUP(Sales_Details2[[#This Row],[Customer_ID]],Customer_Details[#All],9,0)</f>
        <v>Bronze</v>
      </c>
      <c r="H853" s="2" t="s">
        <v>1651</v>
      </c>
      <c r="I853" s="2" t="str">
        <f>VLOOKUP(Sales_Details2[[#This Row],[Product_ID]],Product_details[[#All],[Product_ID]:[Cost]],3,0)</f>
        <v>Beauty</v>
      </c>
      <c r="J853" s="2" t="str">
        <f>VLOOKUP(Sales_Details2[[#This Row],[Product_ID]],Product_details[[#All],[Product_ID]:[Cost]],4,0)</f>
        <v>Fragrance</v>
      </c>
      <c r="K853" s="2" t="s">
        <v>1772</v>
      </c>
      <c r="L853" s="2" t="str">
        <f>_xlfn.XLOOKUP(Sales_Details2[[#This Row],[Store_ID]],Table2[Store_ID],Table2[Region],"Region not found")</f>
        <v>East</v>
      </c>
      <c r="M853" s="25">
        <v>4</v>
      </c>
      <c r="N853" s="36">
        <v>597.79999999999995</v>
      </c>
      <c r="O853" s="29">
        <v>0.2</v>
      </c>
      <c r="P853" s="2" t="s">
        <v>1807</v>
      </c>
      <c r="Q853" s="36">
        <v>1912.96</v>
      </c>
    </row>
    <row r="854" spans="1:17" x14ac:dyDescent="0.3">
      <c r="A854" s="2" t="s">
        <v>2661</v>
      </c>
      <c r="B854" s="14">
        <v>45700</v>
      </c>
      <c r="C854" s="2">
        <f>YEAR(Sales_Details2[[#This Row],[Order_Date]])</f>
        <v>2025</v>
      </c>
      <c r="D854" s="2" t="s">
        <v>820</v>
      </c>
      <c r="E854" s="2" t="str">
        <f>VLOOKUP(Sales_Details2[[#This Row],[Customer_ID]],Customer_Details[#All],4,0)</f>
        <v>Mid-Adult</v>
      </c>
      <c r="F854" s="2" t="str">
        <f>VLOOKUP(Sales_Details2[[#This Row],[Customer_ID]],Customer_Details[#All],5,0)</f>
        <v>Female</v>
      </c>
      <c r="G854" s="2" t="str">
        <f>VLOOKUP(Sales_Details2[[#This Row],[Customer_ID]],Customer_Details[#All],9,0)</f>
        <v>Silver</v>
      </c>
      <c r="H854" s="2" t="s">
        <v>1557</v>
      </c>
      <c r="I854" s="2" t="str">
        <f>VLOOKUP(Sales_Details2[[#This Row],[Product_ID]],Product_details[[#All],[Product_ID]:[Cost]],3,0)</f>
        <v>Electronics</v>
      </c>
      <c r="J854" s="2" t="str">
        <f>VLOOKUP(Sales_Details2[[#This Row],[Product_ID]],Product_details[[#All],[Product_ID]:[Cost]],4,0)</f>
        <v>Accessories</v>
      </c>
      <c r="K854" s="2" t="s">
        <v>1793</v>
      </c>
      <c r="L854" s="2" t="str">
        <f>_xlfn.XLOOKUP(Sales_Details2[[#This Row],[Store_ID]],Table2[Store_ID],Table2[Region],"Region not found")</f>
        <v>East</v>
      </c>
      <c r="M854" s="25">
        <v>4</v>
      </c>
      <c r="N854" s="36">
        <v>266.98</v>
      </c>
      <c r="O854" s="29">
        <v>0.16</v>
      </c>
      <c r="P854" s="2" t="s">
        <v>1807</v>
      </c>
      <c r="Q854" s="36">
        <v>897.05280000000005</v>
      </c>
    </row>
    <row r="855" spans="1:17" x14ac:dyDescent="0.3">
      <c r="A855" s="2" t="s">
        <v>2662</v>
      </c>
      <c r="B855" s="14">
        <v>45873</v>
      </c>
      <c r="C855" s="2">
        <f>YEAR(Sales_Details2[[#This Row],[Order_Date]])</f>
        <v>2025</v>
      </c>
      <c r="D855" s="2" t="s">
        <v>1252</v>
      </c>
      <c r="E855" s="2" t="str">
        <f>VLOOKUP(Sales_Details2[[#This Row],[Customer_ID]],Customer_Details[#All],4,0)</f>
        <v>Mid-Adult</v>
      </c>
      <c r="F855" s="2" t="str">
        <f>VLOOKUP(Sales_Details2[[#This Row],[Customer_ID]],Customer_Details[#All],5,0)</f>
        <v>Male</v>
      </c>
      <c r="G855" s="2" t="str">
        <f>VLOOKUP(Sales_Details2[[#This Row],[Customer_ID]],Customer_Details[#All],9,0)</f>
        <v>Gold</v>
      </c>
      <c r="H855" s="2" t="s">
        <v>1671</v>
      </c>
      <c r="I855" s="2" t="str">
        <f>VLOOKUP(Sales_Details2[[#This Row],[Product_ID]],Product_details[[#All],[Product_ID]:[Cost]],3,0)</f>
        <v>Home</v>
      </c>
      <c r="J855" s="2" t="str">
        <f>VLOOKUP(Sales_Details2[[#This Row],[Product_ID]],Product_details[[#All],[Product_ID]:[Cost]],4,0)</f>
        <v>Storage</v>
      </c>
      <c r="K855" s="2" t="s">
        <v>1784</v>
      </c>
      <c r="L855" s="2" t="str">
        <f>_xlfn.XLOOKUP(Sales_Details2[[#This Row],[Store_ID]],Table2[Store_ID],Table2[Region],"Region not found")</f>
        <v>North</v>
      </c>
      <c r="M855" s="25">
        <v>3</v>
      </c>
      <c r="N855" s="36">
        <v>360.18</v>
      </c>
      <c r="O855" s="29">
        <v>0.03</v>
      </c>
      <c r="P855" s="2" t="s">
        <v>1807</v>
      </c>
      <c r="Q855" s="36">
        <v>1048.1238000000001</v>
      </c>
    </row>
    <row r="856" spans="1:17" x14ac:dyDescent="0.3">
      <c r="A856" s="2" t="s">
        <v>2663</v>
      </c>
      <c r="B856" s="14">
        <v>45860</v>
      </c>
      <c r="C856" s="2">
        <f>YEAR(Sales_Details2[[#This Row],[Order_Date]])</f>
        <v>2025</v>
      </c>
      <c r="D856" s="2" t="s">
        <v>1123</v>
      </c>
      <c r="E856" s="2" t="str">
        <f>VLOOKUP(Sales_Details2[[#This Row],[Customer_ID]],Customer_Details[#All],4,0)</f>
        <v>Adult</v>
      </c>
      <c r="F856" s="2" t="str">
        <f>VLOOKUP(Sales_Details2[[#This Row],[Customer_ID]],Customer_Details[#All],5,0)</f>
        <v>Male</v>
      </c>
      <c r="G856" s="2" t="str">
        <f>VLOOKUP(Sales_Details2[[#This Row],[Customer_ID]],Customer_Details[#All],9,0)</f>
        <v>Bronze</v>
      </c>
      <c r="H856" s="2" t="s">
        <v>1643</v>
      </c>
      <c r="I856" s="2" t="str">
        <f>VLOOKUP(Sales_Details2[[#This Row],[Product_ID]],Product_details[[#All],[Product_ID]:[Cost]],3,0)</f>
        <v>Home</v>
      </c>
      <c r="J856" s="2" t="str">
        <f>VLOOKUP(Sales_Details2[[#This Row],[Product_ID]],Product_details[[#All],[Product_ID]:[Cost]],4,0)</f>
        <v>Decor</v>
      </c>
      <c r="K856" s="2" t="s">
        <v>1735</v>
      </c>
      <c r="L856" s="2" t="str">
        <f>_xlfn.XLOOKUP(Sales_Details2[[#This Row],[Store_ID]],Table2[Store_ID],Table2[Region],"Region not found")</f>
        <v>East</v>
      </c>
      <c r="M856" s="25">
        <v>3</v>
      </c>
      <c r="N856" s="36">
        <v>247.41</v>
      </c>
      <c r="O856" s="29">
        <v>0.05</v>
      </c>
      <c r="P856" s="2" t="s">
        <v>1812</v>
      </c>
      <c r="Q856" s="36">
        <v>705.11850000000004</v>
      </c>
    </row>
    <row r="857" spans="1:17" x14ac:dyDescent="0.3">
      <c r="A857" s="2" t="s">
        <v>2664</v>
      </c>
      <c r="B857" s="14">
        <v>45235</v>
      </c>
      <c r="C857" s="2">
        <f>YEAR(Sales_Details2[[#This Row],[Order_Date]])</f>
        <v>2023</v>
      </c>
      <c r="D857" s="2" t="s">
        <v>281</v>
      </c>
      <c r="E857" s="2" t="str">
        <f>VLOOKUP(Sales_Details2[[#This Row],[Customer_ID]],Customer_Details[#All],4,0)</f>
        <v>Adult</v>
      </c>
      <c r="F857" s="2" t="str">
        <f>VLOOKUP(Sales_Details2[[#This Row],[Customer_ID]],Customer_Details[#All],5,0)</f>
        <v>Male</v>
      </c>
      <c r="G857" s="2" t="str">
        <f>VLOOKUP(Sales_Details2[[#This Row],[Customer_ID]],Customer_Details[#All],9,0)</f>
        <v>Gold</v>
      </c>
      <c r="H857" s="2" t="s">
        <v>1621</v>
      </c>
      <c r="I857" s="2" t="str">
        <f>VLOOKUP(Sales_Details2[[#This Row],[Product_ID]],Product_details[[#All],[Product_ID]:[Cost]],3,0)</f>
        <v>Sports</v>
      </c>
      <c r="J857" s="2" t="str">
        <f>VLOOKUP(Sales_Details2[[#This Row],[Product_ID]],Product_details[[#All],[Product_ID]:[Cost]],4,0)</f>
        <v>Team Sports</v>
      </c>
      <c r="K857" s="2" t="s">
        <v>1784</v>
      </c>
      <c r="L857" s="2" t="str">
        <f>_xlfn.XLOOKUP(Sales_Details2[[#This Row],[Store_ID]],Table2[Store_ID],Table2[Region],"Region not found")</f>
        <v>North</v>
      </c>
      <c r="M857" s="25">
        <v>3</v>
      </c>
      <c r="N857" s="36">
        <v>674.66</v>
      </c>
      <c r="O857" s="29">
        <v>0.23</v>
      </c>
      <c r="P857" s="2" t="s">
        <v>1807</v>
      </c>
      <c r="Q857" s="36">
        <v>1558.4646</v>
      </c>
    </row>
    <row r="858" spans="1:17" x14ac:dyDescent="0.3">
      <c r="A858" s="2" t="s">
        <v>2665</v>
      </c>
      <c r="B858" s="14">
        <v>45874</v>
      </c>
      <c r="C858" s="2">
        <f>YEAR(Sales_Details2[[#This Row],[Order_Date]])</f>
        <v>2025</v>
      </c>
      <c r="D858" s="2" t="s">
        <v>1275</v>
      </c>
      <c r="E858" s="2" t="str">
        <f>VLOOKUP(Sales_Details2[[#This Row],[Customer_ID]],Customer_Details[#All],4,0)</f>
        <v>Adult</v>
      </c>
      <c r="F858" s="2" t="str">
        <f>VLOOKUP(Sales_Details2[[#This Row],[Customer_ID]],Customer_Details[#All],5,0)</f>
        <v>Female</v>
      </c>
      <c r="G858" s="2" t="str">
        <f>VLOOKUP(Sales_Details2[[#This Row],[Customer_ID]],Customer_Details[#All],9,0)</f>
        <v>Silver</v>
      </c>
      <c r="H858" s="2" t="s">
        <v>1615</v>
      </c>
      <c r="I858" s="2" t="str">
        <f>VLOOKUP(Sales_Details2[[#This Row],[Product_ID]],Product_details[[#All],[Product_ID]:[Cost]],3,0)</f>
        <v>Electronics</v>
      </c>
      <c r="J858" s="2" t="str">
        <f>VLOOKUP(Sales_Details2[[#This Row],[Product_ID]],Product_details[[#All],[Product_ID]:[Cost]],4,0)</f>
        <v>Accessories</v>
      </c>
      <c r="K858" s="2" t="s">
        <v>1752</v>
      </c>
      <c r="L858" s="2" t="str">
        <f>_xlfn.XLOOKUP(Sales_Details2[[#This Row],[Store_ID]],Table2[Store_ID],Table2[Region],"Region not found")</f>
        <v>South</v>
      </c>
      <c r="M858" s="25">
        <v>1</v>
      </c>
      <c r="N858" s="36">
        <v>913.98</v>
      </c>
      <c r="O858" s="29">
        <v>0.27</v>
      </c>
      <c r="P858" s="2" t="s">
        <v>1809</v>
      </c>
      <c r="Q858" s="36">
        <v>667.20539999999994</v>
      </c>
    </row>
    <row r="859" spans="1:17" x14ac:dyDescent="0.3">
      <c r="A859" s="2" t="s">
        <v>2666</v>
      </c>
      <c r="B859" s="14">
        <v>45769</v>
      </c>
      <c r="C859" s="2">
        <f>YEAR(Sales_Details2[[#This Row],[Order_Date]])</f>
        <v>2025</v>
      </c>
      <c r="D859" s="2" t="s">
        <v>980</v>
      </c>
      <c r="E859" s="2" t="str">
        <f>VLOOKUP(Sales_Details2[[#This Row],[Customer_ID]],Customer_Details[#All],4,0)</f>
        <v>Senior</v>
      </c>
      <c r="F859" s="2" t="str">
        <f>VLOOKUP(Sales_Details2[[#This Row],[Customer_ID]],Customer_Details[#All],5,0)</f>
        <v>Female</v>
      </c>
      <c r="G859" s="2" t="str">
        <f>VLOOKUP(Sales_Details2[[#This Row],[Customer_ID]],Customer_Details[#All],9,0)</f>
        <v>Silver</v>
      </c>
      <c r="H859" s="2" t="s">
        <v>1717</v>
      </c>
      <c r="I859" s="2" t="str">
        <f>VLOOKUP(Sales_Details2[[#This Row],[Product_ID]],Product_details[[#All],[Product_ID]:[Cost]],3,0)</f>
        <v>Electronics</v>
      </c>
      <c r="J859" s="2" t="str">
        <f>VLOOKUP(Sales_Details2[[#This Row],[Product_ID]],Product_details[[#All],[Product_ID]:[Cost]],4,0)</f>
        <v>Computer</v>
      </c>
      <c r="K859" s="2" t="s">
        <v>1772</v>
      </c>
      <c r="L859" s="2" t="str">
        <f>_xlfn.XLOOKUP(Sales_Details2[[#This Row],[Store_ID]],Table2[Store_ID],Table2[Region],"Region not found")</f>
        <v>East</v>
      </c>
      <c r="M859" s="25">
        <v>4</v>
      </c>
      <c r="N859" s="36">
        <v>370.5</v>
      </c>
      <c r="O859" s="29">
        <v>0.13</v>
      </c>
      <c r="P859" s="2" t="s">
        <v>1809</v>
      </c>
      <c r="Q859" s="36">
        <v>1289.3399999999999</v>
      </c>
    </row>
    <row r="860" spans="1:17" x14ac:dyDescent="0.3">
      <c r="A860" s="2" t="s">
        <v>2667</v>
      </c>
      <c r="B860" s="14">
        <v>45619</v>
      </c>
      <c r="C860" s="2">
        <f>YEAR(Sales_Details2[[#This Row],[Order_Date]])</f>
        <v>2024</v>
      </c>
      <c r="D860" s="2" t="s">
        <v>1109</v>
      </c>
      <c r="E860" s="2" t="str">
        <f>VLOOKUP(Sales_Details2[[#This Row],[Customer_ID]],Customer_Details[#All],4,0)</f>
        <v>Senior</v>
      </c>
      <c r="F860" s="2" t="str">
        <f>VLOOKUP(Sales_Details2[[#This Row],[Customer_ID]],Customer_Details[#All],5,0)</f>
        <v>Female</v>
      </c>
      <c r="G860" s="2" t="str">
        <f>VLOOKUP(Sales_Details2[[#This Row],[Customer_ID]],Customer_Details[#All],9,0)</f>
        <v>Gold</v>
      </c>
      <c r="H860" s="2" t="s">
        <v>1675</v>
      </c>
      <c r="I860" s="2" t="str">
        <f>VLOOKUP(Sales_Details2[[#This Row],[Product_ID]],Product_details[[#All],[Product_ID]:[Cost]],3,0)</f>
        <v>Sports</v>
      </c>
      <c r="J860" s="2" t="str">
        <f>VLOOKUP(Sales_Details2[[#This Row],[Product_ID]],Product_details[[#All],[Product_ID]:[Cost]],4,0)</f>
        <v>Fitness</v>
      </c>
      <c r="K860" s="2" t="s">
        <v>1780</v>
      </c>
      <c r="L860" s="2" t="str">
        <f>_xlfn.XLOOKUP(Sales_Details2[[#This Row],[Store_ID]],Table2[Store_ID],Table2[Region],"Region not found")</f>
        <v>East</v>
      </c>
      <c r="M860" s="25">
        <v>1</v>
      </c>
      <c r="N860" s="36">
        <v>735.1</v>
      </c>
      <c r="O860" s="29">
        <v>0.1</v>
      </c>
      <c r="P860" s="2" t="s">
        <v>1809</v>
      </c>
      <c r="Q860" s="36">
        <v>661.59</v>
      </c>
    </row>
    <row r="861" spans="1:17" x14ac:dyDescent="0.3">
      <c r="A861" s="2" t="s">
        <v>2668</v>
      </c>
      <c r="B861" s="14">
        <v>45614</v>
      </c>
      <c r="C861" s="2">
        <f>YEAR(Sales_Details2[[#This Row],[Order_Date]])</f>
        <v>2024</v>
      </c>
      <c r="D861" s="2" t="s">
        <v>456</v>
      </c>
      <c r="E861" s="2" t="str">
        <f>VLOOKUP(Sales_Details2[[#This Row],[Customer_ID]],Customer_Details[#All],4,0)</f>
        <v>Mid-Adult</v>
      </c>
      <c r="F861" s="2" t="str">
        <f>VLOOKUP(Sales_Details2[[#This Row],[Customer_ID]],Customer_Details[#All],5,0)</f>
        <v>Female</v>
      </c>
      <c r="G861" s="2" t="str">
        <f>VLOOKUP(Sales_Details2[[#This Row],[Customer_ID]],Customer_Details[#All],9,0)</f>
        <v>Platinum</v>
      </c>
      <c r="H861" s="2" t="s">
        <v>1689</v>
      </c>
      <c r="I861" s="2" t="str">
        <f>VLOOKUP(Sales_Details2[[#This Row],[Product_ID]],Product_details[[#All],[Product_ID]:[Cost]],3,0)</f>
        <v>Home</v>
      </c>
      <c r="J861" s="2" t="str">
        <f>VLOOKUP(Sales_Details2[[#This Row],[Product_ID]],Product_details[[#All],[Product_ID]:[Cost]],4,0)</f>
        <v>Lighting</v>
      </c>
      <c r="K861" s="2" t="s">
        <v>1744</v>
      </c>
      <c r="L861" s="2" t="str">
        <f>_xlfn.XLOOKUP(Sales_Details2[[#This Row],[Store_ID]],Table2[Store_ID],Table2[Region],"Region not found")</f>
        <v>South</v>
      </c>
      <c r="M861" s="25">
        <v>3</v>
      </c>
      <c r="N861" s="36">
        <v>448.55</v>
      </c>
      <c r="O861" s="29">
        <v>0.05</v>
      </c>
      <c r="P861" s="2" t="s">
        <v>1807</v>
      </c>
      <c r="Q861" s="36">
        <v>1278.3675000000001</v>
      </c>
    </row>
    <row r="862" spans="1:17" x14ac:dyDescent="0.3">
      <c r="A862" s="2" t="s">
        <v>2669</v>
      </c>
      <c r="B862" s="14">
        <v>45691</v>
      </c>
      <c r="C862" s="2">
        <f>YEAR(Sales_Details2[[#This Row],[Order_Date]])</f>
        <v>2025</v>
      </c>
      <c r="D862" s="2" t="s">
        <v>218</v>
      </c>
      <c r="E862" s="2" t="str">
        <f>VLOOKUP(Sales_Details2[[#This Row],[Customer_ID]],Customer_Details[#All],4,0)</f>
        <v>Senior</v>
      </c>
      <c r="F862" s="2" t="str">
        <f>VLOOKUP(Sales_Details2[[#This Row],[Customer_ID]],Customer_Details[#All],5,0)</f>
        <v>Male</v>
      </c>
      <c r="G862" s="2" t="str">
        <f>VLOOKUP(Sales_Details2[[#This Row],[Customer_ID]],Customer_Details[#All],9,0)</f>
        <v>Platinum</v>
      </c>
      <c r="H862" s="2" t="s">
        <v>1699</v>
      </c>
      <c r="I862" s="2" t="str">
        <f>VLOOKUP(Sales_Details2[[#This Row],[Product_ID]],Product_details[[#All],[Product_ID]:[Cost]],3,0)</f>
        <v>Home</v>
      </c>
      <c r="J862" s="2" t="str">
        <f>VLOOKUP(Sales_Details2[[#This Row],[Product_ID]],Product_details[[#All],[Product_ID]:[Cost]],4,0)</f>
        <v>Furniture</v>
      </c>
      <c r="K862" s="2" t="s">
        <v>1780</v>
      </c>
      <c r="L862" s="2" t="str">
        <f>_xlfn.XLOOKUP(Sales_Details2[[#This Row],[Store_ID]],Table2[Store_ID],Table2[Region],"Region not found")</f>
        <v>East</v>
      </c>
      <c r="M862" s="25">
        <v>3</v>
      </c>
      <c r="N862" s="36">
        <v>904.96</v>
      </c>
      <c r="O862" s="29">
        <v>7.0000000000000007E-2</v>
      </c>
      <c r="P862" s="2" t="s">
        <v>1812</v>
      </c>
      <c r="Q862" s="36">
        <v>2524.8384000000001</v>
      </c>
    </row>
    <row r="863" spans="1:17" x14ac:dyDescent="0.3">
      <c r="A863" s="2" t="s">
        <v>2670</v>
      </c>
      <c r="B863" s="14">
        <v>45608</v>
      </c>
      <c r="C863" s="2">
        <f>YEAR(Sales_Details2[[#This Row],[Order_Date]])</f>
        <v>2024</v>
      </c>
      <c r="D863" s="2" t="s">
        <v>1174</v>
      </c>
      <c r="E863" s="2" t="str">
        <f>VLOOKUP(Sales_Details2[[#This Row],[Customer_ID]],Customer_Details[#All],4,0)</f>
        <v>Adult</v>
      </c>
      <c r="F863" s="2" t="str">
        <f>VLOOKUP(Sales_Details2[[#This Row],[Customer_ID]],Customer_Details[#All],5,0)</f>
        <v>Male</v>
      </c>
      <c r="G863" s="2" t="str">
        <f>VLOOKUP(Sales_Details2[[#This Row],[Customer_ID]],Customer_Details[#All],9,0)</f>
        <v>Gold</v>
      </c>
      <c r="H863" s="2" t="s">
        <v>1667</v>
      </c>
      <c r="I863" s="2" t="str">
        <f>VLOOKUP(Sales_Details2[[#This Row],[Product_ID]],Product_details[[#All],[Product_ID]:[Cost]],3,0)</f>
        <v>Home</v>
      </c>
      <c r="J863" s="2" t="str">
        <f>VLOOKUP(Sales_Details2[[#This Row],[Product_ID]],Product_details[[#All],[Product_ID]:[Cost]],4,0)</f>
        <v>Furniture</v>
      </c>
      <c r="K863" s="2" t="s">
        <v>1780</v>
      </c>
      <c r="L863" s="2" t="str">
        <f>_xlfn.XLOOKUP(Sales_Details2[[#This Row],[Store_ID]],Table2[Store_ID],Table2[Region],"Region not found")</f>
        <v>East</v>
      </c>
      <c r="M863" s="25">
        <v>4</v>
      </c>
      <c r="N863" s="36">
        <v>408.72</v>
      </c>
      <c r="O863" s="29">
        <v>0.16</v>
      </c>
      <c r="P863" s="2" t="s">
        <v>1812</v>
      </c>
      <c r="Q863" s="36">
        <v>1373.2991999999999</v>
      </c>
    </row>
    <row r="864" spans="1:17" x14ac:dyDescent="0.3">
      <c r="A864" s="2" t="s">
        <v>2671</v>
      </c>
      <c r="B864" s="14">
        <v>45412</v>
      </c>
      <c r="C864" s="2">
        <f>YEAR(Sales_Details2[[#This Row],[Order_Date]])</f>
        <v>2024</v>
      </c>
      <c r="D864" s="2" t="s">
        <v>888</v>
      </c>
      <c r="E864" s="2" t="str">
        <f>VLOOKUP(Sales_Details2[[#This Row],[Customer_ID]],Customer_Details[#All],4,0)</f>
        <v>Mid-Adult</v>
      </c>
      <c r="F864" s="2" t="str">
        <f>VLOOKUP(Sales_Details2[[#This Row],[Customer_ID]],Customer_Details[#All],5,0)</f>
        <v>Female</v>
      </c>
      <c r="G864" s="2" t="str">
        <f>VLOOKUP(Sales_Details2[[#This Row],[Customer_ID]],Customer_Details[#All],9,0)</f>
        <v>Gold</v>
      </c>
      <c r="H864" s="2" t="s">
        <v>1673</v>
      </c>
      <c r="I864" s="2" t="str">
        <f>VLOOKUP(Sales_Details2[[#This Row],[Product_ID]],Product_details[[#All],[Product_ID]:[Cost]],3,0)</f>
        <v>Beauty</v>
      </c>
      <c r="J864" s="2" t="str">
        <f>VLOOKUP(Sales_Details2[[#This Row],[Product_ID]],Product_details[[#All],[Product_ID]:[Cost]],4,0)</f>
        <v>Haircare</v>
      </c>
      <c r="K864" s="2" t="s">
        <v>1749</v>
      </c>
      <c r="L864" s="2" t="str">
        <f>_xlfn.XLOOKUP(Sales_Details2[[#This Row],[Store_ID]],Table2[Store_ID],Table2[Region],"Region not found")</f>
        <v>North</v>
      </c>
      <c r="M864" s="25">
        <v>4</v>
      </c>
      <c r="N864" s="36">
        <v>770.65</v>
      </c>
      <c r="O864" s="29">
        <v>0.27</v>
      </c>
      <c r="P864" s="2" t="s">
        <v>1807</v>
      </c>
      <c r="Q864" s="36">
        <v>2250.2979999999998</v>
      </c>
    </row>
    <row r="865" spans="1:17" x14ac:dyDescent="0.3">
      <c r="A865" s="2" t="s">
        <v>2672</v>
      </c>
      <c r="B865" s="14">
        <v>45767</v>
      </c>
      <c r="C865" s="2">
        <f>YEAR(Sales_Details2[[#This Row],[Order_Date]])</f>
        <v>2025</v>
      </c>
      <c r="D865" s="2" t="s">
        <v>657</v>
      </c>
      <c r="E865" s="2" t="str">
        <f>VLOOKUP(Sales_Details2[[#This Row],[Customer_ID]],Customer_Details[#All],4,0)</f>
        <v>Mid-Adult</v>
      </c>
      <c r="F865" s="2" t="str">
        <f>VLOOKUP(Sales_Details2[[#This Row],[Customer_ID]],Customer_Details[#All],5,0)</f>
        <v>Male</v>
      </c>
      <c r="G865" s="2" t="str">
        <f>VLOOKUP(Sales_Details2[[#This Row],[Customer_ID]],Customer_Details[#All],9,0)</f>
        <v>Platinum</v>
      </c>
      <c r="H865" s="2" t="s">
        <v>1591</v>
      </c>
      <c r="I865" s="2" t="str">
        <f>VLOOKUP(Sales_Details2[[#This Row],[Product_ID]],Product_details[[#All],[Product_ID]:[Cost]],3,0)</f>
        <v>Home</v>
      </c>
      <c r="J865" s="2" t="str">
        <f>VLOOKUP(Sales_Details2[[#This Row],[Product_ID]],Product_details[[#All],[Product_ID]:[Cost]],4,0)</f>
        <v>Kitchen</v>
      </c>
      <c r="K865" s="2" t="s">
        <v>1759</v>
      </c>
      <c r="L865" s="2" t="str">
        <f>_xlfn.XLOOKUP(Sales_Details2[[#This Row],[Store_ID]],Table2[Store_ID],Table2[Region],"Region not found")</f>
        <v>East</v>
      </c>
      <c r="M865" s="25">
        <v>1</v>
      </c>
      <c r="N865" s="36">
        <v>649.22</v>
      </c>
      <c r="O865" s="29">
        <v>0.03</v>
      </c>
      <c r="P865" s="2" t="s">
        <v>1812</v>
      </c>
      <c r="Q865" s="36">
        <v>629.74340000000007</v>
      </c>
    </row>
    <row r="866" spans="1:17" x14ac:dyDescent="0.3">
      <c r="A866" s="2" t="s">
        <v>2673</v>
      </c>
      <c r="B866" s="14">
        <v>45428</v>
      </c>
      <c r="C866" s="2">
        <f>YEAR(Sales_Details2[[#This Row],[Order_Date]])</f>
        <v>2024</v>
      </c>
      <c r="D866" s="2" t="s">
        <v>1080</v>
      </c>
      <c r="E866" s="2" t="str">
        <f>VLOOKUP(Sales_Details2[[#This Row],[Customer_ID]],Customer_Details[#All],4,0)</f>
        <v>Senior</v>
      </c>
      <c r="F866" s="2" t="str">
        <f>VLOOKUP(Sales_Details2[[#This Row],[Customer_ID]],Customer_Details[#All],5,0)</f>
        <v>Male</v>
      </c>
      <c r="G866" s="2" t="str">
        <f>VLOOKUP(Sales_Details2[[#This Row],[Customer_ID]],Customer_Details[#All],9,0)</f>
        <v>Silver</v>
      </c>
      <c r="H866" s="2" t="s">
        <v>1597</v>
      </c>
      <c r="I866" s="2" t="str">
        <f>VLOOKUP(Sales_Details2[[#This Row],[Product_ID]],Product_details[[#All],[Product_ID]:[Cost]],3,0)</f>
        <v>Home</v>
      </c>
      <c r="J866" s="2" t="str">
        <f>VLOOKUP(Sales_Details2[[#This Row],[Product_ID]],Product_details[[#All],[Product_ID]:[Cost]],4,0)</f>
        <v>Decor</v>
      </c>
      <c r="K866" s="2" t="s">
        <v>1772</v>
      </c>
      <c r="L866" s="2" t="str">
        <f>_xlfn.XLOOKUP(Sales_Details2[[#This Row],[Store_ID]],Table2[Store_ID],Table2[Region],"Region not found")</f>
        <v>East</v>
      </c>
      <c r="M866" s="25">
        <v>2</v>
      </c>
      <c r="N866" s="36">
        <v>379.78</v>
      </c>
      <c r="O866" s="29">
        <v>0.2</v>
      </c>
      <c r="P866" s="2" t="s">
        <v>1807</v>
      </c>
      <c r="Q866" s="36">
        <v>607.64800000000002</v>
      </c>
    </row>
    <row r="867" spans="1:17" x14ac:dyDescent="0.3">
      <c r="A867" s="2" t="s">
        <v>2674</v>
      </c>
      <c r="B867" s="14">
        <v>45770</v>
      </c>
      <c r="C867" s="2">
        <f>YEAR(Sales_Details2[[#This Row],[Order_Date]])</f>
        <v>2025</v>
      </c>
      <c r="D867" s="2" t="s">
        <v>788</v>
      </c>
      <c r="E867" s="2" t="str">
        <f>VLOOKUP(Sales_Details2[[#This Row],[Customer_ID]],Customer_Details[#All],4,0)</f>
        <v>Adult</v>
      </c>
      <c r="F867" s="2" t="str">
        <f>VLOOKUP(Sales_Details2[[#This Row],[Customer_ID]],Customer_Details[#All],5,0)</f>
        <v>Male</v>
      </c>
      <c r="G867" s="2" t="str">
        <f>VLOOKUP(Sales_Details2[[#This Row],[Customer_ID]],Customer_Details[#All],9,0)</f>
        <v>Gold</v>
      </c>
      <c r="H867" s="2" t="s">
        <v>1617</v>
      </c>
      <c r="I867" s="2" t="str">
        <f>VLOOKUP(Sales_Details2[[#This Row],[Product_ID]],Product_details[[#All],[Product_ID]:[Cost]],3,0)</f>
        <v>Electronics</v>
      </c>
      <c r="J867" s="2" t="str">
        <f>VLOOKUP(Sales_Details2[[#This Row],[Product_ID]],Product_details[[#All],[Product_ID]:[Cost]],4,0)</f>
        <v>Computer</v>
      </c>
      <c r="K867" s="2" t="s">
        <v>1765</v>
      </c>
      <c r="L867" s="2" t="str">
        <f>_xlfn.XLOOKUP(Sales_Details2[[#This Row],[Store_ID]],Table2[Store_ID],Table2[Region],"Region not found")</f>
        <v>West</v>
      </c>
      <c r="M867" s="25">
        <v>3</v>
      </c>
      <c r="N867" s="36">
        <v>924.15</v>
      </c>
      <c r="O867" s="29">
        <v>0.1</v>
      </c>
      <c r="P867" s="2" t="s">
        <v>1809</v>
      </c>
      <c r="Q867" s="36">
        <v>2495.2049999999999</v>
      </c>
    </row>
    <row r="868" spans="1:17" x14ac:dyDescent="0.3">
      <c r="A868" s="2" t="s">
        <v>2675</v>
      </c>
      <c r="B868" s="14">
        <v>45571</v>
      </c>
      <c r="C868" s="2">
        <f>YEAR(Sales_Details2[[#This Row],[Order_Date]])</f>
        <v>2024</v>
      </c>
      <c r="D868" s="2" t="s">
        <v>1430</v>
      </c>
      <c r="E868" s="2" t="str">
        <f>VLOOKUP(Sales_Details2[[#This Row],[Customer_ID]],Customer_Details[#All],4,0)</f>
        <v>Adult</v>
      </c>
      <c r="F868" s="2" t="str">
        <f>VLOOKUP(Sales_Details2[[#This Row],[Customer_ID]],Customer_Details[#All],5,0)</f>
        <v>Male</v>
      </c>
      <c r="G868" s="2" t="str">
        <f>VLOOKUP(Sales_Details2[[#This Row],[Customer_ID]],Customer_Details[#All],9,0)</f>
        <v>Gold</v>
      </c>
      <c r="H868" s="2" t="s">
        <v>1621</v>
      </c>
      <c r="I868" s="2" t="str">
        <f>VLOOKUP(Sales_Details2[[#This Row],[Product_ID]],Product_details[[#All],[Product_ID]:[Cost]],3,0)</f>
        <v>Sports</v>
      </c>
      <c r="J868" s="2" t="str">
        <f>VLOOKUP(Sales_Details2[[#This Row],[Product_ID]],Product_details[[#All],[Product_ID]:[Cost]],4,0)</f>
        <v>Team Sports</v>
      </c>
      <c r="K868" s="2" t="s">
        <v>1790</v>
      </c>
      <c r="L868" s="2" t="str">
        <f>_xlfn.XLOOKUP(Sales_Details2[[#This Row],[Store_ID]],Table2[Store_ID],Table2[Region],"Region not found")</f>
        <v>North</v>
      </c>
      <c r="M868" s="25">
        <v>3</v>
      </c>
      <c r="N868" s="36">
        <v>144.66999999999999</v>
      </c>
      <c r="O868" s="29">
        <v>0.28999999999999998</v>
      </c>
      <c r="P868" s="2" t="s">
        <v>1812</v>
      </c>
      <c r="Q868" s="36">
        <v>308.14710000000002</v>
      </c>
    </row>
    <row r="869" spans="1:17" x14ac:dyDescent="0.3">
      <c r="A869" s="2" t="s">
        <v>2676</v>
      </c>
      <c r="B869" s="14">
        <v>45700</v>
      </c>
      <c r="C869" s="2">
        <f>YEAR(Sales_Details2[[#This Row],[Order_Date]])</f>
        <v>2025</v>
      </c>
      <c r="D869" s="2" t="s">
        <v>414</v>
      </c>
      <c r="E869" s="2" t="str">
        <f>VLOOKUP(Sales_Details2[[#This Row],[Customer_ID]],Customer_Details[#All],4,0)</f>
        <v>Senior</v>
      </c>
      <c r="F869" s="2" t="str">
        <f>VLOOKUP(Sales_Details2[[#This Row],[Customer_ID]],Customer_Details[#All],5,0)</f>
        <v>Male</v>
      </c>
      <c r="G869" s="2" t="str">
        <f>VLOOKUP(Sales_Details2[[#This Row],[Customer_ID]],Customer_Details[#All],9,0)</f>
        <v>Platinum</v>
      </c>
      <c r="H869" s="2" t="s">
        <v>1597</v>
      </c>
      <c r="I869" s="2" t="str">
        <f>VLOOKUP(Sales_Details2[[#This Row],[Product_ID]],Product_details[[#All],[Product_ID]:[Cost]],3,0)</f>
        <v>Home</v>
      </c>
      <c r="J869" s="2" t="str">
        <f>VLOOKUP(Sales_Details2[[#This Row],[Product_ID]],Product_details[[#All],[Product_ID]:[Cost]],4,0)</f>
        <v>Decor</v>
      </c>
      <c r="K869" s="2" t="s">
        <v>1784</v>
      </c>
      <c r="L869" s="2" t="str">
        <f>_xlfn.XLOOKUP(Sales_Details2[[#This Row],[Store_ID]],Table2[Store_ID],Table2[Region],"Region not found")</f>
        <v>North</v>
      </c>
      <c r="M869" s="25">
        <v>2</v>
      </c>
      <c r="N869" s="36">
        <v>667.17</v>
      </c>
      <c r="O869" s="29">
        <v>0.1</v>
      </c>
      <c r="P869" s="2" t="s">
        <v>1809</v>
      </c>
      <c r="Q869" s="36">
        <v>1200.9059999999999</v>
      </c>
    </row>
    <row r="870" spans="1:17" x14ac:dyDescent="0.3">
      <c r="A870" s="2" t="s">
        <v>2677</v>
      </c>
      <c r="B870" s="14">
        <v>45382</v>
      </c>
      <c r="C870" s="2">
        <f>YEAR(Sales_Details2[[#This Row],[Order_Date]])</f>
        <v>2024</v>
      </c>
      <c r="D870" s="2" t="s">
        <v>1238</v>
      </c>
      <c r="E870" s="2" t="str">
        <f>VLOOKUP(Sales_Details2[[#This Row],[Customer_ID]],Customer_Details[#All],4,0)</f>
        <v>Mid-Adult</v>
      </c>
      <c r="F870" s="2" t="str">
        <f>VLOOKUP(Sales_Details2[[#This Row],[Customer_ID]],Customer_Details[#All],5,0)</f>
        <v>Male</v>
      </c>
      <c r="G870" s="2" t="str">
        <f>VLOOKUP(Sales_Details2[[#This Row],[Customer_ID]],Customer_Details[#All],9,0)</f>
        <v>Bronze</v>
      </c>
      <c r="H870" s="2" t="s">
        <v>1663</v>
      </c>
      <c r="I870" s="2" t="str">
        <f>VLOOKUP(Sales_Details2[[#This Row],[Product_ID]],Product_details[[#All],[Product_ID]:[Cost]],3,0)</f>
        <v>Beauty</v>
      </c>
      <c r="J870" s="2" t="str">
        <f>VLOOKUP(Sales_Details2[[#This Row],[Product_ID]],Product_details[[#All],[Product_ID]:[Cost]],4,0)</f>
        <v>Haircare</v>
      </c>
      <c r="K870" s="2" t="s">
        <v>1749</v>
      </c>
      <c r="L870" s="2" t="str">
        <f>_xlfn.XLOOKUP(Sales_Details2[[#This Row],[Store_ID]],Table2[Store_ID],Table2[Region],"Region not found")</f>
        <v>North</v>
      </c>
      <c r="M870" s="25">
        <v>1</v>
      </c>
      <c r="N870" s="36">
        <v>984.6</v>
      </c>
      <c r="O870" s="29">
        <v>0.22</v>
      </c>
      <c r="P870" s="2" t="s">
        <v>1807</v>
      </c>
      <c r="Q870" s="36">
        <v>767.98800000000006</v>
      </c>
    </row>
    <row r="871" spans="1:17" x14ac:dyDescent="0.3">
      <c r="A871" s="2" t="s">
        <v>2678</v>
      </c>
      <c r="B871" s="14">
        <v>45260</v>
      </c>
      <c r="C871" s="2">
        <f>YEAR(Sales_Details2[[#This Row],[Order_Date]])</f>
        <v>2023</v>
      </c>
      <c r="D871" s="2" t="s">
        <v>879</v>
      </c>
      <c r="E871" s="2" t="str">
        <f>VLOOKUP(Sales_Details2[[#This Row],[Customer_ID]],Customer_Details[#All],4,0)</f>
        <v>Adult</v>
      </c>
      <c r="F871" s="2" t="str">
        <f>VLOOKUP(Sales_Details2[[#This Row],[Customer_ID]],Customer_Details[#All],5,0)</f>
        <v>Female</v>
      </c>
      <c r="G871" s="2" t="str">
        <f>VLOOKUP(Sales_Details2[[#This Row],[Customer_ID]],Customer_Details[#All],9,0)</f>
        <v>Bronze</v>
      </c>
      <c r="H871" s="2" t="s">
        <v>1557</v>
      </c>
      <c r="I871" s="2" t="str">
        <f>VLOOKUP(Sales_Details2[[#This Row],[Product_ID]],Product_details[[#All],[Product_ID]:[Cost]],3,0)</f>
        <v>Electronics</v>
      </c>
      <c r="J871" s="2" t="str">
        <f>VLOOKUP(Sales_Details2[[#This Row],[Product_ID]],Product_details[[#All],[Product_ID]:[Cost]],4,0)</f>
        <v>Accessories</v>
      </c>
      <c r="K871" s="2" t="s">
        <v>1765</v>
      </c>
      <c r="L871" s="2" t="str">
        <f>_xlfn.XLOOKUP(Sales_Details2[[#This Row],[Store_ID]],Table2[Store_ID],Table2[Region],"Region not found")</f>
        <v>West</v>
      </c>
      <c r="M871" s="25">
        <v>1</v>
      </c>
      <c r="N871" s="36">
        <v>139.29</v>
      </c>
      <c r="O871" s="29">
        <v>0</v>
      </c>
      <c r="P871" s="2" t="s">
        <v>1807</v>
      </c>
      <c r="Q871" s="36">
        <v>139.29</v>
      </c>
    </row>
    <row r="872" spans="1:17" x14ac:dyDescent="0.3">
      <c r="A872" s="2" t="s">
        <v>2679</v>
      </c>
      <c r="B872" s="14">
        <v>45702</v>
      </c>
      <c r="C872" s="2">
        <f>YEAR(Sales_Details2[[#This Row],[Order_Date]])</f>
        <v>2025</v>
      </c>
      <c r="D872" s="2" t="s">
        <v>134</v>
      </c>
      <c r="E872" s="2" t="str">
        <f>VLOOKUP(Sales_Details2[[#This Row],[Customer_ID]],Customer_Details[#All],4,0)</f>
        <v>Adult</v>
      </c>
      <c r="F872" s="2" t="str">
        <f>VLOOKUP(Sales_Details2[[#This Row],[Customer_ID]],Customer_Details[#All],5,0)</f>
        <v>Male</v>
      </c>
      <c r="G872" s="2" t="str">
        <f>VLOOKUP(Sales_Details2[[#This Row],[Customer_ID]],Customer_Details[#All],9,0)</f>
        <v>Platinum</v>
      </c>
      <c r="H872" s="2" t="s">
        <v>1563</v>
      </c>
      <c r="I872" s="2" t="str">
        <f>VLOOKUP(Sales_Details2[[#This Row],[Product_ID]],Product_details[[#All],[Product_ID]:[Cost]],3,0)</f>
        <v>Beauty</v>
      </c>
      <c r="J872" s="2" t="str">
        <f>VLOOKUP(Sales_Details2[[#This Row],[Product_ID]],Product_details[[#All],[Product_ID]:[Cost]],4,0)</f>
        <v>Grooming</v>
      </c>
      <c r="K872" s="2" t="s">
        <v>1765</v>
      </c>
      <c r="L872" s="2" t="str">
        <f>_xlfn.XLOOKUP(Sales_Details2[[#This Row],[Store_ID]],Table2[Store_ID],Table2[Region],"Region not found")</f>
        <v>West</v>
      </c>
      <c r="M872" s="25">
        <v>3</v>
      </c>
      <c r="N872" s="36">
        <v>459.57</v>
      </c>
      <c r="O872" s="29">
        <v>0.1</v>
      </c>
      <c r="P872" s="2" t="s">
        <v>1812</v>
      </c>
      <c r="Q872" s="36">
        <v>1240.8389999999999</v>
      </c>
    </row>
    <row r="873" spans="1:17" x14ac:dyDescent="0.3">
      <c r="A873" s="2" t="s">
        <v>2680</v>
      </c>
      <c r="B873" s="14">
        <v>45302</v>
      </c>
      <c r="C873" s="2">
        <f>YEAR(Sales_Details2[[#This Row],[Order_Date]])</f>
        <v>2024</v>
      </c>
      <c r="D873" s="2" t="s">
        <v>241</v>
      </c>
      <c r="E873" s="2" t="str">
        <f>VLOOKUP(Sales_Details2[[#This Row],[Customer_ID]],Customer_Details[#All],4,0)</f>
        <v>Adult</v>
      </c>
      <c r="F873" s="2" t="str">
        <f>VLOOKUP(Sales_Details2[[#This Row],[Customer_ID]],Customer_Details[#All],5,0)</f>
        <v>Female</v>
      </c>
      <c r="G873" s="2" t="str">
        <f>VLOOKUP(Sales_Details2[[#This Row],[Customer_ID]],Customer_Details[#All],9,0)</f>
        <v>Silver</v>
      </c>
      <c r="H873" s="2" t="s">
        <v>1611</v>
      </c>
      <c r="I873" s="2" t="str">
        <f>VLOOKUP(Sales_Details2[[#This Row],[Product_ID]],Product_details[[#All],[Product_ID]:[Cost]],3,0)</f>
        <v>Electronics</v>
      </c>
      <c r="J873" s="2" t="str">
        <f>VLOOKUP(Sales_Details2[[#This Row],[Product_ID]],Product_details[[#All],[Product_ID]:[Cost]],4,0)</f>
        <v>Audio</v>
      </c>
      <c r="K873" s="2" t="s">
        <v>1784</v>
      </c>
      <c r="L873" s="2" t="str">
        <f>_xlfn.XLOOKUP(Sales_Details2[[#This Row],[Store_ID]],Table2[Store_ID],Table2[Region],"Region not found")</f>
        <v>North</v>
      </c>
      <c r="M873" s="25">
        <v>1</v>
      </c>
      <c r="N873" s="36">
        <v>517.82000000000005</v>
      </c>
      <c r="O873" s="29">
        <v>0.28999999999999998</v>
      </c>
      <c r="P873" s="2" t="s">
        <v>1807</v>
      </c>
      <c r="Q873" s="36">
        <v>367.65219999999999</v>
      </c>
    </row>
    <row r="874" spans="1:17" x14ac:dyDescent="0.3">
      <c r="A874" s="2" t="s">
        <v>2681</v>
      </c>
      <c r="B874" s="14">
        <v>45653</v>
      </c>
      <c r="C874" s="2">
        <f>YEAR(Sales_Details2[[#This Row],[Order_Date]])</f>
        <v>2024</v>
      </c>
      <c r="D874" s="2" t="s">
        <v>1171</v>
      </c>
      <c r="E874" s="2" t="str">
        <f>VLOOKUP(Sales_Details2[[#This Row],[Customer_ID]],Customer_Details[#All],4,0)</f>
        <v>Mid-Adult</v>
      </c>
      <c r="F874" s="2" t="str">
        <f>VLOOKUP(Sales_Details2[[#This Row],[Customer_ID]],Customer_Details[#All],5,0)</f>
        <v>Female</v>
      </c>
      <c r="G874" s="2" t="str">
        <f>VLOOKUP(Sales_Details2[[#This Row],[Customer_ID]],Customer_Details[#All],9,0)</f>
        <v>Gold</v>
      </c>
      <c r="H874" s="2" t="s">
        <v>1683</v>
      </c>
      <c r="I874" s="2" t="str">
        <f>VLOOKUP(Sales_Details2[[#This Row],[Product_ID]],Product_details[[#All],[Product_ID]:[Cost]],3,0)</f>
        <v>Electronics</v>
      </c>
      <c r="J874" s="2" t="str">
        <f>VLOOKUP(Sales_Details2[[#This Row],[Product_ID]],Product_details[[#All],[Product_ID]:[Cost]],4,0)</f>
        <v>Computer</v>
      </c>
      <c r="K874" s="2" t="s">
        <v>1759</v>
      </c>
      <c r="L874" s="2" t="str">
        <f>_xlfn.XLOOKUP(Sales_Details2[[#This Row],[Store_ID]],Table2[Store_ID],Table2[Region],"Region not found")</f>
        <v>East</v>
      </c>
      <c r="M874" s="25">
        <v>4</v>
      </c>
      <c r="N874" s="36">
        <v>282.45</v>
      </c>
      <c r="O874" s="29">
        <v>0.28999999999999998</v>
      </c>
      <c r="P874" s="2" t="s">
        <v>1812</v>
      </c>
      <c r="Q874" s="36">
        <v>802.1579999999999</v>
      </c>
    </row>
    <row r="875" spans="1:17" x14ac:dyDescent="0.3">
      <c r="A875" s="2" t="s">
        <v>2682</v>
      </c>
      <c r="B875" s="14">
        <v>45250</v>
      </c>
      <c r="C875" s="2">
        <f>YEAR(Sales_Details2[[#This Row],[Order_Date]])</f>
        <v>2023</v>
      </c>
      <c r="D875" s="2" t="s">
        <v>1389</v>
      </c>
      <c r="E875" s="2" t="str">
        <f>VLOOKUP(Sales_Details2[[#This Row],[Customer_ID]],Customer_Details[#All],4,0)</f>
        <v>Senior</v>
      </c>
      <c r="F875" s="2" t="str">
        <f>VLOOKUP(Sales_Details2[[#This Row],[Customer_ID]],Customer_Details[#All],5,0)</f>
        <v>Male</v>
      </c>
      <c r="G875" s="2" t="str">
        <f>VLOOKUP(Sales_Details2[[#This Row],[Customer_ID]],Customer_Details[#All],9,0)</f>
        <v>Gold</v>
      </c>
      <c r="H875" s="2" t="s">
        <v>1705</v>
      </c>
      <c r="I875" s="2" t="str">
        <f>VLOOKUP(Sales_Details2[[#This Row],[Product_ID]],Product_details[[#All],[Product_ID]:[Cost]],3,0)</f>
        <v>Home</v>
      </c>
      <c r="J875" s="2" t="str">
        <f>VLOOKUP(Sales_Details2[[#This Row],[Product_ID]],Product_details[[#All],[Product_ID]:[Cost]],4,0)</f>
        <v>Lighting</v>
      </c>
      <c r="K875" s="2" t="s">
        <v>1762</v>
      </c>
      <c r="L875" s="2" t="str">
        <f>_xlfn.XLOOKUP(Sales_Details2[[#This Row],[Store_ID]],Table2[Store_ID],Table2[Region],"Region not found")</f>
        <v>South</v>
      </c>
      <c r="M875" s="25">
        <v>2</v>
      </c>
      <c r="N875" s="36">
        <v>386.46</v>
      </c>
      <c r="O875" s="29">
        <v>0.23</v>
      </c>
      <c r="P875" s="2" t="s">
        <v>1812</v>
      </c>
      <c r="Q875" s="36">
        <v>595.14840000000004</v>
      </c>
    </row>
    <row r="876" spans="1:17" x14ac:dyDescent="0.3">
      <c r="A876" s="2" t="s">
        <v>2683</v>
      </c>
      <c r="B876" s="14">
        <v>45661</v>
      </c>
      <c r="C876" s="2">
        <f>YEAR(Sales_Details2[[#This Row],[Order_Date]])</f>
        <v>2025</v>
      </c>
      <c r="D876" s="2" t="s">
        <v>634</v>
      </c>
      <c r="E876" s="2" t="str">
        <f>VLOOKUP(Sales_Details2[[#This Row],[Customer_ID]],Customer_Details[#All],4,0)</f>
        <v>Senior</v>
      </c>
      <c r="F876" s="2" t="str">
        <f>VLOOKUP(Sales_Details2[[#This Row],[Customer_ID]],Customer_Details[#All],5,0)</f>
        <v>Male</v>
      </c>
      <c r="G876" s="2" t="str">
        <f>VLOOKUP(Sales_Details2[[#This Row],[Customer_ID]],Customer_Details[#All],9,0)</f>
        <v>Silver</v>
      </c>
      <c r="H876" s="2" t="s">
        <v>1569</v>
      </c>
      <c r="I876" s="2" t="str">
        <f>VLOOKUP(Sales_Details2[[#This Row],[Product_ID]],Product_details[[#All],[Product_ID]:[Cost]],3,0)</f>
        <v>Sports</v>
      </c>
      <c r="J876" s="2" t="str">
        <f>VLOOKUP(Sales_Details2[[#This Row],[Product_ID]],Product_details[[#All],[Product_ID]:[Cost]],4,0)</f>
        <v>Equipment</v>
      </c>
      <c r="K876" s="2" t="s">
        <v>1749</v>
      </c>
      <c r="L876" s="2" t="str">
        <f>_xlfn.XLOOKUP(Sales_Details2[[#This Row],[Store_ID]],Table2[Store_ID],Table2[Region],"Region not found")</f>
        <v>North</v>
      </c>
      <c r="M876" s="25">
        <v>1</v>
      </c>
      <c r="N876" s="36">
        <v>270.45</v>
      </c>
      <c r="O876" s="29">
        <v>0.15</v>
      </c>
      <c r="P876" s="2" t="s">
        <v>1812</v>
      </c>
      <c r="Q876" s="36">
        <v>229.88249999999999</v>
      </c>
    </row>
    <row r="877" spans="1:17" x14ac:dyDescent="0.3">
      <c r="A877" s="2" t="s">
        <v>2684</v>
      </c>
      <c r="B877" s="14">
        <v>45493</v>
      </c>
      <c r="C877" s="2">
        <f>YEAR(Sales_Details2[[#This Row],[Order_Date]])</f>
        <v>2024</v>
      </c>
      <c r="D877" s="2" t="s">
        <v>159</v>
      </c>
      <c r="E877" s="2" t="str">
        <f>VLOOKUP(Sales_Details2[[#This Row],[Customer_ID]],Customer_Details[#All],4,0)</f>
        <v>Adult</v>
      </c>
      <c r="F877" s="2" t="str">
        <f>VLOOKUP(Sales_Details2[[#This Row],[Customer_ID]],Customer_Details[#All],5,0)</f>
        <v>Male</v>
      </c>
      <c r="G877" s="2" t="str">
        <f>VLOOKUP(Sales_Details2[[#This Row],[Customer_ID]],Customer_Details[#All],9,0)</f>
        <v>Platinum</v>
      </c>
      <c r="H877" s="2" t="s">
        <v>1683</v>
      </c>
      <c r="I877" s="2" t="str">
        <f>VLOOKUP(Sales_Details2[[#This Row],[Product_ID]],Product_details[[#All],[Product_ID]:[Cost]],3,0)</f>
        <v>Electronics</v>
      </c>
      <c r="J877" s="2" t="str">
        <f>VLOOKUP(Sales_Details2[[#This Row],[Product_ID]],Product_details[[#All],[Product_ID]:[Cost]],4,0)</f>
        <v>Computer</v>
      </c>
      <c r="K877" s="2" t="s">
        <v>1772</v>
      </c>
      <c r="L877" s="2" t="str">
        <f>_xlfn.XLOOKUP(Sales_Details2[[#This Row],[Store_ID]],Table2[Store_ID],Table2[Region],"Region not found")</f>
        <v>East</v>
      </c>
      <c r="M877" s="25">
        <v>4</v>
      </c>
      <c r="N877" s="36">
        <v>762.94</v>
      </c>
      <c r="O877" s="29">
        <v>0.09</v>
      </c>
      <c r="P877" s="2" t="s">
        <v>1812</v>
      </c>
      <c r="Q877" s="36">
        <v>2777.1016</v>
      </c>
    </row>
    <row r="878" spans="1:17" x14ac:dyDescent="0.3">
      <c r="A878" s="2" t="s">
        <v>2685</v>
      </c>
      <c r="B878" s="14">
        <v>45242</v>
      </c>
      <c r="C878" s="2">
        <f>YEAR(Sales_Details2[[#This Row],[Order_Date]])</f>
        <v>2023</v>
      </c>
      <c r="D878" s="2" t="s">
        <v>1501</v>
      </c>
      <c r="E878" s="2" t="str">
        <f>VLOOKUP(Sales_Details2[[#This Row],[Customer_ID]],Customer_Details[#All],4,0)</f>
        <v>Adult</v>
      </c>
      <c r="F878" s="2" t="str">
        <f>VLOOKUP(Sales_Details2[[#This Row],[Customer_ID]],Customer_Details[#All],5,0)</f>
        <v>Male</v>
      </c>
      <c r="G878" s="2" t="str">
        <f>VLOOKUP(Sales_Details2[[#This Row],[Customer_ID]],Customer_Details[#All],9,0)</f>
        <v>Gold</v>
      </c>
      <c r="H878" s="2" t="s">
        <v>1613</v>
      </c>
      <c r="I878" s="2" t="str">
        <f>VLOOKUP(Sales_Details2[[#This Row],[Product_ID]],Product_details[[#All],[Product_ID]:[Cost]],3,0)</f>
        <v>Sports</v>
      </c>
      <c r="J878" s="2" t="str">
        <f>VLOOKUP(Sales_Details2[[#This Row],[Product_ID]],Product_details[[#All],[Product_ID]:[Cost]],4,0)</f>
        <v>Fitness</v>
      </c>
      <c r="K878" s="2" t="s">
        <v>1780</v>
      </c>
      <c r="L878" s="2" t="str">
        <f>_xlfn.XLOOKUP(Sales_Details2[[#This Row],[Store_ID]],Table2[Store_ID],Table2[Region],"Region not found")</f>
        <v>East</v>
      </c>
      <c r="M878" s="25">
        <v>1</v>
      </c>
      <c r="N878" s="36">
        <v>409.03</v>
      </c>
      <c r="O878" s="29">
        <v>0.25</v>
      </c>
      <c r="P878" s="2" t="s">
        <v>1812</v>
      </c>
      <c r="Q878" s="36">
        <v>306.77249999999998</v>
      </c>
    </row>
    <row r="879" spans="1:17" x14ac:dyDescent="0.3">
      <c r="A879" s="2" t="s">
        <v>2686</v>
      </c>
      <c r="B879" s="14">
        <v>45411</v>
      </c>
      <c r="C879" s="2">
        <f>YEAR(Sales_Details2[[#This Row],[Order_Date]])</f>
        <v>2024</v>
      </c>
      <c r="D879" s="2" t="s">
        <v>705</v>
      </c>
      <c r="E879" s="2" t="str">
        <f>VLOOKUP(Sales_Details2[[#This Row],[Customer_ID]],Customer_Details[#All],4,0)</f>
        <v>Mid-Adult</v>
      </c>
      <c r="F879" s="2" t="str">
        <f>VLOOKUP(Sales_Details2[[#This Row],[Customer_ID]],Customer_Details[#All],5,0)</f>
        <v>Female</v>
      </c>
      <c r="G879" s="2" t="str">
        <f>VLOOKUP(Sales_Details2[[#This Row],[Customer_ID]],Customer_Details[#All],9,0)</f>
        <v>Gold</v>
      </c>
      <c r="H879" s="2" t="s">
        <v>1723</v>
      </c>
      <c r="I879" s="2" t="str">
        <f>VLOOKUP(Sales_Details2[[#This Row],[Product_ID]],Product_details[[#All],[Product_ID]:[Cost]],3,0)</f>
        <v>Clothing</v>
      </c>
      <c r="J879" s="2" t="str">
        <f>VLOOKUP(Sales_Details2[[#This Row],[Product_ID]],Product_details[[#All],[Product_ID]:[Cost]],4,0)</f>
        <v>Outerwear</v>
      </c>
      <c r="K879" s="2" t="s">
        <v>1793</v>
      </c>
      <c r="L879" s="2" t="str">
        <f>_xlfn.XLOOKUP(Sales_Details2[[#This Row],[Store_ID]],Table2[Store_ID],Table2[Region],"Region not found")</f>
        <v>East</v>
      </c>
      <c r="M879" s="25">
        <v>2</v>
      </c>
      <c r="N879" s="36">
        <v>891.13</v>
      </c>
      <c r="O879" s="29">
        <v>0.13</v>
      </c>
      <c r="P879" s="2" t="s">
        <v>1807</v>
      </c>
      <c r="Q879" s="36">
        <v>1550.5662</v>
      </c>
    </row>
    <row r="880" spans="1:17" x14ac:dyDescent="0.3">
      <c r="A880" s="2" t="s">
        <v>2687</v>
      </c>
      <c r="B880" s="14">
        <v>45593</v>
      </c>
      <c r="C880" s="2">
        <f>YEAR(Sales_Details2[[#This Row],[Order_Date]])</f>
        <v>2024</v>
      </c>
      <c r="D880" s="2" t="s">
        <v>130</v>
      </c>
      <c r="E880" s="2" t="str">
        <f>VLOOKUP(Sales_Details2[[#This Row],[Customer_ID]],Customer_Details[#All],4,0)</f>
        <v>Mid-Adult</v>
      </c>
      <c r="F880" s="2" t="str">
        <f>VLOOKUP(Sales_Details2[[#This Row],[Customer_ID]],Customer_Details[#All],5,0)</f>
        <v>Female</v>
      </c>
      <c r="G880" s="2" t="str">
        <f>VLOOKUP(Sales_Details2[[#This Row],[Customer_ID]],Customer_Details[#All],9,0)</f>
        <v>Gold</v>
      </c>
      <c r="H880" s="2" t="s">
        <v>1715</v>
      </c>
      <c r="I880" s="2" t="str">
        <f>VLOOKUP(Sales_Details2[[#This Row],[Product_ID]],Product_details[[#All],[Product_ID]:[Cost]],3,0)</f>
        <v>Home</v>
      </c>
      <c r="J880" s="2" t="str">
        <f>VLOOKUP(Sales_Details2[[#This Row],[Product_ID]],Product_details[[#All],[Product_ID]:[Cost]],4,0)</f>
        <v>Appliances</v>
      </c>
      <c r="K880" s="2" t="s">
        <v>1787</v>
      </c>
      <c r="L880" s="2" t="str">
        <f>_xlfn.XLOOKUP(Sales_Details2[[#This Row],[Store_ID]],Table2[Store_ID],Table2[Region],"Region not found")</f>
        <v>West</v>
      </c>
      <c r="M880" s="25">
        <v>1</v>
      </c>
      <c r="N880" s="36">
        <v>553.38</v>
      </c>
      <c r="O880" s="29">
        <v>0.21</v>
      </c>
      <c r="P880" s="2" t="s">
        <v>1809</v>
      </c>
      <c r="Q880" s="36">
        <v>437.17020000000002</v>
      </c>
    </row>
    <row r="881" spans="1:17" x14ac:dyDescent="0.3">
      <c r="A881" s="2" t="s">
        <v>2688</v>
      </c>
      <c r="B881" s="14">
        <v>45281</v>
      </c>
      <c r="C881" s="2">
        <f>YEAR(Sales_Details2[[#This Row],[Order_Date]])</f>
        <v>2023</v>
      </c>
      <c r="D881" s="2" t="s">
        <v>530</v>
      </c>
      <c r="E881" s="2" t="str">
        <f>VLOOKUP(Sales_Details2[[#This Row],[Customer_ID]],Customer_Details[#All],4,0)</f>
        <v>Mid-Adult</v>
      </c>
      <c r="F881" s="2" t="str">
        <f>VLOOKUP(Sales_Details2[[#This Row],[Customer_ID]],Customer_Details[#All],5,0)</f>
        <v>Female</v>
      </c>
      <c r="G881" s="2" t="str">
        <f>VLOOKUP(Sales_Details2[[#This Row],[Customer_ID]],Customer_Details[#All],9,0)</f>
        <v>Platinum</v>
      </c>
      <c r="H881" s="2" t="s">
        <v>1701</v>
      </c>
      <c r="I881" s="2" t="str">
        <f>VLOOKUP(Sales_Details2[[#This Row],[Product_ID]],Product_details[[#All],[Product_ID]:[Cost]],3,0)</f>
        <v>Clothing</v>
      </c>
      <c r="J881" s="2" t="str">
        <f>VLOOKUP(Sales_Details2[[#This Row],[Product_ID]],Product_details[[#All],[Product_ID]:[Cost]],4,0)</f>
        <v>Accessories</v>
      </c>
      <c r="K881" s="2" t="s">
        <v>1780</v>
      </c>
      <c r="L881" s="2" t="str">
        <f>_xlfn.XLOOKUP(Sales_Details2[[#This Row],[Store_ID]],Table2[Store_ID],Table2[Region],"Region not found")</f>
        <v>East</v>
      </c>
      <c r="M881" s="25">
        <v>2</v>
      </c>
      <c r="N881" s="36">
        <v>652.29999999999995</v>
      </c>
      <c r="O881" s="29">
        <v>0.16</v>
      </c>
      <c r="P881" s="2" t="s">
        <v>1812</v>
      </c>
      <c r="Q881" s="36">
        <v>1095.864</v>
      </c>
    </row>
    <row r="882" spans="1:17" x14ac:dyDescent="0.3">
      <c r="A882" s="2" t="s">
        <v>2689</v>
      </c>
      <c r="B882" s="14">
        <v>45575</v>
      </c>
      <c r="C882" s="2">
        <f>YEAR(Sales_Details2[[#This Row],[Order_Date]])</f>
        <v>2024</v>
      </c>
      <c r="D882" s="2" t="s">
        <v>417</v>
      </c>
      <c r="E882" s="2" t="str">
        <f>VLOOKUP(Sales_Details2[[#This Row],[Customer_ID]],Customer_Details[#All],4,0)</f>
        <v>Mid-Adult</v>
      </c>
      <c r="F882" s="2" t="str">
        <f>VLOOKUP(Sales_Details2[[#This Row],[Customer_ID]],Customer_Details[#All],5,0)</f>
        <v>Male</v>
      </c>
      <c r="G882" s="2" t="str">
        <f>VLOOKUP(Sales_Details2[[#This Row],[Customer_ID]],Customer_Details[#All],9,0)</f>
        <v>Platinum</v>
      </c>
      <c r="H882" s="2" t="s">
        <v>1615</v>
      </c>
      <c r="I882" s="2" t="str">
        <f>VLOOKUP(Sales_Details2[[#This Row],[Product_ID]],Product_details[[#All],[Product_ID]:[Cost]],3,0)</f>
        <v>Electronics</v>
      </c>
      <c r="J882" s="2" t="str">
        <f>VLOOKUP(Sales_Details2[[#This Row],[Product_ID]],Product_details[[#All],[Product_ID]:[Cost]],4,0)</f>
        <v>Accessories</v>
      </c>
      <c r="K882" s="2" t="s">
        <v>1769</v>
      </c>
      <c r="L882" s="2" t="str">
        <f>_xlfn.XLOOKUP(Sales_Details2[[#This Row],[Store_ID]],Table2[Store_ID],Table2[Region],"Region not found")</f>
        <v>South</v>
      </c>
      <c r="M882" s="25">
        <v>4</v>
      </c>
      <c r="N882" s="36">
        <v>194.36</v>
      </c>
      <c r="O882" s="29">
        <v>0.18</v>
      </c>
      <c r="P882" s="2" t="s">
        <v>1812</v>
      </c>
      <c r="Q882" s="36">
        <v>637.50080000000014</v>
      </c>
    </row>
    <row r="883" spans="1:17" x14ac:dyDescent="0.3">
      <c r="A883" s="2" t="s">
        <v>2690</v>
      </c>
      <c r="B883" s="14">
        <v>45660</v>
      </c>
      <c r="C883" s="2">
        <f>YEAR(Sales_Details2[[#This Row],[Order_Date]])</f>
        <v>2025</v>
      </c>
      <c r="D883" s="2" t="s">
        <v>509</v>
      </c>
      <c r="E883" s="2" t="str">
        <f>VLOOKUP(Sales_Details2[[#This Row],[Customer_ID]],Customer_Details[#All],4,0)</f>
        <v>Mid-Adult</v>
      </c>
      <c r="F883" s="2" t="str">
        <f>VLOOKUP(Sales_Details2[[#This Row],[Customer_ID]],Customer_Details[#All],5,0)</f>
        <v>Male</v>
      </c>
      <c r="G883" s="2" t="str">
        <f>VLOOKUP(Sales_Details2[[#This Row],[Customer_ID]],Customer_Details[#All],9,0)</f>
        <v>Bronze</v>
      </c>
      <c r="H883" s="2" t="s">
        <v>1715</v>
      </c>
      <c r="I883" s="2" t="str">
        <f>VLOOKUP(Sales_Details2[[#This Row],[Product_ID]],Product_details[[#All],[Product_ID]:[Cost]],3,0)</f>
        <v>Home</v>
      </c>
      <c r="J883" s="2" t="str">
        <f>VLOOKUP(Sales_Details2[[#This Row],[Product_ID]],Product_details[[#All],[Product_ID]:[Cost]],4,0)</f>
        <v>Appliances</v>
      </c>
      <c r="K883" s="2" t="s">
        <v>1740</v>
      </c>
      <c r="L883" s="2" t="str">
        <f>_xlfn.XLOOKUP(Sales_Details2[[#This Row],[Store_ID]],Table2[Store_ID],Table2[Region],"Region not found")</f>
        <v>North</v>
      </c>
      <c r="M883" s="25">
        <v>3</v>
      </c>
      <c r="N883" s="36">
        <v>476.37</v>
      </c>
      <c r="O883" s="29">
        <v>0.21</v>
      </c>
      <c r="P883" s="2" t="s">
        <v>1812</v>
      </c>
      <c r="Q883" s="36">
        <v>1128.9969000000001</v>
      </c>
    </row>
    <row r="884" spans="1:17" x14ac:dyDescent="0.3">
      <c r="A884" s="2" t="s">
        <v>2691</v>
      </c>
      <c r="B884" s="14">
        <v>45360</v>
      </c>
      <c r="C884" s="2">
        <f>YEAR(Sales_Details2[[#This Row],[Order_Date]])</f>
        <v>2024</v>
      </c>
      <c r="D884" s="2" t="s">
        <v>1129</v>
      </c>
      <c r="E884" s="2" t="str">
        <f>VLOOKUP(Sales_Details2[[#This Row],[Customer_ID]],Customer_Details[#All],4,0)</f>
        <v>Senior</v>
      </c>
      <c r="F884" s="2" t="str">
        <f>VLOOKUP(Sales_Details2[[#This Row],[Customer_ID]],Customer_Details[#All],5,0)</f>
        <v>Female</v>
      </c>
      <c r="G884" s="2" t="str">
        <f>VLOOKUP(Sales_Details2[[#This Row],[Customer_ID]],Customer_Details[#All],9,0)</f>
        <v>Platinum</v>
      </c>
      <c r="H884" s="2" t="s">
        <v>1611</v>
      </c>
      <c r="I884" s="2" t="str">
        <f>VLOOKUP(Sales_Details2[[#This Row],[Product_ID]],Product_details[[#All],[Product_ID]:[Cost]],3,0)</f>
        <v>Electronics</v>
      </c>
      <c r="J884" s="2" t="str">
        <f>VLOOKUP(Sales_Details2[[#This Row],[Product_ID]],Product_details[[#All],[Product_ID]:[Cost]],4,0)</f>
        <v>Audio</v>
      </c>
      <c r="K884" s="2" t="s">
        <v>1756</v>
      </c>
      <c r="L884" s="2" t="str">
        <f>_xlfn.XLOOKUP(Sales_Details2[[#This Row],[Store_ID]],Table2[Store_ID],Table2[Region],"Region not found")</f>
        <v>North</v>
      </c>
      <c r="M884" s="25">
        <v>3</v>
      </c>
      <c r="N884" s="36">
        <v>174.57</v>
      </c>
      <c r="O884" s="29">
        <v>0</v>
      </c>
      <c r="P884" s="2" t="s">
        <v>1809</v>
      </c>
      <c r="Q884" s="36">
        <v>523.71</v>
      </c>
    </row>
    <row r="885" spans="1:17" x14ac:dyDescent="0.3">
      <c r="A885" s="2" t="s">
        <v>2692</v>
      </c>
      <c r="B885" s="14">
        <v>45526</v>
      </c>
      <c r="C885" s="2">
        <f>YEAR(Sales_Details2[[#This Row],[Order_Date]])</f>
        <v>2024</v>
      </c>
      <c r="D885" s="2" t="s">
        <v>409</v>
      </c>
      <c r="E885" s="2" t="str">
        <f>VLOOKUP(Sales_Details2[[#This Row],[Customer_ID]],Customer_Details[#All],4,0)</f>
        <v>Mid-Adult</v>
      </c>
      <c r="F885" s="2" t="str">
        <f>VLOOKUP(Sales_Details2[[#This Row],[Customer_ID]],Customer_Details[#All],5,0)</f>
        <v>Male</v>
      </c>
      <c r="G885" s="2" t="str">
        <f>VLOOKUP(Sales_Details2[[#This Row],[Customer_ID]],Customer_Details[#All],9,0)</f>
        <v>Bronze</v>
      </c>
      <c r="H885" s="2" t="s">
        <v>1701</v>
      </c>
      <c r="I885" s="2" t="str">
        <f>VLOOKUP(Sales_Details2[[#This Row],[Product_ID]],Product_details[[#All],[Product_ID]:[Cost]],3,0)</f>
        <v>Clothing</v>
      </c>
      <c r="J885" s="2" t="str">
        <f>VLOOKUP(Sales_Details2[[#This Row],[Product_ID]],Product_details[[#All],[Product_ID]:[Cost]],4,0)</f>
        <v>Accessories</v>
      </c>
      <c r="K885" s="2" t="s">
        <v>1735</v>
      </c>
      <c r="L885" s="2" t="str">
        <f>_xlfn.XLOOKUP(Sales_Details2[[#This Row],[Store_ID]],Table2[Store_ID],Table2[Region],"Region not found")</f>
        <v>East</v>
      </c>
      <c r="M885" s="25">
        <v>3</v>
      </c>
      <c r="N885" s="36">
        <v>762</v>
      </c>
      <c r="O885" s="29">
        <v>0.02</v>
      </c>
      <c r="P885" s="2" t="s">
        <v>1809</v>
      </c>
      <c r="Q885" s="36">
        <v>2240.2800000000002</v>
      </c>
    </row>
    <row r="886" spans="1:17" x14ac:dyDescent="0.3">
      <c r="A886" s="2" t="s">
        <v>2693</v>
      </c>
      <c r="B886" s="14">
        <v>45395</v>
      </c>
      <c r="C886" s="2">
        <f>YEAR(Sales_Details2[[#This Row],[Order_Date]])</f>
        <v>2024</v>
      </c>
      <c r="D886" s="2" t="s">
        <v>1303</v>
      </c>
      <c r="E886" s="2" t="str">
        <f>VLOOKUP(Sales_Details2[[#This Row],[Customer_ID]],Customer_Details[#All],4,0)</f>
        <v>Mid-Adult</v>
      </c>
      <c r="F886" s="2" t="str">
        <f>VLOOKUP(Sales_Details2[[#This Row],[Customer_ID]],Customer_Details[#All],5,0)</f>
        <v>Male</v>
      </c>
      <c r="G886" s="2" t="str">
        <f>VLOOKUP(Sales_Details2[[#This Row],[Customer_ID]],Customer_Details[#All],9,0)</f>
        <v>Bronze</v>
      </c>
      <c r="H886" s="2" t="s">
        <v>1675</v>
      </c>
      <c r="I886" s="2" t="str">
        <f>VLOOKUP(Sales_Details2[[#This Row],[Product_ID]],Product_details[[#All],[Product_ID]:[Cost]],3,0)</f>
        <v>Sports</v>
      </c>
      <c r="J886" s="2" t="str">
        <f>VLOOKUP(Sales_Details2[[#This Row],[Product_ID]],Product_details[[#All],[Product_ID]:[Cost]],4,0)</f>
        <v>Fitness</v>
      </c>
      <c r="K886" s="2" t="s">
        <v>1796</v>
      </c>
      <c r="L886" s="2" t="str">
        <f>_xlfn.XLOOKUP(Sales_Details2[[#This Row],[Store_ID]],Table2[Store_ID],Table2[Region],"Region not found")</f>
        <v>East</v>
      </c>
      <c r="M886" s="25">
        <v>1</v>
      </c>
      <c r="N886" s="36">
        <v>44.08</v>
      </c>
      <c r="O886" s="29">
        <v>0.05</v>
      </c>
      <c r="P886" s="2" t="s">
        <v>1807</v>
      </c>
      <c r="Q886" s="36">
        <v>41.875999999999998</v>
      </c>
    </row>
    <row r="887" spans="1:17" x14ac:dyDescent="0.3">
      <c r="A887" s="2" t="s">
        <v>2694</v>
      </c>
      <c r="B887" s="14">
        <v>45466</v>
      </c>
      <c r="C887" s="2">
        <f>YEAR(Sales_Details2[[#This Row],[Order_Date]])</f>
        <v>2024</v>
      </c>
      <c r="D887" s="2" t="s">
        <v>1504</v>
      </c>
      <c r="E887" s="2" t="str">
        <f>VLOOKUP(Sales_Details2[[#This Row],[Customer_ID]],Customer_Details[#All],4,0)</f>
        <v>Adult</v>
      </c>
      <c r="F887" s="2" t="str">
        <f>VLOOKUP(Sales_Details2[[#This Row],[Customer_ID]],Customer_Details[#All],5,0)</f>
        <v>Female</v>
      </c>
      <c r="G887" s="2" t="str">
        <f>VLOOKUP(Sales_Details2[[#This Row],[Customer_ID]],Customer_Details[#All],9,0)</f>
        <v>Bronze</v>
      </c>
      <c r="H887" s="2" t="s">
        <v>1649</v>
      </c>
      <c r="I887" s="2" t="str">
        <f>VLOOKUP(Sales_Details2[[#This Row],[Product_ID]],Product_details[[#All],[Product_ID]:[Cost]],3,0)</f>
        <v>Beauty</v>
      </c>
      <c r="J887" s="2" t="str">
        <f>VLOOKUP(Sales_Details2[[#This Row],[Product_ID]],Product_details[[#All],[Product_ID]:[Cost]],4,0)</f>
        <v>Haircare</v>
      </c>
      <c r="K887" s="2" t="s">
        <v>1780</v>
      </c>
      <c r="L887" s="2" t="str">
        <f>_xlfn.XLOOKUP(Sales_Details2[[#This Row],[Store_ID]],Table2[Store_ID],Table2[Region],"Region not found")</f>
        <v>East</v>
      </c>
      <c r="M887" s="25">
        <v>1</v>
      </c>
      <c r="N887" s="36">
        <v>992.37</v>
      </c>
      <c r="O887" s="29">
        <v>0.24</v>
      </c>
      <c r="P887" s="2" t="s">
        <v>1812</v>
      </c>
      <c r="Q887" s="36">
        <v>754.20119999999997</v>
      </c>
    </row>
    <row r="888" spans="1:17" x14ac:dyDescent="0.3">
      <c r="A888" s="2" t="s">
        <v>2695</v>
      </c>
      <c r="B888" s="14">
        <v>45876</v>
      </c>
      <c r="C888" s="2">
        <f>YEAR(Sales_Details2[[#This Row],[Order_Date]])</f>
        <v>2025</v>
      </c>
      <c r="D888" s="2" t="s">
        <v>651</v>
      </c>
      <c r="E888" s="2" t="str">
        <f>VLOOKUP(Sales_Details2[[#This Row],[Customer_ID]],Customer_Details[#All],4,0)</f>
        <v>Adult</v>
      </c>
      <c r="F888" s="2" t="str">
        <f>VLOOKUP(Sales_Details2[[#This Row],[Customer_ID]],Customer_Details[#All],5,0)</f>
        <v>Female</v>
      </c>
      <c r="G888" s="2" t="str">
        <f>VLOOKUP(Sales_Details2[[#This Row],[Customer_ID]],Customer_Details[#All],9,0)</f>
        <v>Bronze</v>
      </c>
      <c r="H888" s="2" t="s">
        <v>1593</v>
      </c>
      <c r="I888" s="2" t="str">
        <f>VLOOKUP(Sales_Details2[[#This Row],[Product_ID]],Product_details[[#All],[Product_ID]:[Cost]],3,0)</f>
        <v>Sports</v>
      </c>
      <c r="J888" s="2" t="str">
        <f>VLOOKUP(Sales_Details2[[#This Row],[Product_ID]],Product_details[[#All],[Product_ID]:[Cost]],4,0)</f>
        <v>Team Sports</v>
      </c>
      <c r="K888" s="2" t="s">
        <v>1772</v>
      </c>
      <c r="L888" s="2" t="str">
        <f>_xlfn.XLOOKUP(Sales_Details2[[#This Row],[Store_ID]],Table2[Store_ID],Table2[Region],"Region not found")</f>
        <v>East</v>
      </c>
      <c r="M888" s="25">
        <v>3</v>
      </c>
      <c r="N888" s="36">
        <v>465.4</v>
      </c>
      <c r="O888" s="29">
        <v>0.28999999999999998</v>
      </c>
      <c r="P888" s="2" t="s">
        <v>1812</v>
      </c>
      <c r="Q888" s="36">
        <v>991.30199999999979</v>
      </c>
    </row>
    <row r="889" spans="1:17" x14ac:dyDescent="0.3">
      <c r="A889" s="2" t="s">
        <v>2696</v>
      </c>
      <c r="B889" s="14">
        <v>45724</v>
      </c>
      <c r="C889" s="2">
        <f>YEAR(Sales_Details2[[#This Row],[Order_Date]])</f>
        <v>2025</v>
      </c>
      <c r="D889" s="2" t="s">
        <v>1048</v>
      </c>
      <c r="E889" s="2" t="str">
        <f>VLOOKUP(Sales_Details2[[#This Row],[Customer_ID]],Customer_Details[#All],4,0)</f>
        <v>Mid-Adult</v>
      </c>
      <c r="F889" s="2" t="str">
        <f>VLOOKUP(Sales_Details2[[#This Row],[Customer_ID]],Customer_Details[#All],5,0)</f>
        <v>Female</v>
      </c>
      <c r="G889" s="2" t="str">
        <f>VLOOKUP(Sales_Details2[[#This Row],[Customer_ID]],Customer_Details[#All],9,0)</f>
        <v>Bronze</v>
      </c>
      <c r="H889" s="2" t="s">
        <v>1563</v>
      </c>
      <c r="I889" s="2" t="str">
        <f>VLOOKUP(Sales_Details2[[#This Row],[Product_ID]],Product_details[[#All],[Product_ID]:[Cost]],3,0)</f>
        <v>Beauty</v>
      </c>
      <c r="J889" s="2" t="str">
        <f>VLOOKUP(Sales_Details2[[#This Row],[Product_ID]],Product_details[[#All],[Product_ID]:[Cost]],4,0)</f>
        <v>Grooming</v>
      </c>
      <c r="K889" s="2" t="s">
        <v>1772</v>
      </c>
      <c r="L889" s="2" t="str">
        <f>_xlfn.XLOOKUP(Sales_Details2[[#This Row],[Store_ID]],Table2[Store_ID],Table2[Region],"Region not found")</f>
        <v>East</v>
      </c>
      <c r="M889" s="25">
        <v>2</v>
      </c>
      <c r="N889" s="36">
        <v>693.61</v>
      </c>
      <c r="O889" s="29">
        <v>0.15</v>
      </c>
      <c r="P889" s="2" t="s">
        <v>1809</v>
      </c>
      <c r="Q889" s="36">
        <v>1179.1369999999999</v>
      </c>
    </row>
    <row r="890" spans="1:17" x14ac:dyDescent="0.3">
      <c r="A890" s="2" t="s">
        <v>2697</v>
      </c>
      <c r="B890" s="14">
        <v>45801</v>
      </c>
      <c r="C890" s="2">
        <f>YEAR(Sales_Details2[[#This Row],[Order_Date]])</f>
        <v>2025</v>
      </c>
      <c r="D890" s="2" t="s">
        <v>1418</v>
      </c>
      <c r="E890" s="2" t="str">
        <f>VLOOKUP(Sales_Details2[[#This Row],[Customer_ID]],Customer_Details[#All],4,0)</f>
        <v>Adult</v>
      </c>
      <c r="F890" s="2" t="str">
        <f>VLOOKUP(Sales_Details2[[#This Row],[Customer_ID]],Customer_Details[#All],5,0)</f>
        <v>Female</v>
      </c>
      <c r="G890" s="2" t="str">
        <f>VLOOKUP(Sales_Details2[[#This Row],[Customer_ID]],Customer_Details[#All],9,0)</f>
        <v>Silver</v>
      </c>
      <c r="H890" s="2" t="s">
        <v>1665</v>
      </c>
      <c r="I890" s="2" t="str">
        <f>VLOOKUP(Sales_Details2[[#This Row],[Product_ID]],Product_details[[#All],[Product_ID]:[Cost]],3,0)</f>
        <v>Electronics</v>
      </c>
      <c r="J890" s="2" t="str">
        <f>VLOOKUP(Sales_Details2[[#This Row],[Product_ID]],Product_details[[#All],[Product_ID]:[Cost]],4,0)</f>
        <v>Accessories</v>
      </c>
      <c r="K890" s="2" t="s">
        <v>1765</v>
      </c>
      <c r="L890" s="2" t="str">
        <f>_xlfn.XLOOKUP(Sales_Details2[[#This Row],[Store_ID]],Table2[Store_ID],Table2[Region],"Region not found")</f>
        <v>West</v>
      </c>
      <c r="M890" s="25">
        <v>2</v>
      </c>
      <c r="N890" s="36">
        <v>995.11</v>
      </c>
      <c r="O890" s="29">
        <v>0.13</v>
      </c>
      <c r="P890" s="2" t="s">
        <v>1809</v>
      </c>
      <c r="Q890" s="36">
        <v>1731.4914000000001</v>
      </c>
    </row>
    <row r="891" spans="1:17" x14ac:dyDescent="0.3">
      <c r="A891" s="2" t="s">
        <v>2698</v>
      </c>
      <c r="B891" s="14">
        <v>45749</v>
      </c>
      <c r="C891" s="2">
        <f>YEAR(Sales_Details2[[#This Row],[Order_Date]])</f>
        <v>2025</v>
      </c>
      <c r="D891" s="2" t="s">
        <v>1177</v>
      </c>
      <c r="E891" s="2" t="str">
        <f>VLOOKUP(Sales_Details2[[#This Row],[Customer_ID]],Customer_Details[#All],4,0)</f>
        <v>Mid-Adult</v>
      </c>
      <c r="F891" s="2" t="str">
        <f>VLOOKUP(Sales_Details2[[#This Row],[Customer_ID]],Customer_Details[#All],5,0)</f>
        <v>Male</v>
      </c>
      <c r="G891" s="2" t="str">
        <f>VLOOKUP(Sales_Details2[[#This Row],[Customer_ID]],Customer_Details[#All],9,0)</f>
        <v>Silver</v>
      </c>
      <c r="H891" s="2" t="s">
        <v>1577</v>
      </c>
      <c r="I891" s="2" t="str">
        <f>VLOOKUP(Sales_Details2[[#This Row],[Product_ID]],Product_details[[#All],[Product_ID]:[Cost]],3,0)</f>
        <v>Clothing</v>
      </c>
      <c r="J891" s="2" t="str">
        <f>VLOOKUP(Sales_Details2[[#This Row],[Product_ID]],Product_details[[#All],[Product_ID]:[Cost]],4,0)</f>
        <v>Tops</v>
      </c>
      <c r="K891" s="2" t="s">
        <v>1752</v>
      </c>
      <c r="L891" s="2" t="str">
        <f>_xlfn.XLOOKUP(Sales_Details2[[#This Row],[Store_ID]],Table2[Store_ID],Table2[Region],"Region not found")</f>
        <v>South</v>
      </c>
      <c r="M891" s="25">
        <v>3</v>
      </c>
      <c r="N891" s="36">
        <v>70.97</v>
      </c>
      <c r="O891" s="29">
        <v>0.06</v>
      </c>
      <c r="P891" s="2" t="s">
        <v>1812</v>
      </c>
      <c r="Q891" s="36">
        <v>200.1354</v>
      </c>
    </row>
    <row r="892" spans="1:17" x14ac:dyDescent="0.3">
      <c r="A892" s="2" t="s">
        <v>2699</v>
      </c>
      <c r="B892" s="14">
        <v>45325</v>
      </c>
      <c r="C892" s="2">
        <f>YEAR(Sales_Details2[[#This Row],[Order_Date]])</f>
        <v>2024</v>
      </c>
      <c r="D892" s="2" t="s">
        <v>391</v>
      </c>
      <c r="E892" s="2" t="str">
        <f>VLOOKUP(Sales_Details2[[#This Row],[Customer_ID]],Customer_Details[#All],4,0)</f>
        <v>Senior</v>
      </c>
      <c r="F892" s="2" t="str">
        <f>VLOOKUP(Sales_Details2[[#This Row],[Customer_ID]],Customer_Details[#All],5,0)</f>
        <v>Male</v>
      </c>
      <c r="G892" s="2" t="str">
        <f>VLOOKUP(Sales_Details2[[#This Row],[Customer_ID]],Customer_Details[#All],9,0)</f>
        <v>Gold</v>
      </c>
      <c r="H892" s="2" t="s">
        <v>1697</v>
      </c>
      <c r="I892" s="2" t="str">
        <f>VLOOKUP(Sales_Details2[[#This Row],[Product_ID]],Product_details[[#All],[Product_ID]:[Cost]],3,0)</f>
        <v>Beauty</v>
      </c>
      <c r="J892" s="2" t="str">
        <f>VLOOKUP(Sales_Details2[[#This Row],[Product_ID]],Product_details[[#All],[Product_ID]:[Cost]],4,0)</f>
        <v>Skincare</v>
      </c>
      <c r="K892" s="2" t="s">
        <v>1769</v>
      </c>
      <c r="L892" s="2" t="str">
        <f>_xlfn.XLOOKUP(Sales_Details2[[#This Row],[Store_ID]],Table2[Store_ID],Table2[Region],"Region not found")</f>
        <v>South</v>
      </c>
      <c r="M892" s="25">
        <v>3</v>
      </c>
      <c r="N892" s="36">
        <v>470.42</v>
      </c>
      <c r="O892" s="29">
        <v>0.16</v>
      </c>
      <c r="P892" s="2" t="s">
        <v>1807</v>
      </c>
      <c r="Q892" s="36">
        <v>1185.4584</v>
      </c>
    </row>
    <row r="893" spans="1:17" x14ac:dyDescent="0.3">
      <c r="A893" s="2" t="s">
        <v>2700</v>
      </c>
      <c r="B893" s="14">
        <v>45932</v>
      </c>
      <c r="C893" s="2">
        <f>YEAR(Sales_Details2[[#This Row],[Order_Date]])</f>
        <v>2025</v>
      </c>
      <c r="D893" s="2" t="s">
        <v>980</v>
      </c>
      <c r="E893" s="2" t="str">
        <f>VLOOKUP(Sales_Details2[[#This Row],[Customer_ID]],Customer_Details[#All],4,0)</f>
        <v>Senior</v>
      </c>
      <c r="F893" s="2" t="str">
        <f>VLOOKUP(Sales_Details2[[#This Row],[Customer_ID]],Customer_Details[#All],5,0)</f>
        <v>Female</v>
      </c>
      <c r="G893" s="2" t="str">
        <f>VLOOKUP(Sales_Details2[[#This Row],[Customer_ID]],Customer_Details[#All],9,0)</f>
        <v>Silver</v>
      </c>
      <c r="H893" s="2" t="s">
        <v>1703</v>
      </c>
      <c r="I893" s="2" t="str">
        <f>VLOOKUP(Sales_Details2[[#This Row],[Product_ID]],Product_details[[#All],[Product_ID]:[Cost]],3,0)</f>
        <v>Home</v>
      </c>
      <c r="J893" s="2" t="str">
        <f>VLOOKUP(Sales_Details2[[#This Row],[Product_ID]],Product_details[[#All],[Product_ID]:[Cost]],4,0)</f>
        <v>Kitchen</v>
      </c>
      <c r="K893" s="2" t="s">
        <v>1787</v>
      </c>
      <c r="L893" s="2" t="str">
        <f>_xlfn.XLOOKUP(Sales_Details2[[#This Row],[Store_ID]],Table2[Store_ID],Table2[Region],"Region not found")</f>
        <v>West</v>
      </c>
      <c r="M893" s="25">
        <v>2</v>
      </c>
      <c r="N893" s="36">
        <v>215.59</v>
      </c>
      <c r="O893" s="29">
        <v>0.18</v>
      </c>
      <c r="P893" s="2" t="s">
        <v>1807</v>
      </c>
      <c r="Q893" s="36">
        <v>353.56760000000003</v>
      </c>
    </row>
    <row r="894" spans="1:17" x14ac:dyDescent="0.3">
      <c r="A894" s="2" t="s">
        <v>2701</v>
      </c>
      <c r="B894" s="14">
        <v>45895</v>
      </c>
      <c r="C894" s="2">
        <f>YEAR(Sales_Details2[[#This Row],[Order_Date]])</f>
        <v>2025</v>
      </c>
      <c r="D894" s="2" t="s">
        <v>761</v>
      </c>
      <c r="E894" s="2" t="str">
        <f>VLOOKUP(Sales_Details2[[#This Row],[Customer_ID]],Customer_Details[#All],4,0)</f>
        <v>Senior</v>
      </c>
      <c r="F894" s="2" t="str">
        <f>VLOOKUP(Sales_Details2[[#This Row],[Customer_ID]],Customer_Details[#All],5,0)</f>
        <v>Female</v>
      </c>
      <c r="G894" s="2" t="str">
        <f>VLOOKUP(Sales_Details2[[#This Row],[Customer_ID]],Customer_Details[#All],9,0)</f>
        <v>Platinum</v>
      </c>
      <c r="H894" s="2" t="s">
        <v>1715</v>
      </c>
      <c r="I894" s="2" t="str">
        <f>VLOOKUP(Sales_Details2[[#This Row],[Product_ID]],Product_details[[#All],[Product_ID]:[Cost]],3,0)</f>
        <v>Home</v>
      </c>
      <c r="J894" s="2" t="str">
        <f>VLOOKUP(Sales_Details2[[#This Row],[Product_ID]],Product_details[[#All],[Product_ID]:[Cost]],4,0)</f>
        <v>Appliances</v>
      </c>
      <c r="K894" s="2" t="s">
        <v>1735</v>
      </c>
      <c r="L894" s="2" t="str">
        <f>_xlfn.XLOOKUP(Sales_Details2[[#This Row],[Store_ID]],Table2[Store_ID],Table2[Region],"Region not found")</f>
        <v>East</v>
      </c>
      <c r="M894" s="25">
        <v>1</v>
      </c>
      <c r="N894" s="36">
        <v>533.79999999999995</v>
      </c>
      <c r="O894" s="29">
        <v>0.27</v>
      </c>
      <c r="P894" s="2" t="s">
        <v>1812</v>
      </c>
      <c r="Q894" s="36">
        <v>389.67399999999998</v>
      </c>
    </row>
    <row r="895" spans="1:17" x14ac:dyDescent="0.3">
      <c r="A895" s="2" t="s">
        <v>2702</v>
      </c>
      <c r="B895" s="14">
        <v>45614</v>
      </c>
      <c r="C895" s="2">
        <f>YEAR(Sales_Details2[[#This Row],[Order_Date]])</f>
        <v>2024</v>
      </c>
      <c r="D895" s="2" t="s">
        <v>330</v>
      </c>
      <c r="E895" s="2" t="str">
        <f>VLOOKUP(Sales_Details2[[#This Row],[Customer_ID]],Customer_Details[#All],4,0)</f>
        <v>Adult</v>
      </c>
      <c r="F895" s="2" t="str">
        <f>VLOOKUP(Sales_Details2[[#This Row],[Customer_ID]],Customer_Details[#All],5,0)</f>
        <v>Female</v>
      </c>
      <c r="G895" s="2" t="str">
        <f>VLOOKUP(Sales_Details2[[#This Row],[Customer_ID]],Customer_Details[#All],9,0)</f>
        <v>Gold</v>
      </c>
      <c r="H895" s="2" t="s">
        <v>1595</v>
      </c>
      <c r="I895" s="2" t="str">
        <f>VLOOKUP(Sales_Details2[[#This Row],[Product_ID]],Product_details[[#All],[Product_ID]:[Cost]],3,0)</f>
        <v>Beauty</v>
      </c>
      <c r="J895" s="2" t="str">
        <f>VLOOKUP(Sales_Details2[[#This Row],[Product_ID]],Product_details[[#All],[Product_ID]:[Cost]],4,0)</f>
        <v>Skincare</v>
      </c>
      <c r="K895" s="2" t="s">
        <v>1749</v>
      </c>
      <c r="L895" s="2" t="str">
        <f>_xlfn.XLOOKUP(Sales_Details2[[#This Row],[Store_ID]],Table2[Store_ID],Table2[Region],"Region not found")</f>
        <v>North</v>
      </c>
      <c r="M895" s="25">
        <v>2</v>
      </c>
      <c r="N895" s="36">
        <v>732.67</v>
      </c>
      <c r="O895" s="29">
        <v>0.24</v>
      </c>
      <c r="P895" s="2" t="s">
        <v>1809</v>
      </c>
      <c r="Q895" s="36">
        <v>1113.6584</v>
      </c>
    </row>
    <row r="896" spans="1:17" x14ac:dyDescent="0.3">
      <c r="A896" s="2" t="s">
        <v>2703</v>
      </c>
      <c r="B896" s="14">
        <v>45247</v>
      </c>
      <c r="C896" s="2">
        <f>YEAR(Sales_Details2[[#This Row],[Order_Date]])</f>
        <v>2023</v>
      </c>
      <c r="D896" s="2" t="s">
        <v>1487</v>
      </c>
      <c r="E896" s="2" t="str">
        <f>VLOOKUP(Sales_Details2[[#This Row],[Customer_ID]],Customer_Details[#All],4,0)</f>
        <v>Mid-Adult</v>
      </c>
      <c r="F896" s="2" t="str">
        <f>VLOOKUP(Sales_Details2[[#This Row],[Customer_ID]],Customer_Details[#All],5,0)</f>
        <v>Female</v>
      </c>
      <c r="G896" s="2" t="str">
        <f>VLOOKUP(Sales_Details2[[#This Row],[Customer_ID]],Customer_Details[#All],9,0)</f>
        <v>Silver</v>
      </c>
      <c r="H896" s="2" t="s">
        <v>1651</v>
      </c>
      <c r="I896" s="2" t="str">
        <f>VLOOKUP(Sales_Details2[[#This Row],[Product_ID]],Product_details[[#All],[Product_ID]:[Cost]],3,0)</f>
        <v>Beauty</v>
      </c>
      <c r="J896" s="2" t="str">
        <f>VLOOKUP(Sales_Details2[[#This Row],[Product_ID]],Product_details[[#All],[Product_ID]:[Cost]],4,0)</f>
        <v>Fragrance</v>
      </c>
      <c r="K896" s="2" t="s">
        <v>1780</v>
      </c>
      <c r="L896" s="2" t="str">
        <f>_xlfn.XLOOKUP(Sales_Details2[[#This Row],[Store_ID]],Table2[Store_ID],Table2[Region],"Region not found")</f>
        <v>East</v>
      </c>
      <c r="M896" s="25">
        <v>4</v>
      </c>
      <c r="N896" s="36">
        <v>106.48</v>
      </c>
      <c r="O896" s="29">
        <v>0.1</v>
      </c>
      <c r="P896" s="2" t="s">
        <v>1812</v>
      </c>
      <c r="Q896" s="36">
        <v>383.32799999999997</v>
      </c>
    </row>
    <row r="897" spans="1:17" x14ac:dyDescent="0.3">
      <c r="A897" s="2" t="s">
        <v>2704</v>
      </c>
      <c r="B897" s="14">
        <v>45696</v>
      </c>
      <c r="C897" s="2">
        <f>YEAR(Sales_Details2[[#This Row],[Order_Date]])</f>
        <v>2025</v>
      </c>
      <c r="D897" s="2" t="s">
        <v>367</v>
      </c>
      <c r="E897" s="2" t="str">
        <f>VLOOKUP(Sales_Details2[[#This Row],[Customer_ID]],Customer_Details[#All],4,0)</f>
        <v>Mid-Adult</v>
      </c>
      <c r="F897" s="2" t="str">
        <f>VLOOKUP(Sales_Details2[[#This Row],[Customer_ID]],Customer_Details[#All],5,0)</f>
        <v>Female</v>
      </c>
      <c r="G897" s="2" t="str">
        <f>VLOOKUP(Sales_Details2[[#This Row],[Customer_ID]],Customer_Details[#All],9,0)</f>
        <v>Gold</v>
      </c>
      <c r="H897" s="2" t="s">
        <v>1645</v>
      </c>
      <c r="I897" s="2" t="str">
        <f>VLOOKUP(Sales_Details2[[#This Row],[Product_ID]],Product_details[[#All],[Product_ID]:[Cost]],3,0)</f>
        <v>Sports</v>
      </c>
      <c r="J897" s="2" t="str">
        <f>VLOOKUP(Sales_Details2[[#This Row],[Product_ID]],Product_details[[#All],[Product_ID]:[Cost]],4,0)</f>
        <v>Fitness</v>
      </c>
      <c r="K897" s="2" t="s">
        <v>1749</v>
      </c>
      <c r="L897" s="2" t="str">
        <f>_xlfn.XLOOKUP(Sales_Details2[[#This Row],[Store_ID]],Table2[Store_ID],Table2[Region],"Region not found")</f>
        <v>North</v>
      </c>
      <c r="M897" s="25">
        <v>1</v>
      </c>
      <c r="N897" s="36">
        <v>38.950000000000003</v>
      </c>
      <c r="O897" s="29">
        <v>0.28000000000000003</v>
      </c>
      <c r="P897" s="2" t="s">
        <v>1807</v>
      </c>
      <c r="Q897" s="36">
        <v>28.044</v>
      </c>
    </row>
    <row r="898" spans="1:17" x14ac:dyDescent="0.3">
      <c r="A898" s="2" t="s">
        <v>2705</v>
      </c>
      <c r="B898" s="14">
        <v>45294</v>
      </c>
      <c r="C898" s="2">
        <f>YEAR(Sales_Details2[[#This Row],[Order_Date]])</f>
        <v>2024</v>
      </c>
      <c r="D898" s="2" t="s">
        <v>1321</v>
      </c>
      <c r="E898" s="2" t="str">
        <f>VLOOKUP(Sales_Details2[[#This Row],[Customer_ID]],Customer_Details[#All],4,0)</f>
        <v>Adult</v>
      </c>
      <c r="F898" s="2" t="str">
        <f>VLOOKUP(Sales_Details2[[#This Row],[Customer_ID]],Customer_Details[#All],5,0)</f>
        <v>Male</v>
      </c>
      <c r="G898" s="2" t="str">
        <f>VLOOKUP(Sales_Details2[[#This Row],[Customer_ID]],Customer_Details[#All],9,0)</f>
        <v>Platinum</v>
      </c>
      <c r="H898" s="2" t="s">
        <v>1723</v>
      </c>
      <c r="I898" s="2" t="str">
        <f>VLOOKUP(Sales_Details2[[#This Row],[Product_ID]],Product_details[[#All],[Product_ID]:[Cost]],3,0)</f>
        <v>Clothing</v>
      </c>
      <c r="J898" s="2" t="str">
        <f>VLOOKUP(Sales_Details2[[#This Row],[Product_ID]],Product_details[[#All],[Product_ID]:[Cost]],4,0)</f>
        <v>Outerwear</v>
      </c>
      <c r="K898" s="2" t="s">
        <v>1787</v>
      </c>
      <c r="L898" s="2" t="str">
        <f>_xlfn.XLOOKUP(Sales_Details2[[#This Row],[Store_ID]],Table2[Store_ID],Table2[Region],"Region not found")</f>
        <v>West</v>
      </c>
      <c r="M898" s="25">
        <v>1</v>
      </c>
      <c r="N898" s="36">
        <v>835.17</v>
      </c>
      <c r="O898" s="29">
        <v>0.02</v>
      </c>
      <c r="P898" s="2" t="s">
        <v>1812</v>
      </c>
      <c r="Q898" s="36">
        <v>818.46659999999997</v>
      </c>
    </row>
    <row r="899" spans="1:17" x14ac:dyDescent="0.3">
      <c r="A899" s="2" t="s">
        <v>2706</v>
      </c>
      <c r="B899" s="14">
        <v>45389</v>
      </c>
      <c r="C899" s="2">
        <f>YEAR(Sales_Details2[[#This Row],[Order_Date]])</f>
        <v>2024</v>
      </c>
      <c r="D899" s="2" t="s">
        <v>453</v>
      </c>
      <c r="E899" s="2" t="str">
        <f>VLOOKUP(Sales_Details2[[#This Row],[Customer_ID]],Customer_Details[#All],4,0)</f>
        <v>Senior</v>
      </c>
      <c r="F899" s="2" t="str">
        <f>VLOOKUP(Sales_Details2[[#This Row],[Customer_ID]],Customer_Details[#All],5,0)</f>
        <v>Male</v>
      </c>
      <c r="G899" s="2" t="str">
        <f>VLOOKUP(Sales_Details2[[#This Row],[Customer_ID]],Customer_Details[#All],9,0)</f>
        <v>Gold</v>
      </c>
      <c r="H899" s="2" t="s">
        <v>1697</v>
      </c>
      <c r="I899" s="2" t="str">
        <f>VLOOKUP(Sales_Details2[[#This Row],[Product_ID]],Product_details[[#All],[Product_ID]:[Cost]],3,0)</f>
        <v>Beauty</v>
      </c>
      <c r="J899" s="2" t="str">
        <f>VLOOKUP(Sales_Details2[[#This Row],[Product_ID]],Product_details[[#All],[Product_ID]:[Cost]],4,0)</f>
        <v>Skincare</v>
      </c>
      <c r="K899" s="2" t="s">
        <v>1749</v>
      </c>
      <c r="L899" s="2" t="str">
        <f>_xlfn.XLOOKUP(Sales_Details2[[#This Row],[Store_ID]],Table2[Store_ID],Table2[Region],"Region not found")</f>
        <v>North</v>
      </c>
      <c r="M899" s="25">
        <v>1</v>
      </c>
      <c r="N899" s="36">
        <v>113.07</v>
      </c>
      <c r="O899" s="29">
        <v>0.24</v>
      </c>
      <c r="P899" s="2" t="s">
        <v>1807</v>
      </c>
      <c r="Q899" s="36">
        <v>85.933199999999999</v>
      </c>
    </row>
    <row r="900" spans="1:17" x14ac:dyDescent="0.3">
      <c r="A900" s="2" t="s">
        <v>2707</v>
      </c>
      <c r="B900" s="14">
        <v>45930</v>
      </c>
      <c r="C900" s="2">
        <f>YEAR(Sales_Details2[[#This Row],[Order_Date]])</f>
        <v>2025</v>
      </c>
      <c r="D900" s="2" t="s">
        <v>1421</v>
      </c>
      <c r="E900" s="2" t="str">
        <f>VLOOKUP(Sales_Details2[[#This Row],[Customer_ID]],Customer_Details[#All],4,0)</f>
        <v>Adult</v>
      </c>
      <c r="F900" s="2" t="str">
        <f>VLOOKUP(Sales_Details2[[#This Row],[Customer_ID]],Customer_Details[#All],5,0)</f>
        <v>Male</v>
      </c>
      <c r="G900" s="2" t="str">
        <f>VLOOKUP(Sales_Details2[[#This Row],[Customer_ID]],Customer_Details[#All],9,0)</f>
        <v>Silver</v>
      </c>
      <c r="H900" s="2" t="s">
        <v>1719</v>
      </c>
      <c r="I900" s="2" t="str">
        <f>VLOOKUP(Sales_Details2[[#This Row],[Product_ID]],Product_details[[#All],[Product_ID]:[Cost]],3,0)</f>
        <v>Beauty</v>
      </c>
      <c r="J900" s="2" t="str">
        <f>VLOOKUP(Sales_Details2[[#This Row],[Product_ID]],Product_details[[#All],[Product_ID]:[Cost]],4,0)</f>
        <v>Skincare</v>
      </c>
      <c r="K900" s="2" t="s">
        <v>1777</v>
      </c>
      <c r="L900" s="2" t="str">
        <f>_xlfn.XLOOKUP(Sales_Details2[[#This Row],[Store_ID]],Table2[Store_ID],Table2[Region],"Region not found")</f>
        <v>North</v>
      </c>
      <c r="M900" s="25">
        <v>2</v>
      </c>
      <c r="N900" s="36">
        <v>451.33</v>
      </c>
      <c r="O900" s="29">
        <v>0.23</v>
      </c>
      <c r="P900" s="2" t="s">
        <v>1812</v>
      </c>
      <c r="Q900" s="36">
        <v>695.04819999999995</v>
      </c>
    </row>
    <row r="901" spans="1:17" x14ac:dyDescent="0.3">
      <c r="A901" s="2" t="s">
        <v>2708</v>
      </c>
      <c r="B901" s="14">
        <v>45456</v>
      </c>
      <c r="C901" s="2">
        <f>YEAR(Sales_Details2[[#This Row],[Order_Date]])</f>
        <v>2024</v>
      </c>
      <c r="D901" s="2" t="s">
        <v>1150</v>
      </c>
      <c r="E901" s="2" t="str">
        <f>VLOOKUP(Sales_Details2[[#This Row],[Customer_ID]],Customer_Details[#All],4,0)</f>
        <v>Adult</v>
      </c>
      <c r="F901" s="2" t="str">
        <f>VLOOKUP(Sales_Details2[[#This Row],[Customer_ID]],Customer_Details[#All],5,0)</f>
        <v>Male</v>
      </c>
      <c r="G901" s="2" t="str">
        <f>VLOOKUP(Sales_Details2[[#This Row],[Customer_ID]],Customer_Details[#All],9,0)</f>
        <v>Bronze</v>
      </c>
      <c r="H901" s="2" t="s">
        <v>1703</v>
      </c>
      <c r="I901" s="2" t="str">
        <f>VLOOKUP(Sales_Details2[[#This Row],[Product_ID]],Product_details[[#All],[Product_ID]:[Cost]],3,0)</f>
        <v>Home</v>
      </c>
      <c r="J901" s="2" t="str">
        <f>VLOOKUP(Sales_Details2[[#This Row],[Product_ID]],Product_details[[#All],[Product_ID]:[Cost]],4,0)</f>
        <v>Kitchen</v>
      </c>
      <c r="K901" s="2" t="s">
        <v>1759</v>
      </c>
      <c r="L901" s="2" t="str">
        <f>_xlfn.XLOOKUP(Sales_Details2[[#This Row],[Store_ID]],Table2[Store_ID],Table2[Region],"Region not found")</f>
        <v>East</v>
      </c>
      <c r="M901" s="25">
        <v>3</v>
      </c>
      <c r="N901" s="36">
        <v>619.80999999999995</v>
      </c>
      <c r="O901" s="29">
        <v>0.16</v>
      </c>
      <c r="P901" s="2" t="s">
        <v>1812</v>
      </c>
      <c r="Q901" s="36">
        <v>1561.9212</v>
      </c>
    </row>
    <row r="902" spans="1:17" x14ac:dyDescent="0.3">
      <c r="A902" s="2" t="s">
        <v>2709</v>
      </c>
      <c r="B902" s="14">
        <v>45713</v>
      </c>
      <c r="C902" s="2">
        <f>YEAR(Sales_Details2[[#This Row],[Order_Date]])</f>
        <v>2025</v>
      </c>
      <c r="D902" s="2" t="s">
        <v>376</v>
      </c>
      <c r="E902" s="2" t="str">
        <f>VLOOKUP(Sales_Details2[[#This Row],[Customer_ID]],Customer_Details[#All],4,0)</f>
        <v>Mid-Adult</v>
      </c>
      <c r="F902" s="2" t="str">
        <f>VLOOKUP(Sales_Details2[[#This Row],[Customer_ID]],Customer_Details[#All],5,0)</f>
        <v>Male</v>
      </c>
      <c r="G902" s="2" t="str">
        <f>VLOOKUP(Sales_Details2[[#This Row],[Customer_ID]],Customer_Details[#All],9,0)</f>
        <v>Bronze</v>
      </c>
      <c r="H902" s="2" t="s">
        <v>1655</v>
      </c>
      <c r="I902" s="2" t="str">
        <f>VLOOKUP(Sales_Details2[[#This Row],[Product_ID]],Product_details[[#All],[Product_ID]:[Cost]],3,0)</f>
        <v>Electronics</v>
      </c>
      <c r="J902" s="2" t="str">
        <f>VLOOKUP(Sales_Details2[[#This Row],[Product_ID]],Product_details[[#All],[Product_ID]:[Cost]],4,0)</f>
        <v>Computer</v>
      </c>
      <c r="K902" s="2" t="s">
        <v>1762</v>
      </c>
      <c r="L902" s="2" t="str">
        <f>_xlfn.XLOOKUP(Sales_Details2[[#This Row],[Store_ID]],Table2[Store_ID],Table2[Region],"Region not found")</f>
        <v>South</v>
      </c>
      <c r="M902" s="25">
        <v>4</v>
      </c>
      <c r="N902" s="36">
        <v>46.97</v>
      </c>
      <c r="O902" s="29">
        <v>0.26</v>
      </c>
      <c r="P902" s="2" t="s">
        <v>1809</v>
      </c>
      <c r="Q902" s="36">
        <v>139.03120000000001</v>
      </c>
    </row>
    <row r="903" spans="1:17" x14ac:dyDescent="0.3">
      <c r="A903" s="2" t="s">
        <v>2710</v>
      </c>
      <c r="B903" s="14">
        <v>45784</v>
      </c>
      <c r="C903" s="2">
        <f>YEAR(Sales_Details2[[#This Row],[Order_Date]])</f>
        <v>2025</v>
      </c>
      <c r="D903" s="2" t="s">
        <v>601</v>
      </c>
      <c r="E903" s="2" t="str">
        <f>VLOOKUP(Sales_Details2[[#This Row],[Customer_ID]],Customer_Details[#All],4,0)</f>
        <v>Mid-Adult</v>
      </c>
      <c r="F903" s="2" t="str">
        <f>VLOOKUP(Sales_Details2[[#This Row],[Customer_ID]],Customer_Details[#All],5,0)</f>
        <v>Female</v>
      </c>
      <c r="G903" s="2" t="str">
        <f>VLOOKUP(Sales_Details2[[#This Row],[Customer_ID]],Customer_Details[#All],9,0)</f>
        <v>Silver</v>
      </c>
      <c r="H903" s="2" t="s">
        <v>1623</v>
      </c>
      <c r="I903" s="2" t="str">
        <f>VLOOKUP(Sales_Details2[[#This Row],[Product_ID]],Product_details[[#All],[Product_ID]:[Cost]],3,0)</f>
        <v>Clothing</v>
      </c>
      <c r="J903" s="2" t="str">
        <f>VLOOKUP(Sales_Details2[[#This Row],[Product_ID]],Product_details[[#All],[Product_ID]:[Cost]],4,0)</f>
        <v>Outerwear</v>
      </c>
      <c r="K903" s="2" t="s">
        <v>1744</v>
      </c>
      <c r="L903" s="2" t="str">
        <f>_xlfn.XLOOKUP(Sales_Details2[[#This Row],[Store_ID]],Table2[Store_ID],Table2[Region],"Region not found")</f>
        <v>South</v>
      </c>
      <c r="M903" s="25">
        <v>2</v>
      </c>
      <c r="N903" s="36">
        <v>71.48</v>
      </c>
      <c r="O903" s="29">
        <v>0.14000000000000001</v>
      </c>
      <c r="P903" s="2" t="s">
        <v>1812</v>
      </c>
      <c r="Q903" s="36">
        <v>122.9456</v>
      </c>
    </row>
    <row r="904" spans="1:17" x14ac:dyDescent="0.3">
      <c r="A904" s="2" t="s">
        <v>2711</v>
      </c>
      <c r="B904" s="14">
        <v>45812</v>
      </c>
      <c r="C904" s="2">
        <f>YEAR(Sales_Details2[[#This Row],[Order_Date]])</f>
        <v>2025</v>
      </c>
      <c r="D904" s="2" t="s">
        <v>8</v>
      </c>
      <c r="E904" s="2" t="str">
        <f>VLOOKUP(Sales_Details2[[#This Row],[Customer_ID]],Customer_Details[#All],4,0)</f>
        <v>Senior</v>
      </c>
      <c r="F904" s="2" t="str">
        <f>VLOOKUP(Sales_Details2[[#This Row],[Customer_ID]],Customer_Details[#All],5,0)</f>
        <v>Male</v>
      </c>
      <c r="G904" s="2" t="str">
        <f>VLOOKUP(Sales_Details2[[#This Row],[Customer_ID]],Customer_Details[#All],9,0)</f>
        <v>Platinum</v>
      </c>
      <c r="H904" s="2" t="s">
        <v>1643</v>
      </c>
      <c r="I904" s="2" t="str">
        <f>VLOOKUP(Sales_Details2[[#This Row],[Product_ID]],Product_details[[#All],[Product_ID]:[Cost]],3,0)</f>
        <v>Home</v>
      </c>
      <c r="J904" s="2" t="str">
        <f>VLOOKUP(Sales_Details2[[#This Row],[Product_ID]],Product_details[[#All],[Product_ID]:[Cost]],4,0)</f>
        <v>Decor</v>
      </c>
      <c r="K904" s="2" t="s">
        <v>1796</v>
      </c>
      <c r="L904" s="2" t="str">
        <f>_xlfn.XLOOKUP(Sales_Details2[[#This Row],[Store_ID]],Table2[Store_ID],Table2[Region],"Region not found")</f>
        <v>East</v>
      </c>
      <c r="M904" s="25">
        <v>2</v>
      </c>
      <c r="N904" s="36">
        <v>404.08</v>
      </c>
      <c r="O904" s="29">
        <v>7.0000000000000007E-2</v>
      </c>
      <c r="P904" s="2" t="s">
        <v>1807</v>
      </c>
      <c r="Q904" s="36">
        <v>751.58879999999988</v>
      </c>
    </row>
    <row r="905" spans="1:17" x14ac:dyDescent="0.3">
      <c r="A905" s="2" t="s">
        <v>2712</v>
      </c>
      <c r="B905" s="14">
        <v>45653</v>
      </c>
      <c r="C905" s="2">
        <f>YEAR(Sales_Details2[[#This Row],[Order_Date]])</f>
        <v>2024</v>
      </c>
      <c r="D905" s="2" t="s">
        <v>835</v>
      </c>
      <c r="E905" s="2" t="str">
        <f>VLOOKUP(Sales_Details2[[#This Row],[Customer_ID]],Customer_Details[#All],4,0)</f>
        <v>Adult</v>
      </c>
      <c r="F905" s="2" t="str">
        <f>VLOOKUP(Sales_Details2[[#This Row],[Customer_ID]],Customer_Details[#All],5,0)</f>
        <v>Male</v>
      </c>
      <c r="G905" s="2" t="str">
        <f>VLOOKUP(Sales_Details2[[#This Row],[Customer_ID]],Customer_Details[#All],9,0)</f>
        <v>Gold</v>
      </c>
      <c r="H905" s="2" t="s">
        <v>1565</v>
      </c>
      <c r="I905" s="2" t="str">
        <f>VLOOKUP(Sales_Details2[[#This Row],[Product_ID]],Product_details[[#All],[Product_ID]:[Cost]],3,0)</f>
        <v>Sports</v>
      </c>
      <c r="J905" s="2" t="str">
        <f>VLOOKUP(Sales_Details2[[#This Row],[Product_ID]],Product_details[[#All],[Product_ID]:[Cost]],4,0)</f>
        <v>Accessories</v>
      </c>
      <c r="K905" s="2" t="s">
        <v>1787</v>
      </c>
      <c r="L905" s="2" t="str">
        <f>_xlfn.XLOOKUP(Sales_Details2[[#This Row],[Store_ID]],Table2[Store_ID],Table2[Region],"Region not found")</f>
        <v>West</v>
      </c>
      <c r="M905" s="25">
        <v>1</v>
      </c>
      <c r="N905" s="36">
        <v>519.91</v>
      </c>
      <c r="O905" s="29">
        <v>0.05</v>
      </c>
      <c r="P905" s="2" t="s">
        <v>1812</v>
      </c>
      <c r="Q905" s="36">
        <v>493.91449999999992</v>
      </c>
    </row>
    <row r="906" spans="1:17" x14ac:dyDescent="0.3">
      <c r="A906" s="2" t="s">
        <v>2713</v>
      </c>
      <c r="B906" s="14">
        <v>45672</v>
      </c>
      <c r="C906" s="2">
        <f>YEAR(Sales_Details2[[#This Row],[Order_Date]])</f>
        <v>2025</v>
      </c>
      <c r="D906" s="2" t="s">
        <v>485</v>
      </c>
      <c r="E906" s="2" t="str">
        <f>VLOOKUP(Sales_Details2[[#This Row],[Customer_ID]],Customer_Details[#All],4,0)</f>
        <v>Mid-Adult</v>
      </c>
      <c r="F906" s="2" t="str">
        <f>VLOOKUP(Sales_Details2[[#This Row],[Customer_ID]],Customer_Details[#All],5,0)</f>
        <v>Male</v>
      </c>
      <c r="G906" s="2" t="str">
        <f>VLOOKUP(Sales_Details2[[#This Row],[Customer_ID]],Customer_Details[#All],9,0)</f>
        <v>Platinum</v>
      </c>
      <c r="H906" s="2" t="s">
        <v>1627</v>
      </c>
      <c r="I906" s="2" t="str">
        <f>VLOOKUP(Sales_Details2[[#This Row],[Product_ID]],Product_details[[#All],[Product_ID]:[Cost]],3,0)</f>
        <v>Electronics</v>
      </c>
      <c r="J906" s="2" t="str">
        <f>VLOOKUP(Sales_Details2[[#This Row],[Product_ID]],Product_details[[#All],[Product_ID]:[Cost]],4,0)</f>
        <v>Accessories</v>
      </c>
      <c r="K906" s="2" t="s">
        <v>1780</v>
      </c>
      <c r="L906" s="2" t="str">
        <f>_xlfn.XLOOKUP(Sales_Details2[[#This Row],[Store_ID]],Table2[Store_ID],Table2[Region],"Region not found")</f>
        <v>East</v>
      </c>
      <c r="M906" s="25">
        <v>3</v>
      </c>
      <c r="N906" s="36">
        <v>566.16</v>
      </c>
      <c r="O906" s="29">
        <v>0.05</v>
      </c>
      <c r="P906" s="2" t="s">
        <v>1809</v>
      </c>
      <c r="Q906" s="36">
        <v>1613.556</v>
      </c>
    </row>
    <row r="907" spans="1:17" x14ac:dyDescent="0.3">
      <c r="A907" s="2" t="s">
        <v>2714</v>
      </c>
      <c r="B907" s="14">
        <v>45799</v>
      </c>
      <c r="C907" s="2">
        <f>YEAR(Sales_Details2[[#This Row],[Order_Date]])</f>
        <v>2025</v>
      </c>
      <c r="D907" s="2" t="s">
        <v>1210</v>
      </c>
      <c r="E907" s="2" t="str">
        <f>VLOOKUP(Sales_Details2[[#This Row],[Customer_ID]],Customer_Details[#All],4,0)</f>
        <v>Mid-Adult</v>
      </c>
      <c r="F907" s="2" t="str">
        <f>VLOOKUP(Sales_Details2[[#This Row],[Customer_ID]],Customer_Details[#All],5,0)</f>
        <v>Male</v>
      </c>
      <c r="G907" s="2" t="str">
        <f>VLOOKUP(Sales_Details2[[#This Row],[Customer_ID]],Customer_Details[#All],9,0)</f>
        <v>Gold</v>
      </c>
      <c r="H907" s="2" t="s">
        <v>1635</v>
      </c>
      <c r="I907" s="2" t="str">
        <f>VLOOKUP(Sales_Details2[[#This Row],[Product_ID]],Product_details[[#All],[Product_ID]:[Cost]],3,0)</f>
        <v>Sports</v>
      </c>
      <c r="J907" s="2" t="str">
        <f>VLOOKUP(Sales_Details2[[#This Row],[Product_ID]],Product_details[[#All],[Product_ID]:[Cost]],4,0)</f>
        <v>Team Sports</v>
      </c>
      <c r="K907" s="2" t="s">
        <v>1772</v>
      </c>
      <c r="L907" s="2" t="str">
        <f>_xlfn.XLOOKUP(Sales_Details2[[#This Row],[Store_ID]],Table2[Store_ID],Table2[Region],"Region not found")</f>
        <v>East</v>
      </c>
      <c r="M907" s="25">
        <v>2</v>
      </c>
      <c r="N907" s="36">
        <v>295.12</v>
      </c>
      <c r="O907" s="29">
        <v>0.09</v>
      </c>
      <c r="P907" s="2" t="s">
        <v>1812</v>
      </c>
      <c r="Q907" s="36">
        <v>537.11840000000007</v>
      </c>
    </row>
    <row r="908" spans="1:17" x14ac:dyDescent="0.3">
      <c r="A908" s="2" t="s">
        <v>2715</v>
      </c>
      <c r="B908" s="14">
        <v>45848</v>
      </c>
      <c r="C908" s="2">
        <f>YEAR(Sales_Details2[[#This Row],[Order_Date]])</f>
        <v>2025</v>
      </c>
      <c r="D908" s="2" t="s">
        <v>379</v>
      </c>
      <c r="E908" s="2" t="str">
        <f>VLOOKUP(Sales_Details2[[#This Row],[Customer_ID]],Customer_Details[#All],4,0)</f>
        <v>Adult</v>
      </c>
      <c r="F908" s="2" t="str">
        <f>VLOOKUP(Sales_Details2[[#This Row],[Customer_ID]],Customer_Details[#All],5,0)</f>
        <v>Male</v>
      </c>
      <c r="G908" s="2" t="str">
        <f>VLOOKUP(Sales_Details2[[#This Row],[Customer_ID]],Customer_Details[#All],9,0)</f>
        <v>Silver</v>
      </c>
      <c r="H908" s="2" t="s">
        <v>1599</v>
      </c>
      <c r="I908" s="2" t="str">
        <f>VLOOKUP(Sales_Details2[[#This Row],[Product_ID]],Product_details[[#All],[Product_ID]:[Cost]],3,0)</f>
        <v>Electronics</v>
      </c>
      <c r="J908" s="2" t="str">
        <f>VLOOKUP(Sales_Details2[[#This Row],[Product_ID]],Product_details[[#All],[Product_ID]:[Cost]],4,0)</f>
        <v>Computer</v>
      </c>
      <c r="K908" s="2" t="s">
        <v>1775</v>
      </c>
      <c r="L908" s="2" t="str">
        <f>_xlfn.XLOOKUP(Sales_Details2[[#This Row],[Store_ID]],Table2[Store_ID],Table2[Region],"Region not found")</f>
        <v>South</v>
      </c>
      <c r="M908" s="25">
        <v>2</v>
      </c>
      <c r="N908" s="36">
        <v>414.18</v>
      </c>
      <c r="O908" s="29">
        <v>0.25</v>
      </c>
      <c r="P908" s="2" t="s">
        <v>1809</v>
      </c>
      <c r="Q908" s="36">
        <v>621.27</v>
      </c>
    </row>
    <row r="909" spans="1:17" x14ac:dyDescent="0.3">
      <c r="A909" s="2" t="s">
        <v>2716</v>
      </c>
      <c r="B909" s="14">
        <v>45918</v>
      </c>
      <c r="C909" s="2">
        <f>YEAR(Sales_Details2[[#This Row],[Order_Date]])</f>
        <v>2025</v>
      </c>
      <c r="D909" s="2" t="s">
        <v>847</v>
      </c>
      <c r="E909" s="2" t="str">
        <f>VLOOKUP(Sales_Details2[[#This Row],[Customer_ID]],Customer_Details[#All],4,0)</f>
        <v>Senior</v>
      </c>
      <c r="F909" s="2" t="str">
        <f>VLOOKUP(Sales_Details2[[#This Row],[Customer_ID]],Customer_Details[#All],5,0)</f>
        <v>Female</v>
      </c>
      <c r="G909" s="2" t="str">
        <f>VLOOKUP(Sales_Details2[[#This Row],[Customer_ID]],Customer_Details[#All],9,0)</f>
        <v>Bronze</v>
      </c>
      <c r="H909" s="2" t="s">
        <v>1647</v>
      </c>
      <c r="I909" s="2" t="str">
        <f>VLOOKUP(Sales_Details2[[#This Row],[Product_ID]],Product_details[[#All],[Product_ID]:[Cost]],3,0)</f>
        <v>Clothing</v>
      </c>
      <c r="J909" s="2" t="str">
        <f>VLOOKUP(Sales_Details2[[#This Row],[Product_ID]],Product_details[[#All],[Product_ID]:[Cost]],4,0)</f>
        <v>Accessories</v>
      </c>
      <c r="K909" s="2" t="s">
        <v>1765</v>
      </c>
      <c r="L909" s="2" t="str">
        <f>_xlfn.XLOOKUP(Sales_Details2[[#This Row],[Store_ID]],Table2[Store_ID],Table2[Region],"Region not found")</f>
        <v>West</v>
      </c>
      <c r="M909" s="25">
        <v>2</v>
      </c>
      <c r="N909" s="36">
        <v>433.75</v>
      </c>
      <c r="O909" s="29">
        <v>0</v>
      </c>
      <c r="P909" s="2" t="s">
        <v>1807</v>
      </c>
      <c r="Q909" s="36">
        <v>867.5</v>
      </c>
    </row>
    <row r="910" spans="1:17" x14ac:dyDescent="0.3">
      <c r="A910" s="2" t="s">
        <v>2717</v>
      </c>
      <c r="B910" s="14">
        <v>45288</v>
      </c>
      <c r="C910" s="2">
        <f>YEAR(Sales_Details2[[#This Row],[Order_Date]])</f>
        <v>2023</v>
      </c>
      <c r="D910" s="2" t="s">
        <v>885</v>
      </c>
      <c r="E910" s="2" t="str">
        <f>VLOOKUP(Sales_Details2[[#This Row],[Customer_ID]],Customer_Details[#All],4,0)</f>
        <v>Senior</v>
      </c>
      <c r="F910" s="2" t="str">
        <f>VLOOKUP(Sales_Details2[[#This Row],[Customer_ID]],Customer_Details[#All],5,0)</f>
        <v>Male</v>
      </c>
      <c r="G910" s="2" t="str">
        <f>VLOOKUP(Sales_Details2[[#This Row],[Customer_ID]],Customer_Details[#All],9,0)</f>
        <v>Platinum</v>
      </c>
      <c r="H910" s="2" t="s">
        <v>1701</v>
      </c>
      <c r="I910" s="2" t="str">
        <f>VLOOKUP(Sales_Details2[[#This Row],[Product_ID]],Product_details[[#All],[Product_ID]:[Cost]],3,0)</f>
        <v>Clothing</v>
      </c>
      <c r="J910" s="2" t="str">
        <f>VLOOKUP(Sales_Details2[[#This Row],[Product_ID]],Product_details[[#All],[Product_ID]:[Cost]],4,0)</f>
        <v>Accessories</v>
      </c>
      <c r="K910" s="2" t="s">
        <v>1796</v>
      </c>
      <c r="L910" s="2" t="str">
        <f>_xlfn.XLOOKUP(Sales_Details2[[#This Row],[Store_ID]],Table2[Store_ID],Table2[Region],"Region not found")</f>
        <v>East</v>
      </c>
      <c r="M910" s="25">
        <v>3</v>
      </c>
      <c r="N910" s="36">
        <v>104.33</v>
      </c>
      <c r="O910" s="29">
        <v>0.13</v>
      </c>
      <c r="P910" s="2" t="s">
        <v>1812</v>
      </c>
      <c r="Q910" s="36">
        <v>272.30130000000003</v>
      </c>
    </row>
    <row r="911" spans="1:17" x14ac:dyDescent="0.3">
      <c r="A911" s="2" t="s">
        <v>2718</v>
      </c>
      <c r="B911" s="14">
        <v>45477</v>
      </c>
      <c r="C911" s="2">
        <f>YEAR(Sales_Details2[[#This Row],[Order_Date]])</f>
        <v>2024</v>
      </c>
      <c r="D911" s="2" t="s">
        <v>1415</v>
      </c>
      <c r="E911" s="2" t="str">
        <f>VLOOKUP(Sales_Details2[[#This Row],[Customer_ID]],Customer_Details[#All],4,0)</f>
        <v>Mid-Adult</v>
      </c>
      <c r="F911" s="2" t="str">
        <f>VLOOKUP(Sales_Details2[[#This Row],[Customer_ID]],Customer_Details[#All],5,0)</f>
        <v>Female</v>
      </c>
      <c r="G911" s="2" t="str">
        <f>VLOOKUP(Sales_Details2[[#This Row],[Customer_ID]],Customer_Details[#All],9,0)</f>
        <v>Platinum</v>
      </c>
      <c r="H911" s="2" t="s">
        <v>1536</v>
      </c>
      <c r="I911" s="2" t="str">
        <f>VLOOKUP(Sales_Details2[[#This Row],[Product_ID]],Product_details[[#All],[Product_ID]:[Cost]],3,0)</f>
        <v>Clothing</v>
      </c>
      <c r="J911" s="2" t="str">
        <f>VLOOKUP(Sales_Details2[[#This Row],[Product_ID]],Product_details[[#All],[Product_ID]:[Cost]],4,0)</f>
        <v>Bottoms</v>
      </c>
      <c r="K911" s="2" t="s">
        <v>1777</v>
      </c>
      <c r="L911" s="2" t="str">
        <f>_xlfn.XLOOKUP(Sales_Details2[[#This Row],[Store_ID]],Table2[Store_ID],Table2[Region],"Region not found")</f>
        <v>North</v>
      </c>
      <c r="M911" s="25">
        <v>1</v>
      </c>
      <c r="N911" s="36">
        <v>221.7</v>
      </c>
      <c r="O911" s="29">
        <v>0.04</v>
      </c>
      <c r="P911" s="2" t="s">
        <v>1807</v>
      </c>
      <c r="Q911" s="36">
        <v>212.83199999999999</v>
      </c>
    </row>
    <row r="912" spans="1:17" x14ac:dyDescent="0.3">
      <c r="A912" s="2" t="s">
        <v>2719</v>
      </c>
      <c r="B912" s="14">
        <v>45796</v>
      </c>
      <c r="C912" s="2">
        <f>YEAR(Sales_Details2[[#This Row],[Order_Date]])</f>
        <v>2025</v>
      </c>
      <c r="D912" s="2" t="s">
        <v>681</v>
      </c>
      <c r="E912" s="2" t="str">
        <f>VLOOKUP(Sales_Details2[[#This Row],[Customer_ID]],Customer_Details[#All],4,0)</f>
        <v>Adult</v>
      </c>
      <c r="F912" s="2" t="str">
        <f>VLOOKUP(Sales_Details2[[#This Row],[Customer_ID]],Customer_Details[#All],5,0)</f>
        <v>Female</v>
      </c>
      <c r="G912" s="2" t="str">
        <f>VLOOKUP(Sales_Details2[[#This Row],[Customer_ID]],Customer_Details[#All],9,0)</f>
        <v>Silver</v>
      </c>
      <c r="H912" s="2" t="s">
        <v>1665</v>
      </c>
      <c r="I912" s="2" t="str">
        <f>VLOOKUP(Sales_Details2[[#This Row],[Product_ID]],Product_details[[#All],[Product_ID]:[Cost]],3,0)</f>
        <v>Electronics</v>
      </c>
      <c r="J912" s="2" t="str">
        <f>VLOOKUP(Sales_Details2[[#This Row],[Product_ID]],Product_details[[#All],[Product_ID]:[Cost]],4,0)</f>
        <v>Accessories</v>
      </c>
      <c r="K912" s="2" t="s">
        <v>1756</v>
      </c>
      <c r="L912" s="2" t="str">
        <f>_xlfn.XLOOKUP(Sales_Details2[[#This Row],[Store_ID]],Table2[Store_ID],Table2[Region],"Region not found")</f>
        <v>North</v>
      </c>
      <c r="M912" s="25">
        <v>2</v>
      </c>
      <c r="N912" s="36">
        <v>491.26</v>
      </c>
      <c r="O912" s="29">
        <v>0.14000000000000001</v>
      </c>
      <c r="P912" s="2" t="s">
        <v>1812</v>
      </c>
      <c r="Q912" s="36">
        <v>844.96719999999993</v>
      </c>
    </row>
    <row r="913" spans="1:17" x14ac:dyDescent="0.3">
      <c r="A913" s="2" t="s">
        <v>2720</v>
      </c>
      <c r="B913" s="14">
        <v>45630</v>
      </c>
      <c r="C913" s="2">
        <f>YEAR(Sales_Details2[[#This Row],[Order_Date]])</f>
        <v>2024</v>
      </c>
      <c r="D913" s="2" t="s">
        <v>592</v>
      </c>
      <c r="E913" s="2" t="str">
        <f>VLOOKUP(Sales_Details2[[#This Row],[Customer_ID]],Customer_Details[#All],4,0)</f>
        <v>Senior</v>
      </c>
      <c r="F913" s="2" t="str">
        <f>VLOOKUP(Sales_Details2[[#This Row],[Customer_ID]],Customer_Details[#All],5,0)</f>
        <v>Male</v>
      </c>
      <c r="G913" s="2" t="str">
        <f>VLOOKUP(Sales_Details2[[#This Row],[Customer_ID]],Customer_Details[#All],9,0)</f>
        <v>Bronze</v>
      </c>
      <c r="H913" s="2" t="s">
        <v>1605</v>
      </c>
      <c r="I913" s="2" t="str">
        <f>VLOOKUP(Sales_Details2[[#This Row],[Product_ID]],Product_details[[#All],[Product_ID]:[Cost]],3,0)</f>
        <v>Clothing</v>
      </c>
      <c r="J913" s="2" t="str">
        <f>VLOOKUP(Sales_Details2[[#This Row],[Product_ID]],Product_details[[#All],[Product_ID]:[Cost]],4,0)</f>
        <v>Footwear</v>
      </c>
      <c r="K913" s="2" t="s">
        <v>1765</v>
      </c>
      <c r="L913" s="2" t="str">
        <f>_xlfn.XLOOKUP(Sales_Details2[[#This Row],[Store_ID]],Table2[Store_ID],Table2[Region],"Region not found")</f>
        <v>West</v>
      </c>
      <c r="M913" s="25">
        <v>4</v>
      </c>
      <c r="N913" s="36">
        <v>923.14</v>
      </c>
      <c r="O913" s="29">
        <v>0.15</v>
      </c>
      <c r="P913" s="2" t="s">
        <v>1807</v>
      </c>
      <c r="Q913" s="36">
        <v>3138.6759999999999</v>
      </c>
    </row>
    <row r="914" spans="1:17" x14ac:dyDescent="0.3">
      <c r="A914" s="2" t="s">
        <v>2721</v>
      </c>
      <c r="B914" s="14">
        <v>45625</v>
      </c>
      <c r="C914" s="2">
        <f>YEAR(Sales_Details2[[#This Row],[Order_Date]])</f>
        <v>2024</v>
      </c>
      <c r="D914" s="2" t="s">
        <v>628</v>
      </c>
      <c r="E914" s="2" t="str">
        <f>VLOOKUP(Sales_Details2[[#This Row],[Customer_ID]],Customer_Details[#All],4,0)</f>
        <v>Mid-Adult</v>
      </c>
      <c r="F914" s="2" t="str">
        <f>VLOOKUP(Sales_Details2[[#This Row],[Customer_ID]],Customer_Details[#All],5,0)</f>
        <v>Male</v>
      </c>
      <c r="G914" s="2" t="str">
        <f>VLOOKUP(Sales_Details2[[#This Row],[Customer_ID]],Customer_Details[#All],9,0)</f>
        <v>Gold</v>
      </c>
      <c r="H914" s="2" t="s">
        <v>1659</v>
      </c>
      <c r="I914" s="2" t="str">
        <f>VLOOKUP(Sales_Details2[[#This Row],[Product_ID]],Product_details[[#All],[Product_ID]:[Cost]],3,0)</f>
        <v>Beauty</v>
      </c>
      <c r="J914" s="2" t="str">
        <f>VLOOKUP(Sales_Details2[[#This Row],[Product_ID]],Product_details[[#All],[Product_ID]:[Cost]],4,0)</f>
        <v>Makeup</v>
      </c>
      <c r="K914" s="2" t="s">
        <v>1762</v>
      </c>
      <c r="L914" s="2" t="str">
        <f>_xlfn.XLOOKUP(Sales_Details2[[#This Row],[Store_ID]],Table2[Store_ID],Table2[Region],"Region not found")</f>
        <v>South</v>
      </c>
      <c r="M914" s="25">
        <v>2</v>
      </c>
      <c r="N914" s="36">
        <v>747.65</v>
      </c>
      <c r="O914" s="29">
        <v>0.08</v>
      </c>
      <c r="P914" s="2" t="s">
        <v>1807</v>
      </c>
      <c r="Q914" s="36">
        <v>1375.6759999999999</v>
      </c>
    </row>
    <row r="915" spans="1:17" x14ac:dyDescent="0.3">
      <c r="A915" s="2" t="s">
        <v>2722</v>
      </c>
      <c r="B915" s="14">
        <v>45773</v>
      </c>
      <c r="C915" s="2">
        <f>YEAR(Sales_Details2[[#This Row],[Order_Date]])</f>
        <v>2025</v>
      </c>
      <c r="D915" s="2" t="s">
        <v>379</v>
      </c>
      <c r="E915" s="2" t="str">
        <f>VLOOKUP(Sales_Details2[[#This Row],[Customer_ID]],Customer_Details[#All],4,0)</f>
        <v>Adult</v>
      </c>
      <c r="F915" s="2" t="str">
        <f>VLOOKUP(Sales_Details2[[#This Row],[Customer_ID]],Customer_Details[#All],5,0)</f>
        <v>Male</v>
      </c>
      <c r="G915" s="2" t="str">
        <f>VLOOKUP(Sales_Details2[[#This Row],[Customer_ID]],Customer_Details[#All],9,0)</f>
        <v>Silver</v>
      </c>
      <c r="H915" s="2" t="s">
        <v>1615</v>
      </c>
      <c r="I915" s="2" t="str">
        <f>VLOOKUP(Sales_Details2[[#This Row],[Product_ID]],Product_details[[#All],[Product_ID]:[Cost]],3,0)</f>
        <v>Electronics</v>
      </c>
      <c r="J915" s="2" t="str">
        <f>VLOOKUP(Sales_Details2[[#This Row],[Product_ID]],Product_details[[#All],[Product_ID]:[Cost]],4,0)</f>
        <v>Accessories</v>
      </c>
      <c r="K915" s="2" t="s">
        <v>1762</v>
      </c>
      <c r="L915" s="2" t="str">
        <f>_xlfn.XLOOKUP(Sales_Details2[[#This Row],[Store_ID]],Table2[Store_ID],Table2[Region],"Region not found")</f>
        <v>South</v>
      </c>
      <c r="M915" s="25">
        <v>3</v>
      </c>
      <c r="N915" s="36">
        <v>94.55</v>
      </c>
      <c r="O915" s="29">
        <v>0.13</v>
      </c>
      <c r="P915" s="2" t="s">
        <v>1812</v>
      </c>
      <c r="Q915" s="36">
        <v>246.77549999999999</v>
      </c>
    </row>
    <row r="916" spans="1:17" x14ac:dyDescent="0.3">
      <c r="A916" s="2" t="s">
        <v>2723</v>
      </c>
      <c r="B916" s="14">
        <v>45308</v>
      </c>
      <c r="C916" s="2">
        <f>YEAR(Sales_Details2[[#This Row],[Order_Date]])</f>
        <v>2024</v>
      </c>
      <c r="D916" s="2" t="s">
        <v>152</v>
      </c>
      <c r="E916" s="2" t="str">
        <f>VLOOKUP(Sales_Details2[[#This Row],[Customer_ID]],Customer_Details[#All],4,0)</f>
        <v>Senior</v>
      </c>
      <c r="F916" s="2" t="str">
        <f>VLOOKUP(Sales_Details2[[#This Row],[Customer_ID]],Customer_Details[#All],5,0)</f>
        <v>Female</v>
      </c>
      <c r="G916" s="2" t="str">
        <f>VLOOKUP(Sales_Details2[[#This Row],[Customer_ID]],Customer_Details[#All],9,0)</f>
        <v>Gold</v>
      </c>
      <c r="H916" s="2" t="s">
        <v>1561</v>
      </c>
      <c r="I916" s="2" t="str">
        <f>VLOOKUP(Sales_Details2[[#This Row],[Product_ID]],Product_details[[#All],[Product_ID]:[Cost]],3,0)</f>
        <v>Electronics</v>
      </c>
      <c r="J916" s="2" t="str">
        <f>VLOOKUP(Sales_Details2[[#This Row],[Product_ID]],Product_details[[#All],[Product_ID]:[Cost]],4,0)</f>
        <v>Appliances</v>
      </c>
      <c r="K916" s="2" t="s">
        <v>1796</v>
      </c>
      <c r="L916" s="2" t="str">
        <f>_xlfn.XLOOKUP(Sales_Details2[[#This Row],[Store_ID]],Table2[Store_ID],Table2[Region],"Region not found")</f>
        <v>East</v>
      </c>
      <c r="M916" s="25">
        <v>3</v>
      </c>
      <c r="N916" s="36">
        <v>620.12</v>
      </c>
      <c r="O916" s="29">
        <v>0.06</v>
      </c>
      <c r="P916" s="2" t="s">
        <v>1807</v>
      </c>
      <c r="Q916" s="36">
        <v>1748.7384</v>
      </c>
    </row>
    <row r="917" spans="1:17" x14ac:dyDescent="0.3">
      <c r="A917" s="2" t="s">
        <v>2724</v>
      </c>
      <c r="B917" s="14">
        <v>45869</v>
      </c>
      <c r="C917" s="2">
        <f>YEAR(Sales_Details2[[#This Row],[Order_Date]])</f>
        <v>2025</v>
      </c>
      <c r="D917" s="2" t="s">
        <v>1478</v>
      </c>
      <c r="E917" s="2" t="str">
        <f>VLOOKUP(Sales_Details2[[#This Row],[Customer_ID]],Customer_Details[#All],4,0)</f>
        <v>Adult</v>
      </c>
      <c r="F917" s="2" t="str">
        <f>VLOOKUP(Sales_Details2[[#This Row],[Customer_ID]],Customer_Details[#All],5,0)</f>
        <v>Female</v>
      </c>
      <c r="G917" s="2" t="str">
        <f>VLOOKUP(Sales_Details2[[#This Row],[Customer_ID]],Customer_Details[#All],9,0)</f>
        <v>Bronze</v>
      </c>
      <c r="H917" s="2" t="s">
        <v>1669</v>
      </c>
      <c r="I917" s="2" t="str">
        <f>VLOOKUP(Sales_Details2[[#This Row],[Product_ID]],Product_details[[#All],[Product_ID]:[Cost]],3,0)</f>
        <v>Clothing</v>
      </c>
      <c r="J917" s="2" t="str">
        <f>VLOOKUP(Sales_Details2[[#This Row],[Product_ID]],Product_details[[#All],[Product_ID]:[Cost]],4,0)</f>
        <v>Bottoms</v>
      </c>
      <c r="K917" s="2" t="s">
        <v>1759</v>
      </c>
      <c r="L917" s="2" t="str">
        <f>_xlfn.XLOOKUP(Sales_Details2[[#This Row],[Store_ID]],Table2[Store_ID],Table2[Region],"Region not found")</f>
        <v>East</v>
      </c>
      <c r="M917" s="25">
        <v>2</v>
      </c>
      <c r="N917" s="36">
        <v>354.09</v>
      </c>
      <c r="O917" s="29">
        <v>0.12</v>
      </c>
      <c r="P917" s="2" t="s">
        <v>1812</v>
      </c>
      <c r="Q917" s="36">
        <v>623.19839999999999</v>
      </c>
    </row>
    <row r="918" spans="1:17" x14ac:dyDescent="0.3">
      <c r="A918" s="2" t="s">
        <v>2725</v>
      </c>
      <c r="B918" s="14">
        <v>45621</v>
      </c>
      <c r="C918" s="2">
        <f>YEAR(Sales_Details2[[#This Row],[Order_Date]])</f>
        <v>2024</v>
      </c>
      <c r="D918" s="2" t="s">
        <v>442</v>
      </c>
      <c r="E918" s="2" t="str">
        <f>VLOOKUP(Sales_Details2[[#This Row],[Customer_ID]],Customer_Details[#All],4,0)</f>
        <v>Adult</v>
      </c>
      <c r="F918" s="2" t="str">
        <f>VLOOKUP(Sales_Details2[[#This Row],[Customer_ID]],Customer_Details[#All],5,0)</f>
        <v>Male</v>
      </c>
      <c r="G918" s="2" t="str">
        <f>VLOOKUP(Sales_Details2[[#This Row],[Customer_ID]],Customer_Details[#All],9,0)</f>
        <v>Platinum</v>
      </c>
      <c r="H918" s="2" t="s">
        <v>1637</v>
      </c>
      <c r="I918" s="2" t="str">
        <f>VLOOKUP(Sales_Details2[[#This Row],[Product_ID]],Product_details[[#All],[Product_ID]:[Cost]],3,0)</f>
        <v>Clothing</v>
      </c>
      <c r="J918" s="2" t="str">
        <f>VLOOKUP(Sales_Details2[[#This Row],[Product_ID]],Product_details[[#All],[Product_ID]:[Cost]],4,0)</f>
        <v>Bottoms</v>
      </c>
      <c r="K918" s="2" t="s">
        <v>1756</v>
      </c>
      <c r="L918" s="2" t="str">
        <f>_xlfn.XLOOKUP(Sales_Details2[[#This Row],[Store_ID]],Table2[Store_ID],Table2[Region],"Region not found")</f>
        <v>North</v>
      </c>
      <c r="M918" s="25">
        <v>3</v>
      </c>
      <c r="N918" s="36">
        <v>214.94</v>
      </c>
      <c r="O918" s="29">
        <v>0.22</v>
      </c>
      <c r="P918" s="2" t="s">
        <v>1812</v>
      </c>
      <c r="Q918" s="36">
        <v>502.95960000000002</v>
      </c>
    </row>
    <row r="919" spans="1:17" x14ac:dyDescent="0.3">
      <c r="A919" s="2" t="s">
        <v>2726</v>
      </c>
      <c r="B919" s="14">
        <v>45428</v>
      </c>
      <c r="C919" s="2">
        <f>YEAR(Sales_Details2[[#This Row],[Order_Date]])</f>
        <v>2024</v>
      </c>
      <c r="D919" s="2" t="s">
        <v>645</v>
      </c>
      <c r="E919" s="2" t="str">
        <f>VLOOKUP(Sales_Details2[[#This Row],[Customer_ID]],Customer_Details[#All],4,0)</f>
        <v>Mid-Adult</v>
      </c>
      <c r="F919" s="2" t="str">
        <f>VLOOKUP(Sales_Details2[[#This Row],[Customer_ID]],Customer_Details[#All],5,0)</f>
        <v>Male</v>
      </c>
      <c r="G919" s="2" t="str">
        <f>VLOOKUP(Sales_Details2[[#This Row],[Customer_ID]],Customer_Details[#All],9,0)</f>
        <v>Bronze</v>
      </c>
      <c r="H919" s="2" t="s">
        <v>1548</v>
      </c>
      <c r="I919" s="2" t="str">
        <f>VLOOKUP(Sales_Details2[[#This Row],[Product_ID]],Product_details[[#All],[Product_ID]:[Cost]],3,0)</f>
        <v>Sports</v>
      </c>
      <c r="J919" s="2" t="str">
        <f>VLOOKUP(Sales_Details2[[#This Row],[Product_ID]],Product_details[[#All],[Product_ID]:[Cost]],4,0)</f>
        <v>Fitness</v>
      </c>
      <c r="K919" s="2" t="s">
        <v>1777</v>
      </c>
      <c r="L919" s="2" t="str">
        <f>_xlfn.XLOOKUP(Sales_Details2[[#This Row],[Store_ID]],Table2[Store_ID],Table2[Region],"Region not found")</f>
        <v>North</v>
      </c>
      <c r="M919" s="25">
        <v>2</v>
      </c>
      <c r="N919" s="36">
        <v>309.77999999999997</v>
      </c>
      <c r="O919" s="29">
        <v>0.16</v>
      </c>
      <c r="P919" s="2" t="s">
        <v>1807</v>
      </c>
      <c r="Q919" s="36">
        <v>520.43039999999996</v>
      </c>
    </row>
    <row r="920" spans="1:17" x14ac:dyDescent="0.3">
      <c r="A920" s="2" t="s">
        <v>2727</v>
      </c>
      <c r="B920" s="14">
        <v>45807</v>
      </c>
      <c r="C920" s="2">
        <f>YEAR(Sales_Details2[[#This Row],[Order_Date]])</f>
        <v>2025</v>
      </c>
      <c r="D920" s="2" t="s">
        <v>252</v>
      </c>
      <c r="E920" s="2" t="str">
        <f>VLOOKUP(Sales_Details2[[#This Row],[Customer_ID]],Customer_Details[#All],4,0)</f>
        <v>Adult</v>
      </c>
      <c r="F920" s="2" t="str">
        <f>VLOOKUP(Sales_Details2[[#This Row],[Customer_ID]],Customer_Details[#All],5,0)</f>
        <v>Female</v>
      </c>
      <c r="G920" s="2" t="str">
        <f>VLOOKUP(Sales_Details2[[#This Row],[Customer_ID]],Customer_Details[#All],9,0)</f>
        <v>Platinum</v>
      </c>
      <c r="H920" s="2" t="s">
        <v>1557</v>
      </c>
      <c r="I920" s="2" t="str">
        <f>VLOOKUP(Sales_Details2[[#This Row],[Product_ID]],Product_details[[#All],[Product_ID]:[Cost]],3,0)</f>
        <v>Electronics</v>
      </c>
      <c r="J920" s="2" t="str">
        <f>VLOOKUP(Sales_Details2[[#This Row],[Product_ID]],Product_details[[#All],[Product_ID]:[Cost]],4,0)</f>
        <v>Accessories</v>
      </c>
      <c r="K920" s="2" t="s">
        <v>1749</v>
      </c>
      <c r="L920" s="2" t="str">
        <f>_xlfn.XLOOKUP(Sales_Details2[[#This Row],[Store_ID]],Table2[Store_ID],Table2[Region],"Region not found")</f>
        <v>North</v>
      </c>
      <c r="M920" s="25">
        <v>2</v>
      </c>
      <c r="N920" s="36">
        <v>183.85</v>
      </c>
      <c r="O920" s="29">
        <v>0.14000000000000001</v>
      </c>
      <c r="P920" s="2" t="s">
        <v>1809</v>
      </c>
      <c r="Q920" s="36">
        <v>316.22199999999998</v>
      </c>
    </row>
    <row r="921" spans="1:17" x14ac:dyDescent="0.3">
      <c r="A921" s="2" t="s">
        <v>2728</v>
      </c>
      <c r="B921" s="14">
        <v>45238</v>
      </c>
      <c r="C921" s="2">
        <f>YEAR(Sales_Details2[[#This Row],[Order_Date]])</f>
        <v>2023</v>
      </c>
      <c r="D921" s="2" t="s">
        <v>1258</v>
      </c>
      <c r="E921" s="2" t="str">
        <f>VLOOKUP(Sales_Details2[[#This Row],[Customer_ID]],Customer_Details[#All],4,0)</f>
        <v>Senior</v>
      </c>
      <c r="F921" s="2" t="str">
        <f>VLOOKUP(Sales_Details2[[#This Row],[Customer_ID]],Customer_Details[#All],5,0)</f>
        <v>Male</v>
      </c>
      <c r="G921" s="2" t="str">
        <f>VLOOKUP(Sales_Details2[[#This Row],[Customer_ID]],Customer_Details[#All],9,0)</f>
        <v>Gold</v>
      </c>
      <c r="H921" s="2" t="s">
        <v>1671</v>
      </c>
      <c r="I921" s="2" t="str">
        <f>VLOOKUP(Sales_Details2[[#This Row],[Product_ID]],Product_details[[#All],[Product_ID]:[Cost]],3,0)</f>
        <v>Home</v>
      </c>
      <c r="J921" s="2" t="str">
        <f>VLOOKUP(Sales_Details2[[#This Row],[Product_ID]],Product_details[[#All],[Product_ID]:[Cost]],4,0)</f>
        <v>Storage</v>
      </c>
      <c r="K921" s="2" t="s">
        <v>1735</v>
      </c>
      <c r="L921" s="2" t="str">
        <f>_xlfn.XLOOKUP(Sales_Details2[[#This Row],[Store_ID]],Table2[Store_ID],Table2[Region],"Region not found")</f>
        <v>East</v>
      </c>
      <c r="M921" s="25">
        <v>1</v>
      </c>
      <c r="N921" s="36">
        <v>550.05999999999995</v>
      </c>
      <c r="O921" s="29">
        <v>0.01</v>
      </c>
      <c r="P921" s="2" t="s">
        <v>1807</v>
      </c>
      <c r="Q921" s="36">
        <v>544.55939999999998</v>
      </c>
    </row>
    <row r="922" spans="1:17" x14ac:dyDescent="0.3">
      <c r="A922" s="2" t="s">
        <v>2729</v>
      </c>
      <c r="B922" s="14">
        <v>45253</v>
      </c>
      <c r="C922" s="2">
        <f>YEAR(Sales_Details2[[#This Row],[Order_Date]])</f>
        <v>2023</v>
      </c>
      <c r="D922" s="2" t="s">
        <v>121</v>
      </c>
      <c r="E922" s="2" t="str">
        <f>VLOOKUP(Sales_Details2[[#This Row],[Customer_ID]],Customer_Details[#All],4,0)</f>
        <v>Senior</v>
      </c>
      <c r="F922" s="2" t="str">
        <f>VLOOKUP(Sales_Details2[[#This Row],[Customer_ID]],Customer_Details[#All],5,0)</f>
        <v>Female</v>
      </c>
      <c r="G922" s="2" t="str">
        <f>VLOOKUP(Sales_Details2[[#This Row],[Customer_ID]],Customer_Details[#All],9,0)</f>
        <v>Silver</v>
      </c>
      <c r="H922" s="2" t="s">
        <v>1689</v>
      </c>
      <c r="I922" s="2" t="str">
        <f>VLOOKUP(Sales_Details2[[#This Row],[Product_ID]],Product_details[[#All],[Product_ID]:[Cost]],3,0)</f>
        <v>Home</v>
      </c>
      <c r="J922" s="2" t="str">
        <f>VLOOKUP(Sales_Details2[[#This Row],[Product_ID]],Product_details[[#All],[Product_ID]:[Cost]],4,0)</f>
        <v>Lighting</v>
      </c>
      <c r="K922" s="2" t="s">
        <v>1752</v>
      </c>
      <c r="L922" s="2" t="str">
        <f>_xlfn.XLOOKUP(Sales_Details2[[#This Row],[Store_ID]],Table2[Store_ID],Table2[Region],"Region not found")</f>
        <v>South</v>
      </c>
      <c r="M922" s="25">
        <v>2</v>
      </c>
      <c r="N922" s="36">
        <v>32.19</v>
      </c>
      <c r="O922" s="29">
        <v>0.13</v>
      </c>
      <c r="P922" s="2" t="s">
        <v>1812</v>
      </c>
      <c r="Q922" s="36">
        <v>56.010599999999997</v>
      </c>
    </row>
    <row r="923" spans="1:17" x14ac:dyDescent="0.3">
      <c r="A923" s="2" t="s">
        <v>2730</v>
      </c>
      <c r="B923" s="14">
        <v>45460</v>
      </c>
      <c r="C923" s="2">
        <f>YEAR(Sales_Details2[[#This Row],[Order_Date]])</f>
        <v>2024</v>
      </c>
      <c r="D923" s="2" t="s">
        <v>465</v>
      </c>
      <c r="E923" s="2" t="str">
        <f>VLOOKUP(Sales_Details2[[#This Row],[Customer_ID]],Customer_Details[#All],4,0)</f>
        <v>Mid-Adult</v>
      </c>
      <c r="F923" s="2" t="str">
        <f>VLOOKUP(Sales_Details2[[#This Row],[Customer_ID]],Customer_Details[#All],5,0)</f>
        <v>Male</v>
      </c>
      <c r="G923" s="2" t="str">
        <f>VLOOKUP(Sales_Details2[[#This Row],[Customer_ID]],Customer_Details[#All],9,0)</f>
        <v>Gold</v>
      </c>
      <c r="H923" s="2" t="s">
        <v>1597</v>
      </c>
      <c r="I923" s="2" t="str">
        <f>VLOOKUP(Sales_Details2[[#This Row],[Product_ID]],Product_details[[#All],[Product_ID]:[Cost]],3,0)</f>
        <v>Home</v>
      </c>
      <c r="J923" s="2" t="str">
        <f>VLOOKUP(Sales_Details2[[#This Row],[Product_ID]],Product_details[[#All],[Product_ID]:[Cost]],4,0)</f>
        <v>Decor</v>
      </c>
      <c r="K923" s="2" t="s">
        <v>1796</v>
      </c>
      <c r="L923" s="2" t="str">
        <f>_xlfn.XLOOKUP(Sales_Details2[[#This Row],[Store_ID]],Table2[Store_ID],Table2[Region],"Region not found")</f>
        <v>East</v>
      </c>
      <c r="M923" s="25">
        <v>2</v>
      </c>
      <c r="N923" s="36">
        <v>892.06</v>
      </c>
      <c r="O923" s="29">
        <v>0.08</v>
      </c>
      <c r="P923" s="2" t="s">
        <v>1807</v>
      </c>
      <c r="Q923" s="36">
        <v>1641.3904</v>
      </c>
    </row>
    <row r="924" spans="1:17" x14ac:dyDescent="0.3">
      <c r="A924" s="2" t="s">
        <v>2731</v>
      </c>
      <c r="B924" s="14">
        <v>45628</v>
      </c>
      <c r="C924" s="2">
        <f>YEAR(Sales_Details2[[#This Row],[Order_Date]])</f>
        <v>2024</v>
      </c>
      <c r="D924" s="2" t="s">
        <v>1439</v>
      </c>
      <c r="E924" s="2" t="str">
        <f>VLOOKUP(Sales_Details2[[#This Row],[Customer_ID]],Customer_Details[#All],4,0)</f>
        <v>Mid-Adult</v>
      </c>
      <c r="F924" s="2" t="str">
        <f>VLOOKUP(Sales_Details2[[#This Row],[Customer_ID]],Customer_Details[#All],5,0)</f>
        <v>Male</v>
      </c>
      <c r="G924" s="2" t="str">
        <f>VLOOKUP(Sales_Details2[[#This Row],[Customer_ID]],Customer_Details[#All],9,0)</f>
        <v>Silver</v>
      </c>
      <c r="H924" s="2" t="s">
        <v>1647</v>
      </c>
      <c r="I924" s="2" t="str">
        <f>VLOOKUP(Sales_Details2[[#This Row],[Product_ID]],Product_details[[#All],[Product_ID]:[Cost]],3,0)</f>
        <v>Clothing</v>
      </c>
      <c r="J924" s="2" t="str">
        <f>VLOOKUP(Sales_Details2[[#This Row],[Product_ID]],Product_details[[#All],[Product_ID]:[Cost]],4,0)</f>
        <v>Accessories</v>
      </c>
      <c r="K924" s="2" t="s">
        <v>1759</v>
      </c>
      <c r="L924" s="2" t="str">
        <f>_xlfn.XLOOKUP(Sales_Details2[[#This Row],[Store_ID]],Table2[Store_ID],Table2[Region],"Region not found")</f>
        <v>East</v>
      </c>
      <c r="M924" s="25">
        <v>1</v>
      </c>
      <c r="N924" s="36">
        <v>127.47</v>
      </c>
      <c r="O924" s="29">
        <v>0.16</v>
      </c>
      <c r="P924" s="2" t="s">
        <v>1812</v>
      </c>
      <c r="Q924" s="36">
        <v>107.0748</v>
      </c>
    </row>
    <row r="925" spans="1:17" x14ac:dyDescent="0.3">
      <c r="A925" s="2" t="s">
        <v>2732</v>
      </c>
      <c r="B925" s="14">
        <v>45778</v>
      </c>
      <c r="C925" s="2">
        <f>YEAR(Sales_Details2[[#This Row],[Order_Date]])</f>
        <v>2025</v>
      </c>
      <c r="D925" s="2" t="s">
        <v>1198</v>
      </c>
      <c r="E925" s="2" t="str">
        <f>VLOOKUP(Sales_Details2[[#This Row],[Customer_ID]],Customer_Details[#All],4,0)</f>
        <v>Senior</v>
      </c>
      <c r="F925" s="2" t="str">
        <f>VLOOKUP(Sales_Details2[[#This Row],[Customer_ID]],Customer_Details[#All],5,0)</f>
        <v>Male</v>
      </c>
      <c r="G925" s="2" t="str">
        <f>VLOOKUP(Sales_Details2[[#This Row],[Customer_ID]],Customer_Details[#All],9,0)</f>
        <v>Platinum</v>
      </c>
      <c r="H925" s="2" t="s">
        <v>1685</v>
      </c>
      <c r="I925" s="2" t="str">
        <f>VLOOKUP(Sales_Details2[[#This Row],[Product_ID]],Product_details[[#All],[Product_ID]:[Cost]],3,0)</f>
        <v>Electronics</v>
      </c>
      <c r="J925" s="2" t="str">
        <f>VLOOKUP(Sales_Details2[[#This Row],[Product_ID]],Product_details[[#All],[Product_ID]:[Cost]],4,0)</f>
        <v>Appliances</v>
      </c>
      <c r="K925" s="2" t="s">
        <v>1782</v>
      </c>
      <c r="L925" s="2" t="str">
        <f>_xlfn.XLOOKUP(Sales_Details2[[#This Row],[Store_ID]],Table2[Store_ID],Table2[Region],"Region not found")</f>
        <v>South</v>
      </c>
      <c r="M925" s="25">
        <v>3</v>
      </c>
      <c r="N925" s="36">
        <v>212.87</v>
      </c>
      <c r="O925" s="29">
        <v>0.18</v>
      </c>
      <c r="P925" s="2" t="s">
        <v>1807</v>
      </c>
      <c r="Q925" s="36">
        <v>523.66020000000003</v>
      </c>
    </row>
    <row r="926" spans="1:17" x14ac:dyDescent="0.3">
      <c r="A926" s="2" t="s">
        <v>2733</v>
      </c>
      <c r="B926" s="14">
        <v>45471</v>
      </c>
      <c r="C926" s="2">
        <f>YEAR(Sales_Details2[[#This Row],[Order_Date]])</f>
        <v>2024</v>
      </c>
      <c r="D926" s="2" t="s">
        <v>592</v>
      </c>
      <c r="E926" s="2" t="str">
        <f>VLOOKUP(Sales_Details2[[#This Row],[Customer_ID]],Customer_Details[#All],4,0)</f>
        <v>Senior</v>
      </c>
      <c r="F926" s="2" t="str">
        <f>VLOOKUP(Sales_Details2[[#This Row],[Customer_ID]],Customer_Details[#All],5,0)</f>
        <v>Male</v>
      </c>
      <c r="G926" s="2" t="str">
        <f>VLOOKUP(Sales_Details2[[#This Row],[Customer_ID]],Customer_Details[#All],9,0)</f>
        <v>Bronze</v>
      </c>
      <c r="H926" s="2" t="s">
        <v>1693</v>
      </c>
      <c r="I926" s="2" t="str">
        <f>VLOOKUP(Sales_Details2[[#This Row],[Product_ID]],Product_details[[#All],[Product_ID]:[Cost]],3,0)</f>
        <v>Sports</v>
      </c>
      <c r="J926" s="2" t="str">
        <f>VLOOKUP(Sales_Details2[[#This Row],[Product_ID]],Product_details[[#All],[Product_ID]:[Cost]],4,0)</f>
        <v>Equipment</v>
      </c>
      <c r="K926" s="2" t="s">
        <v>1762</v>
      </c>
      <c r="L926" s="2" t="str">
        <f>_xlfn.XLOOKUP(Sales_Details2[[#This Row],[Store_ID]],Table2[Store_ID],Table2[Region],"Region not found")</f>
        <v>South</v>
      </c>
      <c r="M926" s="25">
        <v>1</v>
      </c>
      <c r="N926" s="36">
        <v>26.37</v>
      </c>
      <c r="O926" s="29">
        <v>0.3</v>
      </c>
      <c r="P926" s="2" t="s">
        <v>1812</v>
      </c>
      <c r="Q926" s="36">
        <v>18.459</v>
      </c>
    </row>
    <row r="927" spans="1:17" x14ac:dyDescent="0.3">
      <c r="A927" s="2" t="s">
        <v>2734</v>
      </c>
      <c r="B927" s="14">
        <v>45770</v>
      </c>
      <c r="C927" s="2">
        <f>YEAR(Sales_Details2[[#This Row],[Order_Date]])</f>
        <v>2025</v>
      </c>
      <c r="D927" s="2" t="s">
        <v>1421</v>
      </c>
      <c r="E927" s="2" t="str">
        <f>VLOOKUP(Sales_Details2[[#This Row],[Customer_ID]],Customer_Details[#All],4,0)</f>
        <v>Adult</v>
      </c>
      <c r="F927" s="2" t="str">
        <f>VLOOKUP(Sales_Details2[[#This Row],[Customer_ID]],Customer_Details[#All],5,0)</f>
        <v>Male</v>
      </c>
      <c r="G927" s="2" t="str">
        <f>VLOOKUP(Sales_Details2[[#This Row],[Customer_ID]],Customer_Details[#All],9,0)</f>
        <v>Silver</v>
      </c>
      <c r="H927" s="2" t="s">
        <v>1599</v>
      </c>
      <c r="I927" s="2" t="str">
        <f>VLOOKUP(Sales_Details2[[#This Row],[Product_ID]],Product_details[[#All],[Product_ID]:[Cost]],3,0)</f>
        <v>Electronics</v>
      </c>
      <c r="J927" s="2" t="str">
        <f>VLOOKUP(Sales_Details2[[#This Row],[Product_ID]],Product_details[[#All],[Product_ID]:[Cost]],4,0)</f>
        <v>Computer</v>
      </c>
      <c r="K927" s="2" t="s">
        <v>1793</v>
      </c>
      <c r="L927" s="2" t="str">
        <f>_xlfn.XLOOKUP(Sales_Details2[[#This Row],[Store_ID]],Table2[Store_ID],Table2[Region],"Region not found")</f>
        <v>East</v>
      </c>
      <c r="M927" s="25">
        <v>4</v>
      </c>
      <c r="N927" s="36">
        <v>953.98</v>
      </c>
      <c r="O927" s="29">
        <v>0.16</v>
      </c>
      <c r="P927" s="2" t="s">
        <v>1807</v>
      </c>
      <c r="Q927" s="36">
        <v>3205.3728000000001</v>
      </c>
    </row>
    <row r="928" spans="1:17" x14ac:dyDescent="0.3">
      <c r="A928" s="2" t="s">
        <v>2735</v>
      </c>
      <c r="B928" s="14">
        <v>45369</v>
      </c>
      <c r="C928" s="2">
        <f>YEAR(Sales_Details2[[#This Row],[Order_Date]])</f>
        <v>2024</v>
      </c>
      <c r="D928" s="2" t="s">
        <v>693</v>
      </c>
      <c r="E928" s="2" t="str">
        <f>VLOOKUP(Sales_Details2[[#This Row],[Customer_ID]],Customer_Details[#All],4,0)</f>
        <v>Mid-Adult</v>
      </c>
      <c r="F928" s="2" t="str">
        <f>VLOOKUP(Sales_Details2[[#This Row],[Customer_ID]],Customer_Details[#All],5,0)</f>
        <v>Female</v>
      </c>
      <c r="G928" s="2" t="str">
        <f>VLOOKUP(Sales_Details2[[#This Row],[Customer_ID]],Customer_Details[#All],9,0)</f>
        <v>Gold</v>
      </c>
      <c r="H928" s="2" t="s">
        <v>1665</v>
      </c>
      <c r="I928" s="2" t="str">
        <f>VLOOKUP(Sales_Details2[[#This Row],[Product_ID]],Product_details[[#All],[Product_ID]:[Cost]],3,0)</f>
        <v>Electronics</v>
      </c>
      <c r="J928" s="2" t="str">
        <f>VLOOKUP(Sales_Details2[[#This Row],[Product_ID]],Product_details[[#All],[Product_ID]:[Cost]],4,0)</f>
        <v>Accessories</v>
      </c>
      <c r="K928" s="2" t="s">
        <v>1796</v>
      </c>
      <c r="L928" s="2" t="str">
        <f>_xlfn.XLOOKUP(Sales_Details2[[#This Row],[Store_ID]],Table2[Store_ID],Table2[Region],"Region not found")</f>
        <v>East</v>
      </c>
      <c r="M928" s="25">
        <v>3</v>
      </c>
      <c r="N928" s="36">
        <v>968.88</v>
      </c>
      <c r="O928" s="29">
        <v>0.15</v>
      </c>
      <c r="P928" s="2" t="s">
        <v>1807</v>
      </c>
      <c r="Q928" s="36">
        <v>2470.6439999999998</v>
      </c>
    </row>
    <row r="929" spans="1:17" x14ac:dyDescent="0.3">
      <c r="A929" s="2" t="s">
        <v>2736</v>
      </c>
      <c r="B929" s="14">
        <v>45910</v>
      </c>
      <c r="C929" s="2">
        <f>YEAR(Sales_Details2[[#This Row],[Order_Date]])</f>
        <v>2025</v>
      </c>
      <c r="D929" s="2" t="s">
        <v>610</v>
      </c>
      <c r="E929" s="2" t="str">
        <f>VLOOKUP(Sales_Details2[[#This Row],[Customer_ID]],Customer_Details[#All],4,0)</f>
        <v>Senior</v>
      </c>
      <c r="F929" s="2" t="str">
        <f>VLOOKUP(Sales_Details2[[#This Row],[Customer_ID]],Customer_Details[#All],5,0)</f>
        <v>Female</v>
      </c>
      <c r="G929" s="2" t="str">
        <f>VLOOKUP(Sales_Details2[[#This Row],[Customer_ID]],Customer_Details[#All],9,0)</f>
        <v>Platinum</v>
      </c>
      <c r="H929" s="2" t="s">
        <v>1683</v>
      </c>
      <c r="I929" s="2" t="str">
        <f>VLOOKUP(Sales_Details2[[#This Row],[Product_ID]],Product_details[[#All],[Product_ID]:[Cost]],3,0)</f>
        <v>Electronics</v>
      </c>
      <c r="J929" s="2" t="str">
        <f>VLOOKUP(Sales_Details2[[#This Row],[Product_ID]],Product_details[[#All],[Product_ID]:[Cost]],4,0)</f>
        <v>Computer</v>
      </c>
      <c r="K929" s="2" t="s">
        <v>1793</v>
      </c>
      <c r="L929" s="2" t="str">
        <f>_xlfn.XLOOKUP(Sales_Details2[[#This Row],[Store_ID]],Table2[Store_ID],Table2[Region],"Region not found")</f>
        <v>East</v>
      </c>
      <c r="M929" s="25">
        <v>1</v>
      </c>
      <c r="N929" s="36">
        <v>533.04999999999995</v>
      </c>
      <c r="O929" s="29">
        <v>0.11</v>
      </c>
      <c r="P929" s="2" t="s">
        <v>1809</v>
      </c>
      <c r="Q929" s="36">
        <v>474.41449999999998</v>
      </c>
    </row>
    <row r="930" spans="1:17" x14ac:dyDescent="0.3">
      <c r="A930" s="2" t="s">
        <v>2737</v>
      </c>
      <c r="B930" s="14">
        <v>45637</v>
      </c>
      <c r="C930" s="2">
        <f>YEAR(Sales_Details2[[#This Row],[Order_Date]])</f>
        <v>2024</v>
      </c>
      <c r="D930" s="2" t="s">
        <v>1177</v>
      </c>
      <c r="E930" s="2" t="str">
        <f>VLOOKUP(Sales_Details2[[#This Row],[Customer_ID]],Customer_Details[#All],4,0)</f>
        <v>Mid-Adult</v>
      </c>
      <c r="F930" s="2" t="str">
        <f>VLOOKUP(Sales_Details2[[#This Row],[Customer_ID]],Customer_Details[#All],5,0)</f>
        <v>Male</v>
      </c>
      <c r="G930" s="2" t="str">
        <f>VLOOKUP(Sales_Details2[[#This Row],[Customer_ID]],Customer_Details[#All],9,0)</f>
        <v>Silver</v>
      </c>
      <c r="H930" s="2" t="s">
        <v>1693</v>
      </c>
      <c r="I930" s="2" t="str">
        <f>VLOOKUP(Sales_Details2[[#This Row],[Product_ID]],Product_details[[#All],[Product_ID]:[Cost]],3,0)</f>
        <v>Sports</v>
      </c>
      <c r="J930" s="2" t="str">
        <f>VLOOKUP(Sales_Details2[[#This Row],[Product_ID]],Product_details[[#All],[Product_ID]:[Cost]],4,0)</f>
        <v>Equipment</v>
      </c>
      <c r="K930" s="2" t="s">
        <v>1740</v>
      </c>
      <c r="L930" s="2" t="str">
        <f>_xlfn.XLOOKUP(Sales_Details2[[#This Row],[Store_ID]],Table2[Store_ID],Table2[Region],"Region not found")</f>
        <v>North</v>
      </c>
      <c r="M930" s="25">
        <v>3</v>
      </c>
      <c r="N930" s="36">
        <v>138.86000000000001</v>
      </c>
      <c r="O930" s="29">
        <v>0.11</v>
      </c>
      <c r="P930" s="2" t="s">
        <v>1809</v>
      </c>
      <c r="Q930" s="36">
        <v>370.75619999999998</v>
      </c>
    </row>
    <row r="931" spans="1:17" x14ac:dyDescent="0.3">
      <c r="A931" s="2" t="s">
        <v>2738</v>
      </c>
      <c r="B931" s="14">
        <v>45706</v>
      </c>
      <c r="C931" s="2">
        <f>YEAR(Sales_Details2[[#This Row],[Order_Date]])</f>
        <v>2025</v>
      </c>
      <c r="D931" s="2" t="s">
        <v>527</v>
      </c>
      <c r="E931" s="2" t="str">
        <f>VLOOKUP(Sales_Details2[[#This Row],[Customer_ID]],Customer_Details[#All],4,0)</f>
        <v>Mid-Adult</v>
      </c>
      <c r="F931" s="2" t="str">
        <f>VLOOKUP(Sales_Details2[[#This Row],[Customer_ID]],Customer_Details[#All],5,0)</f>
        <v>Female</v>
      </c>
      <c r="G931" s="2" t="str">
        <f>VLOOKUP(Sales_Details2[[#This Row],[Customer_ID]],Customer_Details[#All],9,0)</f>
        <v>Gold</v>
      </c>
      <c r="H931" s="2" t="s">
        <v>1575</v>
      </c>
      <c r="I931" s="2" t="str">
        <f>VLOOKUP(Sales_Details2[[#This Row],[Product_ID]],Product_details[[#All],[Product_ID]:[Cost]],3,0)</f>
        <v>Sports</v>
      </c>
      <c r="J931" s="2" t="str">
        <f>VLOOKUP(Sales_Details2[[#This Row],[Product_ID]],Product_details[[#All],[Product_ID]:[Cost]],4,0)</f>
        <v>Equipment</v>
      </c>
      <c r="K931" s="2" t="s">
        <v>1735</v>
      </c>
      <c r="L931" s="2" t="str">
        <f>_xlfn.XLOOKUP(Sales_Details2[[#This Row],[Store_ID]],Table2[Store_ID],Table2[Region],"Region not found")</f>
        <v>East</v>
      </c>
      <c r="M931" s="25">
        <v>1</v>
      </c>
      <c r="N931" s="36">
        <v>588.92999999999995</v>
      </c>
      <c r="O931" s="29">
        <v>0.03</v>
      </c>
      <c r="P931" s="2" t="s">
        <v>1812</v>
      </c>
      <c r="Q931" s="36">
        <v>571.26209999999992</v>
      </c>
    </row>
    <row r="932" spans="1:17" x14ac:dyDescent="0.3">
      <c r="A932" s="2" t="s">
        <v>2739</v>
      </c>
      <c r="B932" s="14">
        <v>45557</v>
      </c>
      <c r="C932" s="2">
        <f>YEAR(Sales_Details2[[#This Row],[Order_Date]])</f>
        <v>2024</v>
      </c>
      <c r="D932" s="2" t="s">
        <v>1240</v>
      </c>
      <c r="E932" s="2" t="str">
        <f>VLOOKUP(Sales_Details2[[#This Row],[Customer_ID]],Customer_Details[#All],4,0)</f>
        <v>Mid-Adult</v>
      </c>
      <c r="F932" s="2" t="str">
        <f>VLOOKUP(Sales_Details2[[#This Row],[Customer_ID]],Customer_Details[#All],5,0)</f>
        <v>Male</v>
      </c>
      <c r="G932" s="2" t="str">
        <f>VLOOKUP(Sales_Details2[[#This Row],[Customer_ID]],Customer_Details[#All],9,0)</f>
        <v>Bronze</v>
      </c>
      <c r="H932" s="2" t="s">
        <v>1635</v>
      </c>
      <c r="I932" s="2" t="str">
        <f>VLOOKUP(Sales_Details2[[#This Row],[Product_ID]],Product_details[[#All],[Product_ID]:[Cost]],3,0)</f>
        <v>Sports</v>
      </c>
      <c r="J932" s="2" t="str">
        <f>VLOOKUP(Sales_Details2[[#This Row],[Product_ID]],Product_details[[#All],[Product_ID]:[Cost]],4,0)</f>
        <v>Team Sports</v>
      </c>
      <c r="K932" s="2" t="s">
        <v>1756</v>
      </c>
      <c r="L932" s="2" t="str">
        <f>_xlfn.XLOOKUP(Sales_Details2[[#This Row],[Store_ID]],Table2[Store_ID],Table2[Region],"Region not found")</f>
        <v>North</v>
      </c>
      <c r="M932" s="25">
        <v>2</v>
      </c>
      <c r="N932" s="36">
        <v>576.83000000000004</v>
      </c>
      <c r="O932" s="29">
        <v>0.19</v>
      </c>
      <c r="P932" s="2" t="s">
        <v>1809</v>
      </c>
      <c r="Q932" s="36">
        <v>934.46460000000013</v>
      </c>
    </row>
    <row r="933" spans="1:17" x14ac:dyDescent="0.3">
      <c r="A933" s="2" t="s">
        <v>2740</v>
      </c>
      <c r="B933" s="14">
        <v>45338</v>
      </c>
      <c r="C933" s="2">
        <f>YEAR(Sales_Details2[[#This Row],[Order_Date]])</f>
        <v>2024</v>
      </c>
      <c r="D933" s="2" t="s">
        <v>1007</v>
      </c>
      <c r="E933" s="2" t="str">
        <f>VLOOKUP(Sales_Details2[[#This Row],[Customer_ID]],Customer_Details[#All],4,0)</f>
        <v>Senior</v>
      </c>
      <c r="F933" s="2" t="str">
        <f>VLOOKUP(Sales_Details2[[#This Row],[Customer_ID]],Customer_Details[#All],5,0)</f>
        <v>Female</v>
      </c>
      <c r="G933" s="2" t="str">
        <f>VLOOKUP(Sales_Details2[[#This Row],[Customer_ID]],Customer_Details[#All],9,0)</f>
        <v>Platinum</v>
      </c>
      <c r="H933" s="2" t="s">
        <v>1661</v>
      </c>
      <c r="I933" s="2" t="str">
        <f>VLOOKUP(Sales_Details2[[#This Row],[Product_ID]],Product_details[[#All],[Product_ID]:[Cost]],3,0)</f>
        <v>Sports</v>
      </c>
      <c r="J933" s="2" t="str">
        <f>VLOOKUP(Sales_Details2[[#This Row],[Product_ID]],Product_details[[#All],[Product_ID]:[Cost]],4,0)</f>
        <v>Fitness</v>
      </c>
      <c r="K933" s="2" t="s">
        <v>1777</v>
      </c>
      <c r="L933" s="2" t="str">
        <f>_xlfn.XLOOKUP(Sales_Details2[[#This Row],[Store_ID]],Table2[Store_ID],Table2[Region],"Region not found")</f>
        <v>North</v>
      </c>
      <c r="M933" s="25">
        <v>1</v>
      </c>
      <c r="N933" s="36">
        <v>681.3</v>
      </c>
      <c r="O933" s="29">
        <v>0.05</v>
      </c>
      <c r="P933" s="2" t="s">
        <v>1807</v>
      </c>
      <c r="Q933" s="36">
        <v>647.2349999999999</v>
      </c>
    </row>
    <row r="934" spans="1:17" x14ac:dyDescent="0.3">
      <c r="A934" s="2" t="s">
        <v>2741</v>
      </c>
      <c r="B934" s="14">
        <v>45441</v>
      </c>
      <c r="C934" s="2">
        <f>YEAR(Sales_Details2[[#This Row],[Order_Date]])</f>
        <v>2024</v>
      </c>
      <c r="D934" s="2" t="s">
        <v>1395</v>
      </c>
      <c r="E934" s="2" t="str">
        <f>VLOOKUP(Sales_Details2[[#This Row],[Customer_ID]],Customer_Details[#All],4,0)</f>
        <v>Senior</v>
      </c>
      <c r="F934" s="2" t="str">
        <f>VLOOKUP(Sales_Details2[[#This Row],[Customer_ID]],Customer_Details[#All],5,0)</f>
        <v>Male</v>
      </c>
      <c r="G934" s="2" t="str">
        <f>VLOOKUP(Sales_Details2[[#This Row],[Customer_ID]],Customer_Details[#All],9,0)</f>
        <v>Platinum</v>
      </c>
      <c r="H934" s="2" t="s">
        <v>1581</v>
      </c>
      <c r="I934" s="2" t="str">
        <f>VLOOKUP(Sales_Details2[[#This Row],[Product_ID]],Product_details[[#All],[Product_ID]:[Cost]],3,0)</f>
        <v>Clothing</v>
      </c>
      <c r="J934" s="2" t="str">
        <f>VLOOKUP(Sales_Details2[[#This Row],[Product_ID]],Product_details[[#All],[Product_ID]:[Cost]],4,0)</f>
        <v>Accessories</v>
      </c>
      <c r="K934" s="2" t="s">
        <v>1784</v>
      </c>
      <c r="L934" s="2" t="str">
        <f>_xlfn.XLOOKUP(Sales_Details2[[#This Row],[Store_ID]],Table2[Store_ID],Table2[Region],"Region not found")</f>
        <v>North</v>
      </c>
      <c r="M934" s="25">
        <v>3</v>
      </c>
      <c r="N934" s="36">
        <v>504.97</v>
      </c>
      <c r="O934" s="29">
        <v>0.3</v>
      </c>
      <c r="P934" s="2" t="s">
        <v>1807</v>
      </c>
      <c r="Q934" s="36">
        <v>1060.4369999999999</v>
      </c>
    </row>
    <row r="935" spans="1:17" x14ac:dyDescent="0.3">
      <c r="A935" s="2" t="s">
        <v>2742</v>
      </c>
      <c r="B935" s="14">
        <v>45396</v>
      </c>
      <c r="C935" s="2">
        <f>YEAR(Sales_Details2[[#This Row],[Order_Date]])</f>
        <v>2024</v>
      </c>
      <c r="D935" s="2" t="s">
        <v>221</v>
      </c>
      <c r="E935" s="2" t="str">
        <f>VLOOKUP(Sales_Details2[[#This Row],[Customer_ID]],Customer_Details[#All],4,0)</f>
        <v>Adult</v>
      </c>
      <c r="F935" s="2" t="str">
        <f>VLOOKUP(Sales_Details2[[#This Row],[Customer_ID]],Customer_Details[#All],5,0)</f>
        <v>Female</v>
      </c>
      <c r="G935" s="2" t="str">
        <f>VLOOKUP(Sales_Details2[[#This Row],[Customer_ID]],Customer_Details[#All],9,0)</f>
        <v>Silver</v>
      </c>
      <c r="H935" s="2" t="s">
        <v>1607</v>
      </c>
      <c r="I935" s="2" t="str">
        <f>VLOOKUP(Sales_Details2[[#This Row],[Product_ID]],Product_details[[#All],[Product_ID]:[Cost]],3,0)</f>
        <v>Sports</v>
      </c>
      <c r="J935" s="2" t="str">
        <f>VLOOKUP(Sales_Details2[[#This Row],[Product_ID]],Product_details[[#All],[Product_ID]:[Cost]],4,0)</f>
        <v>Outdoor</v>
      </c>
      <c r="K935" s="2" t="s">
        <v>1775</v>
      </c>
      <c r="L935" s="2" t="str">
        <f>_xlfn.XLOOKUP(Sales_Details2[[#This Row],[Store_ID]],Table2[Store_ID],Table2[Region],"Region not found")</f>
        <v>South</v>
      </c>
      <c r="M935" s="25">
        <v>3</v>
      </c>
      <c r="N935" s="36">
        <v>649.78</v>
      </c>
      <c r="O935" s="29">
        <v>0.1</v>
      </c>
      <c r="P935" s="2" t="s">
        <v>1809</v>
      </c>
      <c r="Q935" s="36">
        <v>1754.4059999999999</v>
      </c>
    </row>
    <row r="936" spans="1:17" x14ac:dyDescent="0.3">
      <c r="A936" s="2" t="s">
        <v>2743</v>
      </c>
      <c r="B936" s="14">
        <v>45317</v>
      </c>
      <c r="C936" s="2">
        <f>YEAR(Sales_Details2[[#This Row],[Order_Date]])</f>
        <v>2024</v>
      </c>
      <c r="D936" s="2" t="s">
        <v>779</v>
      </c>
      <c r="E936" s="2" t="str">
        <f>VLOOKUP(Sales_Details2[[#This Row],[Customer_ID]],Customer_Details[#All],4,0)</f>
        <v>Senior</v>
      </c>
      <c r="F936" s="2" t="str">
        <f>VLOOKUP(Sales_Details2[[#This Row],[Customer_ID]],Customer_Details[#All],5,0)</f>
        <v>Female</v>
      </c>
      <c r="G936" s="2" t="str">
        <f>VLOOKUP(Sales_Details2[[#This Row],[Customer_ID]],Customer_Details[#All],9,0)</f>
        <v>Platinum</v>
      </c>
      <c r="H936" s="2" t="s">
        <v>1609</v>
      </c>
      <c r="I936" s="2" t="str">
        <f>VLOOKUP(Sales_Details2[[#This Row],[Product_ID]],Product_details[[#All],[Product_ID]:[Cost]],3,0)</f>
        <v>Electronics</v>
      </c>
      <c r="J936" s="2" t="str">
        <f>VLOOKUP(Sales_Details2[[#This Row],[Product_ID]],Product_details[[#All],[Product_ID]:[Cost]],4,0)</f>
        <v>Mobile</v>
      </c>
      <c r="K936" s="2" t="s">
        <v>1769</v>
      </c>
      <c r="L936" s="2" t="str">
        <f>_xlfn.XLOOKUP(Sales_Details2[[#This Row],[Store_ID]],Table2[Store_ID],Table2[Region],"Region not found")</f>
        <v>South</v>
      </c>
      <c r="M936" s="25">
        <v>2</v>
      </c>
      <c r="N936" s="36">
        <v>986.73</v>
      </c>
      <c r="O936" s="29">
        <v>0.05</v>
      </c>
      <c r="P936" s="2" t="s">
        <v>1809</v>
      </c>
      <c r="Q936" s="36">
        <v>1874.787</v>
      </c>
    </row>
    <row r="937" spans="1:17" x14ac:dyDescent="0.3">
      <c r="A937" s="2" t="s">
        <v>2744</v>
      </c>
      <c r="B937" s="14">
        <v>45235</v>
      </c>
      <c r="C937" s="2">
        <f>YEAR(Sales_Details2[[#This Row],[Order_Date]])</f>
        <v>2023</v>
      </c>
      <c r="D937" s="2" t="s">
        <v>409</v>
      </c>
      <c r="E937" s="2" t="str">
        <f>VLOOKUP(Sales_Details2[[#This Row],[Customer_ID]],Customer_Details[#All],4,0)</f>
        <v>Mid-Adult</v>
      </c>
      <c r="F937" s="2" t="str">
        <f>VLOOKUP(Sales_Details2[[#This Row],[Customer_ID]],Customer_Details[#All],5,0)</f>
        <v>Male</v>
      </c>
      <c r="G937" s="2" t="str">
        <f>VLOOKUP(Sales_Details2[[#This Row],[Customer_ID]],Customer_Details[#All],9,0)</f>
        <v>Bronze</v>
      </c>
      <c r="H937" s="2" t="s">
        <v>1557</v>
      </c>
      <c r="I937" s="2" t="str">
        <f>VLOOKUP(Sales_Details2[[#This Row],[Product_ID]],Product_details[[#All],[Product_ID]:[Cost]],3,0)</f>
        <v>Electronics</v>
      </c>
      <c r="J937" s="2" t="str">
        <f>VLOOKUP(Sales_Details2[[#This Row],[Product_ID]],Product_details[[#All],[Product_ID]:[Cost]],4,0)</f>
        <v>Accessories</v>
      </c>
      <c r="K937" s="2" t="s">
        <v>1784</v>
      </c>
      <c r="L937" s="2" t="str">
        <f>_xlfn.XLOOKUP(Sales_Details2[[#This Row],[Store_ID]],Table2[Store_ID],Table2[Region],"Region not found")</f>
        <v>North</v>
      </c>
      <c r="M937" s="25">
        <v>2</v>
      </c>
      <c r="N937" s="36">
        <v>65.44</v>
      </c>
      <c r="O937" s="29">
        <v>0.05</v>
      </c>
      <c r="P937" s="2" t="s">
        <v>1809</v>
      </c>
      <c r="Q937" s="36">
        <v>124.336</v>
      </c>
    </row>
    <row r="938" spans="1:17" x14ac:dyDescent="0.3">
      <c r="A938" s="2" t="s">
        <v>2745</v>
      </c>
      <c r="B938" s="14">
        <v>45824</v>
      </c>
      <c r="C938" s="2">
        <f>YEAR(Sales_Details2[[#This Row],[Order_Date]])</f>
        <v>2025</v>
      </c>
      <c r="D938" s="2" t="s">
        <v>1183</v>
      </c>
      <c r="E938" s="2" t="str">
        <f>VLOOKUP(Sales_Details2[[#This Row],[Customer_ID]],Customer_Details[#All],4,0)</f>
        <v>Adult</v>
      </c>
      <c r="F938" s="2" t="str">
        <f>VLOOKUP(Sales_Details2[[#This Row],[Customer_ID]],Customer_Details[#All],5,0)</f>
        <v>Female</v>
      </c>
      <c r="G938" s="2" t="str">
        <f>VLOOKUP(Sales_Details2[[#This Row],[Customer_ID]],Customer_Details[#All],9,0)</f>
        <v>Silver</v>
      </c>
      <c r="H938" s="2" t="s">
        <v>1657</v>
      </c>
      <c r="I938" s="2" t="str">
        <f>VLOOKUP(Sales_Details2[[#This Row],[Product_ID]],Product_details[[#All],[Product_ID]:[Cost]],3,0)</f>
        <v>Beauty</v>
      </c>
      <c r="J938" s="2" t="str">
        <f>VLOOKUP(Sales_Details2[[#This Row],[Product_ID]],Product_details[[#All],[Product_ID]:[Cost]],4,0)</f>
        <v>Skincare</v>
      </c>
      <c r="K938" s="2" t="s">
        <v>1780</v>
      </c>
      <c r="L938" s="2" t="str">
        <f>_xlfn.XLOOKUP(Sales_Details2[[#This Row],[Store_ID]],Table2[Store_ID],Table2[Region],"Region not found")</f>
        <v>East</v>
      </c>
      <c r="M938" s="25">
        <v>3</v>
      </c>
      <c r="N938" s="36">
        <v>953.74</v>
      </c>
      <c r="O938" s="29">
        <v>0.04</v>
      </c>
      <c r="P938" s="2" t="s">
        <v>1807</v>
      </c>
      <c r="Q938" s="36">
        <v>2746.7712000000001</v>
      </c>
    </row>
    <row r="939" spans="1:17" x14ac:dyDescent="0.3">
      <c r="A939" s="2" t="s">
        <v>2746</v>
      </c>
      <c r="B939" s="14">
        <v>45543</v>
      </c>
      <c r="C939" s="2">
        <f>YEAR(Sales_Details2[[#This Row],[Order_Date]])</f>
        <v>2024</v>
      </c>
      <c r="D939" s="2" t="s">
        <v>244</v>
      </c>
      <c r="E939" s="2" t="str">
        <f>VLOOKUP(Sales_Details2[[#This Row],[Customer_ID]],Customer_Details[#All],4,0)</f>
        <v>Senior</v>
      </c>
      <c r="F939" s="2" t="str">
        <f>VLOOKUP(Sales_Details2[[#This Row],[Customer_ID]],Customer_Details[#All],5,0)</f>
        <v>Male</v>
      </c>
      <c r="G939" s="2" t="str">
        <f>VLOOKUP(Sales_Details2[[#This Row],[Customer_ID]],Customer_Details[#All],9,0)</f>
        <v>Silver</v>
      </c>
      <c r="H939" s="2" t="s">
        <v>1683</v>
      </c>
      <c r="I939" s="2" t="str">
        <f>VLOOKUP(Sales_Details2[[#This Row],[Product_ID]],Product_details[[#All],[Product_ID]:[Cost]],3,0)</f>
        <v>Electronics</v>
      </c>
      <c r="J939" s="2" t="str">
        <f>VLOOKUP(Sales_Details2[[#This Row],[Product_ID]],Product_details[[#All],[Product_ID]:[Cost]],4,0)</f>
        <v>Computer</v>
      </c>
      <c r="K939" s="2" t="s">
        <v>1772</v>
      </c>
      <c r="L939" s="2" t="str">
        <f>_xlfn.XLOOKUP(Sales_Details2[[#This Row],[Store_ID]],Table2[Store_ID],Table2[Region],"Region not found")</f>
        <v>East</v>
      </c>
      <c r="M939" s="25">
        <v>3</v>
      </c>
      <c r="N939" s="36">
        <v>904.48</v>
      </c>
      <c r="O939" s="29">
        <v>0.21</v>
      </c>
      <c r="P939" s="2" t="s">
        <v>1809</v>
      </c>
      <c r="Q939" s="36">
        <v>2143.6176</v>
      </c>
    </row>
    <row r="940" spans="1:17" x14ac:dyDescent="0.3">
      <c r="A940" s="2" t="s">
        <v>2747</v>
      </c>
      <c r="B940" s="14">
        <v>45595</v>
      </c>
      <c r="C940" s="2">
        <f>YEAR(Sales_Details2[[#This Row],[Order_Date]])</f>
        <v>2024</v>
      </c>
      <c r="D940" s="2" t="s">
        <v>1496</v>
      </c>
      <c r="E940" s="2" t="str">
        <f>VLOOKUP(Sales_Details2[[#This Row],[Customer_ID]],Customer_Details[#All],4,0)</f>
        <v>Senior</v>
      </c>
      <c r="F940" s="2" t="str">
        <f>VLOOKUP(Sales_Details2[[#This Row],[Customer_ID]],Customer_Details[#All],5,0)</f>
        <v>Female</v>
      </c>
      <c r="G940" s="2" t="str">
        <f>VLOOKUP(Sales_Details2[[#This Row],[Customer_ID]],Customer_Details[#All],9,0)</f>
        <v>Platinum</v>
      </c>
      <c r="H940" s="2" t="s">
        <v>1655</v>
      </c>
      <c r="I940" s="2" t="str">
        <f>VLOOKUP(Sales_Details2[[#This Row],[Product_ID]],Product_details[[#All],[Product_ID]:[Cost]],3,0)</f>
        <v>Electronics</v>
      </c>
      <c r="J940" s="2" t="str">
        <f>VLOOKUP(Sales_Details2[[#This Row],[Product_ID]],Product_details[[#All],[Product_ID]:[Cost]],4,0)</f>
        <v>Computer</v>
      </c>
      <c r="K940" s="2" t="s">
        <v>1784</v>
      </c>
      <c r="L940" s="2" t="str">
        <f>_xlfn.XLOOKUP(Sales_Details2[[#This Row],[Store_ID]],Table2[Store_ID],Table2[Region],"Region not found")</f>
        <v>North</v>
      </c>
      <c r="M940" s="25">
        <v>3</v>
      </c>
      <c r="N940" s="36">
        <v>920.82</v>
      </c>
      <c r="O940" s="29">
        <v>0.1</v>
      </c>
      <c r="P940" s="2" t="s">
        <v>1809</v>
      </c>
      <c r="Q940" s="36">
        <v>2486.2139999999999</v>
      </c>
    </row>
    <row r="941" spans="1:17" x14ac:dyDescent="0.3">
      <c r="A941" s="2" t="s">
        <v>2748</v>
      </c>
      <c r="B941" s="14">
        <v>45803</v>
      </c>
      <c r="C941" s="2">
        <f>YEAR(Sales_Details2[[#This Row],[Order_Date]])</f>
        <v>2025</v>
      </c>
      <c r="D941" s="2" t="s">
        <v>953</v>
      </c>
      <c r="E941" s="2" t="str">
        <f>VLOOKUP(Sales_Details2[[#This Row],[Customer_ID]],Customer_Details[#All],4,0)</f>
        <v>Senior</v>
      </c>
      <c r="F941" s="2" t="str">
        <f>VLOOKUP(Sales_Details2[[#This Row],[Customer_ID]],Customer_Details[#All],5,0)</f>
        <v>Male</v>
      </c>
      <c r="G941" s="2" t="str">
        <f>VLOOKUP(Sales_Details2[[#This Row],[Customer_ID]],Customer_Details[#All],9,0)</f>
        <v>Platinum</v>
      </c>
      <c r="H941" s="2" t="s">
        <v>1587</v>
      </c>
      <c r="I941" s="2" t="str">
        <f>VLOOKUP(Sales_Details2[[#This Row],[Product_ID]],Product_details[[#All],[Product_ID]:[Cost]],3,0)</f>
        <v>Sports</v>
      </c>
      <c r="J941" s="2" t="str">
        <f>VLOOKUP(Sales_Details2[[#This Row],[Product_ID]],Product_details[[#All],[Product_ID]:[Cost]],4,0)</f>
        <v>Accessories</v>
      </c>
      <c r="K941" s="2" t="s">
        <v>1740</v>
      </c>
      <c r="L941" s="2" t="str">
        <f>_xlfn.XLOOKUP(Sales_Details2[[#This Row],[Store_ID]],Table2[Store_ID],Table2[Region],"Region not found")</f>
        <v>North</v>
      </c>
      <c r="M941" s="25">
        <v>1</v>
      </c>
      <c r="N941" s="36">
        <v>182.28</v>
      </c>
      <c r="O941" s="29">
        <v>0.15</v>
      </c>
      <c r="P941" s="2" t="s">
        <v>1812</v>
      </c>
      <c r="Q941" s="36">
        <v>154.93799999999999</v>
      </c>
    </row>
    <row r="942" spans="1:17" x14ac:dyDescent="0.3">
      <c r="A942" s="2" t="s">
        <v>2749</v>
      </c>
      <c r="B942" s="14">
        <v>45880</v>
      </c>
      <c r="C942" s="2">
        <f>YEAR(Sales_Details2[[#This Row],[Order_Date]])</f>
        <v>2025</v>
      </c>
      <c r="D942" s="2" t="s">
        <v>1361</v>
      </c>
      <c r="E942" s="2" t="str">
        <f>VLOOKUP(Sales_Details2[[#This Row],[Customer_ID]],Customer_Details[#All],4,0)</f>
        <v>Mid-Adult</v>
      </c>
      <c r="F942" s="2" t="str">
        <f>VLOOKUP(Sales_Details2[[#This Row],[Customer_ID]],Customer_Details[#All],5,0)</f>
        <v>Female</v>
      </c>
      <c r="G942" s="2" t="str">
        <f>VLOOKUP(Sales_Details2[[#This Row],[Customer_ID]],Customer_Details[#All],9,0)</f>
        <v>Platinum</v>
      </c>
      <c r="H942" s="2" t="s">
        <v>1593</v>
      </c>
      <c r="I942" s="2" t="str">
        <f>VLOOKUP(Sales_Details2[[#This Row],[Product_ID]],Product_details[[#All],[Product_ID]:[Cost]],3,0)</f>
        <v>Sports</v>
      </c>
      <c r="J942" s="2" t="str">
        <f>VLOOKUP(Sales_Details2[[#This Row],[Product_ID]],Product_details[[#All],[Product_ID]:[Cost]],4,0)</f>
        <v>Team Sports</v>
      </c>
      <c r="K942" s="2" t="s">
        <v>1787</v>
      </c>
      <c r="L942" s="2" t="str">
        <f>_xlfn.XLOOKUP(Sales_Details2[[#This Row],[Store_ID]],Table2[Store_ID],Table2[Region],"Region not found")</f>
        <v>West</v>
      </c>
      <c r="M942" s="25">
        <v>3</v>
      </c>
      <c r="N942" s="36">
        <v>938.68</v>
      </c>
      <c r="O942" s="29">
        <v>0.14000000000000001</v>
      </c>
      <c r="P942" s="2" t="s">
        <v>1807</v>
      </c>
      <c r="Q942" s="36">
        <v>2421.7944000000002</v>
      </c>
    </row>
    <row r="943" spans="1:17" x14ac:dyDescent="0.3">
      <c r="A943" s="2" t="s">
        <v>2750</v>
      </c>
      <c r="B943" s="14">
        <v>45690</v>
      </c>
      <c r="C943" s="2">
        <f>YEAR(Sales_Details2[[#This Row],[Order_Date]])</f>
        <v>2025</v>
      </c>
      <c r="D943" s="2" t="s">
        <v>292</v>
      </c>
      <c r="E943" s="2" t="str">
        <f>VLOOKUP(Sales_Details2[[#This Row],[Customer_ID]],Customer_Details[#All],4,0)</f>
        <v>Mid-Adult</v>
      </c>
      <c r="F943" s="2" t="str">
        <f>VLOOKUP(Sales_Details2[[#This Row],[Customer_ID]],Customer_Details[#All],5,0)</f>
        <v>Female</v>
      </c>
      <c r="G943" s="2" t="str">
        <f>VLOOKUP(Sales_Details2[[#This Row],[Customer_ID]],Customer_Details[#All],9,0)</f>
        <v>Platinum</v>
      </c>
      <c r="H943" s="2" t="s">
        <v>1713</v>
      </c>
      <c r="I943" s="2" t="str">
        <f>VLOOKUP(Sales_Details2[[#This Row],[Product_ID]],Product_details[[#All],[Product_ID]:[Cost]],3,0)</f>
        <v>Clothing</v>
      </c>
      <c r="J943" s="2" t="str">
        <f>VLOOKUP(Sales_Details2[[#This Row],[Product_ID]],Product_details[[#All],[Product_ID]:[Cost]],4,0)</f>
        <v>Footwear</v>
      </c>
      <c r="K943" s="2" t="s">
        <v>1756</v>
      </c>
      <c r="L943" s="2" t="str">
        <f>_xlfn.XLOOKUP(Sales_Details2[[#This Row],[Store_ID]],Table2[Store_ID],Table2[Region],"Region not found")</f>
        <v>North</v>
      </c>
      <c r="M943" s="25">
        <v>3</v>
      </c>
      <c r="N943" s="36">
        <v>219.96</v>
      </c>
      <c r="O943" s="29">
        <v>0.18</v>
      </c>
      <c r="P943" s="2" t="s">
        <v>1809</v>
      </c>
      <c r="Q943" s="36">
        <v>541.10160000000008</v>
      </c>
    </row>
    <row r="944" spans="1:17" x14ac:dyDescent="0.3">
      <c r="A944" s="2" t="s">
        <v>2751</v>
      </c>
      <c r="B944" s="14">
        <v>45841</v>
      </c>
      <c r="C944" s="2">
        <f>YEAR(Sales_Details2[[#This Row],[Order_Date]])</f>
        <v>2025</v>
      </c>
      <c r="D944" s="2" t="s">
        <v>1442</v>
      </c>
      <c r="E944" s="2" t="str">
        <f>VLOOKUP(Sales_Details2[[#This Row],[Customer_ID]],Customer_Details[#All],4,0)</f>
        <v>Senior</v>
      </c>
      <c r="F944" s="2" t="str">
        <f>VLOOKUP(Sales_Details2[[#This Row],[Customer_ID]],Customer_Details[#All],5,0)</f>
        <v>Male</v>
      </c>
      <c r="G944" s="2" t="str">
        <f>VLOOKUP(Sales_Details2[[#This Row],[Customer_ID]],Customer_Details[#All],9,0)</f>
        <v>Bronze</v>
      </c>
      <c r="H944" s="2" t="s">
        <v>1673</v>
      </c>
      <c r="I944" s="2" t="str">
        <f>VLOOKUP(Sales_Details2[[#This Row],[Product_ID]],Product_details[[#All],[Product_ID]:[Cost]],3,0)</f>
        <v>Beauty</v>
      </c>
      <c r="J944" s="2" t="str">
        <f>VLOOKUP(Sales_Details2[[#This Row],[Product_ID]],Product_details[[#All],[Product_ID]:[Cost]],4,0)</f>
        <v>Haircare</v>
      </c>
      <c r="K944" s="2" t="s">
        <v>1793</v>
      </c>
      <c r="L944" s="2" t="str">
        <f>_xlfn.XLOOKUP(Sales_Details2[[#This Row],[Store_ID]],Table2[Store_ID],Table2[Region],"Region not found")</f>
        <v>East</v>
      </c>
      <c r="M944" s="25">
        <v>3</v>
      </c>
      <c r="N944" s="36">
        <v>385.74</v>
      </c>
      <c r="O944" s="29">
        <v>0.27</v>
      </c>
      <c r="P944" s="2" t="s">
        <v>1807</v>
      </c>
      <c r="Q944" s="36">
        <v>844.77059999999994</v>
      </c>
    </row>
    <row r="945" spans="1:17" x14ac:dyDescent="0.3">
      <c r="A945" s="2" t="s">
        <v>2752</v>
      </c>
      <c r="B945" s="14">
        <v>45380</v>
      </c>
      <c r="C945" s="2">
        <f>YEAR(Sales_Details2[[#This Row],[Order_Date]])</f>
        <v>2024</v>
      </c>
      <c r="D945" s="2" t="s">
        <v>1384</v>
      </c>
      <c r="E945" s="2" t="str">
        <f>VLOOKUP(Sales_Details2[[#This Row],[Customer_ID]],Customer_Details[#All],4,0)</f>
        <v>Senior</v>
      </c>
      <c r="F945" s="2" t="str">
        <f>VLOOKUP(Sales_Details2[[#This Row],[Customer_ID]],Customer_Details[#All],5,0)</f>
        <v>Female</v>
      </c>
      <c r="G945" s="2" t="str">
        <f>VLOOKUP(Sales_Details2[[#This Row],[Customer_ID]],Customer_Details[#All],9,0)</f>
        <v>Platinum</v>
      </c>
      <c r="H945" s="2" t="s">
        <v>1693</v>
      </c>
      <c r="I945" s="2" t="str">
        <f>VLOOKUP(Sales_Details2[[#This Row],[Product_ID]],Product_details[[#All],[Product_ID]:[Cost]],3,0)</f>
        <v>Sports</v>
      </c>
      <c r="J945" s="2" t="str">
        <f>VLOOKUP(Sales_Details2[[#This Row],[Product_ID]],Product_details[[#All],[Product_ID]:[Cost]],4,0)</f>
        <v>Equipment</v>
      </c>
      <c r="K945" s="2" t="s">
        <v>1793</v>
      </c>
      <c r="L945" s="2" t="str">
        <f>_xlfn.XLOOKUP(Sales_Details2[[#This Row],[Store_ID]],Table2[Store_ID],Table2[Region],"Region not found")</f>
        <v>East</v>
      </c>
      <c r="M945" s="25">
        <v>2</v>
      </c>
      <c r="N945" s="36">
        <v>830.94</v>
      </c>
      <c r="O945" s="29">
        <v>0.28000000000000003</v>
      </c>
      <c r="P945" s="2" t="s">
        <v>1809</v>
      </c>
      <c r="Q945" s="36">
        <v>1196.5536</v>
      </c>
    </row>
    <row r="946" spans="1:17" x14ac:dyDescent="0.3">
      <c r="A946" s="2" t="s">
        <v>2753</v>
      </c>
      <c r="B946" s="14">
        <v>45503</v>
      </c>
      <c r="C946" s="2">
        <f>YEAR(Sales_Details2[[#This Row],[Order_Date]])</f>
        <v>2024</v>
      </c>
      <c r="D946" s="2" t="s">
        <v>1183</v>
      </c>
      <c r="E946" s="2" t="str">
        <f>VLOOKUP(Sales_Details2[[#This Row],[Customer_ID]],Customer_Details[#All],4,0)</f>
        <v>Adult</v>
      </c>
      <c r="F946" s="2" t="str">
        <f>VLOOKUP(Sales_Details2[[#This Row],[Customer_ID]],Customer_Details[#All],5,0)</f>
        <v>Female</v>
      </c>
      <c r="G946" s="2" t="str">
        <f>VLOOKUP(Sales_Details2[[#This Row],[Customer_ID]],Customer_Details[#All],9,0)</f>
        <v>Silver</v>
      </c>
      <c r="H946" s="2" t="s">
        <v>1534</v>
      </c>
      <c r="I946" s="2" t="str">
        <f>VLOOKUP(Sales_Details2[[#This Row],[Product_ID]],Product_details[[#All],[Product_ID]:[Cost]],3,0)</f>
        <v>Clothing</v>
      </c>
      <c r="J946" s="2" t="str">
        <f>VLOOKUP(Sales_Details2[[#This Row],[Product_ID]],Product_details[[#All],[Product_ID]:[Cost]],4,0)</f>
        <v>Outerwear</v>
      </c>
      <c r="K946" s="2" t="s">
        <v>1769</v>
      </c>
      <c r="L946" s="2" t="str">
        <f>_xlfn.XLOOKUP(Sales_Details2[[#This Row],[Store_ID]],Table2[Store_ID],Table2[Region],"Region not found")</f>
        <v>South</v>
      </c>
      <c r="M946" s="25">
        <v>3</v>
      </c>
      <c r="N946" s="36">
        <v>462.75</v>
      </c>
      <c r="O946" s="29">
        <v>0.22</v>
      </c>
      <c r="P946" s="2" t="s">
        <v>1809</v>
      </c>
      <c r="Q946" s="36">
        <v>1082.835</v>
      </c>
    </row>
    <row r="947" spans="1:17" x14ac:dyDescent="0.3">
      <c r="A947" s="2" t="s">
        <v>2754</v>
      </c>
      <c r="B947" s="14">
        <v>45567</v>
      </c>
      <c r="C947" s="2">
        <f>YEAR(Sales_Details2[[#This Row],[Order_Date]])</f>
        <v>2024</v>
      </c>
      <c r="D947" s="2" t="s">
        <v>244</v>
      </c>
      <c r="E947" s="2" t="str">
        <f>VLOOKUP(Sales_Details2[[#This Row],[Customer_ID]],Customer_Details[#All],4,0)</f>
        <v>Senior</v>
      </c>
      <c r="F947" s="2" t="str">
        <f>VLOOKUP(Sales_Details2[[#This Row],[Customer_ID]],Customer_Details[#All],5,0)</f>
        <v>Male</v>
      </c>
      <c r="G947" s="2" t="str">
        <f>VLOOKUP(Sales_Details2[[#This Row],[Customer_ID]],Customer_Details[#All],9,0)</f>
        <v>Silver</v>
      </c>
      <c r="H947" s="2" t="s">
        <v>1559</v>
      </c>
      <c r="I947" s="2" t="str">
        <f>VLOOKUP(Sales_Details2[[#This Row],[Product_ID]],Product_details[[#All],[Product_ID]:[Cost]],3,0)</f>
        <v>Home</v>
      </c>
      <c r="J947" s="2" t="str">
        <f>VLOOKUP(Sales_Details2[[#This Row],[Product_ID]],Product_details[[#All],[Product_ID]:[Cost]],4,0)</f>
        <v>Decor</v>
      </c>
      <c r="K947" s="2" t="s">
        <v>1784</v>
      </c>
      <c r="L947" s="2" t="str">
        <f>_xlfn.XLOOKUP(Sales_Details2[[#This Row],[Store_ID]],Table2[Store_ID],Table2[Region],"Region not found")</f>
        <v>North</v>
      </c>
      <c r="M947" s="25">
        <v>4</v>
      </c>
      <c r="N947" s="36">
        <v>973.9</v>
      </c>
      <c r="O947" s="29">
        <v>0.02</v>
      </c>
      <c r="P947" s="2" t="s">
        <v>1812</v>
      </c>
      <c r="Q947" s="36">
        <v>3817.6880000000001</v>
      </c>
    </row>
    <row r="948" spans="1:17" x14ac:dyDescent="0.3">
      <c r="A948" s="2" t="s">
        <v>2755</v>
      </c>
      <c r="B948" s="14">
        <v>45600</v>
      </c>
      <c r="C948" s="2">
        <f>YEAR(Sales_Details2[[#This Row],[Order_Date]])</f>
        <v>2024</v>
      </c>
      <c r="D948" s="2" t="s">
        <v>470</v>
      </c>
      <c r="E948" s="2" t="str">
        <f>VLOOKUP(Sales_Details2[[#This Row],[Customer_ID]],Customer_Details[#All],4,0)</f>
        <v>Senior</v>
      </c>
      <c r="F948" s="2" t="str">
        <f>VLOOKUP(Sales_Details2[[#This Row],[Customer_ID]],Customer_Details[#All],5,0)</f>
        <v>Female</v>
      </c>
      <c r="G948" s="2" t="str">
        <f>VLOOKUP(Sales_Details2[[#This Row],[Customer_ID]],Customer_Details[#All],9,0)</f>
        <v>Gold</v>
      </c>
      <c r="H948" s="2" t="s">
        <v>1601</v>
      </c>
      <c r="I948" s="2" t="str">
        <f>VLOOKUP(Sales_Details2[[#This Row],[Product_ID]],Product_details[[#All],[Product_ID]:[Cost]],3,0)</f>
        <v>Home</v>
      </c>
      <c r="J948" s="2" t="str">
        <f>VLOOKUP(Sales_Details2[[#This Row],[Product_ID]],Product_details[[#All],[Product_ID]:[Cost]],4,0)</f>
        <v>Lighting</v>
      </c>
      <c r="K948" s="2" t="s">
        <v>1740</v>
      </c>
      <c r="L948" s="2" t="str">
        <f>_xlfn.XLOOKUP(Sales_Details2[[#This Row],[Store_ID]],Table2[Store_ID],Table2[Region],"Region not found")</f>
        <v>North</v>
      </c>
      <c r="M948" s="25">
        <v>2</v>
      </c>
      <c r="N948" s="36">
        <v>157.18</v>
      </c>
      <c r="O948" s="29">
        <v>0.15</v>
      </c>
      <c r="P948" s="2" t="s">
        <v>1807</v>
      </c>
      <c r="Q948" s="36">
        <v>267.20600000000002</v>
      </c>
    </row>
    <row r="949" spans="1:17" x14ac:dyDescent="0.3">
      <c r="A949" s="2" t="s">
        <v>2756</v>
      </c>
      <c r="B949" s="14">
        <v>45415</v>
      </c>
      <c r="C949" s="2">
        <f>YEAR(Sales_Details2[[#This Row],[Order_Date]])</f>
        <v>2024</v>
      </c>
      <c r="D949" s="2" t="s">
        <v>63</v>
      </c>
      <c r="E949" s="2" t="str">
        <f>VLOOKUP(Sales_Details2[[#This Row],[Customer_ID]],Customer_Details[#All],4,0)</f>
        <v>Mid-Adult</v>
      </c>
      <c r="F949" s="2" t="str">
        <f>VLOOKUP(Sales_Details2[[#This Row],[Customer_ID]],Customer_Details[#All],5,0)</f>
        <v>Female</v>
      </c>
      <c r="G949" s="2" t="str">
        <f>VLOOKUP(Sales_Details2[[#This Row],[Customer_ID]],Customer_Details[#All],9,0)</f>
        <v>Silver</v>
      </c>
      <c r="H949" s="2" t="s">
        <v>1677</v>
      </c>
      <c r="I949" s="2" t="str">
        <f>VLOOKUP(Sales_Details2[[#This Row],[Product_ID]],Product_details[[#All],[Product_ID]:[Cost]],3,0)</f>
        <v>Sports</v>
      </c>
      <c r="J949" s="2" t="str">
        <f>VLOOKUP(Sales_Details2[[#This Row],[Product_ID]],Product_details[[#All],[Product_ID]:[Cost]],4,0)</f>
        <v>Team Sports</v>
      </c>
      <c r="K949" s="2" t="s">
        <v>1780</v>
      </c>
      <c r="L949" s="2" t="str">
        <f>_xlfn.XLOOKUP(Sales_Details2[[#This Row],[Store_ID]],Table2[Store_ID],Table2[Region],"Region not found")</f>
        <v>East</v>
      </c>
      <c r="M949" s="25">
        <v>3</v>
      </c>
      <c r="N949" s="36">
        <v>239.57</v>
      </c>
      <c r="O949" s="29">
        <v>0.16</v>
      </c>
      <c r="P949" s="2" t="s">
        <v>1807</v>
      </c>
      <c r="Q949" s="36">
        <v>603.71640000000002</v>
      </c>
    </row>
    <row r="950" spans="1:17" x14ac:dyDescent="0.3">
      <c r="A950" s="2" t="s">
        <v>2757</v>
      </c>
      <c r="B950" s="14">
        <v>45343</v>
      </c>
      <c r="C950" s="2">
        <f>YEAR(Sales_Details2[[#This Row],[Order_Date]])</f>
        <v>2024</v>
      </c>
      <c r="D950" s="2" t="s">
        <v>1018</v>
      </c>
      <c r="E950" s="2" t="str">
        <f>VLOOKUP(Sales_Details2[[#This Row],[Customer_ID]],Customer_Details[#All],4,0)</f>
        <v>Senior</v>
      </c>
      <c r="F950" s="2" t="str">
        <f>VLOOKUP(Sales_Details2[[#This Row],[Customer_ID]],Customer_Details[#All],5,0)</f>
        <v>Female</v>
      </c>
      <c r="G950" s="2" t="str">
        <f>VLOOKUP(Sales_Details2[[#This Row],[Customer_ID]],Customer_Details[#All],9,0)</f>
        <v>Bronze</v>
      </c>
      <c r="H950" s="2" t="s">
        <v>1548</v>
      </c>
      <c r="I950" s="2" t="str">
        <f>VLOOKUP(Sales_Details2[[#This Row],[Product_ID]],Product_details[[#All],[Product_ID]:[Cost]],3,0)</f>
        <v>Sports</v>
      </c>
      <c r="J950" s="2" t="str">
        <f>VLOOKUP(Sales_Details2[[#This Row],[Product_ID]],Product_details[[#All],[Product_ID]:[Cost]],4,0)</f>
        <v>Fitness</v>
      </c>
      <c r="K950" s="2" t="s">
        <v>1787</v>
      </c>
      <c r="L950" s="2" t="str">
        <f>_xlfn.XLOOKUP(Sales_Details2[[#This Row],[Store_ID]],Table2[Store_ID],Table2[Region],"Region not found")</f>
        <v>West</v>
      </c>
      <c r="M950" s="25">
        <v>4</v>
      </c>
      <c r="N950" s="36">
        <v>583.21</v>
      </c>
      <c r="O950" s="29">
        <v>0.2</v>
      </c>
      <c r="P950" s="2" t="s">
        <v>1807</v>
      </c>
      <c r="Q950" s="36">
        <v>1866.2719999999999</v>
      </c>
    </row>
    <row r="951" spans="1:17" x14ac:dyDescent="0.3">
      <c r="A951" s="2" t="s">
        <v>2758</v>
      </c>
      <c r="B951" s="14">
        <v>45399</v>
      </c>
      <c r="C951" s="2">
        <f>YEAR(Sales_Details2[[#This Row],[Order_Date]])</f>
        <v>2024</v>
      </c>
      <c r="D951" s="2" t="s">
        <v>1269</v>
      </c>
      <c r="E951" s="2" t="str">
        <f>VLOOKUP(Sales_Details2[[#This Row],[Customer_ID]],Customer_Details[#All],4,0)</f>
        <v>Senior</v>
      </c>
      <c r="F951" s="2" t="str">
        <f>VLOOKUP(Sales_Details2[[#This Row],[Customer_ID]],Customer_Details[#All],5,0)</f>
        <v>Female</v>
      </c>
      <c r="G951" s="2" t="str">
        <f>VLOOKUP(Sales_Details2[[#This Row],[Customer_ID]],Customer_Details[#All],9,0)</f>
        <v>Bronze</v>
      </c>
      <c r="H951" s="2" t="s">
        <v>1693</v>
      </c>
      <c r="I951" s="2" t="str">
        <f>VLOOKUP(Sales_Details2[[#This Row],[Product_ID]],Product_details[[#All],[Product_ID]:[Cost]],3,0)</f>
        <v>Sports</v>
      </c>
      <c r="J951" s="2" t="str">
        <f>VLOOKUP(Sales_Details2[[#This Row],[Product_ID]],Product_details[[#All],[Product_ID]:[Cost]],4,0)</f>
        <v>Equipment</v>
      </c>
      <c r="K951" s="2" t="s">
        <v>1765</v>
      </c>
      <c r="L951" s="2" t="str">
        <f>_xlfn.XLOOKUP(Sales_Details2[[#This Row],[Store_ID]],Table2[Store_ID],Table2[Region],"Region not found")</f>
        <v>West</v>
      </c>
      <c r="M951" s="25">
        <v>3</v>
      </c>
      <c r="N951" s="36">
        <v>758.75</v>
      </c>
      <c r="O951" s="29">
        <v>0.27</v>
      </c>
      <c r="P951" s="2" t="s">
        <v>1809</v>
      </c>
      <c r="Q951" s="36">
        <v>1661.6624999999999</v>
      </c>
    </row>
    <row r="952" spans="1:17" x14ac:dyDescent="0.3">
      <c r="A952" s="2" t="s">
        <v>2759</v>
      </c>
      <c r="B952" s="14">
        <v>45689</v>
      </c>
      <c r="C952" s="2">
        <f>YEAR(Sales_Details2[[#This Row],[Order_Date]])</f>
        <v>2025</v>
      </c>
      <c r="D952" s="2" t="s">
        <v>965</v>
      </c>
      <c r="E952" s="2" t="str">
        <f>VLOOKUP(Sales_Details2[[#This Row],[Customer_ID]],Customer_Details[#All],4,0)</f>
        <v>Mid-Adult</v>
      </c>
      <c r="F952" s="2" t="str">
        <f>VLOOKUP(Sales_Details2[[#This Row],[Customer_ID]],Customer_Details[#All],5,0)</f>
        <v>Female</v>
      </c>
      <c r="G952" s="2" t="str">
        <f>VLOOKUP(Sales_Details2[[#This Row],[Customer_ID]],Customer_Details[#All],9,0)</f>
        <v>Bronze</v>
      </c>
      <c r="H952" s="2" t="s">
        <v>1653</v>
      </c>
      <c r="I952" s="2" t="str">
        <f>VLOOKUP(Sales_Details2[[#This Row],[Product_ID]],Product_details[[#All],[Product_ID]:[Cost]],3,0)</f>
        <v>Sports</v>
      </c>
      <c r="J952" s="2" t="str">
        <f>VLOOKUP(Sales_Details2[[#This Row],[Product_ID]],Product_details[[#All],[Product_ID]:[Cost]],4,0)</f>
        <v>Equipment</v>
      </c>
      <c r="K952" s="2" t="s">
        <v>1756</v>
      </c>
      <c r="L952" s="2" t="str">
        <f>_xlfn.XLOOKUP(Sales_Details2[[#This Row],[Store_ID]],Table2[Store_ID],Table2[Region],"Region not found")</f>
        <v>North</v>
      </c>
      <c r="M952" s="25">
        <v>4</v>
      </c>
      <c r="N952" s="36">
        <v>372.42</v>
      </c>
      <c r="O952" s="29">
        <v>0.19</v>
      </c>
      <c r="P952" s="2" t="s">
        <v>1807</v>
      </c>
      <c r="Q952" s="36">
        <v>1206.6407999999999</v>
      </c>
    </row>
    <row r="953" spans="1:17" x14ac:dyDescent="0.3">
      <c r="A953" s="2" t="s">
        <v>2760</v>
      </c>
      <c r="B953" s="14">
        <v>45699</v>
      </c>
      <c r="C953" s="2">
        <f>YEAR(Sales_Details2[[#This Row],[Order_Date]])</f>
        <v>2025</v>
      </c>
      <c r="D953" s="2" t="s">
        <v>512</v>
      </c>
      <c r="E953" s="2" t="str">
        <f>VLOOKUP(Sales_Details2[[#This Row],[Customer_ID]],Customer_Details[#All],4,0)</f>
        <v>Mid-Adult</v>
      </c>
      <c r="F953" s="2" t="str">
        <f>VLOOKUP(Sales_Details2[[#This Row],[Customer_ID]],Customer_Details[#All],5,0)</f>
        <v>Female</v>
      </c>
      <c r="G953" s="2" t="str">
        <f>VLOOKUP(Sales_Details2[[#This Row],[Customer_ID]],Customer_Details[#All],9,0)</f>
        <v>Gold</v>
      </c>
      <c r="H953" s="2" t="s">
        <v>1657</v>
      </c>
      <c r="I953" s="2" t="str">
        <f>VLOOKUP(Sales_Details2[[#This Row],[Product_ID]],Product_details[[#All],[Product_ID]:[Cost]],3,0)</f>
        <v>Beauty</v>
      </c>
      <c r="J953" s="2" t="str">
        <f>VLOOKUP(Sales_Details2[[#This Row],[Product_ID]],Product_details[[#All],[Product_ID]:[Cost]],4,0)</f>
        <v>Skincare</v>
      </c>
      <c r="K953" s="2" t="s">
        <v>1796</v>
      </c>
      <c r="L953" s="2" t="str">
        <f>_xlfn.XLOOKUP(Sales_Details2[[#This Row],[Store_ID]],Table2[Store_ID],Table2[Region],"Region not found")</f>
        <v>East</v>
      </c>
      <c r="M953" s="25">
        <v>4</v>
      </c>
      <c r="N953" s="36">
        <v>286.27999999999997</v>
      </c>
      <c r="O953" s="29">
        <v>0.28000000000000003</v>
      </c>
      <c r="P953" s="2" t="s">
        <v>1809</v>
      </c>
      <c r="Q953" s="36">
        <v>824.48639999999989</v>
      </c>
    </row>
    <row r="954" spans="1:17" x14ac:dyDescent="0.3">
      <c r="A954" s="2" t="s">
        <v>2761</v>
      </c>
      <c r="B954" s="14">
        <v>45663</v>
      </c>
      <c r="C954" s="2">
        <f>YEAR(Sales_Details2[[#This Row],[Order_Date]])</f>
        <v>2025</v>
      </c>
      <c r="D954" s="2" t="s">
        <v>879</v>
      </c>
      <c r="E954" s="2" t="str">
        <f>VLOOKUP(Sales_Details2[[#This Row],[Customer_ID]],Customer_Details[#All],4,0)</f>
        <v>Adult</v>
      </c>
      <c r="F954" s="2" t="str">
        <f>VLOOKUP(Sales_Details2[[#This Row],[Customer_ID]],Customer_Details[#All],5,0)</f>
        <v>Female</v>
      </c>
      <c r="G954" s="2" t="str">
        <f>VLOOKUP(Sales_Details2[[#This Row],[Customer_ID]],Customer_Details[#All],9,0)</f>
        <v>Bronze</v>
      </c>
      <c r="H954" s="2" t="s">
        <v>1677</v>
      </c>
      <c r="I954" s="2" t="str">
        <f>VLOOKUP(Sales_Details2[[#This Row],[Product_ID]],Product_details[[#All],[Product_ID]:[Cost]],3,0)</f>
        <v>Sports</v>
      </c>
      <c r="J954" s="2" t="str">
        <f>VLOOKUP(Sales_Details2[[#This Row],[Product_ID]],Product_details[[#All],[Product_ID]:[Cost]],4,0)</f>
        <v>Team Sports</v>
      </c>
      <c r="K954" s="2" t="s">
        <v>1775</v>
      </c>
      <c r="L954" s="2" t="str">
        <f>_xlfn.XLOOKUP(Sales_Details2[[#This Row],[Store_ID]],Table2[Store_ID],Table2[Region],"Region not found")</f>
        <v>South</v>
      </c>
      <c r="M954" s="25">
        <v>3</v>
      </c>
      <c r="N954" s="36">
        <v>488.37</v>
      </c>
      <c r="O954" s="29">
        <v>0.27</v>
      </c>
      <c r="P954" s="2" t="s">
        <v>1812</v>
      </c>
      <c r="Q954" s="36">
        <v>1069.5302999999999</v>
      </c>
    </row>
    <row r="955" spans="1:17" x14ac:dyDescent="0.3">
      <c r="A955" s="2" t="s">
        <v>2762</v>
      </c>
      <c r="B955" s="14">
        <v>45377</v>
      </c>
      <c r="C955" s="2">
        <f>YEAR(Sales_Details2[[#This Row],[Order_Date]])</f>
        <v>2024</v>
      </c>
      <c r="D955" s="2" t="s">
        <v>1430</v>
      </c>
      <c r="E955" s="2" t="str">
        <f>VLOOKUP(Sales_Details2[[#This Row],[Customer_ID]],Customer_Details[#All],4,0)</f>
        <v>Adult</v>
      </c>
      <c r="F955" s="2" t="str">
        <f>VLOOKUP(Sales_Details2[[#This Row],[Customer_ID]],Customer_Details[#All],5,0)</f>
        <v>Male</v>
      </c>
      <c r="G955" s="2" t="str">
        <f>VLOOKUP(Sales_Details2[[#This Row],[Customer_ID]],Customer_Details[#All],9,0)</f>
        <v>Gold</v>
      </c>
      <c r="H955" s="2" t="s">
        <v>1705</v>
      </c>
      <c r="I955" s="2" t="str">
        <f>VLOOKUP(Sales_Details2[[#This Row],[Product_ID]],Product_details[[#All],[Product_ID]:[Cost]],3,0)</f>
        <v>Home</v>
      </c>
      <c r="J955" s="2" t="str">
        <f>VLOOKUP(Sales_Details2[[#This Row],[Product_ID]],Product_details[[#All],[Product_ID]:[Cost]],4,0)</f>
        <v>Lighting</v>
      </c>
      <c r="K955" s="2" t="s">
        <v>1765</v>
      </c>
      <c r="L955" s="2" t="str">
        <f>_xlfn.XLOOKUP(Sales_Details2[[#This Row],[Store_ID]],Table2[Store_ID],Table2[Region],"Region not found")</f>
        <v>West</v>
      </c>
      <c r="M955" s="25">
        <v>3</v>
      </c>
      <c r="N955" s="36">
        <v>662.82</v>
      </c>
      <c r="O955" s="29">
        <v>0.01</v>
      </c>
      <c r="P955" s="2" t="s">
        <v>1812</v>
      </c>
      <c r="Q955" s="36">
        <v>1968.5753999999999</v>
      </c>
    </row>
    <row r="956" spans="1:17" x14ac:dyDescent="0.3">
      <c r="A956" s="2" t="s">
        <v>2763</v>
      </c>
      <c r="B956" s="14">
        <v>45412</v>
      </c>
      <c r="C956" s="2">
        <f>YEAR(Sales_Details2[[#This Row],[Order_Date]])</f>
        <v>2024</v>
      </c>
      <c r="D956" s="2" t="s">
        <v>1510</v>
      </c>
      <c r="E956" s="2" t="str">
        <f>VLOOKUP(Sales_Details2[[#This Row],[Customer_ID]],Customer_Details[#All],4,0)</f>
        <v>Mid-Adult</v>
      </c>
      <c r="F956" s="2" t="str">
        <f>VLOOKUP(Sales_Details2[[#This Row],[Customer_ID]],Customer_Details[#All],5,0)</f>
        <v>Female</v>
      </c>
      <c r="G956" s="2" t="str">
        <f>VLOOKUP(Sales_Details2[[#This Row],[Customer_ID]],Customer_Details[#All],9,0)</f>
        <v>Gold</v>
      </c>
      <c r="H956" s="2" t="s">
        <v>1540</v>
      </c>
      <c r="I956" s="2" t="str">
        <f>VLOOKUP(Sales_Details2[[#This Row],[Product_ID]],Product_details[[#All],[Product_ID]:[Cost]],3,0)</f>
        <v>Beauty</v>
      </c>
      <c r="J956" s="2" t="str">
        <f>VLOOKUP(Sales_Details2[[#This Row],[Product_ID]],Product_details[[#All],[Product_ID]:[Cost]],4,0)</f>
        <v>Skincare</v>
      </c>
      <c r="K956" s="2" t="s">
        <v>1787</v>
      </c>
      <c r="L956" s="2" t="str">
        <f>_xlfn.XLOOKUP(Sales_Details2[[#This Row],[Store_ID]],Table2[Store_ID],Table2[Region],"Region not found")</f>
        <v>West</v>
      </c>
      <c r="M956" s="25">
        <v>2</v>
      </c>
      <c r="N956" s="36">
        <v>824.34</v>
      </c>
      <c r="O956" s="29">
        <v>0.1</v>
      </c>
      <c r="P956" s="2" t="s">
        <v>1812</v>
      </c>
      <c r="Q956" s="36">
        <v>1483.8119999999999</v>
      </c>
    </row>
    <row r="957" spans="1:17" x14ac:dyDescent="0.3">
      <c r="A957" s="2" t="s">
        <v>2764</v>
      </c>
      <c r="B957" s="14">
        <v>45349</v>
      </c>
      <c r="C957" s="2">
        <f>YEAR(Sales_Details2[[#This Row],[Order_Date]])</f>
        <v>2024</v>
      </c>
      <c r="D957" s="2" t="s">
        <v>391</v>
      </c>
      <c r="E957" s="2" t="str">
        <f>VLOOKUP(Sales_Details2[[#This Row],[Customer_ID]],Customer_Details[#All],4,0)</f>
        <v>Senior</v>
      </c>
      <c r="F957" s="2" t="str">
        <f>VLOOKUP(Sales_Details2[[#This Row],[Customer_ID]],Customer_Details[#All],5,0)</f>
        <v>Male</v>
      </c>
      <c r="G957" s="2" t="str">
        <f>VLOOKUP(Sales_Details2[[#This Row],[Customer_ID]],Customer_Details[#All],9,0)</f>
        <v>Gold</v>
      </c>
      <c r="H957" s="2" t="s">
        <v>1649</v>
      </c>
      <c r="I957" s="2" t="str">
        <f>VLOOKUP(Sales_Details2[[#This Row],[Product_ID]],Product_details[[#All],[Product_ID]:[Cost]],3,0)</f>
        <v>Beauty</v>
      </c>
      <c r="J957" s="2" t="str">
        <f>VLOOKUP(Sales_Details2[[#This Row],[Product_ID]],Product_details[[#All],[Product_ID]:[Cost]],4,0)</f>
        <v>Haircare</v>
      </c>
      <c r="K957" s="2" t="s">
        <v>1765</v>
      </c>
      <c r="L957" s="2" t="str">
        <f>_xlfn.XLOOKUP(Sales_Details2[[#This Row],[Store_ID]],Table2[Store_ID],Table2[Region],"Region not found")</f>
        <v>West</v>
      </c>
      <c r="M957" s="25">
        <v>1</v>
      </c>
      <c r="N957" s="36">
        <v>437.12</v>
      </c>
      <c r="O957" s="29">
        <v>0.21</v>
      </c>
      <c r="P957" s="2" t="s">
        <v>1807</v>
      </c>
      <c r="Q957" s="36">
        <v>345.32479999999998</v>
      </c>
    </row>
    <row r="958" spans="1:17" x14ac:dyDescent="0.3">
      <c r="A958" s="2" t="s">
        <v>2765</v>
      </c>
      <c r="B958" s="14">
        <v>45486</v>
      </c>
      <c r="C958" s="2">
        <f>YEAR(Sales_Details2[[#This Row],[Order_Date]])</f>
        <v>2024</v>
      </c>
      <c r="D958" s="2" t="s">
        <v>1106</v>
      </c>
      <c r="E958" s="2" t="str">
        <f>VLOOKUP(Sales_Details2[[#This Row],[Customer_ID]],Customer_Details[#All],4,0)</f>
        <v>Mid-Adult</v>
      </c>
      <c r="F958" s="2" t="str">
        <f>VLOOKUP(Sales_Details2[[#This Row],[Customer_ID]],Customer_Details[#All],5,0)</f>
        <v>Male</v>
      </c>
      <c r="G958" s="2" t="str">
        <f>VLOOKUP(Sales_Details2[[#This Row],[Customer_ID]],Customer_Details[#All],9,0)</f>
        <v>Gold</v>
      </c>
      <c r="H958" s="2" t="s">
        <v>1707</v>
      </c>
      <c r="I958" s="2" t="str">
        <f>VLOOKUP(Sales_Details2[[#This Row],[Product_ID]],Product_details[[#All],[Product_ID]:[Cost]],3,0)</f>
        <v>Sports</v>
      </c>
      <c r="J958" s="2" t="str">
        <f>VLOOKUP(Sales_Details2[[#This Row],[Product_ID]],Product_details[[#All],[Product_ID]:[Cost]],4,0)</f>
        <v>Accessories</v>
      </c>
      <c r="K958" s="2" t="s">
        <v>1759</v>
      </c>
      <c r="L958" s="2" t="str">
        <f>_xlfn.XLOOKUP(Sales_Details2[[#This Row],[Store_ID]],Table2[Store_ID],Table2[Region],"Region not found")</f>
        <v>East</v>
      </c>
      <c r="M958" s="25">
        <v>3</v>
      </c>
      <c r="N958" s="36">
        <v>23.37</v>
      </c>
      <c r="O958" s="29">
        <v>0.15</v>
      </c>
      <c r="P958" s="2" t="s">
        <v>1809</v>
      </c>
      <c r="Q958" s="36">
        <v>59.593499999999999</v>
      </c>
    </row>
    <row r="959" spans="1:17" x14ac:dyDescent="0.3">
      <c r="A959" s="2" t="s">
        <v>2766</v>
      </c>
      <c r="B959" s="14">
        <v>45761</v>
      </c>
      <c r="C959" s="2">
        <f>YEAR(Sales_Details2[[#This Row],[Order_Date]])</f>
        <v>2025</v>
      </c>
      <c r="D959" s="2" t="s">
        <v>610</v>
      </c>
      <c r="E959" s="2" t="str">
        <f>VLOOKUP(Sales_Details2[[#This Row],[Customer_ID]],Customer_Details[#All],4,0)</f>
        <v>Senior</v>
      </c>
      <c r="F959" s="2" t="str">
        <f>VLOOKUP(Sales_Details2[[#This Row],[Customer_ID]],Customer_Details[#All],5,0)</f>
        <v>Female</v>
      </c>
      <c r="G959" s="2" t="str">
        <f>VLOOKUP(Sales_Details2[[#This Row],[Customer_ID]],Customer_Details[#All],9,0)</f>
        <v>Platinum</v>
      </c>
      <c r="H959" s="2" t="s">
        <v>1603</v>
      </c>
      <c r="I959" s="2" t="str">
        <f>VLOOKUP(Sales_Details2[[#This Row],[Product_ID]],Product_details[[#All],[Product_ID]:[Cost]],3,0)</f>
        <v>Clothing</v>
      </c>
      <c r="J959" s="2" t="str">
        <f>VLOOKUP(Sales_Details2[[#This Row],[Product_ID]],Product_details[[#All],[Product_ID]:[Cost]],4,0)</f>
        <v>Tops</v>
      </c>
      <c r="K959" s="2" t="s">
        <v>1765</v>
      </c>
      <c r="L959" s="2" t="str">
        <f>_xlfn.XLOOKUP(Sales_Details2[[#This Row],[Store_ID]],Table2[Store_ID],Table2[Region],"Region not found")</f>
        <v>West</v>
      </c>
      <c r="M959" s="25">
        <v>1</v>
      </c>
      <c r="N959" s="36">
        <v>579.69000000000005</v>
      </c>
      <c r="O959" s="29">
        <v>0.02</v>
      </c>
      <c r="P959" s="2" t="s">
        <v>1807</v>
      </c>
      <c r="Q959" s="36">
        <v>568.09620000000007</v>
      </c>
    </row>
    <row r="960" spans="1:17" x14ac:dyDescent="0.3">
      <c r="A960" s="2" t="s">
        <v>2767</v>
      </c>
      <c r="B960" s="14">
        <v>45639</v>
      </c>
      <c r="C960" s="2">
        <f>YEAR(Sales_Details2[[#This Row],[Order_Date]])</f>
        <v>2024</v>
      </c>
      <c r="D960" s="2" t="s">
        <v>1318</v>
      </c>
      <c r="E960" s="2" t="str">
        <f>VLOOKUP(Sales_Details2[[#This Row],[Customer_ID]],Customer_Details[#All],4,0)</f>
        <v>Mid-Adult</v>
      </c>
      <c r="F960" s="2" t="str">
        <f>VLOOKUP(Sales_Details2[[#This Row],[Customer_ID]],Customer_Details[#All],5,0)</f>
        <v>Female</v>
      </c>
      <c r="G960" s="2" t="str">
        <f>VLOOKUP(Sales_Details2[[#This Row],[Customer_ID]],Customer_Details[#All],9,0)</f>
        <v>Gold</v>
      </c>
      <c r="H960" s="2" t="s">
        <v>1687</v>
      </c>
      <c r="I960" s="2" t="str">
        <f>VLOOKUP(Sales_Details2[[#This Row],[Product_ID]],Product_details[[#All],[Product_ID]:[Cost]],3,0)</f>
        <v>Home</v>
      </c>
      <c r="J960" s="2" t="str">
        <f>VLOOKUP(Sales_Details2[[#This Row],[Product_ID]],Product_details[[#All],[Product_ID]:[Cost]],4,0)</f>
        <v>Decor</v>
      </c>
      <c r="K960" s="2" t="s">
        <v>1782</v>
      </c>
      <c r="L960" s="2" t="str">
        <f>_xlfn.XLOOKUP(Sales_Details2[[#This Row],[Store_ID]],Table2[Store_ID],Table2[Region],"Region not found")</f>
        <v>South</v>
      </c>
      <c r="M960" s="25">
        <v>3</v>
      </c>
      <c r="N960" s="36">
        <v>240.51</v>
      </c>
      <c r="O960" s="29">
        <v>7.0000000000000007E-2</v>
      </c>
      <c r="P960" s="2" t="s">
        <v>1807</v>
      </c>
      <c r="Q960" s="36">
        <v>671.02289999999994</v>
      </c>
    </row>
    <row r="961" spans="1:17" x14ac:dyDescent="0.3">
      <c r="A961" s="2" t="s">
        <v>2768</v>
      </c>
      <c r="B961" s="14">
        <v>45893</v>
      </c>
      <c r="C961" s="2">
        <f>YEAR(Sales_Details2[[#This Row],[Order_Date]])</f>
        <v>2025</v>
      </c>
      <c r="D961" s="2" t="s">
        <v>1180</v>
      </c>
      <c r="E961" s="2" t="str">
        <f>VLOOKUP(Sales_Details2[[#This Row],[Customer_ID]],Customer_Details[#All],4,0)</f>
        <v>Adult</v>
      </c>
      <c r="F961" s="2" t="str">
        <f>VLOOKUP(Sales_Details2[[#This Row],[Customer_ID]],Customer_Details[#All],5,0)</f>
        <v>Female</v>
      </c>
      <c r="G961" s="2" t="str">
        <f>VLOOKUP(Sales_Details2[[#This Row],[Customer_ID]],Customer_Details[#All],9,0)</f>
        <v>Gold</v>
      </c>
      <c r="H961" s="2" t="s">
        <v>1581</v>
      </c>
      <c r="I961" s="2" t="str">
        <f>VLOOKUP(Sales_Details2[[#This Row],[Product_ID]],Product_details[[#All],[Product_ID]:[Cost]],3,0)</f>
        <v>Clothing</v>
      </c>
      <c r="J961" s="2" t="str">
        <f>VLOOKUP(Sales_Details2[[#This Row],[Product_ID]],Product_details[[#All],[Product_ID]:[Cost]],4,0)</f>
        <v>Accessories</v>
      </c>
      <c r="K961" s="2" t="s">
        <v>1782</v>
      </c>
      <c r="L961" s="2" t="str">
        <f>_xlfn.XLOOKUP(Sales_Details2[[#This Row],[Store_ID]],Table2[Store_ID],Table2[Region],"Region not found")</f>
        <v>South</v>
      </c>
      <c r="M961" s="25">
        <v>2</v>
      </c>
      <c r="N961" s="36">
        <v>855.4</v>
      </c>
      <c r="O961" s="29">
        <v>0.08</v>
      </c>
      <c r="P961" s="2" t="s">
        <v>1812</v>
      </c>
      <c r="Q961" s="36">
        <v>1573.9359999999999</v>
      </c>
    </row>
    <row r="962" spans="1:17" x14ac:dyDescent="0.3">
      <c r="A962" s="2" t="s">
        <v>2769</v>
      </c>
      <c r="B962" s="14">
        <v>45227</v>
      </c>
      <c r="C962" s="2">
        <f>YEAR(Sales_Details2[[#This Row],[Order_Date]])</f>
        <v>2023</v>
      </c>
      <c r="D962" s="2" t="s">
        <v>40</v>
      </c>
      <c r="E962" s="2" t="str">
        <f>VLOOKUP(Sales_Details2[[#This Row],[Customer_ID]],Customer_Details[#All],4,0)</f>
        <v>Adult</v>
      </c>
      <c r="F962" s="2" t="str">
        <f>VLOOKUP(Sales_Details2[[#This Row],[Customer_ID]],Customer_Details[#All],5,0)</f>
        <v>Female</v>
      </c>
      <c r="G962" s="2" t="str">
        <f>VLOOKUP(Sales_Details2[[#This Row],[Customer_ID]],Customer_Details[#All],9,0)</f>
        <v>Bronze</v>
      </c>
      <c r="H962" s="2" t="s">
        <v>1711</v>
      </c>
      <c r="I962" s="2" t="str">
        <f>VLOOKUP(Sales_Details2[[#This Row],[Product_ID]],Product_details[[#All],[Product_ID]:[Cost]],3,0)</f>
        <v>Electronics</v>
      </c>
      <c r="J962" s="2" t="str">
        <f>VLOOKUP(Sales_Details2[[#This Row],[Product_ID]],Product_details[[#All],[Product_ID]:[Cost]],4,0)</f>
        <v>Accessories</v>
      </c>
      <c r="K962" s="2" t="s">
        <v>1762</v>
      </c>
      <c r="L962" s="2" t="str">
        <f>_xlfn.XLOOKUP(Sales_Details2[[#This Row],[Store_ID]],Table2[Store_ID],Table2[Region],"Region not found")</f>
        <v>South</v>
      </c>
      <c r="M962" s="25">
        <v>1</v>
      </c>
      <c r="N962" s="36">
        <v>537.26</v>
      </c>
      <c r="O962" s="29">
        <v>0.09</v>
      </c>
      <c r="P962" s="2" t="s">
        <v>1807</v>
      </c>
      <c r="Q962" s="36">
        <v>488.90660000000003</v>
      </c>
    </row>
    <row r="963" spans="1:17" x14ac:dyDescent="0.3">
      <c r="A963" s="2" t="s">
        <v>2770</v>
      </c>
      <c r="B963" s="14">
        <v>45637</v>
      </c>
      <c r="C963" s="2">
        <f>YEAR(Sales_Details2[[#This Row],[Order_Date]])</f>
        <v>2024</v>
      </c>
      <c r="D963" s="2" t="s">
        <v>1186</v>
      </c>
      <c r="E963" s="2" t="str">
        <f>VLOOKUP(Sales_Details2[[#This Row],[Customer_ID]],Customer_Details[#All],4,0)</f>
        <v>Senior</v>
      </c>
      <c r="F963" s="2" t="str">
        <f>VLOOKUP(Sales_Details2[[#This Row],[Customer_ID]],Customer_Details[#All],5,0)</f>
        <v>Female</v>
      </c>
      <c r="G963" s="2" t="str">
        <f>VLOOKUP(Sales_Details2[[#This Row],[Customer_ID]],Customer_Details[#All],9,0)</f>
        <v>Bronze</v>
      </c>
      <c r="H963" s="2" t="s">
        <v>1633</v>
      </c>
      <c r="I963" s="2" t="str">
        <f>VLOOKUP(Sales_Details2[[#This Row],[Product_ID]],Product_details[[#All],[Product_ID]:[Cost]],3,0)</f>
        <v>Electronics</v>
      </c>
      <c r="J963" s="2" t="str">
        <f>VLOOKUP(Sales_Details2[[#This Row],[Product_ID]],Product_details[[#All],[Product_ID]:[Cost]],4,0)</f>
        <v>Accessories</v>
      </c>
      <c r="K963" s="2" t="s">
        <v>1772</v>
      </c>
      <c r="L963" s="2" t="str">
        <f>_xlfn.XLOOKUP(Sales_Details2[[#This Row],[Store_ID]],Table2[Store_ID],Table2[Region],"Region not found")</f>
        <v>East</v>
      </c>
      <c r="M963" s="25">
        <v>3</v>
      </c>
      <c r="N963" s="36">
        <v>918.26</v>
      </c>
      <c r="O963" s="29">
        <v>0.17</v>
      </c>
      <c r="P963" s="2" t="s">
        <v>1812</v>
      </c>
      <c r="Q963" s="36">
        <v>2286.4674</v>
      </c>
    </row>
    <row r="964" spans="1:17" x14ac:dyDescent="0.3">
      <c r="A964" s="2" t="s">
        <v>2771</v>
      </c>
      <c r="B964" s="14">
        <v>45472</v>
      </c>
      <c r="C964" s="2">
        <f>YEAR(Sales_Details2[[#This Row],[Order_Date]])</f>
        <v>2024</v>
      </c>
      <c r="D964" s="2" t="s">
        <v>336</v>
      </c>
      <c r="E964" s="2" t="str">
        <f>VLOOKUP(Sales_Details2[[#This Row],[Customer_ID]],Customer_Details[#All],4,0)</f>
        <v>Senior</v>
      </c>
      <c r="F964" s="2" t="str">
        <f>VLOOKUP(Sales_Details2[[#This Row],[Customer_ID]],Customer_Details[#All],5,0)</f>
        <v>Female</v>
      </c>
      <c r="G964" s="2" t="str">
        <f>VLOOKUP(Sales_Details2[[#This Row],[Customer_ID]],Customer_Details[#All],9,0)</f>
        <v>Platinum</v>
      </c>
      <c r="H964" s="2" t="s">
        <v>1540</v>
      </c>
      <c r="I964" s="2" t="str">
        <f>VLOOKUP(Sales_Details2[[#This Row],[Product_ID]],Product_details[[#All],[Product_ID]:[Cost]],3,0)</f>
        <v>Beauty</v>
      </c>
      <c r="J964" s="2" t="str">
        <f>VLOOKUP(Sales_Details2[[#This Row],[Product_ID]],Product_details[[#All],[Product_ID]:[Cost]],4,0)</f>
        <v>Skincare</v>
      </c>
      <c r="K964" s="2" t="s">
        <v>1769</v>
      </c>
      <c r="L964" s="2" t="str">
        <f>_xlfn.XLOOKUP(Sales_Details2[[#This Row],[Store_ID]],Table2[Store_ID],Table2[Region],"Region not found")</f>
        <v>South</v>
      </c>
      <c r="M964" s="25">
        <v>4</v>
      </c>
      <c r="N964" s="36">
        <v>579.70000000000005</v>
      </c>
      <c r="O964" s="29">
        <v>0.18</v>
      </c>
      <c r="P964" s="2" t="s">
        <v>1809</v>
      </c>
      <c r="Q964" s="36">
        <v>1901.4159999999999</v>
      </c>
    </row>
    <row r="965" spans="1:17" x14ac:dyDescent="0.3">
      <c r="A965" s="2" t="s">
        <v>2772</v>
      </c>
      <c r="B965" s="14">
        <v>45710</v>
      </c>
      <c r="C965" s="2">
        <f>YEAR(Sales_Details2[[#This Row],[Order_Date]])</f>
        <v>2025</v>
      </c>
      <c r="D965" s="2" t="s">
        <v>485</v>
      </c>
      <c r="E965" s="2" t="str">
        <f>VLOOKUP(Sales_Details2[[#This Row],[Customer_ID]],Customer_Details[#All],4,0)</f>
        <v>Mid-Adult</v>
      </c>
      <c r="F965" s="2" t="str">
        <f>VLOOKUP(Sales_Details2[[#This Row],[Customer_ID]],Customer_Details[#All],5,0)</f>
        <v>Male</v>
      </c>
      <c r="G965" s="2" t="str">
        <f>VLOOKUP(Sales_Details2[[#This Row],[Customer_ID]],Customer_Details[#All],9,0)</f>
        <v>Platinum</v>
      </c>
      <c r="H965" s="2" t="s">
        <v>1617</v>
      </c>
      <c r="I965" s="2" t="str">
        <f>VLOOKUP(Sales_Details2[[#This Row],[Product_ID]],Product_details[[#All],[Product_ID]:[Cost]],3,0)</f>
        <v>Electronics</v>
      </c>
      <c r="J965" s="2" t="str">
        <f>VLOOKUP(Sales_Details2[[#This Row],[Product_ID]],Product_details[[#All],[Product_ID]:[Cost]],4,0)</f>
        <v>Computer</v>
      </c>
      <c r="K965" s="2" t="s">
        <v>1759</v>
      </c>
      <c r="L965" s="2" t="str">
        <f>_xlfn.XLOOKUP(Sales_Details2[[#This Row],[Store_ID]],Table2[Store_ID],Table2[Region],"Region not found")</f>
        <v>East</v>
      </c>
      <c r="M965" s="25">
        <v>1</v>
      </c>
      <c r="N965" s="36">
        <v>824.32</v>
      </c>
      <c r="O965" s="29">
        <v>0.18</v>
      </c>
      <c r="P965" s="2" t="s">
        <v>1807</v>
      </c>
      <c r="Q965" s="36">
        <v>675.94240000000013</v>
      </c>
    </row>
    <row r="966" spans="1:17" x14ac:dyDescent="0.3">
      <c r="A966" s="2" t="s">
        <v>2773</v>
      </c>
      <c r="B966" s="14">
        <v>45682</v>
      </c>
      <c r="C966" s="2">
        <f>YEAR(Sales_Details2[[#This Row],[Order_Date]])</f>
        <v>2025</v>
      </c>
      <c r="D966" s="2" t="s">
        <v>379</v>
      </c>
      <c r="E966" s="2" t="str">
        <f>VLOOKUP(Sales_Details2[[#This Row],[Customer_ID]],Customer_Details[#All],4,0)</f>
        <v>Adult</v>
      </c>
      <c r="F966" s="2" t="str">
        <f>VLOOKUP(Sales_Details2[[#This Row],[Customer_ID]],Customer_Details[#All],5,0)</f>
        <v>Male</v>
      </c>
      <c r="G966" s="2" t="str">
        <f>VLOOKUP(Sales_Details2[[#This Row],[Customer_ID]],Customer_Details[#All],9,0)</f>
        <v>Silver</v>
      </c>
      <c r="H966" s="2" t="s">
        <v>1623</v>
      </c>
      <c r="I966" s="2" t="str">
        <f>VLOOKUP(Sales_Details2[[#This Row],[Product_ID]],Product_details[[#All],[Product_ID]:[Cost]],3,0)</f>
        <v>Clothing</v>
      </c>
      <c r="J966" s="2" t="str">
        <f>VLOOKUP(Sales_Details2[[#This Row],[Product_ID]],Product_details[[#All],[Product_ID]:[Cost]],4,0)</f>
        <v>Outerwear</v>
      </c>
      <c r="K966" s="2" t="s">
        <v>1784</v>
      </c>
      <c r="L966" s="2" t="str">
        <f>_xlfn.XLOOKUP(Sales_Details2[[#This Row],[Store_ID]],Table2[Store_ID],Table2[Region],"Region not found")</f>
        <v>North</v>
      </c>
      <c r="M966" s="25">
        <v>4</v>
      </c>
      <c r="N966" s="36">
        <v>614.99</v>
      </c>
      <c r="O966" s="29">
        <v>0.16</v>
      </c>
      <c r="P966" s="2" t="s">
        <v>1809</v>
      </c>
      <c r="Q966" s="36">
        <v>2066.3663999999999</v>
      </c>
    </row>
    <row r="967" spans="1:17" x14ac:dyDescent="0.3">
      <c r="A967" s="2" t="s">
        <v>2774</v>
      </c>
      <c r="B967" s="14">
        <v>45730</v>
      </c>
      <c r="C967" s="2">
        <f>YEAR(Sales_Details2[[#This Row],[Order_Date]])</f>
        <v>2025</v>
      </c>
      <c r="D967" s="2" t="s">
        <v>436</v>
      </c>
      <c r="E967" s="2" t="str">
        <f>VLOOKUP(Sales_Details2[[#This Row],[Customer_ID]],Customer_Details[#All],4,0)</f>
        <v>Mid-Adult</v>
      </c>
      <c r="F967" s="2" t="str">
        <f>VLOOKUP(Sales_Details2[[#This Row],[Customer_ID]],Customer_Details[#All],5,0)</f>
        <v>Male</v>
      </c>
      <c r="G967" s="2" t="str">
        <f>VLOOKUP(Sales_Details2[[#This Row],[Customer_ID]],Customer_Details[#All],9,0)</f>
        <v>Silver</v>
      </c>
      <c r="H967" s="2" t="s">
        <v>1655</v>
      </c>
      <c r="I967" s="2" t="str">
        <f>VLOOKUP(Sales_Details2[[#This Row],[Product_ID]],Product_details[[#All],[Product_ID]:[Cost]],3,0)</f>
        <v>Electronics</v>
      </c>
      <c r="J967" s="2" t="str">
        <f>VLOOKUP(Sales_Details2[[#This Row],[Product_ID]],Product_details[[#All],[Product_ID]:[Cost]],4,0)</f>
        <v>Computer</v>
      </c>
      <c r="K967" s="2" t="s">
        <v>1735</v>
      </c>
      <c r="L967" s="2" t="str">
        <f>_xlfn.XLOOKUP(Sales_Details2[[#This Row],[Store_ID]],Table2[Store_ID],Table2[Region],"Region not found")</f>
        <v>East</v>
      </c>
      <c r="M967" s="25">
        <v>4</v>
      </c>
      <c r="N967" s="36">
        <v>189.21</v>
      </c>
      <c r="O967" s="29">
        <v>0.06</v>
      </c>
      <c r="P967" s="2" t="s">
        <v>1812</v>
      </c>
      <c r="Q967" s="36">
        <v>711.42959999999994</v>
      </c>
    </row>
    <row r="968" spans="1:17" x14ac:dyDescent="0.3">
      <c r="A968" s="2" t="s">
        <v>2775</v>
      </c>
      <c r="B968" s="14">
        <v>45629</v>
      </c>
      <c r="C968" s="2">
        <f>YEAR(Sales_Details2[[#This Row],[Order_Date]])</f>
        <v>2024</v>
      </c>
      <c r="D968" s="2" t="s">
        <v>512</v>
      </c>
      <c r="E968" s="2" t="str">
        <f>VLOOKUP(Sales_Details2[[#This Row],[Customer_ID]],Customer_Details[#All],4,0)</f>
        <v>Mid-Adult</v>
      </c>
      <c r="F968" s="2" t="str">
        <f>VLOOKUP(Sales_Details2[[#This Row],[Customer_ID]],Customer_Details[#All],5,0)</f>
        <v>Female</v>
      </c>
      <c r="G968" s="2" t="str">
        <f>VLOOKUP(Sales_Details2[[#This Row],[Customer_ID]],Customer_Details[#All],9,0)</f>
        <v>Gold</v>
      </c>
      <c r="H968" s="2" t="s">
        <v>1655</v>
      </c>
      <c r="I968" s="2" t="str">
        <f>VLOOKUP(Sales_Details2[[#This Row],[Product_ID]],Product_details[[#All],[Product_ID]:[Cost]],3,0)</f>
        <v>Electronics</v>
      </c>
      <c r="J968" s="2" t="str">
        <f>VLOOKUP(Sales_Details2[[#This Row],[Product_ID]],Product_details[[#All],[Product_ID]:[Cost]],4,0)</f>
        <v>Computer</v>
      </c>
      <c r="K968" s="2" t="s">
        <v>1782</v>
      </c>
      <c r="L968" s="2" t="str">
        <f>_xlfn.XLOOKUP(Sales_Details2[[#This Row],[Store_ID]],Table2[Store_ID],Table2[Region],"Region not found")</f>
        <v>South</v>
      </c>
      <c r="M968" s="25">
        <v>2</v>
      </c>
      <c r="N968" s="36">
        <v>233.33</v>
      </c>
      <c r="O968" s="29">
        <v>0.05</v>
      </c>
      <c r="P968" s="2" t="s">
        <v>1807</v>
      </c>
      <c r="Q968" s="36">
        <v>443.327</v>
      </c>
    </row>
    <row r="969" spans="1:17" x14ac:dyDescent="0.3">
      <c r="A969" s="2" t="s">
        <v>2776</v>
      </c>
      <c r="B969" s="14">
        <v>45783</v>
      </c>
      <c r="C969" s="2">
        <f>YEAR(Sales_Details2[[#This Row],[Order_Date]])</f>
        <v>2025</v>
      </c>
      <c r="D969" s="2" t="s">
        <v>788</v>
      </c>
      <c r="E969" s="2" t="str">
        <f>VLOOKUP(Sales_Details2[[#This Row],[Customer_ID]],Customer_Details[#All],4,0)</f>
        <v>Adult</v>
      </c>
      <c r="F969" s="2" t="str">
        <f>VLOOKUP(Sales_Details2[[#This Row],[Customer_ID]],Customer_Details[#All],5,0)</f>
        <v>Male</v>
      </c>
      <c r="G969" s="2" t="str">
        <f>VLOOKUP(Sales_Details2[[#This Row],[Customer_ID]],Customer_Details[#All],9,0)</f>
        <v>Gold</v>
      </c>
      <c r="H969" s="2" t="s">
        <v>1609</v>
      </c>
      <c r="I969" s="2" t="str">
        <f>VLOOKUP(Sales_Details2[[#This Row],[Product_ID]],Product_details[[#All],[Product_ID]:[Cost]],3,0)</f>
        <v>Electronics</v>
      </c>
      <c r="J969" s="2" t="str">
        <f>VLOOKUP(Sales_Details2[[#This Row],[Product_ID]],Product_details[[#All],[Product_ID]:[Cost]],4,0)</f>
        <v>Mobile</v>
      </c>
      <c r="K969" s="2" t="s">
        <v>1793</v>
      </c>
      <c r="L969" s="2" t="str">
        <f>_xlfn.XLOOKUP(Sales_Details2[[#This Row],[Store_ID]],Table2[Store_ID],Table2[Region],"Region not found")</f>
        <v>East</v>
      </c>
      <c r="M969" s="25">
        <v>3</v>
      </c>
      <c r="N969" s="36">
        <v>529.89</v>
      </c>
      <c r="O969" s="29">
        <v>0.21</v>
      </c>
      <c r="P969" s="2" t="s">
        <v>1807</v>
      </c>
      <c r="Q969" s="36">
        <v>1255.8393000000001</v>
      </c>
    </row>
    <row r="970" spans="1:17" x14ac:dyDescent="0.3">
      <c r="A970" s="2" t="s">
        <v>2777</v>
      </c>
      <c r="B970" s="14">
        <v>45518</v>
      </c>
      <c r="C970" s="2">
        <f>YEAR(Sales_Details2[[#This Row],[Order_Date]])</f>
        <v>2024</v>
      </c>
      <c r="D970" s="2" t="s">
        <v>1487</v>
      </c>
      <c r="E970" s="2" t="str">
        <f>VLOOKUP(Sales_Details2[[#This Row],[Customer_ID]],Customer_Details[#All],4,0)</f>
        <v>Mid-Adult</v>
      </c>
      <c r="F970" s="2" t="str">
        <f>VLOOKUP(Sales_Details2[[#This Row],[Customer_ID]],Customer_Details[#All],5,0)</f>
        <v>Female</v>
      </c>
      <c r="G970" s="2" t="str">
        <f>VLOOKUP(Sales_Details2[[#This Row],[Customer_ID]],Customer_Details[#All],9,0)</f>
        <v>Silver</v>
      </c>
      <c r="H970" s="2" t="s">
        <v>1715</v>
      </c>
      <c r="I970" s="2" t="str">
        <f>VLOOKUP(Sales_Details2[[#This Row],[Product_ID]],Product_details[[#All],[Product_ID]:[Cost]],3,0)</f>
        <v>Home</v>
      </c>
      <c r="J970" s="2" t="str">
        <f>VLOOKUP(Sales_Details2[[#This Row],[Product_ID]],Product_details[[#All],[Product_ID]:[Cost]],4,0)</f>
        <v>Appliances</v>
      </c>
      <c r="K970" s="2" t="s">
        <v>1740</v>
      </c>
      <c r="L970" s="2" t="str">
        <f>_xlfn.XLOOKUP(Sales_Details2[[#This Row],[Store_ID]],Table2[Store_ID],Table2[Region],"Region not found")</f>
        <v>North</v>
      </c>
      <c r="M970" s="25">
        <v>2</v>
      </c>
      <c r="N970" s="36">
        <v>954.1</v>
      </c>
      <c r="O970" s="29">
        <v>0.17</v>
      </c>
      <c r="P970" s="2" t="s">
        <v>1809</v>
      </c>
      <c r="Q970" s="36">
        <v>1583.806</v>
      </c>
    </row>
    <row r="971" spans="1:17" x14ac:dyDescent="0.3">
      <c r="A971" s="2" t="s">
        <v>2778</v>
      </c>
      <c r="B971" s="14">
        <v>45274</v>
      </c>
      <c r="C971" s="2">
        <f>YEAR(Sales_Details2[[#This Row],[Order_Date]])</f>
        <v>2023</v>
      </c>
      <c r="D971" s="2" t="s">
        <v>1007</v>
      </c>
      <c r="E971" s="2" t="str">
        <f>VLOOKUP(Sales_Details2[[#This Row],[Customer_ID]],Customer_Details[#All],4,0)</f>
        <v>Senior</v>
      </c>
      <c r="F971" s="2" t="str">
        <f>VLOOKUP(Sales_Details2[[#This Row],[Customer_ID]],Customer_Details[#All],5,0)</f>
        <v>Female</v>
      </c>
      <c r="G971" s="2" t="str">
        <f>VLOOKUP(Sales_Details2[[#This Row],[Customer_ID]],Customer_Details[#All],9,0)</f>
        <v>Platinum</v>
      </c>
      <c r="H971" s="2" t="s">
        <v>1661</v>
      </c>
      <c r="I971" s="2" t="str">
        <f>VLOOKUP(Sales_Details2[[#This Row],[Product_ID]],Product_details[[#All],[Product_ID]:[Cost]],3,0)</f>
        <v>Sports</v>
      </c>
      <c r="J971" s="2" t="str">
        <f>VLOOKUP(Sales_Details2[[#This Row],[Product_ID]],Product_details[[#All],[Product_ID]:[Cost]],4,0)</f>
        <v>Fitness</v>
      </c>
      <c r="K971" s="2" t="s">
        <v>1762</v>
      </c>
      <c r="L971" s="2" t="str">
        <f>_xlfn.XLOOKUP(Sales_Details2[[#This Row],[Store_ID]],Table2[Store_ID],Table2[Region],"Region not found")</f>
        <v>South</v>
      </c>
      <c r="M971" s="25">
        <v>1</v>
      </c>
      <c r="N971" s="36">
        <v>370.04</v>
      </c>
      <c r="O971" s="29">
        <v>0.04</v>
      </c>
      <c r="P971" s="2" t="s">
        <v>1812</v>
      </c>
      <c r="Q971" s="36">
        <v>355.23840000000001</v>
      </c>
    </row>
    <row r="972" spans="1:17" x14ac:dyDescent="0.3">
      <c r="A972" s="2" t="s">
        <v>2779</v>
      </c>
      <c r="B972" s="14">
        <v>45297</v>
      </c>
      <c r="C972" s="2">
        <f>YEAR(Sales_Details2[[#This Row],[Order_Date]])</f>
        <v>2024</v>
      </c>
      <c r="D972" s="2" t="s">
        <v>224</v>
      </c>
      <c r="E972" s="2" t="str">
        <f>VLOOKUP(Sales_Details2[[#This Row],[Customer_ID]],Customer_Details[#All],4,0)</f>
        <v>Adult</v>
      </c>
      <c r="F972" s="2" t="str">
        <f>VLOOKUP(Sales_Details2[[#This Row],[Customer_ID]],Customer_Details[#All],5,0)</f>
        <v>Male</v>
      </c>
      <c r="G972" s="2" t="str">
        <f>VLOOKUP(Sales_Details2[[#This Row],[Customer_ID]],Customer_Details[#All],9,0)</f>
        <v>Silver</v>
      </c>
      <c r="H972" s="2" t="s">
        <v>1723</v>
      </c>
      <c r="I972" s="2" t="str">
        <f>VLOOKUP(Sales_Details2[[#This Row],[Product_ID]],Product_details[[#All],[Product_ID]:[Cost]],3,0)</f>
        <v>Clothing</v>
      </c>
      <c r="J972" s="2" t="str">
        <f>VLOOKUP(Sales_Details2[[#This Row],[Product_ID]],Product_details[[#All],[Product_ID]:[Cost]],4,0)</f>
        <v>Outerwear</v>
      </c>
      <c r="K972" s="2" t="s">
        <v>1796</v>
      </c>
      <c r="L972" s="2" t="str">
        <f>_xlfn.XLOOKUP(Sales_Details2[[#This Row],[Store_ID]],Table2[Store_ID],Table2[Region],"Region not found")</f>
        <v>East</v>
      </c>
      <c r="M972" s="25">
        <v>4</v>
      </c>
      <c r="N972" s="36">
        <v>492.71</v>
      </c>
      <c r="O972" s="29">
        <v>0.08</v>
      </c>
      <c r="P972" s="2" t="s">
        <v>1807</v>
      </c>
      <c r="Q972" s="36">
        <v>1813.1728000000001</v>
      </c>
    </row>
    <row r="973" spans="1:17" x14ac:dyDescent="0.3">
      <c r="A973" s="2" t="s">
        <v>2780</v>
      </c>
      <c r="B973" s="14">
        <v>45530</v>
      </c>
      <c r="C973" s="2">
        <f>YEAR(Sales_Details2[[#This Row],[Order_Date]])</f>
        <v>2024</v>
      </c>
      <c r="D973" s="2" t="s">
        <v>882</v>
      </c>
      <c r="E973" s="2" t="str">
        <f>VLOOKUP(Sales_Details2[[#This Row],[Customer_ID]],Customer_Details[#All],4,0)</f>
        <v>Mid-Adult</v>
      </c>
      <c r="F973" s="2" t="str">
        <f>VLOOKUP(Sales_Details2[[#This Row],[Customer_ID]],Customer_Details[#All],5,0)</f>
        <v>Male</v>
      </c>
      <c r="G973" s="2" t="str">
        <f>VLOOKUP(Sales_Details2[[#This Row],[Customer_ID]],Customer_Details[#All],9,0)</f>
        <v>Bronze</v>
      </c>
      <c r="H973" s="2" t="s">
        <v>1713</v>
      </c>
      <c r="I973" s="2" t="str">
        <f>VLOOKUP(Sales_Details2[[#This Row],[Product_ID]],Product_details[[#All],[Product_ID]:[Cost]],3,0)</f>
        <v>Clothing</v>
      </c>
      <c r="J973" s="2" t="str">
        <f>VLOOKUP(Sales_Details2[[#This Row],[Product_ID]],Product_details[[#All],[Product_ID]:[Cost]],4,0)</f>
        <v>Footwear</v>
      </c>
      <c r="K973" s="2" t="s">
        <v>1780</v>
      </c>
      <c r="L973" s="2" t="str">
        <f>_xlfn.XLOOKUP(Sales_Details2[[#This Row],[Store_ID]],Table2[Store_ID],Table2[Region],"Region not found")</f>
        <v>East</v>
      </c>
      <c r="M973" s="25">
        <v>4</v>
      </c>
      <c r="N973" s="36">
        <v>853.26</v>
      </c>
      <c r="O973" s="29">
        <v>0.24</v>
      </c>
      <c r="P973" s="2" t="s">
        <v>1812</v>
      </c>
      <c r="Q973" s="36">
        <v>2593.9104000000002</v>
      </c>
    </row>
    <row r="974" spans="1:17" x14ac:dyDescent="0.3">
      <c r="A974" s="2" t="s">
        <v>2781</v>
      </c>
      <c r="B974" s="14">
        <v>45740</v>
      </c>
      <c r="C974" s="2">
        <f>YEAR(Sales_Details2[[#This Row],[Order_Date]])</f>
        <v>2025</v>
      </c>
      <c r="D974" s="2" t="s">
        <v>1249</v>
      </c>
      <c r="E974" s="2" t="str">
        <f>VLOOKUP(Sales_Details2[[#This Row],[Customer_ID]],Customer_Details[#All],4,0)</f>
        <v>Adult</v>
      </c>
      <c r="F974" s="2" t="str">
        <f>VLOOKUP(Sales_Details2[[#This Row],[Customer_ID]],Customer_Details[#All],5,0)</f>
        <v>Female</v>
      </c>
      <c r="G974" s="2" t="str">
        <f>VLOOKUP(Sales_Details2[[#This Row],[Customer_ID]],Customer_Details[#All],9,0)</f>
        <v>Gold</v>
      </c>
      <c r="H974" s="2" t="s">
        <v>1534</v>
      </c>
      <c r="I974" s="2" t="str">
        <f>VLOOKUP(Sales_Details2[[#This Row],[Product_ID]],Product_details[[#All],[Product_ID]:[Cost]],3,0)</f>
        <v>Clothing</v>
      </c>
      <c r="J974" s="2" t="str">
        <f>VLOOKUP(Sales_Details2[[#This Row],[Product_ID]],Product_details[[#All],[Product_ID]:[Cost]],4,0)</f>
        <v>Outerwear</v>
      </c>
      <c r="K974" s="2" t="s">
        <v>1787</v>
      </c>
      <c r="L974" s="2" t="str">
        <f>_xlfn.XLOOKUP(Sales_Details2[[#This Row],[Store_ID]],Table2[Store_ID],Table2[Region],"Region not found")</f>
        <v>West</v>
      </c>
      <c r="M974" s="25">
        <v>1</v>
      </c>
      <c r="N974" s="36">
        <v>402.47</v>
      </c>
      <c r="O974" s="29">
        <v>0.19</v>
      </c>
      <c r="P974" s="2" t="s">
        <v>1809</v>
      </c>
      <c r="Q974" s="36">
        <v>326.00070000000011</v>
      </c>
    </row>
    <row r="975" spans="1:17" x14ac:dyDescent="0.3">
      <c r="A975" s="2" t="s">
        <v>2782</v>
      </c>
      <c r="B975" s="14">
        <v>45311</v>
      </c>
      <c r="C975" s="2">
        <f>YEAR(Sales_Details2[[#This Row],[Order_Date]])</f>
        <v>2024</v>
      </c>
      <c r="D975" s="2" t="s">
        <v>1238</v>
      </c>
      <c r="E975" s="2" t="str">
        <f>VLOOKUP(Sales_Details2[[#This Row],[Customer_ID]],Customer_Details[#All],4,0)</f>
        <v>Mid-Adult</v>
      </c>
      <c r="F975" s="2" t="str">
        <f>VLOOKUP(Sales_Details2[[#This Row],[Customer_ID]],Customer_Details[#All],5,0)</f>
        <v>Male</v>
      </c>
      <c r="G975" s="2" t="str">
        <f>VLOOKUP(Sales_Details2[[#This Row],[Customer_ID]],Customer_Details[#All],9,0)</f>
        <v>Bronze</v>
      </c>
      <c r="H975" s="2" t="s">
        <v>1639</v>
      </c>
      <c r="I975" s="2" t="str">
        <f>VLOOKUP(Sales_Details2[[#This Row],[Product_ID]],Product_details[[#All],[Product_ID]:[Cost]],3,0)</f>
        <v>Sports</v>
      </c>
      <c r="J975" s="2" t="str">
        <f>VLOOKUP(Sales_Details2[[#This Row],[Product_ID]],Product_details[[#All],[Product_ID]:[Cost]],4,0)</f>
        <v>Accessories</v>
      </c>
      <c r="K975" s="2" t="s">
        <v>1793</v>
      </c>
      <c r="L975" s="2" t="str">
        <f>_xlfn.XLOOKUP(Sales_Details2[[#This Row],[Store_ID]],Table2[Store_ID],Table2[Region],"Region not found")</f>
        <v>East</v>
      </c>
      <c r="M975" s="25">
        <v>2</v>
      </c>
      <c r="N975" s="36">
        <v>528.29999999999995</v>
      </c>
      <c r="O975" s="29">
        <v>0.24</v>
      </c>
      <c r="P975" s="2" t="s">
        <v>1807</v>
      </c>
      <c r="Q975" s="36">
        <v>803.01599999999996</v>
      </c>
    </row>
    <row r="976" spans="1:17" x14ac:dyDescent="0.3">
      <c r="A976" s="2" t="s">
        <v>2783</v>
      </c>
      <c r="B976" s="14">
        <v>45667</v>
      </c>
      <c r="C976" s="2">
        <f>YEAR(Sales_Details2[[#This Row],[Order_Date]])</f>
        <v>2025</v>
      </c>
      <c r="D976" s="2" t="s">
        <v>1358</v>
      </c>
      <c r="E976" s="2" t="str">
        <f>VLOOKUP(Sales_Details2[[#This Row],[Customer_ID]],Customer_Details[#All],4,0)</f>
        <v>Adult</v>
      </c>
      <c r="F976" s="2" t="str">
        <f>VLOOKUP(Sales_Details2[[#This Row],[Customer_ID]],Customer_Details[#All],5,0)</f>
        <v>Male</v>
      </c>
      <c r="G976" s="2" t="str">
        <f>VLOOKUP(Sales_Details2[[#This Row],[Customer_ID]],Customer_Details[#All],9,0)</f>
        <v>Gold</v>
      </c>
      <c r="H976" s="2" t="s">
        <v>1551</v>
      </c>
      <c r="I976" s="2" t="str">
        <f>VLOOKUP(Sales_Details2[[#This Row],[Product_ID]],Product_details[[#All],[Product_ID]:[Cost]],3,0)</f>
        <v>Home</v>
      </c>
      <c r="J976" s="2" t="str">
        <f>VLOOKUP(Sales_Details2[[#This Row],[Product_ID]],Product_details[[#All],[Product_ID]:[Cost]],4,0)</f>
        <v>Kitchen</v>
      </c>
      <c r="K976" s="2" t="s">
        <v>1759</v>
      </c>
      <c r="L976" s="2" t="str">
        <f>_xlfn.XLOOKUP(Sales_Details2[[#This Row],[Store_ID]],Table2[Store_ID],Table2[Region],"Region not found")</f>
        <v>East</v>
      </c>
      <c r="M976" s="25">
        <v>4</v>
      </c>
      <c r="N976" s="36">
        <v>599.85</v>
      </c>
      <c r="O976" s="29">
        <v>0.25</v>
      </c>
      <c r="P976" s="2" t="s">
        <v>1807</v>
      </c>
      <c r="Q976" s="36">
        <v>1799.55</v>
      </c>
    </row>
    <row r="977" spans="1:17" x14ac:dyDescent="0.3">
      <c r="A977" s="2" t="s">
        <v>2784</v>
      </c>
      <c r="B977" s="14">
        <v>45281</v>
      </c>
      <c r="C977" s="2">
        <f>YEAR(Sales_Details2[[#This Row],[Order_Date]])</f>
        <v>2023</v>
      </c>
      <c r="D977" s="2" t="s">
        <v>948</v>
      </c>
      <c r="E977" s="2" t="str">
        <f>VLOOKUP(Sales_Details2[[#This Row],[Customer_ID]],Customer_Details[#All],4,0)</f>
        <v>Adult</v>
      </c>
      <c r="F977" s="2" t="str">
        <f>VLOOKUP(Sales_Details2[[#This Row],[Customer_ID]],Customer_Details[#All],5,0)</f>
        <v>Female</v>
      </c>
      <c r="G977" s="2" t="str">
        <f>VLOOKUP(Sales_Details2[[#This Row],[Customer_ID]],Customer_Details[#All],9,0)</f>
        <v>Platinum</v>
      </c>
      <c r="H977" s="2" t="s">
        <v>1563</v>
      </c>
      <c r="I977" s="2" t="str">
        <f>VLOOKUP(Sales_Details2[[#This Row],[Product_ID]],Product_details[[#All],[Product_ID]:[Cost]],3,0)</f>
        <v>Beauty</v>
      </c>
      <c r="J977" s="2" t="str">
        <f>VLOOKUP(Sales_Details2[[#This Row],[Product_ID]],Product_details[[#All],[Product_ID]:[Cost]],4,0)</f>
        <v>Grooming</v>
      </c>
      <c r="K977" s="2" t="s">
        <v>1769</v>
      </c>
      <c r="L977" s="2" t="str">
        <f>_xlfn.XLOOKUP(Sales_Details2[[#This Row],[Store_ID]],Table2[Store_ID],Table2[Region],"Region not found")</f>
        <v>South</v>
      </c>
      <c r="M977" s="25">
        <v>2</v>
      </c>
      <c r="N977" s="36">
        <v>61.42</v>
      </c>
      <c r="O977" s="29">
        <v>0.08</v>
      </c>
      <c r="P977" s="2" t="s">
        <v>1809</v>
      </c>
      <c r="Q977" s="36">
        <v>113.0128</v>
      </c>
    </row>
    <row r="978" spans="1:17" x14ac:dyDescent="0.3">
      <c r="A978" s="2" t="s">
        <v>2785</v>
      </c>
      <c r="B978" s="14">
        <v>45693</v>
      </c>
      <c r="C978" s="2">
        <f>YEAR(Sales_Details2[[#This Row],[Order_Date]])</f>
        <v>2025</v>
      </c>
      <c r="D978" s="2" t="s">
        <v>791</v>
      </c>
      <c r="E978" s="2" t="str">
        <f>VLOOKUP(Sales_Details2[[#This Row],[Customer_ID]],Customer_Details[#All],4,0)</f>
        <v>Mid-Adult</v>
      </c>
      <c r="F978" s="2" t="str">
        <f>VLOOKUP(Sales_Details2[[#This Row],[Customer_ID]],Customer_Details[#All],5,0)</f>
        <v>Female</v>
      </c>
      <c r="G978" s="2" t="str">
        <f>VLOOKUP(Sales_Details2[[#This Row],[Customer_ID]],Customer_Details[#All],9,0)</f>
        <v>Gold</v>
      </c>
      <c r="H978" s="2" t="s">
        <v>1569</v>
      </c>
      <c r="I978" s="2" t="str">
        <f>VLOOKUP(Sales_Details2[[#This Row],[Product_ID]],Product_details[[#All],[Product_ID]:[Cost]],3,0)</f>
        <v>Sports</v>
      </c>
      <c r="J978" s="2" t="str">
        <f>VLOOKUP(Sales_Details2[[#This Row],[Product_ID]],Product_details[[#All],[Product_ID]:[Cost]],4,0)</f>
        <v>Equipment</v>
      </c>
      <c r="K978" s="2" t="s">
        <v>1772</v>
      </c>
      <c r="L978" s="2" t="str">
        <f>_xlfn.XLOOKUP(Sales_Details2[[#This Row],[Store_ID]],Table2[Store_ID],Table2[Region],"Region not found")</f>
        <v>East</v>
      </c>
      <c r="M978" s="25">
        <v>2</v>
      </c>
      <c r="N978" s="36">
        <v>466.42</v>
      </c>
      <c r="O978" s="29">
        <v>0.12</v>
      </c>
      <c r="P978" s="2" t="s">
        <v>1809</v>
      </c>
      <c r="Q978" s="36">
        <v>820.89920000000006</v>
      </c>
    </row>
    <row r="979" spans="1:17" x14ac:dyDescent="0.3">
      <c r="A979" s="2" t="s">
        <v>2786</v>
      </c>
      <c r="B979" s="14">
        <v>45857</v>
      </c>
      <c r="C979" s="2">
        <f>YEAR(Sales_Details2[[#This Row],[Order_Date]])</f>
        <v>2025</v>
      </c>
      <c r="D979" s="2" t="s">
        <v>348</v>
      </c>
      <c r="E979" s="2" t="str">
        <f>VLOOKUP(Sales_Details2[[#This Row],[Customer_ID]],Customer_Details[#All],4,0)</f>
        <v>Mid-Adult</v>
      </c>
      <c r="F979" s="2" t="str">
        <f>VLOOKUP(Sales_Details2[[#This Row],[Customer_ID]],Customer_Details[#All],5,0)</f>
        <v>Male</v>
      </c>
      <c r="G979" s="2" t="str">
        <f>VLOOKUP(Sales_Details2[[#This Row],[Customer_ID]],Customer_Details[#All],9,0)</f>
        <v>Silver</v>
      </c>
      <c r="H979" s="2" t="s">
        <v>1593</v>
      </c>
      <c r="I979" s="2" t="str">
        <f>VLOOKUP(Sales_Details2[[#This Row],[Product_ID]],Product_details[[#All],[Product_ID]:[Cost]],3,0)</f>
        <v>Sports</v>
      </c>
      <c r="J979" s="2" t="str">
        <f>VLOOKUP(Sales_Details2[[#This Row],[Product_ID]],Product_details[[#All],[Product_ID]:[Cost]],4,0)</f>
        <v>Team Sports</v>
      </c>
      <c r="K979" s="2" t="s">
        <v>1756</v>
      </c>
      <c r="L979" s="2" t="str">
        <f>_xlfn.XLOOKUP(Sales_Details2[[#This Row],[Store_ID]],Table2[Store_ID],Table2[Region],"Region not found")</f>
        <v>North</v>
      </c>
      <c r="M979" s="25">
        <v>4</v>
      </c>
      <c r="N979" s="36">
        <v>540.69000000000005</v>
      </c>
      <c r="O979" s="29">
        <v>0.09</v>
      </c>
      <c r="P979" s="2" t="s">
        <v>1812</v>
      </c>
      <c r="Q979" s="36">
        <v>1968.1116</v>
      </c>
    </row>
    <row r="980" spans="1:17" x14ac:dyDescent="0.3">
      <c r="A980" s="2" t="s">
        <v>2787</v>
      </c>
      <c r="B980" s="14">
        <v>45737</v>
      </c>
      <c r="C980" s="2">
        <f>YEAR(Sales_Details2[[#This Row],[Order_Date]])</f>
        <v>2025</v>
      </c>
      <c r="D980" s="2" t="s">
        <v>933</v>
      </c>
      <c r="E980" s="2" t="str">
        <f>VLOOKUP(Sales_Details2[[#This Row],[Customer_ID]],Customer_Details[#All],4,0)</f>
        <v>Senior</v>
      </c>
      <c r="F980" s="2" t="str">
        <f>VLOOKUP(Sales_Details2[[#This Row],[Customer_ID]],Customer_Details[#All],5,0)</f>
        <v>Male</v>
      </c>
      <c r="G980" s="2" t="str">
        <f>VLOOKUP(Sales_Details2[[#This Row],[Customer_ID]],Customer_Details[#All],9,0)</f>
        <v>Platinum</v>
      </c>
      <c r="H980" s="2" t="s">
        <v>1569</v>
      </c>
      <c r="I980" s="2" t="str">
        <f>VLOOKUP(Sales_Details2[[#This Row],[Product_ID]],Product_details[[#All],[Product_ID]:[Cost]],3,0)</f>
        <v>Sports</v>
      </c>
      <c r="J980" s="2" t="str">
        <f>VLOOKUP(Sales_Details2[[#This Row],[Product_ID]],Product_details[[#All],[Product_ID]:[Cost]],4,0)</f>
        <v>Equipment</v>
      </c>
      <c r="K980" s="2" t="s">
        <v>1780</v>
      </c>
      <c r="L980" s="2" t="str">
        <f>_xlfn.XLOOKUP(Sales_Details2[[#This Row],[Store_ID]],Table2[Store_ID],Table2[Region],"Region not found")</f>
        <v>East</v>
      </c>
      <c r="M980" s="25">
        <v>3</v>
      </c>
      <c r="N980" s="36">
        <v>677.46</v>
      </c>
      <c r="O980" s="29">
        <v>0.05</v>
      </c>
      <c r="P980" s="2" t="s">
        <v>1807</v>
      </c>
      <c r="Q980" s="36">
        <v>1930.761</v>
      </c>
    </row>
    <row r="981" spans="1:17" x14ac:dyDescent="0.3">
      <c r="A981" s="2" t="s">
        <v>2788</v>
      </c>
      <c r="B981" s="14">
        <v>45771</v>
      </c>
      <c r="C981" s="2">
        <f>YEAR(Sales_Details2[[#This Row],[Order_Date]])</f>
        <v>2025</v>
      </c>
      <c r="D981" s="2" t="s">
        <v>1021</v>
      </c>
      <c r="E981" s="2" t="str">
        <f>VLOOKUP(Sales_Details2[[#This Row],[Customer_ID]],Customer_Details[#All],4,0)</f>
        <v>Mid-Adult</v>
      </c>
      <c r="F981" s="2" t="str">
        <f>VLOOKUP(Sales_Details2[[#This Row],[Customer_ID]],Customer_Details[#All],5,0)</f>
        <v>Male</v>
      </c>
      <c r="G981" s="2" t="str">
        <f>VLOOKUP(Sales_Details2[[#This Row],[Customer_ID]],Customer_Details[#All],9,0)</f>
        <v>Platinum</v>
      </c>
      <c r="H981" s="2" t="s">
        <v>1573</v>
      </c>
      <c r="I981" s="2" t="str">
        <f>VLOOKUP(Sales_Details2[[#This Row],[Product_ID]],Product_details[[#All],[Product_ID]:[Cost]],3,0)</f>
        <v>Home</v>
      </c>
      <c r="J981" s="2" t="str">
        <f>VLOOKUP(Sales_Details2[[#This Row],[Product_ID]],Product_details[[#All],[Product_ID]:[Cost]],4,0)</f>
        <v>Storage</v>
      </c>
      <c r="K981" s="2" t="s">
        <v>1740</v>
      </c>
      <c r="L981" s="2" t="str">
        <f>_xlfn.XLOOKUP(Sales_Details2[[#This Row],[Store_ID]],Table2[Store_ID],Table2[Region],"Region not found")</f>
        <v>North</v>
      </c>
      <c r="M981" s="25">
        <v>3</v>
      </c>
      <c r="N981" s="36">
        <v>614.63</v>
      </c>
      <c r="O981" s="29">
        <v>0.06</v>
      </c>
      <c r="P981" s="2" t="s">
        <v>1809</v>
      </c>
      <c r="Q981" s="36">
        <v>1733.2565999999999</v>
      </c>
    </row>
    <row r="982" spans="1:17" x14ac:dyDescent="0.3">
      <c r="A982" s="2" t="s">
        <v>2789</v>
      </c>
      <c r="B982" s="14">
        <v>45272</v>
      </c>
      <c r="C982" s="2">
        <f>YEAR(Sales_Details2[[#This Row],[Order_Date]])</f>
        <v>2023</v>
      </c>
      <c r="D982" s="2" t="s">
        <v>740</v>
      </c>
      <c r="E982" s="2" t="str">
        <f>VLOOKUP(Sales_Details2[[#This Row],[Customer_ID]],Customer_Details[#All],4,0)</f>
        <v>Adult</v>
      </c>
      <c r="F982" s="2" t="str">
        <f>VLOOKUP(Sales_Details2[[#This Row],[Customer_ID]],Customer_Details[#All],5,0)</f>
        <v>Female</v>
      </c>
      <c r="G982" s="2" t="str">
        <f>VLOOKUP(Sales_Details2[[#This Row],[Customer_ID]],Customer_Details[#All],9,0)</f>
        <v>Platinum</v>
      </c>
      <c r="H982" s="2" t="s">
        <v>1663</v>
      </c>
      <c r="I982" s="2" t="str">
        <f>VLOOKUP(Sales_Details2[[#This Row],[Product_ID]],Product_details[[#All],[Product_ID]:[Cost]],3,0)</f>
        <v>Beauty</v>
      </c>
      <c r="J982" s="2" t="str">
        <f>VLOOKUP(Sales_Details2[[#This Row],[Product_ID]],Product_details[[#All],[Product_ID]:[Cost]],4,0)</f>
        <v>Haircare</v>
      </c>
      <c r="K982" s="2" t="s">
        <v>1765</v>
      </c>
      <c r="L982" s="2" t="str">
        <f>_xlfn.XLOOKUP(Sales_Details2[[#This Row],[Store_ID]],Table2[Store_ID],Table2[Region],"Region not found")</f>
        <v>West</v>
      </c>
      <c r="M982" s="25">
        <v>4</v>
      </c>
      <c r="N982" s="36">
        <v>649.52</v>
      </c>
      <c r="O982" s="29">
        <v>0.11</v>
      </c>
      <c r="P982" s="2" t="s">
        <v>1807</v>
      </c>
      <c r="Q982" s="36">
        <v>2312.2912000000001</v>
      </c>
    </row>
    <row r="983" spans="1:17" x14ac:dyDescent="0.3">
      <c r="A983" s="2" t="s">
        <v>2790</v>
      </c>
      <c r="B983" s="14">
        <v>45481</v>
      </c>
      <c r="C983" s="2">
        <f>YEAR(Sales_Details2[[#This Row],[Order_Date]])</f>
        <v>2024</v>
      </c>
      <c r="D983" s="2" t="s">
        <v>1361</v>
      </c>
      <c r="E983" s="2" t="str">
        <f>VLOOKUP(Sales_Details2[[#This Row],[Customer_ID]],Customer_Details[#All],4,0)</f>
        <v>Mid-Adult</v>
      </c>
      <c r="F983" s="2" t="str">
        <f>VLOOKUP(Sales_Details2[[#This Row],[Customer_ID]],Customer_Details[#All],5,0)</f>
        <v>Female</v>
      </c>
      <c r="G983" s="2" t="str">
        <f>VLOOKUP(Sales_Details2[[#This Row],[Customer_ID]],Customer_Details[#All],9,0)</f>
        <v>Platinum</v>
      </c>
      <c r="H983" s="2" t="s">
        <v>1701</v>
      </c>
      <c r="I983" s="2" t="str">
        <f>VLOOKUP(Sales_Details2[[#This Row],[Product_ID]],Product_details[[#All],[Product_ID]:[Cost]],3,0)</f>
        <v>Clothing</v>
      </c>
      <c r="J983" s="2" t="str">
        <f>VLOOKUP(Sales_Details2[[#This Row],[Product_ID]],Product_details[[#All],[Product_ID]:[Cost]],4,0)</f>
        <v>Accessories</v>
      </c>
      <c r="K983" s="2" t="s">
        <v>1765</v>
      </c>
      <c r="L983" s="2" t="str">
        <f>_xlfn.XLOOKUP(Sales_Details2[[#This Row],[Store_ID]],Table2[Store_ID],Table2[Region],"Region not found")</f>
        <v>West</v>
      </c>
      <c r="M983" s="25">
        <v>2</v>
      </c>
      <c r="N983" s="36">
        <v>943.93</v>
      </c>
      <c r="O983" s="29">
        <v>0.22</v>
      </c>
      <c r="P983" s="2" t="s">
        <v>1809</v>
      </c>
      <c r="Q983" s="36">
        <v>1472.5308</v>
      </c>
    </row>
    <row r="984" spans="1:17" x14ac:dyDescent="0.3">
      <c r="A984" s="2" t="s">
        <v>2791</v>
      </c>
      <c r="B984" s="14">
        <v>45228</v>
      </c>
      <c r="C984" s="2">
        <f>YEAR(Sales_Details2[[#This Row],[Order_Date]])</f>
        <v>2023</v>
      </c>
      <c r="D984" s="2" t="s">
        <v>545</v>
      </c>
      <c r="E984" s="2" t="str">
        <f>VLOOKUP(Sales_Details2[[#This Row],[Customer_ID]],Customer_Details[#All],4,0)</f>
        <v>Mid-Adult</v>
      </c>
      <c r="F984" s="2" t="str">
        <f>VLOOKUP(Sales_Details2[[#This Row],[Customer_ID]],Customer_Details[#All],5,0)</f>
        <v>Female</v>
      </c>
      <c r="G984" s="2" t="str">
        <f>VLOOKUP(Sales_Details2[[#This Row],[Customer_ID]],Customer_Details[#All],9,0)</f>
        <v>Platinum</v>
      </c>
      <c r="H984" s="2" t="s">
        <v>1593</v>
      </c>
      <c r="I984" s="2" t="str">
        <f>VLOOKUP(Sales_Details2[[#This Row],[Product_ID]],Product_details[[#All],[Product_ID]:[Cost]],3,0)</f>
        <v>Sports</v>
      </c>
      <c r="J984" s="2" t="str">
        <f>VLOOKUP(Sales_Details2[[#This Row],[Product_ID]],Product_details[[#All],[Product_ID]:[Cost]],4,0)</f>
        <v>Team Sports</v>
      </c>
      <c r="K984" s="2" t="s">
        <v>1765</v>
      </c>
      <c r="L984" s="2" t="str">
        <f>_xlfn.XLOOKUP(Sales_Details2[[#This Row],[Store_ID]],Table2[Store_ID],Table2[Region],"Region not found")</f>
        <v>West</v>
      </c>
      <c r="M984" s="25">
        <v>4</v>
      </c>
      <c r="N984" s="36">
        <v>538.73</v>
      </c>
      <c r="O984" s="29">
        <v>0.03</v>
      </c>
      <c r="P984" s="2" t="s">
        <v>1807</v>
      </c>
      <c r="Q984" s="36">
        <v>2090.2723999999998</v>
      </c>
    </row>
    <row r="985" spans="1:17" x14ac:dyDescent="0.3">
      <c r="A985" s="2" t="s">
        <v>2792</v>
      </c>
      <c r="B985" s="14">
        <v>45432</v>
      </c>
      <c r="C985" s="2">
        <f>YEAR(Sales_Details2[[#This Row],[Order_Date]])</f>
        <v>2024</v>
      </c>
      <c r="D985" s="2" t="s">
        <v>313</v>
      </c>
      <c r="E985" s="2" t="str">
        <f>VLOOKUP(Sales_Details2[[#This Row],[Customer_ID]],Customer_Details[#All],4,0)</f>
        <v>Senior</v>
      </c>
      <c r="F985" s="2" t="str">
        <f>VLOOKUP(Sales_Details2[[#This Row],[Customer_ID]],Customer_Details[#All],5,0)</f>
        <v>Male</v>
      </c>
      <c r="G985" s="2" t="str">
        <f>VLOOKUP(Sales_Details2[[#This Row],[Customer_ID]],Customer_Details[#All],9,0)</f>
        <v>Silver</v>
      </c>
      <c r="H985" s="2" t="s">
        <v>1663</v>
      </c>
      <c r="I985" s="2" t="str">
        <f>VLOOKUP(Sales_Details2[[#This Row],[Product_ID]],Product_details[[#All],[Product_ID]:[Cost]],3,0)</f>
        <v>Beauty</v>
      </c>
      <c r="J985" s="2" t="str">
        <f>VLOOKUP(Sales_Details2[[#This Row],[Product_ID]],Product_details[[#All],[Product_ID]:[Cost]],4,0)</f>
        <v>Haircare</v>
      </c>
      <c r="K985" s="2" t="s">
        <v>1765</v>
      </c>
      <c r="L985" s="2" t="str">
        <f>_xlfn.XLOOKUP(Sales_Details2[[#This Row],[Store_ID]],Table2[Store_ID],Table2[Region],"Region not found")</f>
        <v>West</v>
      </c>
      <c r="M985" s="25">
        <v>2</v>
      </c>
      <c r="N985" s="36">
        <v>853.93</v>
      </c>
      <c r="O985" s="29">
        <v>0.01</v>
      </c>
      <c r="P985" s="2" t="s">
        <v>1809</v>
      </c>
      <c r="Q985" s="36">
        <v>1690.7814000000001</v>
      </c>
    </row>
    <row r="986" spans="1:17" x14ac:dyDescent="0.3">
      <c r="A986" s="2" t="s">
        <v>2793</v>
      </c>
      <c r="B986" s="14">
        <v>45914</v>
      </c>
      <c r="C986" s="2">
        <f>YEAR(Sales_Details2[[#This Row],[Order_Date]])</f>
        <v>2025</v>
      </c>
      <c r="D986" s="2" t="s">
        <v>1493</v>
      </c>
      <c r="E986" s="2" t="str">
        <f>VLOOKUP(Sales_Details2[[#This Row],[Customer_ID]],Customer_Details[#All],4,0)</f>
        <v>Senior</v>
      </c>
      <c r="F986" s="2" t="str">
        <f>VLOOKUP(Sales_Details2[[#This Row],[Customer_ID]],Customer_Details[#All],5,0)</f>
        <v>Female</v>
      </c>
      <c r="G986" s="2" t="str">
        <f>VLOOKUP(Sales_Details2[[#This Row],[Customer_ID]],Customer_Details[#All],9,0)</f>
        <v>Gold</v>
      </c>
      <c r="H986" s="2" t="s">
        <v>1589</v>
      </c>
      <c r="I986" s="2" t="str">
        <f>VLOOKUP(Sales_Details2[[#This Row],[Product_ID]],Product_details[[#All],[Product_ID]:[Cost]],3,0)</f>
        <v>Home</v>
      </c>
      <c r="J986" s="2" t="str">
        <f>VLOOKUP(Sales_Details2[[#This Row],[Product_ID]],Product_details[[#All],[Product_ID]:[Cost]],4,0)</f>
        <v>Decor</v>
      </c>
      <c r="K986" s="2" t="s">
        <v>1752</v>
      </c>
      <c r="L986" s="2" t="str">
        <f>_xlfn.XLOOKUP(Sales_Details2[[#This Row],[Store_ID]],Table2[Store_ID],Table2[Region],"Region not found")</f>
        <v>South</v>
      </c>
      <c r="M986" s="25">
        <v>4</v>
      </c>
      <c r="N986" s="36">
        <v>465.42</v>
      </c>
      <c r="O986" s="29">
        <v>0.26</v>
      </c>
      <c r="P986" s="2" t="s">
        <v>1812</v>
      </c>
      <c r="Q986" s="36">
        <v>1377.6432</v>
      </c>
    </row>
    <row r="987" spans="1:17" x14ac:dyDescent="0.3">
      <c r="A987" s="2" t="s">
        <v>2794</v>
      </c>
      <c r="B987" s="14">
        <v>45758</v>
      </c>
      <c r="C987" s="2">
        <f>YEAR(Sales_Details2[[#This Row],[Order_Date]])</f>
        <v>2025</v>
      </c>
      <c r="D987" s="2" t="s">
        <v>205</v>
      </c>
      <c r="E987" s="2" t="str">
        <f>VLOOKUP(Sales_Details2[[#This Row],[Customer_ID]],Customer_Details[#All],4,0)</f>
        <v>Senior</v>
      </c>
      <c r="F987" s="2" t="str">
        <f>VLOOKUP(Sales_Details2[[#This Row],[Customer_ID]],Customer_Details[#All],5,0)</f>
        <v>Female</v>
      </c>
      <c r="G987" s="2" t="str">
        <f>VLOOKUP(Sales_Details2[[#This Row],[Customer_ID]],Customer_Details[#All],9,0)</f>
        <v>Bronze</v>
      </c>
      <c r="H987" s="2" t="s">
        <v>1529</v>
      </c>
      <c r="I987" s="2" t="str">
        <f>VLOOKUP(Sales_Details2[[#This Row],[Product_ID]],Product_details[[#All],[Product_ID]:[Cost]],3,0)</f>
        <v>Clothing</v>
      </c>
      <c r="J987" s="2" t="str">
        <f>VLOOKUP(Sales_Details2[[#This Row],[Product_ID]],Product_details[[#All],[Product_ID]:[Cost]],4,0)</f>
        <v>Tops</v>
      </c>
      <c r="K987" s="2" t="s">
        <v>1775</v>
      </c>
      <c r="L987" s="2" t="str">
        <f>_xlfn.XLOOKUP(Sales_Details2[[#This Row],[Store_ID]],Table2[Store_ID],Table2[Region],"Region not found")</f>
        <v>South</v>
      </c>
      <c r="M987" s="25">
        <v>4</v>
      </c>
      <c r="N987" s="36">
        <v>880.26</v>
      </c>
      <c r="O987" s="29">
        <v>0.11</v>
      </c>
      <c r="P987" s="2" t="s">
        <v>1812</v>
      </c>
      <c r="Q987" s="36">
        <v>3133.7256000000002</v>
      </c>
    </row>
    <row r="988" spans="1:17" x14ac:dyDescent="0.3">
      <c r="A988" s="2" t="s">
        <v>2795</v>
      </c>
      <c r="B988" s="14">
        <v>45429</v>
      </c>
      <c r="C988" s="2">
        <f>YEAR(Sales_Details2[[#This Row],[Order_Date]])</f>
        <v>2024</v>
      </c>
      <c r="D988" s="2" t="s">
        <v>1470</v>
      </c>
      <c r="E988" s="2" t="str">
        <f>VLOOKUP(Sales_Details2[[#This Row],[Customer_ID]],Customer_Details[#All],4,0)</f>
        <v>Mid-Adult</v>
      </c>
      <c r="F988" s="2" t="str">
        <f>VLOOKUP(Sales_Details2[[#This Row],[Customer_ID]],Customer_Details[#All],5,0)</f>
        <v>Male</v>
      </c>
      <c r="G988" s="2" t="str">
        <f>VLOOKUP(Sales_Details2[[#This Row],[Customer_ID]],Customer_Details[#All],9,0)</f>
        <v>Gold</v>
      </c>
      <c r="H988" s="2" t="s">
        <v>1633</v>
      </c>
      <c r="I988" s="2" t="str">
        <f>VLOOKUP(Sales_Details2[[#This Row],[Product_ID]],Product_details[[#All],[Product_ID]:[Cost]],3,0)</f>
        <v>Electronics</v>
      </c>
      <c r="J988" s="2" t="str">
        <f>VLOOKUP(Sales_Details2[[#This Row],[Product_ID]],Product_details[[#All],[Product_ID]:[Cost]],4,0)</f>
        <v>Accessories</v>
      </c>
      <c r="K988" s="2" t="s">
        <v>1775</v>
      </c>
      <c r="L988" s="2" t="str">
        <f>_xlfn.XLOOKUP(Sales_Details2[[#This Row],[Store_ID]],Table2[Store_ID],Table2[Region],"Region not found")</f>
        <v>South</v>
      </c>
      <c r="M988" s="25">
        <v>3</v>
      </c>
      <c r="N988" s="36">
        <v>461.02</v>
      </c>
      <c r="O988" s="29">
        <v>0.28999999999999998</v>
      </c>
      <c r="P988" s="2" t="s">
        <v>1809</v>
      </c>
      <c r="Q988" s="36">
        <v>981.97259999999994</v>
      </c>
    </row>
    <row r="989" spans="1:17" x14ac:dyDescent="0.3">
      <c r="A989" s="2" t="s">
        <v>2796</v>
      </c>
      <c r="B989" s="14">
        <v>45578</v>
      </c>
      <c r="C989" s="2">
        <f>YEAR(Sales_Details2[[#This Row],[Order_Date]])</f>
        <v>2024</v>
      </c>
      <c r="D989" s="2" t="s">
        <v>110</v>
      </c>
      <c r="E989" s="2" t="str">
        <f>VLOOKUP(Sales_Details2[[#This Row],[Customer_ID]],Customer_Details[#All],4,0)</f>
        <v>Adult</v>
      </c>
      <c r="F989" s="2" t="str">
        <f>VLOOKUP(Sales_Details2[[#This Row],[Customer_ID]],Customer_Details[#All],5,0)</f>
        <v>Female</v>
      </c>
      <c r="G989" s="2" t="str">
        <f>VLOOKUP(Sales_Details2[[#This Row],[Customer_ID]],Customer_Details[#All],9,0)</f>
        <v>Gold</v>
      </c>
      <c r="H989" s="2" t="s">
        <v>1581</v>
      </c>
      <c r="I989" s="2" t="str">
        <f>VLOOKUP(Sales_Details2[[#This Row],[Product_ID]],Product_details[[#All],[Product_ID]:[Cost]],3,0)</f>
        <v>Clothing</v>
      </c>
      <c r="J989" s="2" t="str">
        <f>VLOOKUP(Sales_Details2[[#This Row],[Product_ID]],Product_details[[#All],[Product_ID]:[Cost]],4,0)</f>
        <v>Accessories</v>
      </c>
      <c r="K989" s="2" t="s">
        <v>1780</v>
      </c>
      <c r="L989" s="2" t="str">
        <f>_xlfn.XLOOKUP(Sales_Details2[[#This Row],[Store_ID]],Table2[Store_ID],Table2[Region],"Region not found")</f>
        <v>East</v>
      </c>
      <c r="M989" s="25">
        <v>1</v>
      </c>
      <c r="N989" s="36">
        <v>531.99</v>
      </c>
      <c r="O989" s="29">
        <v>0.17</v>
      </c>
      <c r="P989" s="2" t="s">
        <v>1809</v>
      </c>
      <c r="Q989" s="36">
        <v>441.55169999999998</v>
      </c>
    </row>
    <row r="990" spans="1:17" x14ac:dyDescent="0.3">
      <c r="A990" s="2" t="s">
        <v>2797</v>
      </c>
      <c r="B990" s="14">
        <v>45486</v>
      </c>
      <c r="C990" s="2">
        <f>YEAR(Sales_Details2[[#This Row],[Order_Date]])</f>
        <v>2024</v>
      </c>
      <c r="D990" s="2" t="s">
        <v>27</v>
      </c>
      <c r="E990" s="2" t="str">
        <f>VLOOKUP(Sales_Details2[[#This Row],[Customer_ID]],Customer_Details[#All],4,0)</f>
        <v>Senior</v>
      </c>
      <c r="F990" s="2" t="str">
        <f>VLOOKUP(Sales_Details2[[#This Row],[Customer_ID]],Customer_Details[#All],5,0)</f>
        <v>Female</v>
      </c>
      <c r="G990" s="2" t="str">
        <f>VLOOKUP(Sales_Details2[[#This Row],[Customer_ID]],Customer_Details[#All],9,0)</f>
        <v>Silver</v>
      </c>
      <c r="H990" s="2" t="s">
        <v>1625</v>
      </c>
      <c r="I990" s="2" t="str">
        <f>VLOOKUP(Sales_Details2[[#This Row],[Product_ID]],Product_details[[#All],[Product_ID]:[Cost]],3,0)</f>
        <v>Beauty</v>
      </c>
      <c r="J990" s="2" t="str">
        <f>VLOOKUP(Sales_Details2[[#This Row],[Product_ID]],Product_details[[#All],[Product_ID]:[Cost]],4,0)</f>
        <v>Makeup</v>
      </c>
      <c r="K990" s="2" t="s">
        <v>1790</v>
      </c>
      <c r="L990" s="2" t="str">
        <f>_xlfn.XLOOKUP(Sales_Details2[[#This Row],[Store_ID]],Table2[Store_ID],Table2[Region],"Region not found")</f>
        <v>North</v>
      </c>
      <c r="M990" s="25">
        <v>2</v>
      </c>
      <c r="N990" s="36">
        <v>274.08999999999997</v>
      </c>
      <c r="O990" s="29">
        <v>0.13</v>
      </c>
      <c r="P990" s="2" t="s">
        <v>1809</v>
      </c>
      <c r="Q990" s="36">
        <v>476.91660000000002</v>
      </c>
    </row>
    <row r="991" spans="1:17" x14ac:dyDescent="0.3">
      <c r="A991" s="2" t="s">
        <v>2798</v>
      </c>
      <c r="B991" s="14">
        <v>45694</v>
      </c>
      <c r="C991" s="2">
        <f>YEAR(Sales_Details2[[#This Row],[Order_Date]])</f>
        <v>2025</v>
      </c>
      <c r="D991" s="2" t="s">
        <v>1355</v>
      </c>
      <c r="E991" s="2" t="str">
        <f>VLOOKUP(Sales_Details2[[#This Row],[Customer_ID]],Customer_Details[#All],4,0)</f>
        <v>Senior</v>
      </c>
      <c r="F991" s="2" t="str">
        <f>VLOOKUP(Sales_Details2[[#This Row],[Customer_ID]],Customer_Details[#All],5,0)</f>
        <v>Male</v>
      </c>
      <c r="G991" s="2" t="str">
        <f>VLOOKUP(Sales_Details2[[#This Row],[Customer_ID]],Customer_Details[#All],9,0)</f>
        <v>Silver</v>
      </c>
      <c r="H991" s="2" t="s">
        <v>1707</v>
      </c>
      <c r="I991" s="2" t="str">
        <f>VLOOKUP(Sales_Details2[[#This Row],[Product_ID]],Product_details[[#All],[Product_ID]:[Cost]],3,0)</f>
        <v>Sports</v>
      </c>
      <c r="J991" s="2" t="str">
        <f>VLOOKUP(Sales_Details2[[#This Row],[Product_ID]],Product_details[[#All],[Product_ID]:[Cost]],4,0)</f>
        <v>Accessories</v>
      </c>
      <c r="K991" s="2" t="s">
        <v>1772</v>
      </c>
      <c r="L991" s="2" t="str">
        <f>_xlfn.XLOOKUP(Sales_Details2[[#This Row],[Store_ID]],Table2[Store_ID],Table2[Region],"Region not found")</f>
        <v>East</v>
      </c>
      <c r="M991" s="25">
        <v>1</v>
      </c>
      <c r="N991" s="36">
        <v>66.14</v>
      </c>
      <c r="O991" s="29">
        <v>0.14000000000000001</v>
      </c>
      <c r="P991" s="2" t="s">
        <v>1812</v>
      </c>
      <c r="Q991" s="36">
        <v>56.880400000000002</v>
      </c>
    </row>
    <row r="992" spans="1:17" x14ac:dyDescent="0.3">
      <c r="A992" s="2" t="s">
        <v>2799</v>
      </c>
      <c r="B992" s="14">
        <v>45875</v>
      </c>
      <c r="C992" s="2">
        <f>YEAR(Sales_Details2[[#This Row],[Order_Date]])</f>
        <v>2025</v>
      </c>
      <c r="D992" s="2" t="s">
        <v>278</v>
      </c>
      <c r="E992" s="2" t="str">
        <f>VLOOKUP(Sales_Details2[[#This Row],[Customer_ID]],Customer_Details[#All],4,0)</f>
        <v>Adult</v>
      </c>
      <c r="F992" s="2" t="str">
        <f>VLOOKUP(Sales_Details2[[#This Row],[Customer_ID]],Customer_Details[#All],5,0)</f>
        <v>Male</v>
      </c>
      <c r="G992" s="2" t="str">
        <f>VLOOKUP(Sales_Details2[[#This Row],[Customer_ID]],Customer_Details[#All],9,0)</f>
        <v>Gold</v>
      </c>
      <c r="H992" s="2" t="s">
        <v>1571</v>
      </c>
      <c r="I992" s="2" t="str">
        <f>VLOOKUP(Sales_Details2[[#This Row],[Product_ID]],Product_details[[#All],[Product_ID]:[Cost]],3,0)</f>
        <v>Sports</v>
      </c>
      <c r="J992" s="2" t="str">
        <f>VLOOKUP(Sales_Details2[[#This Row],[Product_ID]],Product_details[[#All],[Product_ID]:[Cost]],4,0)</f>
        <v>Accessories</v>
      </c>
      <c r="K992" s="2" t="s">
        <v>1769</v>
      </c>
      <c r="L992" s="2" t="str">
        <f>_xlfn.XLOOKUP(Sales_Details2[[#This Row],[Store_ID]],Table2[Store_ID],Table2[Region],"Region not found")</f>
        <v>South</v>
      </c>
      <c r="M992" s="25">
        <v>3</v>
      </c>
      <c r="N992" s="36">
        <v>955.82</v>
      </c>
      <c r="O992" s="29">
        <v>0.16</v>
      </c>
      <c r="P992" s="2" t="s">
        <v>1812</v>
      </c>
      <c r="Q992" s="36">
        <v>2408.6664000000001</v>
      </c>
    </row>
    <row r="993" spans="1:17" x14ac:dyDescent="0.3">
      <c r="A993" s="2" t="s">
        <v>2800</v>
      </c>
      <c r="B993" s="14">
        <v>45432</v>
      </c>
      <c r="C993" s="2">
        <f>YEAR(Sales_Details2[[#This Row],[Order_Date]])</f>
        <v>2024</v>
      </c>
      <c r="D993" s="2" t="s">
        <v>995</v>
      </c>
      <c r="E993" s="2" t="str">
        <f>VLOOKUP(Sales_Details2[[#This Row],[Customer_ID]],Customer_Details[#All],4,0)</f>
        <v>Senior</v>
      </c>
      <c r="F993" s="2" t="str">
        <f>VLOOKUP(Sales_Details2[[#This Row],[Customer_ID]],Customer_Details[#All],5,0)</f>
        <v>Male</v>
      </c>
      <c r="G993" s="2" t="str">
        <f>VLOOKUP(Sales_Details2[[#This Row],[Customer_ID]],Customer_Details[#All],9,0)</f>
        <v>Platinum</v>
      </c>
      <c r="H993" s="2" t="s">
        <v>1575</v>
      </c>
      <c r="I993" s="2" t="str">
        <f>VLOOKUP(Sales_Details2[[#This Row],[Product_ID]],Product_details[[#All],[Product_ID]:[Cost]],3,0)</f>
        <v>Sports</v>
      </c>
      <c r="J993" s="2" t="str">
        <f>VLOOKUP(Sales_Details2[[#This Row],[Product_ID]],Product_details[[#All],[Product_ID]:[Cost]],4,0)</f>
        <v>Equipment</v>
      </c>
      <c r="K993" s="2" t="s">
        <v>1777</v>
      </c>
      <c r="L993" s="2" t="str">
        <f>_xlfn.XLOOKUP(Sales_Details2[[#This Row],[Store_ID]],Table2[Store_ID],Table2[Region],"Region not found")</f>
        <v>North</v>
      </c>
      <c r="M993" s="25">
        <v>1</v>
      </c>
      <c r="N993" s="36">
        <v>904.92</v>
      </c>
      <c r="O993" s="29">
        <v>0.13</v>
      </c>
      <c r="P993" s="2" t="s">
        <v>1807</v>
      </c>
      <c r="Q993" s="36">
        <v>787.28039999999999</v>
      </c>
    </row>
    <row r="994" spans="1:17" x14ac:dyDescent="0.3">
      <c r="A994" s="2" t="s">
        <v>2801</v>
      </c>
      <c r="B994" s="14">
        <v>45575</v>
      </c>
      <c r="C994" s="2">
        <f>YEAR(Sales_Details2[[#This Row],[Order_Date]])</f>
        <v>2024</v>
      </c>
      <c r="D994" s="2" t="s">
        <v>8</v>
      </c>
      <c r="E994" s="2" t="str">
        <f>VLOOKUP(Sales_Details2[[#This Row],[Customer_ID]],Customer_Details[#All],4,0)</f>
        <v>Senior</v>
      </c>
      <c r="F994" s="2" t="str">
        <f>VLOOKUP(Sales_Details2[[#This Row],[Customer_ID]],Customer_Details[#All],5,0)</f>
        <v>Male</v>
      </c>
      <c r="G994" s="2" t="str">
        <f>VLOOKUP(Sales_Details2[[#This Row],[Customer_ID]],Customer_Details[#All],9,0)</f>
        <v>Platinum</v>
      </c>
      <c r="H994" s="2" t="s">
        <v>1611</v>
      </c>
      <c r="I994" s="2" t="str">
        <f>VLOOKUP(Sales_Details2[[#This Row],[Product_ID]],Product_details[[#All],[Product_ID]:[Cost]],3,0)</f>
        <v>Electronics</v>
      </c>
      <c r="J994" s="2" t="str">
        <f>VLOOKUP(Sales_Details2[[#This Row],[Product_ID]],Product_details[[#All],[Product_ID]:[Cost]],4,0)</f>
        <v>Audio</v>
      </c>
      <c r="K994" s="2" t="s">
        <v>1762</v>
      </c>
      <c r="L994" s="2" t="str">
        <f>_xlfn.XLOOKUP(Sales_Details2[[#This Row],[Store_ID]],Table2[Store_ID],Table2[Region],"Region not found")</f>
        <v>South</v>
      </c>
      <c r="M994" s="25">
        <v>3</v>
      </c>
      <c r="N994" s="36">
        <v>490.02</v>
      </c>
      <c r="O994" s="29">
        <v>0.26</v>
      </c>
      <c r="P994" s="2" t="s">
        <v>1807</v>
      </c>
      <c r="Q994" s="36">
        <v>1087.8444</v>
      </c>
    </row>
    <row r="995" spans="1:17" x14ac:dyDescent="0.3">
      <c r="A995" s="2" t="s">
        <v>2802</v>
      </c>
      <c r="B995" s="14">
        <v>45340</v>
      </c>
      <c r="C995" s="2">
        <f>YEAR(Sales_Details2[[#This Row],[Order_Date]])</f>
        <v>2024</v>
      </c>
      <c r="D995" s="2" t="s">
        <v>1123</v>
      </c>
      <c r="E995" s="2" t="str">
        <f>VLOOKUP(Sales_Details2[[#This Row],[Customer_ID]],Customer_Details[#All],4,0)</f>
        <v>Adult</v>
      </c>
      <c r="F995" s="2" t="str">
        <f>VLOOKUP(Sales_Details2[[#This Row],[Customer_ID]],Customer_Details[#All],5,0)</f>
        <v>Male</v>
      </c>
      <c r="G995" s="2" t="str">
        <f>VLOOKUP(Sales_Details2[[#This Row],[Customer_ID]],Customer_Details[#All],9,0)</f>
        <v>Bronze</v>
      </c>
      <c r="H995" s="2" t="s">
        <v>1569</v>
      </c>
      <c r="I995" s="2" t="str">
        <f>VLOOKUP(Sales_Details2[[#This Row],[Product_ID]],Product_details[[#All],[Product_ID]:[Cost]],3,0)</f>
        <v>Sports</v>
      </c>
      <c r="J995" s="2" t="str">
        <f>VLOOKUP(Sales_Details2[[#This Row],[Product_ID]],Product_details[[#All],[Product_ID]:[Cost]],4,0)</f>
        <v>Equipment</v>
      </c>
      <c r="K995" s="2" t="s">
        <v>1759</v>
      </c>
      <c r="L995" s="2" t="str">
        <f>_xlfn.XLOOKUP(Sales_Details2[[#This Row],[Store_ID]],Table2[Store_ID],Table2[Region],"Region not found")</f>
        <v>East</v>
      </c>
      <c r="M995" s="25">
        <v>2</v>
      </c>
      <c r="N995" s="36">
        <v>957.54</v>
      </c>
      <c r="O995" s="29">
        <v>0.1</v>
      </c>
      <c r="P995" s="2" t="s">
        <v>1812</v>
      </c>
      <c r="Q995" s="36">
        <v>1723.5719999999999</v>
      </c>
    </row>
    <row r="996" spans="1:17" x14ac:dyDescent="0.3">
      <c r="A996" s="2" t="s">
        <v>2803</v>
      </c>
      <c r="B996" s="14">
        <v>45926</v>
      </c>
      <c r="C996" s="2">
        <f>YEAR(Sales_Details2[[#This Row],[Order_Date]])</f>
        <v>2025</v>
      </c>
      <c r="D996" s="2" t="s">
        <v>1024</v>
      </c>
      <c r="E996" s="2" t="str">
        <f>VLOOKUP(Sales_Details2[[#This Row],[Customer_ID]],Customer_Details[#All],4,0)</f>
        <v>Senior</v>
      </c>
      <c r="F996" s="2" t="str">
        <f>VLOOKUP(Sales_Details2[[#This Row],[Customer_ID]],Customer_Details[#All],5,0)</f>
        <v>Female</v>
      </c>
      <c r="G996" s="2" t="str">
        <f>VLOOKUP(Sales_Details2[[#This Row],[Customer_ID]],Customer_Details[#All],9,0)</f>
        <v>Bronze</v>
      </c>
      <c r="H996" s="2" t="s">
        <v>1729</v>
      </c>
      <c r="I996" s="2" t="str">
        <f>VLOOKUP(Sales_Details2[[#This Row],[Product_ID]],Product_details[[#All],[Product_ID]:[Cost]],3,0)</f>
        <v>Home</v>
      </c>
      <c r="J996" s="2" t="str">
        <f>VLOOKUP(Sales_Details2[[#This Row],[Product_ID]],Product_details[[#All],[Product_ID]:[Cost]],4,0)</f>
        <v>Kitchen</v>
      </c>
      <c r="K996" s="2" t="s">
        <v>1780</v>
      </c>
      <c r="L996" s="2" t="str">
        <f>_xlfn.XLOOKUP(Sales_Details2[[#This Row],[Store_ID]],Table2[Store_ID],Table2[Region],"Region not found")</f>
        <v>East</v>
      </c>
      <c r="M996" s="25">
        <v>2</v>
      </c>
      <c r="N996" s="36">
        <v>314.39999999999998</v>
      </c>
      <c r="O996" s="29">
        <v>7.0000000000000007E-2</v>
      </c>
      <c r="P996" s="2" t="s">
        <v>1809</v>
      </c>
      <c r="Q996" s="36">
        <v>584.78399999999988</v>
      </c>
    </row>
    <row r="997" spans="1:17" x14ac:dyDescent="0.3">
      <c r="A997" s="2" t="s">
        <v>2804</v>
      </c>
      <c r="B997" s="14">
        <v>45373</v>
      </c>
      <c r="C997" s="2">
        <f>YEAR(Sales_Details2[[#This Row],[Order_Date]])</f>
        <v>2024</v>
      </c>
      <c r="D997" s="2" t="s">
        <v>1216</v>
      </c>
      <c r="E997" s="2" t="str">
        <f>VLOOKUP(Sales_Details2[[#This Row],[Customer_ID]],Customer_Details[#All],4,0)</f>
        <v>Mid-Adult</v>
      </c>
      <c r="F997" s="2" t="str">
        <f>VLOOKUP(Sales_Details2[[#This Row],[Customer_ID]],Customer_Details[#All],5,0)</f>
        <v>Female</v>
      </c>
      <c r="G997" s="2" t="str">
        <f>VLOOKUP(Sales_Details2[[#This Row],[Customer_ID]],Customer_Details[#All],9,0)</f>
        <v>Bronze</v>
      </c>
      <c r="H997" s="2" t="s">
        <v>1579</v>
      </c>
      <c r="I997" s="2" t="str">
        <f>VLOOKUP(Sales_Details2[[#This Row],[Product_ID]],Product_details[[#All],[Product_ID]:[Cost]],3,0)</f>
        <v>Sports</v>
      </c>
      <c r="J997" s="2" t="str">
        <f>VLOOKUP(Sales_Details2[[#This Row],[Product_ID]],Product_details[[#All],[Product_ID]:[Cost]],4,0)</f>
        <v>Outdoor</v>
      </c>
      <c r="K997" s="2" t="s">
        <v>1759</v>
      </c>
      <c r="L997" s="2" t="str">
        <f>_xlfn.XLOOKUP(Sales_Details2[[#This Row],[Store_ID]],Table2[Store_ID],Table2[Region],"Region not found")</f>
        <v>East</v>
      </c>
      <c r="M997" s="25">
        <v>3</v>
      </c>
      <c r="N997" s="36">
        <v>480.11</v>
      </c>
      <c r="O997" s="29">
        <v>0.11</v>
      </c>
      <c r="P997" s="2" t="s">
        <v>1809</v>
      </c>
      <c r="Q997" s="36">
        <v>1281.8937000000001</v>
      </c>
    </row>
    <row r="998" spans="1:17" x14ac:dyDescent="0.3">
      <c r="A998" s="2" t="s">
        <v>2805</v>
      </c>
      <c r="B998" s="14">
        <v>45579</v>
      </c>
      <c r="C998" s="2">
        <f>YEAR(Sales_Details2[[#This Row],[Order_Date]])</f>
        <v>2024</v>
      </c>
      <c r="D998" s="2" t="s">
        <v>1198</v>
      </c>
      <c r="E998" s="2" t="str">
        <f>VLOOKUP(Sales_Details2[[#This Row],[Customer_ID]],Customer_Details[#All],4,0)</f>
        <v>Senior</v>
      </c>
      <c r="F998" s="2" t="str">
        <f>VLOOKUP(Sales_Details2[[#This Row],[Customer_ID]],Customer_Details[#All],5,0)</f>
        <v>Male</v>
      </c>
      <c r="G998" s="2" t="str">
        <f>VLOOKUP(Sales_Details2[[#This Row],[Customer_ID]],Customer_Details[#All],9,0)</f>
        <v>Platinum</v>
      </c>
      <c r="H998" s="2" t="s">
        <v>1627</v>
      </c>
      <c r="I998" s="2" t="str">
        <f>VLOOKUP(Sales_Details2[[#This Row],[Product_ID]],Product_details[[#All],[Product_ID]:[Cost]],3,0)</f>
        <v>Electronics</v>
      </c>
      <c r="J998" s="2" t="str">
        <f>VLOOKUP(Sales_Details2[[#This Row],[Product_ID]],Product_details[[#All],[Product_ID]:[Cost]],4,0)</f>
        <v>Accessories</v>
      </c>
      <c r="K998" s="2" t="s">
        <v>1759</v>
      </c>
      <c r="L998" s="2" t="str">
        <f>_xlfn.XLOOKUP(Sales_Details2[[#This Row],[Store_ID]],Table2[Store_ID],Table2[Region],"Region not found")</f>
        <v>East</v>
      </c>
      <c r="M998" s="25">
        <v>4</v>
      </c>
      <c r="N998" s="36">
        <v>826.55</v>
      </c>
      <c r="O998" s="29">
        <v>0.28000000000000003</v>
      </c>
      <c r="P998" s="2" t="s">
        <v>1807</v>
      </c>
      <c r="Q998" s="36">
        <v>2380.4639999999999</v>
      </c>
    </row>
    <row r="999" spans="1:17" x14ac:dyDescent="0.3">
      <c r="A999" s="2" t="s">
        <v>2806</v>
      </c>
      <c r="B999" s="14">
        <v>45805</v>
      </c>
      <c r="C999" s="2">
        <f>YEAR(Sales_Details2[[#This Row],[Order_Date]])</f>
        <v>2025</v>
      </c>
      <c r="D999" s="2" t="s">
        <v>619</v>
      </c>
      <c r="E999" s="2" t="str">
        <f>VLOOKUP(Sales_Details2[[#This Row],[Customer_ID]],Customer_Details[#All],4,0)</f>
        <v>Adult</v>
      </c>
      <c r="F999" s="2" t="str">
        <f>VLOOKUP(Sales_Details2[[#This Row],[Customer_ID]],Customer_Details[#All],5,0)</f>
        <v>Male</v>
      </c>
      <c r="G999" s="2" t="str">
        <f>VLOOKUP(Sales_Details2[[#This Row],[Customer_ID]],Customer_Details[#All],9,0)</f>
        <v>Bronze</v>
      </c>
      <c r="H999" s="2" t="s">
        <v>1585</v>
      </c>
      <c r="I999" s="2" t="str">
        <f>VLOOKUP(Sales_Details2[[#This Row],[Product_ID]],Product_details[[#All],[Product_ID]:[Cost]],3,0)</f>
        <v>Home</v>
      </c>
      <c r="J999" s="2" t="str">
        <f>VLOOKUP(Sales_Details2[[#This Row],[Product_ID]],Product_details[[#All],[Product_ID]:[Cost]],4,0)</f>
        <v>Decor</v>
      </c>
      <c r="K999" s="2" t="s">
        <v>1749</v>
      </c>
      <c r="L999" s="2" t="str">
        <f>_xlfn.XLOOKUP(Sales_Details2[[#This Row],[Store_ID]],Table2[Store_ID],Table2[Region],"Region not found")</f>
        <v>North</v>
      </c>
      <c r="M999" s="25">
        <v>3</v>
      </c>
      <c r="N999" s="36">
        <v>530.16999999999996</v>
      </c>
      <c r="O999" s="29">
        <v>0.18</v>
      </c>
      <c r="P999" s="2" t="s">
        <v>1809</v>
      </c>
      <c r="Q999" s="36">
        <v>1304.2182</v>
      </c>
    </row>
    <row r="1000" spans="1:17" x14ac:dyDescent="0.3">
      <c r="A1000" s="2" t="s">
        <v>2807</v>
      </c>
      <c r="B1000" s="14">
        <v>45522</v>
      </c>
      <c r="C1000" s="2">
        <f>YEAR(Sales_Details2[[#This Row],[Order_Date]])</f>
        <v>2024</v>
      </c>
      <c r="D1000" s="2" t="s">
        <v>1252</v>
      </c>
      <c r="E1000" s="2" t="str">
        <f>VLOOKUP(Sales_Details2[[#This Row],[Customer_ID]],Customer_Details[#All],4,0)</f>
        <v>Mid-Adult</v>
      </c>
      <c r="F1000" s="2" t="str">
        <f>VLOOKUP(Sales_Details2[[#This Row],[Customer_ID]],Customer_Details[#All],5,0)</f>
        <v>Male</v>
      </c>
      <c r="G1000" s="2" t="str">
        <f>VLOOKUP(Sales_Details2[[#This Row],[Customer_ID]],Customer_Details[#All],9,0)</f>
        <v>Gold</v>
      </c>
      <c r="H1000" s="2" t="s">
        <v>1599</v>
      </c>
      <c r="I1000" s="2" t="str">
        <f>VLOOKUP(Sales_Details2[[#This Row],[Product_ID]],Product_details[[#All],[Product_ID]:[Cost]],3,0)</f>
        <v>Electronics</v>
      </c>
      <c r="J1000" s="2" t="str">
        <f>VLOOKUP(Sales_Details2[[#This Row],[Product_ID]],Product_details[[#All],[Product_ID]:[Cost]],4,0)</f>
        <v>Computer</v>
      </c>
      <c r="K1000" s="2" t="s">
        <v>1790</v>
      </c>
      <c r="L1000" s="2" t="str">
        <f>_xlfn.XLOOKUP(Sales_Details2[[#This Row],[Store_ID]],Table2[Store_ID],Table2[Region],"Region not found")</f>
        <v>North</v>
      </c>
      <c r="M1000" s="25">
        <v>3</v>
      </c>
      <c r="N1000" s="36">
        <v>336.17</v>
      </c>
      <c r="O1000" s="29">
        <v>0.04</v>
      </c>
      <c r="P1000" s="2" t="s">
        <v>1812</v>
      </c>
      <c r="Q1000" s="36">
        <v>968.16959999999995</v>
      </c>
    </row>
    <row r="1001" spans="1:17" x14ac:dyDescent="0.3">
      <c r="A1001" s="2" t="s">
        <v>2808</v>
      </c>
      <c r="B1001" s="14">
        <v>45304</v>
      </c>
      <c r="C1001" s="2">
        <f>YEAR(Sales_Details2[[#This Row],[Order_Date]])</f>
        <v>2024</v>
      </c>
      <c r="D1001" s="2" t="s">
        <v>1292</v>
      </c>
      <c r="E1001" s="2" t="str">
        <f>VLOOKUP(Sales_Details2[[#This Row],[Customer_ID]],Customer_Details[#All],4,0)</f>
        <v>Mid-Adult</v>
      </c>
      <c r="F1001" s="2" t="str">
        <f>VLOOKUP(Sales_Details2[[#This Row],[Customer_ID]],Customer_Details[#All],5,0)</f>
        <v>Female</v>
      </c>
      <c r="G1001" s="2" t="str">
        <f>VLOOKUP(Sales_Details2[[#This Row],[Customer_ID]],Customer_Details[#All],9,0)</f>
        <v>Platinum</v>
      </c>
      <c r="H1001" s="2" t="s">
        <v>1693</v>
      </c>
      <c r="I1001" s="2" t="str">
        <f>VLOOKUP(Sales_Details2[[#This Row],[Product_ID]],Product_details[[#All],[Product_ID]:[Cost]],3,0)</f>
        <v>Sports</v>
      </c>
      <c r="J1001" s="2" t="str">
        <f>VLOOKUP(Sales_Details2[[#This Row],[Product_ID]],Product_details[[#All],[Product_ID]:[Cost]],4,0)</f>
        <v>Equipment</v>
      </c>
      <c r="K1001" s="2" t="s">
        <v>1765</v>
      </c>
      <c r="L1001" s="2" t="str">
        <f>_xlfn.XLOOKUP(Sales_Details2[[#This Row],[Store_ID]],Table2[Store_ID],Table2[Region],"Region not found")</f>
        <v>West</v>
      </c>
      <c r="M1001" s="25">
        <v>4</v>
      </c>
      <c r="N1001" s="36">
        <v>22.51</v>
      </c>
      <c r="O1001" s="29">
        <v>0.27</v>
      </c>
      <c r="P1001" s="2" t="s">
        <v>1809</v>
      </c>
      <c r="Q1001" s="36">
        <v>65.729200000000006</v>
      </c>
    </row>
    <row r="1002" spans="1:17" x14ac:dyDescent="0.3">
      <c r="A1002" s="2" t="s">
        <v>2809</v>
      </c>
      <c r="B1002" s="14">
        <v>45456</v>
      </c>
      <c r="C1002" s="2">
        <f>YEAR(Sales_Details2[[#This Row],[Order_Date]])</f>
        <v>2024</v>
      </c>
      <c r="D1002" s="2" t="s">
        <v>619</v>
      </c>
      <c r="E1002" s="2" t="str">
        <f>VLOOKUP(Sales_Details2[[#This Row],[Customer_ID]],Customer_Details[#All],4,0)</f>
        <v>Adult</v>
      </c>
      <c r="F1002" s="2" t="str">
        <f>VLOOKUP(Sales_Details2[[#This Row],[Customer_ID]],Customer_Details[#All],5,0)</f>
        <v>Male</v>
      </c>
      <c r="G1002" s="2" t="str">
        <f>VLOOKUP(Sales_Details2[[#This Row],[Customer_ID]],Customer_Details[#All],9,0)</f>
        <v>Bronze</v>
      </c>
      <c r="H1002" s="2" t="s">
        <v>1649</v>
      </c>
      <c r="I1002" s="2" t="str">
        <f>VLOOKUP(Sales_Details2[[#This Row],[Product_ID]],Product_details[[#All],[Product_ID]:[Cost]],3,0)</f>
        <v>Beauty</v>
      </c>
      <c r="J1002" s="2" t="str">
        <f>VLOOKUP(Sales_Details2[[#This Row],[Product_ID]],Product_details[[#All],[Product_ID]:[Cost]],4,0)</f>
        <v>Haircare</v>
      </c>
      <c r="K1002" s="2" t="s">
        <v>1744</v>
      </c>
      <c r="L1002" s="2" t="str">
        <f>_xlfn.XLOOKUP(Sales_Details2[[#This Row],[Store_ID]],Table2[Store_ID],Table2[Region],"Region not found")</f>
        <v>South</v>
      </c>
      <c r="M1002" s="25">
        <v>2</v>
      </c>
      <c r="N1002" s="36">
        <v>909.51</v>
      </c>
      <c r="O1002" s="29">
        <v>0.27</v>
      </c>
      <c r="P1002" s="2" t="s">
        <v>1807</v>
      </c>
      <c r="Q1002" s="36">
        <v>1327.8846000000001</v>
      </c>
    </row>
    <row r="1003" spans="1:17" x14ac:dyDescent="0.3">
      <c r="A1003" s="2" t="s">
        <v>2810</v>
      </c>
      <c r="B1003" s="14">
        <v>45776</v>
      </c>
      <c r="C1003" s="2">
        <f>YEAR(Sales_Details2[[#This Row],[Order_Date]])</f>
        <v>2025</v>
      </c>
      <c r="D1003" s="2" t="s">
        <v>195</v>
      </c>
      <c r="E1003" s="2" t="str">
        <f>VLOOKUP(Sales_Details2[[#This Row],[Customer_ID]],Customer_Details[#All],4,0)</f>
        <v>Senior</v>
      </c>
      <c r="F1003" s="2" t="str">
        <f>VLOOKUP(Sales_Details2[[#This Row],[Customer_ID]],Customer_Details[#All],5,0)</f>
        <v>Male</v>
      </c>
      <c r="G1003" s="2" t="str">
        <f>VLOOKUP(Sales_Details2[[#This Row],[Customer_ID]],Customer_Details[#All],9,0)</f>
        <v>Bronze</v>
      </c>
      <c r="H1003" s="2" t="s">
        <v>1669</v>
      </c>
      <c r="I1003" s="2" t="str">
        <f>VLOOKUP(Sales_Details2[[#This Row],[Product_ID]],Product_details[[#All],[Product_ID]:[Cost]],3,0)</f>
        <v>Clothing</v>
      </c>
      <c r="J1003" s="2" t="str">
        <f>VLOOKUP(Sales_Details2[[#This Row],[Product_ID]],Product_details[[#All],[Product_ID]:[Cost]],4,0)</f>
        <v>Bottoms</v>
      </c>
      <c r="K1003" s="2" t="s">
        <v>1782</v>
      </c>
      <c r="L1003" s="2" t="str">
        <f>_xlfn.XLOOKUP(Sales_Details2[[#This Row],[Store_ID]],Table2[Store_ID],Table2[Region],"Region not found")</f>
        <v>South</v>
      </c>
      <c r="M1003" s="25">
        <v>4</v>
      </c>
      <c r="N1003" s="36">
        <v>593.84</v>
      </c>
      <c r="O1003" s="29">
        <v>0.24</v>
      </c>
      <c r="P1003" s="2" t="s">
        <v>1809</v>
      </c>
      <c r="Q1003" s="36">
        <v>1805.2736</v>
      </c>
    </row>
    <row r="1004" spans="1:17" x14ac:dyDescent="0.3">
      <c r="A1004" s="2" t="s">
        <v>2811</v>
      </c>
      <c r="B1004" s="14">
        <v>45566</v>
      </c>
      <c r="C1004" s="2">
        <f>YEAR(Sales_Details2[[#This Row],[Order_Date]])</f>
        <v>2024</v>
      </c>
      <c r="D1004" s="2" t="s">
        <v>379</v>
      </c>
      <c r="E1004" s="2" t="str">
        <f>VLOOKUP(Sales_Details2[[#This Row],[Customer_ID]],Customer_Details[#All],4,0)</f>
        <v>Adult</v>
      </c>
      <c r="F1004" s="2" t="str">
        <f>VLOOKUP(Sales_Details2[[#This Row],[Customer_ID]],Customer_Details[#All],5,0)</f>
        <v>Male</v>
      </c>
      <c r="G1004" s="2" t="str">
        <f>VLOOKUP(Sales_Details2[[#This Row],[Customer_ID]],Customer_Details[#All],9,0)</f>
        <v>Silver</v>
      </c>
      <c r="H1004" s="2" t="s">
        <v>1677</v>
      </c>
      <c r="I1004" s="2" t="str">
        <f>VLOOKUP(Sales_Details2[[#This Row],[Product_ID]],Product_details[[#All],[Product_ID]:[Cost]],3,0)</f>
        <v>Sports</v>
      </c>
      <c r="J1004" s="2" t="str">
        <f>VLOOKUP(Sales_Details2[[#This Row],[Product_ID]],Product_details[[#All],[Product_ID]:[Cost]],4,0)</f>
        <v>Team Sports</v>
      </c>
      <c r="K1004" s="2" t="s">
        <v>1772</v>
      </c>
      <c r="L1004" s="2" t="str">
        <f>_xlfn.XLOOKUP(Sales_Details2[[#This Row],[Store_ID]],Table2[Store_ID],Table2[Region],"Region not found")</f>
        <v>East</v>
      </c>
      <c r="M1004" s="25">
        <v>3</v>
      </c>
      <c r="N1004" s="36">
        <v>909.11</v>
      </c>
      <c r="O1004" s="29">
        <v>0.23</v>
      </c>
      <c r="P1004" s="2" t="s">
        <v>1812</v>
      </c>
      <c r="Q1004" s="36">
        <v>2100.0441000000001</v>
      </c>
    </row>
    <row r="1005" spans="1:17" x14ac:dyDescent="0.3">
      <c r="A1005" s="2" t="s">
        <v>2812</v>
      </c>
      <c r="B1005" s="14">
        <v>45542</v>
      </c>
      <c r="C1005" s="2">
        <f>YEAR(Sales_Details2[[#This Row],[Order_Date]])</f>
        <v>2024</v>
      </c>
      <c r="D1005" s="2" t="s">
        <v>1229</v>
      </c>
      <c r="E1005" s="2" t="str">
        <f>VLOOKUP(Sales_Details2[[#This Row],[Customer_ID]],Customer_Details[#All],4,0)</f>
        <v>Adult</v>
      </c>
      <c r="F1005" s="2" t="str">
        <f>VLOOKUP(Sales_Details2[[#This Row],[Customer_ID]],Customer_Details[#All],5,0)</f>
        <v>Male</v>
      </c>
      <c r="G1005" s="2" t="str">
        <f>VLOOKUP(Sales_Details2[[#This Row],[Customer_ID]],Customer_Details[#All],9,0)</f>
        <v>Bronze</v>
      </c>
      <c r="H1005" s="2" t="s">
        <v>1579</v>
      </c>
      <c r="I1005" s="2" t="str">
        <f>VLOOKUP(Sales_Details2[[#This Row],[Product_ID]],Product_details[[#All],[Product_ID]:[Cost]],3,0)</f>
        <v>Sports</v>
      </c>
      <c r="J1005" s="2" t="str">
        <f>VLOOKUP(Sales_Details2[[#This Row],[Product_ID]],Product_details[[#All],[Product_ID]:[Cost]],4,0)</f>
        <v>Outdoor</v>
      </c>
      <c r="K1005" s="2" t="s">
        <v>1740</v>
      </c>
      <c r="L1005" s="2" t="str">
        <f>_xlfn.XLOOKUP(Sales_Details2[[#This Row],[Store_ID]],Table2[Store_ID],Table2[Region],"Region not found")</f>
        <v>North</v>
      </c>
      <c r="M1005" s="25">
        <v>4</v>
      </c>
      <c r="N1005" s="36">
        <v>996.85</v>
      </c>
      <c r="O1005" s="29">
        <v>0.24</v>
      </c>
      <c r="P1005" s="2" t="s">
        <v>1809</v>
      </c>
      <c r="Q1005" s="36">
        <v>3030.424</v>
      </c>
    </row>
    <row r="1006" spans="1:17" x14ac:dyDescent="0.3">
      <c r="A1006" s="2" t="s">
        <v>2813</v>
      </c>
      <c r="B1006" s="14">
        <v>45834</v>
      </c>
      <c r="C1006" s="2">
        <f>YEAR(Sales_Details2[[#This Row],[Order_Date]])</f>
        <v>2025</v>
      </c>
      <c r="D1006" s="2" t="s">
        <v>939</v>
      </c>
      <c r="E1006" s="2" t="str">
        <f>VLOOKUP(Sales_Details2[[#This Row],[Customer_ID]],Customer_Details[#All],4,0)</f>
        <v>Adult</v>
      </c>
      <c r="F1006" s="2" t="str">
        <f>VLOOKUP(Sales_Details2[[#This Row],[Customer_ID]],Customer_Details[#All],5,0)</f>
        <v>Male</v>
      </c>
      <c r="G1006" s="2" t="str">
        <f>VLOOKUP(Sales_Details2[[#This Row],[Customer_ID]],Customer_Details[#All],9,0)</f>
        <v>Silver</v>
      </c>
      <c r="H1006" s="2" t="s">
        <v>1526</v>
      </c>
      <c r="I1006" s="2" t="str">
        <f>VLOOKUP(Sales_Details2[[#This Row],[Product_ID]],Product_details[[#All],[Product_ID]:[Cost]],3,0)</f>
        <v>Electronics</v>
      </c>
      <c r="J1006" s="2" t="str">
        <f>VLOOKUP(Sales_Details2[[#This Row],[Product_ID]],Product_details[[#All],[Product_ID]:[Cost]],4,0)</f>
        <v>Computer</v>
      </c>
      <c r="K1006" s="2" t="s">
        <v>1790</v>
      </c>
      <c r="L1006" s="2" t="str">
        <f>_xlfn.XLOOKUP(Sales_Details2[[#This Row],[Store_ID]],Table2[Store_ID],Table2[Region],"Region not found")</f>
        <v>North</v>
      </c>
      <c r="M1006" s="25">
        <v>1</v>
      </c>
      <c r="N1006" s="36">
        <v>522.69000000000005</v>
      </c>
      <c r="O1006" s="29">
        <v>0.06</v>
      </c>
      <c r="P1006" s="2" t="s">
        <v>1812</v>
      </c>
      <c r="Q1006" s="36">
        <v>491.32860000000011</v>
      </c>
    </row>
    <row r="1007" spans="1:17" x14ac:dyDescent="0.3">
      <c r="A1007" s="2" t="s">
        <v>2814</v>
      </c>
      <c r="B1007" s="14">
        <v>45405</v>
      </c>
      <c r="C1007" s="2">
        <f>YEAR(Sales_Details2[[#This Row],[Order_Date]])</f>
        <v>2024</v>
      </c>
      <c r="D1007" s="2" t="s">
        <v>631</v>
      </c>
      <c r="E1007" s="2" t="str">
        <f>VLOOKUP(Sales_Details2[[#This Row],[Customer_ID]],Customer_Details[#All],4,0)</f>
        <v>Mid-Adult</v>
      </c>
      <c r="F1007" s="2" t="str">
        <f>VLOOKUP(Sales_Details2[[#This Row],[Customer_ID]],Customer_Details[#All],5,0)</f>
        <v>Male</v>
      </c>
      <c r="G1007" s="2" t="str">
        <f>VLOOKUP(Sales_Details2[[#This Row],[Customer_ID]],Customer_Details[#All],9,0)</f>
        <v>Gold</v>
      </c>
      <c r="H1007" s="2" t="s">
        <v>1639</v>
      </c>
      <c r="I1007" s="2" t="str">
        <f>VLOOKUP(Sales_Details2[[#This Row],[Product_ID]],Product_details[[#All],[Product_ID]:[Cost]],3,0)</f>
        <v>Sports</v>
      </c>
      <c r="J1007" s="2" t="str">
        <f>VLOOKUP(Sales_Details2[[#This Row],[Product_ID]],Product_details[[#All],[Product_ID]:[Cost]],4,0)</f>
        <v>Accessories</v>
      </c>
      <c r="K1007" s="2" t="s">
        <v>1749</v>
      </c>
      <c r="L1007" s="2" t="str">
        <f>_xlfn.XLOOKUP(Sales_Details2[[#This Row],[Store_ID]],Table2[Store_ID],Table2[Region],"Region not found")</f>
        <v>North</v>
      </c>
      <c r="M1007" s="25">
        <v>3</v>
      </c>
      <c r="N1007" s="36">
        <v>261.05</v>
      </c>
      <c r="O1007" s="29">
        <v>0.12</v>
      </c>
      <c r="P1007" s="2" t="s">
        <v>1809</v>
      </c>
      <c r="Q1007" s="36">
        <v>689.17200000000014</v>
      </c>
    </row>
    <row r="1008" spans="1:17" x14ac:dyDescent="0.3">
      <c r="A1008" s="2" t="s">
        <v>2815</v>
      </c>
      <c r="B1008" s="14">
        <v>45918</v>
      </c>
      <c r="C1008" s="2">
        <f>YEAR(Sales_Details2[[#This Row],[Order_Date]])</f>
        <v>2025</v>
      </c>
      <c r="D1008" s="2" t="s">
        <v>310</v>
      </c>
      <c r="E1008" s="2" t="str">
        <f>VLOOKUP(Sales_Details2[[#This Row],[Customer_ID]],Customer_Details[#All],4,0)</f>
        <v>Senior</v>
      </c>
      <c r="F1008" s="2" t="str">
        <f>VLOOKUP(Sales_Details2[[#This Row],[Customer_ID]],Customer_Details[#All],5,0)</f>
        <v>Female</v>
      </c>
      <c r="G1008" s="2" t="str">
        <f>VLOOKUP(Sales_Details2[[#This Row],[Customer_ID]],Customer_Details[#All],9,0)</f>
        <v>Bronze</v>
      </c>
      <c r="H1008" s="2" t="s">
        <v>1577</v>
      </c>
      <c r="I1008" s="2" t="str">
        <f>VLOOKUP(Sales_Details2[[#This Row],[Product_ID]],Product_details[[#All],[Product_ID]:[Cost]],3,0)</f>
        <v>Clothing</v>
      </c>
      <c r="J1008" s="2" t="str">
        <f>VLOOKUP(Sales_Details2[[#This Row],[Product_ID]],Product_details[[#All],[Product_ID]:[Cost]],4,0)</f>
        <v>Tops</v>
      </c>
      <c r="K1008" s="2" t="s">
        <v>1790</v>
      </c>
      <c r="L1008" s="2" t="str">
        <f>_xlfn.XLOOKUP(Sales_Details2[[#This Row],[Store_ID]],Table2[Store_ID],Table2[Region],"Region not found")</f>
        <v>North</v>
      </c>
      <c r="M1008" s="25">
        <v>3</v>
      </c>
      <c r="N1008" s="36">
        <v>644.73</v>
      </c>
      <c r="O1008" s="29">
        <v>0.01</v>
      </c>
      <c r="P1008" s="2" t="s">
        <v>1812</v>
      </c>
      <c r="Q1008" s="36">
        <v>1914.8480999999999</v>
      </c>
    </row>
    <row r="1009" spans="1:17" x14ac:dyDescent="0.3">
      <c r="A1009" s="2" t="s">
        <v>2816</v>
      </c>
      <c r="B1009" s="14">
        <v>45217</v>
      </c>
      <c r="C1009" s="2">
        <f>YEAR(Sales_Details2[[#This Row],[Order_Date]])</f>
        <v>2023</v>
      </c>
      <c r="D1009" s="2" t="s">
        <v>642</v>
      </c>
      <c r="E1009" s="2" t="str">
        <f>VLOOKUP(Sales_Details2[[#This Row],[Customer_ID]],Customer_Details[#All],4,0)</f>
        <v>Senior</v>
      </c>
      <c r="F1009" s="2" t="str">
        <f>VLOOKUP(Sales_Details2[[#This Row],[Customer_ID]],Customer_Details[#All],5,0)</f>
        <v>Male</v>
      </c>
      <c r="G1009" s="2" t="str">
        <f>VLOOKUP(Sales_Details2[[#This Row],[Customer_ID]],Customer_Details[#All],9,0)</f>
        <v>Bronze</v>
      </c>
      <c r="H1009" s="2" t="s">
        <v>1681</v>
      </c>
      <c r="I1009" s="2" t="str">
        <f>VLOOKUP(Sales_Details2[[#This Row],[Product_ID]],Product_details[[#All],[Product_ID]:[Cost]],3,0)</f>
        <v>Clothing</v>
      </c>
      <c r="J1009" s="2" t="str">
        <f>VLOOKUP(Sales_Details2[[#This Row],[Product_ID]],Product_details[[#All],[Product_ID]:[Cost]],4,0)</f>
        <v>Footwear</v>
      </c>
      <c r="K1009" s="2" t="s">
        <v>1744</v>
      </c>
      <c r="L1009" s="2" t="str">
        <f>_xlfn.XLOOKUP(Sales_Details2[[#This Row],[Store_ID]],Table2[Store_ID],Table2[Region],"Region not found")</f>
        <v>South</v>
      </c>
      <c r="M1009" s="25">
        <v>2</v>
      </c>
      <c r="N1009" s="36">
        <v>541.52</v>
      </c>
      <c r="O1009" s="29">
        <v>0.26</v>
      </c>
      <c r="P1009" s="2" t="s">
        <v>1809</v>
      </c>
      <c r="Q1009" s="36">
        <v>801.44959999999992</v>
      </c>
    </row>
    <row r="1010" spans="1:17" x14ac:dyDescent="0.3">
      <c r="A1010" s="2" t="s">
        <v>2817</v>
      </c>
      <c r="B1010" s="14">
        <v>45259</v>
      </c>
      <c r="C1010" s="2">
        <f>YEAR(Sales_Details2[[#This Row],[Order_Date]])</f>
        <v>2023</v>
      </c>
      <c r="D1010" s="2" t="s">
        <v>1306</v>
      </c>
      <c r="E1010" s="2" t="str">
        <f>VLOOKUP(Sales_Details2[[#This Row],[Customer_ID]],Customer_Details[#All],4,0)</f>
        <v>Adult</v>
      </c>
      <c r="F1010" s="2" t="str">
        <f>VLOOKUP(Sales_Details2[[#This Row],[Customer_ID]],Customer_Details[#All],5,0)</f>
        <v>Male</v>
      </c>
      <c r="G1010" s="2" t="str">
        <f>VLOOKUP(Sales_Details2[[#This Row],[Customer_ID]],Customer_Details[#All],9,0)</f>
        <v>Platinum</v>
      </c>
      <c r="H1010" s="2" t="s">
        <v>1657</v>
      </c>
      <c r="I1010" s="2" t="str">
        <f>VLOOKUP(Sales_Details2[[#This Row],[Product_ID]],Product_details[[#All],[Product_ID]:[Cost]],3,0)</f>
        <v>Beauty</v>
      </c>
      <c r="J1010" s="2" t="str">
        <f>VLOOKUP(Sales_Details2[[#This Row],[Product_ID]],Product_details[[#All],[Product_ID]:[Cost]],4,0)</f>
        <v>Skincare</v>
      </c>
      <c r="K1010" s="2" t="s">
        <v>1772</v>
      </c>
      <c r="L1010" s="2" t="str">
        <f>_xlfn.XLOOKUP(Sales_Details2[[#This Row],[Store_ID]],Table2[Store_ID],Table2[Region],"Region not found")</f>
        <v>East</v>
      </c>
      <c r="M1010" s="25">
        <v>1</v>
      </c>
      <c r="N1010" s="36">
        <v>395.18</v>
      </c>
      <c r="O1010" s="29">
        <v>0.09</v>
      </c>
      <c r="P1010" s="2" t="s">
        <v>1809</v>
      </c>
      <c r="Q1010" s="36">
        <v>359.61380000000003</v>
      </c>
    </row>
    <row r="1011" spans="1:17" x14ac:dyDescent="0.3">
      <c r="A1011" s="2" t="s">
        <v>2818</v>
      </c>
      <c r="B1011" s="14">
        <v>45740</v>
      </c>
      <c r="C1011" s="2">
        <f>YEAR(Sales_Details2[[#This Row],[Order_Date]])</f>
        <v>2025</v>
      </c>
      <c r="D1011" s="2" t="s">
        <v>351</v>
      </c>
      <c r="E1011" s="2" t="str">
        <f>VLOOKUP(Sales_Details2[[#This Row],[Customer_ID]],Customer_Details[#All],4,0)</f>
        <v>Senior</v>
      </c>
      <c r="F1011" s="2" t="str">
        <f>VLOOKUP(Sales_Details2[[#This Row],[Customer_ID]],Customer_Details[#All],5,0)</f>
        <v>Female</v>
      </c>
      <c r="G1011" s="2" t="str">
        <f>VLOOKUP(Sales_Details2[[#This Row],[Customer_ID]],Customer_Details[#All],9,0)</f>
        <v>Platinum</v>
      </c>
      <c r="H1011" s="2" t="s">
        <v>1545</v>
      </c>
      <c r="I1011" s="2" t="str">
        <f>VLOOKUP(Sales_Details2[[#This Row],[Product_ID]],Product_details[[#All],[Product_ID]:[Cost]],3,0)</f>
        <v>Electronics</v>
      </c>
      <c r="J1011" s="2" t="str">
        <f>VLOOKUP(Sales_Details2[[#This Row],[Product_ID]],Product_details[[#All],[Product_ID]:[Cost]],4,0)</f>
        <v>Audio</v>
      </c>
      <c r="K1011" s="2" t="s">
        <v>1765</v>
      </c>
      <c r="L1011" s="2" t="str">
        <f>_xlfn.XLOOKUP(Sales_Details2[[#This Row],[Store_ID]],Table2[Store_ID],Table2[Region],"Region not found")</f>
        <v>West</v>
      </c>
      <c r="M1011" s="25">
        <v>4</v>
      </c>
      <c r="N1011" s="36">
        <v>56.37</v>
      </c>
      <c r="O1011" s="29">
        <v>0.17</v>
      </c>
      <c r="P1011" s="2" t="s">
        <v>1807</v>
      </c>
      <c r="Q1011" s="36">
        <v>187.14840000000001</v>
      </c>
    </row>
    <row r="1012" spans="1:17" x14ac:dyDescent="0.3">
      <c r="A1012" s="2" t="s">
        <v>2819</v>
      </c>
      <c r="B1012" s="14">
        <v>45908</v>
      </c>
      <c r="C1012" s="2">
        <f>YEAR(Sales_Details2[[#This Row],[Order_Date]])</f>
        <v>2025</v>
      </c>
      <c r="D1012" s="2" t="s">
        <v>675</v>
      </c>
      <c r="E1012" s="2" t="str">
        <f>VLOOKUP(Sales_Details2[[#This Row],[Customer_ID]],Customer_Details[#All],4,0)</f>
        <v>Mid-Adult</v>
      </c>
      <c r="F1012" s="2" t="str">
        <f>VLOOKUP(Sales_Details2[[#This Row],[Customer_ID]],Customer_Details[#All],5,0)</f>
        <v>Female</v>
      </c>
      <c r="G1012" s="2" t="str">
        <f>VLOOKUP(Sales_Details2[[#This Row],[Customer_ID]],Customer_Details[#All],9,0)</f>
        <v>Platinum</v>
      </c>
      <c r="H1012" s="2" t="s">
        <v>1689</v>
      </c>
      <c r="I1012" s="2" t="str">
        <f>VLOOKUP(Sales_Details2[[#This Row],[Product_ID]],Product_details[[#All],[Product_ID]:[Cost]],3,0)</f>
        <v>Home</v>
      </c>
      <c r="J1012" s="2" t="str">
        <f>VLOOKUP(Sales_Details2[[#This Row],[Product_ID]],Product_details[[#All],[Product_ID]:[Cost]],4,0)</f>
        <v>Lighting</v>
      </c>
      <c r="K1012" s="2" t="s">
        <v>1769</v>
      </c>
      <c r="L1012" s="2" t="str">
        <f>_xlfn.XLOOKUP(Sales_Details2[[#This Row],[Store_ID]],Table2[Store_ID],Table2[Region],"Region not found")</f>
        <v>South</v>
      </c>
      <c r="M1012" s="25">
        <v>4</v>
      </c>
      <c r="N1012" s="36">
        <v>202.59</v>
      </c>
      <c r="O1012" s="29">
        <v>0.06</v>
      </c>
      <c r="P1012" s="2" t="s">
        <v>1812</v>
      </c>
      <c r="Q1012" s="36">
        <v>761.73839999999996</v>
      </c>
    </row>
    <row r="1013" spans="1:17" x14ac:dyDescent="0.3">
      <c r="A1013" s="2" t="s">
        <v>2820</v>
      </c>
      <c r="B1013" s="14">
        <v>45601</v>
      </c>
      <c r="C1013" s="2">
        <f>YEAR(Sales_Details2[[#This Row],[Order_Date]])</f>
        <v>2024</v>
      </c>
      <c r="D1013" s="2" t="s">
        <v>27</v>
      </c>
      <c r="E1013" s="2" t="str">
        <f>VLOOKUP(Sales_Details2[[#This Row],[Customer_ID]],Customer_Details[#All],4,0)</f>
        <v>Senior</v>
      </c>
      <c r="F1013" s="2" t="str">
        <f>VLOOKUP(Sales_Details2[[#This Row],[Customer_ID]],Customer_Details[#All],5,0)</f>
        <v>Female</v>
      </c>
      <c r="G1013" s="2" t="str">
        <f>VLOOKUP(Sales_Details2[[#This Row],[Customer_ID]],Customer_Details[#All],9,0)</f>
        <v>Silver</v>
      </c>
      <c r="H1013" s="2" t="s">
        <v>1693</v>
      </c>
      <c r="I1013" s="2" t="str">
        <f>VLOOKUP(Sales_Details2[[#This Row],[Product_ID]],Product_details[[#All],[Product_ID]:[Cost]],3,0)</f>
        <v>Sports</v>
      </c>
      <c r="J1013" s="2" t="str">
        <f>VLOOKUP(Sales_Details2[[#This Row],[Product_ID]],Product_details[[#All],[Product_ID]:[Cost]],4,0)</f>
        <v>Equipment</v>
      </c>
      <c r="K1013" s="2" t="s">
        <v>1756</v>
      </c>
      <c r="L1013" s="2" t="str">
        <f>_xlfn.XLOOKUP(Sales_Details2[[#This Row],[Store_ID]],Table2[Store_ID],Table2[Region],"Region not found")</f>
        <v>North</v>
      </c>
      <c r="M1013" s="25">
        <v>2</v>
      </c>
      <c r="N1013" s="36">
        <v>358.36</v>
      </c>
      <c r="O1013" s="29">
        <v>0.05</v>
      </c>
      <c r="P1013" s="2" t="s">
        <v>1809</v>
      </c>
      <c r="Q1013" s="36">
        <v>680.88400000000001</v>
      </c>
    </row>
    <row r="1014" spans="1:17" x14ac:dyDescent="0.3">
      <c r="A1014" s="2" t="s">
        <v>2821</v>
      </c>
      <c r="B1014" s="14">
        <v>45535</v>
      </c>
      <c r="C1014" s="2">
        <f>YEAR(Sales_Details2[[#This Row],[Order_Date]])</f>
        <v>2024</v>
      </c>
      <c r="D1014" s="2" t="s">
        <v>261</v>
      </c>
      <c r="E1014" s="2" t="str">
        <f>VLOOKUP(Sales_Details2[[#This Row],[Customer_ID]],Customer_Details[#All],4,0)</f>
        <v>Mid-Adult</v>
      </c>
      <c r="F1014" s="2" t="str">
        <f>VLOOKUP(Sales_Details2[[#This Row],[Customer_ID]],Customer_Details[#All],5,0)</f>
        <v>Female</v>
      </c>
      <c r="G1014" s="2" t="str">
        <f>VLOOKUP(Sales_Details2[[#This Row],[Customer_ID]],Customer_Details[#All],9,0)</f>
        <v>Gold</v>
      </c>
      <c r="H1014" s="2" t="s">
        <v>1605</v>
      </c>
      <c r="I1014" s="2" t="str">
        <f>VLOOKUP(Sales_Details2[[#This Row],[Product_ID]],Product_details[[#All],[Product_ID]:[Cost]],3,0)</f>
        <v>Clothing</v>
      </c>
      <c r="J1014" s="2" t="str">
        <f>VLOOKUP(Sales_Details2[[#This Row],[Product_ID]],Product_details[[#All],[Product_ID]:[Cost]],4,0)</f>
        <v>Footwear</v>
      </c>
      <c r="K1014" s="2" t="s">
        <v>1793</v>
      </c>
      <c r="L1014" s="2" t="str">
        <f>_xlfn.XLOOKUP(Sales_Details2[[#This Row],[Store_ID]],Table2[Store_ID],Table2[Region],"Region not found")</f>
        <v>East</v>
      </c>
      <c r="M1014" s="25">
        <v>4</v>
      </c>
      <c r="N1014" s="36">
        <v>85.62</v>
      </c>
      <c r="O1014" s="29">
        <v>0.28000000000000003</v>
      </c>
      <c r="P1014" s="2" t="s">
        <v>1812</v>
      </c>
      <c r="Q1014" s="36">
        <v>246.5856</v>
      </c>
    </row>
    <row r="1015" spans="1:17" x14ac:dyDescent="0.3">
      <c r="A1015" s="2" t="s">
        <v>2822</v>
      </c>
      <c r="B1015" s="14">
        <v>45459</v>
      </c>
      <c r="C1015" s="2">
        <f>YEAR(Sales_Details2[[#This Row],[Order_Date]])</f>
        <v>2024</v>
      </c>
      <c r="D1015" s="2" t="s">
        <v>604</v>
      </c>
      <c r="E1015" s="2" t="str">
        <f>VLOOKUP(Sales_Details2[[#This Row],[Customer_ID]],Customer_Details[#All],4,0)</f>
        <v>Senior</v>
      </c>
      <c r="F1015" s="2" t="str">
        <f>VLOOKUP(Sales_Details2[[#This Row],[Customer_ID]],Customer_Details[#All],5,0)</f>
        <v>Female</v>
      </c>
      <c r="G1015" s="2" t="str">
        <f>VLOOKUP(Sales_Details2[[#This Row],[Customer_ID]],Customer_Details[#All],9,0)</f>
        <v>Platinum</v>
      </c>
      <c r="H1015" s="2" t="s">
        <v>1543</v>
      </c>
      <c r="I1015" s="2" t="str">
        <f>VLOOKUP(Sales_Details2[[#This Row],[Product_ID]],Product_details[[#All],[Product_ID]:[Cost]],3,0)</f>
        <v>Home</v>
      </c>
      <c r="J1015" s="2" t="str">
        <f>VLOOKUP(Sales_Details2[[#This Row],[Product_ID]],Product_details[[#All],[Product_ID]:[Cost]],4,0)</f>
        <v>Lighting</v>
      </c>
      <c r="K1015" s="2" t="s">
        <v>1790</v>
      </c>
      <c r="L1015" s="2" t="str">
        <f>_xlfn.XLOOKUP(Sales_Details2[[#This Row],[Store_ID]],Table2[Store_ID],Table2[Region],"Region not found")</f>
        <v>North</v>
      </c>
      <c r="M1015" s="25">
        <v>4</v>
      </c>
      <c r="N1015" s="36">
        <v>929.26</v>
      </c>
      <c r="O1015" s="29">
        <v>0.23</v>
      </c>
      <c r="P1015" s="2" t="s">
        <v>1809</v>
      </c>
      <c r="Q1015" s="36">
        <v>2862.1208000000001</v>
      </c>
    </row>
    <row r="1016" spans="1:17" x14ac:dyDescent="0.3">
      <c r="A1016" s="2" t="s">
        <v>2823</v>
      </c>
      <c r="B1016" s="14">
        <v>45681</v>
      </c>
      <c r="C1016" s="2">
        <f>YEAR(Sales_Details2[[#This Row],[Order_Date]])</f>
        <v>2025</v>
      </c>
      <c r="D1016" s="2" t="s">
        <v>965</v>
      </c>
      <c r="E1016" s="2" t="str">
        <f>VLOOKUP(Sales_Details2[[#This Row],[Customer_ID]],Customer_Details[#All],4,0)</f>
        <v>Mid-Adult</v>
      </c>
      <c r="F1016" s="2" t="str">
        <f>VLOOKUP(Sales_Details2[[#This Row],[Customer_ID]],Customer_Details[#All],5,0)</f>
        <v>Female</v>
      </c>
      <c r="G1016" s="2" t="str">
        <f>VLOOKUP(Sales_Details2[[#This Row],[Customer_ID]],Customer_Details[#All],9,0)</f>
        <v>Bronze</v>
      </c>
      <c r="H1016" s="2" t="s">
        <v>1651</v>
      </c>
      <c r="I1016" s="2" t="str">
        <f>VLOOKUP(Sales_Details2[[#This Row],[Product_ID]],Product_details[[#All],[Product_ID]:[Cost]],3,0)</f>
        <v>Beauty</v>
      </c>
      <c r="J1016" s="2" t="str">
        <f>VLOOKUP(Sales_Details2[[#This Row],[Product_ID]],Product_details[[#All],[Product_ID]:[Cost]],4,0)</f>
        <v>Fragrance</v>
      </c>
      <c r="K1016" s="2" t="s">
        <v>1780</v>
      </c>
      <c r="L1016" s="2" t="str">
        <f>_xlfn.XLOOKUP(Sales_Details2[[#This Row],[Store_ID]],Table2[Store_ID],Table2[Region],"Region not found")</f>
        <v>East</v>
      </c>
      <c r="M1016" s="25">
        <v>2</v>
      </c>
      <c r="N1016" s="36">
        <v>92.64</v>
      </c>
      <c r="O1016" s="29">
        <v>0.14000000000000001</v>
      </c>
      <c r="P1016" s="2" t="s">
        <v>1812</v>
      </c>
      <c r="Q1016" s="36">
        <v>159.3408</v>
      </c>
    </row>
    <row r="1017" spans="1:17" x14ac:dyDescent="0.3">
      <c r="A1017" s="2" t="s">
        <v>2824</v>
      </c>
      <c r="B1017" s="14">
        <v>45725</v>
      </c>
      <c r="C1017" s="2">
        <f>YEAR(Sales_Details2[[#This Row],[Order_Date]])</f>
        <v>2025</v>
      </c>
      <c r="D1017" s="2" t="s">
        <v>788</v>
      </c>
      <c r="E1017" s="2" t="str">
        <f>VLOOKUP(Sales_Details2[[#This Row],[Customer_ID]],Customer_Details[#All],4,0)</f>
        <v>Adult</v>
      </c>
      <c r="F1017" s="2" t="str">
        <f>VLOOKUP(Sales_Details2[[#This Row],[Customer_ID]],Customer_Details[#All],5,0)</f>
        <v>Male</v>
      </c>
      <c r="G1017" s="2" t="str">
        <f>VLOOKUP(Sales_Details2[[#This Row],[Customer_ID]],Customer_Details[#All],9,0)</f>
        <v>Gold</v>
      </c>
      <c r="H1017" s="2" t="s">
        <v>1655</v>
      </c>
      <c r="I1017" s="2" t="str">
        <f>VLOOKUP(Sales_Details2[[#This Row],[Product_ID]],Product_details[[#All],[Product_ID]:[Cost]],3,0)</f>
        <v>Electronics</v>
      </c>
      <c r="J1017" s="2" t="str">
        <f>VLOOKUP(Sales_Details2[[#This Row],[Product_ID]],Product_details[[#All],[Product_ID]:[Cost]],4,0)</f>
        <v>Computer</v>
      </c>
      <c r="K1017" s="2" t="s">
        <v>1752</v>
      </c>
      <c r="L1017" s="2" t="str">
        <f>_xlfn.XLOOKUP(Sales_Details2[[#This Row],[Store_ID]],Table2[Store_ID],Table2[Region],"Region not found")</f>
        <v>South</v>
      </c>
      <c r="M1017" s="25">
        <v>4</v>
      </c>
      <c r="N1017" s="36">
        <v>139.05000000000001</v>
      </c>
      <c r="O1017" s="29">
        <v>0.28999999999999998</v>
      </c>
      <c r="P1017" s="2" t="s">
        <v>1812</v>
      </c>
      <c r="Q1017" s="36">
        <v>394.90199999999999</v>
      </c>
    </row>
    <row r="1018" spans="1:17" x14ac:dyDescent="0.3">
      <c r="A1018" s="2" t="s">
        <v>2825</v>
      </c>
      <c r="B1018" s="14">
        <v>45461</v>
      </c>
      <c r="C1018" s="2">
        <f>YEAR(Sales_Details2[[#This Row],[Order_Date]])</f>
        <v>2024</v>
      </c>
      <c r="D1018" s="2" t="s">
        <v>470</v>
      </c>
      <c r="E1018" s="2" t="str">
        <f>VLOOKUP(Sales_Details2[[#This Row],[Customer_ID]],Customer_Details[#All],4,0)</f>
        <v>Senior</v>
      </c>
      <c r="F1018" s="2" t="str">
        <f>VLOOKUP(Sales_Details2[[#This Row],[Customer_ID]],Customer_Details[#All],5,0)</f>
        <v>Female</v>
      </c>
      <c r="G1018" s="2" t="str">
        <f>VLOOKUP(Sales_Details2[[#This Row],[Customer_ID]],Customer_Details[#All],9,0)</f>
        <v>Gold</v>
      </c>
      <c r="H1018" s="2" t="s">
        <v>1637</v>
      </c>
      <c r="I1018" s="2" t="str">
        <f>VLOOKUP(Sales_Details2[[#This Row],[Product_ID]],Product_details[[#All],[Product_ID]:[Cost]],3,0)</f>
        <v>Clothing</v>
      </c>
      <c r="J1018" s="2" t="str">
        <f>VLOOKUP(Sales_Details2[[#This Row],[Product_ID]],Product_details[[#All],[Product_ID]:[Cost]],4,0)</f>
        <v>Bottoms</v>
      </c>
      <c r="K1018" s="2" t="s">
        <v>1752</v>
      </c>
      <c r="L1018" s="2" t="str">
        <f>_xlfn.XLOOKUP(Sales_Details2[[#This Row],[Store_ID]],Table2[Store_ID],Table2[Region],"Region not found")</f>
        <v>South</v>
      </c>
      <c r="M1018" s="25">
        <v>3</v>
      </c>
      <c r="N1018" s="36">
        <v>155.87</v>
      </c>
      <c r="O1018" s="29">
        <v>0.03</v>
      </c>
      <c r="P1018" s="2" t="s">
        <v>1812</v>
      </c>
      <c r="Q1018" s="36">
        <v>453.58170000000001</v>
      </c>
    </row>
    <row r="1019" spans="1:17" x14ac:dyDescent="0.3">
      <c r="A1019" s="2" t="s">
        <v>2826</v>
      </c>
      <c r="B1019" s="14">
        <v>45837</v>
      </c>
      <c r="C1019" s="2">
        <f>YEAR(Sales_Details2[[#This Row],[Order_Date]])</f>
        <v>2025</v>
      </c>
      <c r="D1019" s="2" t="s">
        <v>1352</v>
      </c>
      <c r="E1019" s="2" t="str">
        <f>VLOOKUP(Sales_Details2[[#This Row],[Customer_ID]],Customer_Details[#All],4,0)</f>
        <v>Mid-Adult</v>
      </c>
      <c r="F1019" s="2" t="str">
        <f>VLOOKUP(Sales_Details2[[#This Row],[Customer_ID]],Customer_Details[#All],5,0)</f>
        <v>Female</v>
      </c>
      <c r="G1019" s="2" t="str">
        <f>VLOOKUP(Sales_Details2[[#This Row],[Customer_ID]],Customer_Details[#All],9,0)</f>
        <v>Bronze</v>
      </c>
      <c r="H1019" s="2" t="s">
        <v>1599</v>
      </c>
      <c r="I1019" s="2" t="str">
        <f>VLOOKUP(Sales_Details2[[#This Row],[Product_ID]],Product_details[[#All],[Product_ID]:[Cost]],3,0)</f>
        <v>Electronics</v>
      </c>
      <c r="J1019" s="2" t="str">
        <f>VLOOKUP(Sales_Details2[[#This Row],[Product_ID]],Product_details[[#All],[Product_ID]:[Cost]],4,0)</f>
        <v>Computer</v>
      </c>
      <c r="K1019" s="2" t="s">
        <v>1787</v>
      </c>
      <c r="L1019" s="2" t="str">
        <f>_xlfn.XLOOKUP(Sales_Details2[[#This Row],[Store_ID]],Table2[Store_ID],Table2[Region],"Region not found")</f>
        <v>West</v>
      </c>
      <c r="M1019" s="25">
        <v>4</v>
      </c>
      <c r="N1019" s="36">
        <v>115.42</v>
      </c>
      <c r="O1019" s="29">
        <v>0.03</v>
      </c>
      <c r="P1019" s="2" t="s">
        <v>1812</v>
      </c>
      <c r="Q1019" s="36">
        <v>447.82960000000003</v>
      </c>
    </row>
    <row r="1020" spans="1:17" x14ac:dyDescent="0.3">
      <c r="A1020" s="2" t="s">
        <v>2827</v>
      </c>
      <c r="B1020" s="14">
        <v>45823</v>
      </c>
      <c r="C1020" s="2">
        <f>YEAR(Sales_Details2[[#This Row],[Order_Date]])</f>
        <v>2025</v>
      </c>
      <c r="D1020" s="2" t="s">
        <v>417</v>
      </c>
      <c r="E1020" s="2" t="str">
        <f>VLOOKUP(Sales_Details2[[#This Row],[Customer_ID]],Customer_Details[#All],4,0)</f>
        <v>Mid-Adult</v>
      </c>
      <c r="F1020" s="2" t="str">
        <f>VLOOKUP(Sales_Details2[[#This Row],[Customer_ID]],Customer_Details[#All],5,0)</f>
        <v>Male</v>
      </c>
      <c r="G1020" s="2" t="str">
        <f>VLOOKUP(Sales_Details2[[#This Row],[Customer_ID]],Customer_Details[#All],9,0)</f>
        <v>Platinum</v>
      </c>
      <c r="H1020" s="2" t="s">
        <v>1635</v>
      </c>
      <c r="I1020" s="2" t="str">
        <f>VLOOKUP(Sales_Details2[[#This Row],[Product_ID]],Product_details[[#All],[Product_ID]:[Cost]],3,0)</f>
        <v>Sports</v>
      </c>
      <c r="J1020" s="2" t="str">
        <f>VLOOKUP(Sales_Details2[[#This Row],[Product_ID]],Product_details[[#All],[Product_ID]:[Cost]],4,0)</f>
        <v>Team Sports</v>
      </c>
      <c r="K1020" s="2" t="s">
        <v>1759</v>
      </c>
      <c r="L1020" s="2" t="str">
        <f>_xlfn.XLOOKUP(Sales_Details2[[#This Row],[Store_ID]],Table2[Store_ID],Table2[Region],"Region not found")</f>
        <v>East</v>
      </c>
      <c r="M1020" s="25">
        <v>3</v>
      </c>
      <c r="N1020" s="36">
        <v>593.62</v>
      </c>
      <c r="O1020" s="29">
        <v>0.08</v>
      </c>
      <c r="P1020" s="2" t="s">
        <v>1807</v>
      </c>
      <c r="Q1020" s="36">
        <v>1638.3912</v>
      </c>
    </row>
    <row r="1021" spans="1:17" x14ac:dyDescent="0.3">
      <c r="A1021" s="2" t="s">
        <v>2828</v>
      </c>
      <c r="B1021" s="14">
        <v>45733</v>
      </c>
      <c r="C1021" s="2">
        <f>YEAR(Sales_Details2[[#This Row],[Order_Date]])</f>
        <v>2025</v>
      </c>
      <c r="D1021" s="2" t="s">
        <v>1095</v>
      </c>
      <c r="E1021" s="2" t="str">
        <f>VLOOKUP(Sales_Details2[[#This Row],[Customer_ID]],Customer_Details[#All],4,0)</f>
        <v>Senior</v>
      </c>
      <c r="F1021" s="2" t="str">
        <f>VLOOKUP(Sales_Details2[[#This Row],[Customer_ID]],Customer_Details[#All],5,0)</f>
        <v>Female</v>
      </c>
      <c r="G1021" s="2" t="str">
        <f>VLOOKUP(Sales_Details2[[#This Row],[Customer_ID]],Customer_Details[#All],9,0)</f>
        <v>Platinum</v>
      </c>
      <c r="H1021" s="2" t="s">
        <v>1621</v>
      </c>
      <c r="I1021" s="2" t="str">
        <f>VLOOKUP(Sales_Details2[[#This Row],[Product_ID]],Product_details[[#All],[Product_ID]:[Cost]],3,0)</f>
        <v>Sports</v>
      </c>
      <c r="J1021" s="2" t="str">
        <f>VLOOKUP(Sales_Details2[[#This Row],[Product_ID]],Product_details[[#All],[Product_ID]:[Cost]],4,0)</f>
        <v>Team Sports</v>
      </c>
      <c r="K1021" s="2" t="s">
        <v>1752</v>
      </c>
      <c r="L1021" s="2" t="str">
        <f>_xlfn.XLOOKUP(Sales_Details2[[#This Row],[Store_ID]],Table2[Store_ID],Table2[Region],"Region not found")</f>
        <v>South</v>
      </c>
      <c r="M1021" s="25">
        <v>2</v>
      </c>
      <c r="N1021" s="36">
        <v>825.04</v>
      </c>
      <c r="O1021" s="29">
        <v>0.2</v>
      </c>
      <c r="P1021" s="2" t="s">
        <v>1807</v>
      </c>
      <c r="Q1021" s="36">
        <v>1320.0640000000001</v>
      </c>
    </row>
    <row r="1022" spans="1:17" x14ac:dyDescent="0.3">
      <c r="A1022" s="2" t="s">
        <v>2829</v>
      </c>
      <c r="B1022" s="14">
        <v>45322</v>
      </c>
      <c r="C1022" s="2">
        <f>YEAR(Sales_Details2[[#This Row],[Order_Date]])</f>
        <v>2024</v>
      </c>
      <c r="D1022" s="2" t="s">
        <v>1415</v>
      </c>
      <c r="E1022" s="2" t="str">
        <f>VLOOKUP(Sales_Details2[[#This Row],[Customer_ID]],Customer_Details[#All],4,0)</f>
        <v>Mid-Adult</v>
      </c>
      <c r="F1022" s="2" t="str">
        <f>VLOOKUP(Sales_Details2[[#This Row],[Customer_ID]],Customer_Details[#All],5,0)</f>
        <v>Female</v>
      </c>
      <c r="G1022" s="2" t="str">
        <f>VLOOKUP(Sales_Details2[[#This Row],[Customer_ID]],Customer_Details[#All],9,0)</f>
        <v>Platinum</v>
      </c>
      <c r="H1022" s="2" t="s">
        <v>1581</v>
      </c>
      <c r="I1022" s="2" t="str">
        <f>VLOOKUP(Sales_Details2[[#This Row],[Product_ID]],Product_details[[#All],[Product_ID]:[Cost]],3,0)</f>
        <v>Clothing</v>
      </c>
      <c r="J1022" s="2" t="str">
        <f>VLOOKUP(Sales_Details2[[#This Row],[Product_ID]],Product_details[[#All],[Product_ID]:[Cost]],4,0)</f>
        <v>Accessories</v>
      </c>
      <c r="K1022" s="2" t="s">
        <v>1780</v>
      </c>
      <c r="L1022" s="2" t="str">
        <f>_xlfn.XLOOKUP(Sales_Details2[[#This Row],[Store_ID]],Table2[Store_ID],Table2[Region],"Region not found")</f>
        <v>East</v>
      </c>
      <c r="M1022" s="25">
        <v>1</v>
      </c>
      <c r="N1022" s="36">
        <v>963.76</v>
      </c>
      <c r="O1022" s="29">
        <v>0.14000000000000001</v>
      </c>
      <c r="P1022" s="2" t="s">
        <v>1809</v>
      </c>
      <c r="Q1022" s="36">
        <v>828.83359999999993</v>
      </c>
    </row>
    <row r="1023" spans="1:17" x14ac:dyDescent="0.3">
      <c r="A1023" s="2" t="s">
        <v>2830</v>
      </c>
      <c r="B1023" s="14">
        <v>45415</v>
      </c>
      <c r="C1023" s="2">
        <f>YEAR(Sales_Details2[[#This Row],[Order_Date]])</f>
        <v>2024</v>
      </c>
      <c r="D1023" s="2" t="s">
        <v>917</v>
      </c>
      <c r="E1023" s="2" t="str">
        <f>VLOOKUP(Sales_Details2[[#This Row],[Customer_ID]],Customer_Details[#All],4,0)</f>
        <v>Adult</v>
      </c>
      <c r="F1023" s="2" t="str">
        <f>VLOOKUP(Sales_Details2[[#This Row],[Customer_ID]],Customer_Details[#All],5,0)</f>
        <v>Male</v>
      </c>
      <c r="G1023" s="2" t="str">
        <f>VLOOKUP(Sales_Details2[[#This Row],[Customer_ID]],Customer_Details[#All],9,0)</f>
        <v>Silver</v>
      </c>
      <c r="H1023" s="2" t="s">
        <v>1641</v>
      </c>
      <c r="I1023" s="2" t="str">
        <f>VLOOKUP(Sales_Details2[[#This Row],[Product_ID]],Product_details[[#All],[Product_ID]:[Cost]],3,0)</f>
        <v>Home</v>
      </c>
      <c r="J1023" s="2" t="str">
        <f>VLOOKUP(Sales_Details2[[#This Row],[Product_ID]],Product_details[[#All],[Product_ID]:[Cost]],4,0)</f>
        <v>Decor</v>
      </c>
      <c r="K1023" s="2" t="s">
        <v>1759</v>
      </c>
      <c r="L1023" s="2" t="str">
        <f>_xlfn.XLOOKUP(Sales_Details2[[#This Row],[Store_ID]],Table2[Store_ID],Table2[Region],"Region not found")</f>
        <v>East</v>
      </c>
      <c r="M1023" s="25">
        <v>1</v>
      </c>
      <c r="N1023" s="36">
        <v>238.24</v>
      </c>
      <c r="O1023" s="29">
        <v>0.12</v>
      </c>
      <c r="P1023" s="2" t="s">
        <v>1809</v>
      </c>
      <c r="Q1023" s="36">
        <v>209.65119999999999</v>
      </c>
    </row>
    <row r="1024" spans="1:17" x14ac:dyDescent="0.3">
      <c r="A1024" s="2" t="s">
        <v>2831</v>
      </c>
      <c r="B1024" s="14">
        <v>45644</v>
      </c>
      <c r="C1024" s="2">
        <f>YEAR(Sales_Details2[[#This Row],[Order_Date]])</f>
        <v>2024</v>
      </c>
      <c r="D1024" s="2" t="s">
        <v>1395</v>
      </c>
      <c r="E1024" s="2" t="str">
        <f>VLOOKUP(Sales_Details2[[#This Row],[Customer_ID]],Customer_Details[#All],4,0)</f>
        <v>Senior</v>
      </c>
      <c r="F1024" s="2" t="str">
        <f>VLOOKUP(Sales_Details2[[#This Row],[Customer_ID]],Customer_Details[#All],5,0)</f>
        <v>Male</v>
      </c>
      <c r="G1024" s="2" t="str">
        <f>VLOOKUP(Sales_Details2[[#This Row],[Customer_ID]],Customer_Details[#All],9,0)</f>
        <v>Platinum</v>
      </c>
      <c r="H1024" s="2" t="s">
        <v>1695</v>
      </c>
      <c r="I1024" s="2" t="str">
        <f>VLOOKUP(Sales_Details2[[#This Row],[Product_ID]],Product_details[[#All],[Product_ID]:[Cost]],3,0)</f>
        <v>Sports</v>
      </c>
      <c r="J1024" s="2" t="str">
        <f>VLOOKUP(Sales_Details2[[#This Row],[Product_ID]],Product_details[[#All],[Product_ID]:[Cost]],4,0)</f>
        <v>Fitness</v>
      </c>
      <c r="K1024" s="2" t="s">
        <v>1787</v>
      </c>
      <c r="L1024" s="2" t="str">
        <f>_xlfn.XLOOKUP(Sales_Details2[[#This Row],[Store_ID]],Table2[Store_ID],Table2[Region],"Region not found")</f>
        <v>West</v>
      </c>
      <c r="M1024" s="25">
        <v>1</v>
      </c>
      <c r="N1024" s="36">
        <v>756.63</v>
      </c>
      <c r="O1024" s="29">
        <v>0.04</v>
      </c>
      <c r="P1024" s="2" t="s">
        <v>1809</v>
      </c>
      <c r="Q1024" s="36">
        <v>726.36479999999995</v>
      </c>
    </row>
    <row r="1025" spans="1:17" x14ac:dyDescent="0.3">
      <c r="A1025" s="2" t="s">
        <v>2832</v>
      </c>
      <c r="B1025" s="14">
        <v>45845</v>
      </c>
      <c r="C1025" s="2">
        <f>YEAR(Sales_Details2[[#This Row],[Order_Date]])</f>
        <v>2025</v>
      </c>
      <c r="D1025" s="2" t="s">
        <v>85</v>
      </c>
      <c r="E1025" s="2" t="str">
        <f>VLOOKUP(Sales_Details2[[#This Row],[Customer_ID]],Customer_Details[#All],4,0)</f>
        <v>Mid-Adult</v>
      </c>
      <c r="F1025" s="2" t="str">
        <f>VLOOKUP(Sales_Details2[[#This Row],[Customer_ID]],Customer_Details[#All],5,0)</f>
        <v>Female</v>
      </c>
      <c r="G1025" s="2" t="str">
        <f>VLOOKUP(Sales_Details2[[#This Row],[Customer_ID]],Customer_Details[#All],9,0)</f>
        <v>Platinum</v>
      </c>
      <c r="H1025" s="2" t="s">
        <v>1717</v>
      </c>
      <c r="I1025" s="2" t="str">
        <f>VLOOKUP(Sales_Details2[[#This Row],[Product_ID]],Product_details[[#All],[Product_ID]:[Cost]],3,0)</f>
        <v>Electronics</v>
      </c>
      <c r="J1025" s="2" t="str">
        <f>VLOOKUP(Sales_Details2[[#This Row],[Product_ID]],Product_details[[#All],[Product_ID]:[Cost]],4,0)</f>
        <v>Computer</v>
      </c>
      <c r="K1025" s="2" t="s">
        <v>1762</v>
      </c>
      <c r="L1025" s="2" t="str">
        <f>_xlfn.XLOOKUP(Sales_Details2[[#This Row],[Store_ID]],Table2[Store_ID],Table2[Region],"Region not found")</f>
        <v>South</v>
      </c>
      <c r="M1025" s="25">
        <v>3</v>
      </c>
      <c r="N1025" s="36">
        <v>159.76</v>
      </c>
      <c r="O1025" s="29">
        <v>0.22</v>
      </c>
      <c r="P1025" s="2" t="s">
        <v>1807</v>
      </c>
      <c r="Q1025" s="36">
        <v>373.83839999999998</v>
      </c>
    </row>
    <row r="1026" spans="1:17" x14ac:dyDescent="0.3">
      <c r="A1026" s="2" t="s">
        <v>2833</v>
      </c>
      <c r="B1026" s="14">
        <v>45354</v>
      </c>
      <c r="C1026" s="2">
        <f>YEAR(Sales_Details2[[#This Row],[Order_Date]])</f>
        <v>2024</v>
      </c>
      <c r="D1026" s="2" t="s">
        <v>1138</v>
      </c>
      <c r="E1026" s="2" t="str">
        <f>VLOOKUP(Sales_Details2[[#This Row],[Customer_ID]],Customer_Details[#All],4,0)</f>
        <v>Mid-Adult</v>
      </c>
      <c r="F1026" s="2" t="str">
        <f>VLOOKUP(Sales_Details2[[#This Row],[Customer_ID]],Customer_Details[#All],5,0)</f>
        <v>Female</v>
      </c>
      <c r="G1026" s="2" t="str">
        <f>VLOOKUP(Sales_Details2[[#This Row],[Customer_ID]],Customer_Details[#All],9,0)</f>
        <v>Platinum</v>
      </c>
      <c r="H1026" s="2" t="s">
        <v>1721</v>
      </c>
      <c r="I1026" s="2" t="str">
        <f>VLOOKUP(Sales_Details2[[#This Row],[Product_ID]],Product_details[[#All],[Product_ID]:[Cost]],3,0)</f>
        <v>Sports</v>
      </c>
      <c r="J1026" s="2" t="str">
        <f>VLOOKUP(Sales_Details2[[#This Row],[Product_ID]],Product_details[[#All],[Product_ID]:[Cost]],4,0)</f>
        <v>Accessories</v>
      </c>
      <c r="K1026" s="2" t="s">
        <v>1765</v>
      </c>
      <c r="L1026" s="2" t="str">
        <f>_xlfn.XLOOKUP(Sales_Details2[[#This Row],[Store_ID]],Table2[Store_ID],Table2[Region],"Region not found")</f>
        <v>West</v>
      </c>
      <c r="M1026" s="25">
        <v>1</v>
      </c>
      <c r="N1026" s="36">
        <v>329.94</v>
      </c>
      <c r="O1026" s="29">
        <v>0.14000000000000001</v>
      </c>
      <c r="P1026" s="2" t="s">
        <v>1812</v>
      </c>
      <c r="Q1026" s="36">
        <v>283.7484</v>
      </c>
    </row>
    <row r="1027" spans="1:17" x14ac:dyDescent="0.3">
      <c r="A1027" s="2" t="s">
        <v>2834</v>
      </c>
      <c r="B1027" s="14">
        <v>45720</v>
      </c>
      <c r="C1027" s="2">
        <f>YEAR(Sales_Details2[[#This Row],[Order_Date]])</f>
        <v>2025</v>
      </c>
      <c r="D1027" s="2" t="s">
        <v>221</v>
      </c>
      <c r="E1027" s="2" t="str">
        <f>VLOOKUP(Sales_Details2[[#This Row],[Customer_ID]],Customer_Details[#All],4,0)</f>
        <v>Adult</v>
      </c>
      <c r="F1027" s="2" t="str">
        <f>VLOOKUP(Sales_Details2[[#This Row],[Customer_ID]],Customer_Details[#All],5,0)</f>
        <v>Female</v>
      </c>
      <c r="G1027" s="2" t="str">
        <f>VLOOKUP(Sales_Details2[[#This Row],[Customer_ID]],Customer_Details[#All],9,0)</f>
        <v>Silver</v>
      </c>
      <c r="H1027" s="2" t="s">
        <v>1565</v>
      </c>
      <c r="I1027" s="2" t="str">
        <f>VLOOKUP(Sales_Details2[[#This Row],[Product_ID]],Product_details[[#All],[Product_ID]:[Cost]],3,0)</f>
        <v>Sports</v>
      </c>
      <c r="J1027" s="2" t="str">
        <f>VLOOKUP(Sales_Details2[[#This Row],[Product_ID]],Product_details[[#All],[Product_ID]:[Cost]],4,0)</f>
        <v>Accessories</v>
      </c>
      <c r="K1027" s="2" t="s">
        <v>1765</v>
      </c>
      <c r="L1027" s="2" t="str">
        <f>_xlfn.XLOOKUP(Sales_Details2[[#This Row],[Store_ID]],Table2[Store_ID],Table2[Region],"Region not found")</f>
        <v>West</v>
      </c>
      <c r="M1027" s="25">
        <v>1</v>
      </c>
      <c r="N1027" s="36">
        <v>234.06</v>
      </c>
      <c r="O1027" s="29">
        <v>0.11</v>
      </c>
      <c r="P1027" s="2" t="s">
        <v>1809</v>
      </c>
      <c r="Q1027" s="36">
        <v>208.3134</v>
      </c>
    </row>
    <row r="1028" spans="1:17" x14ac:dyDescent="0.3">
      <c r="A1028" s="2" t="s">
        <v>2835</v>
      </c>
      <c r="B1028" s="14">
        <v>45278</v>
      </c>
      <c r="C1028" s="2">
        <f>YEAR(Sales_Details2[[#This Row],[Order_Date]])</f>
        <v>2023</v>
      </c>
      <c r="D1028" s="2" t="s">
        <v>989</v>
      </c>
      <c r="E1028" s="2" t="str">
        <f>VLOOKUP(Sales_Details2[[#This Row],[Customer_ID]],Customer_Details[#All],4,0)</f>
        <v>Senior</v>
      </c>
      <c r="F1028" s="2" t="str">
        <f>VLOOKUP(Sales_Details2[[#This Row],[Customer_ID]],Customer_Details[#All],5,0)</f>
        <v>Female</v>
      </c>
      <c r="G1028" s="2" t="str">
        <f>VLOOKUP(Sales_Details2[[#This Row],[Customer_ID]],Customer_Details[#All],9,0)</f>
        <v>Gold</v>
      </c>
      <c r="H1028" s="2" t="s">
        <v>1693</v>
      </c>
      <c r="I1028" s="2" t="str">
        <f>VLOOKUP(Sales_Details2[[#This Row],[Product_ID]],Product_details[[#All],[Product_ID]:[Cost]],3,0)</f>
        <v>Sports</v>
      </c>
      <c r="J1028" s="2" t="str">
        <f>VLOOKUP(Sales_Details2[[#This Row],[Product_ID]],Product_details[[#All],[Product_ID]:[Cost]],4,0)</f>
        <v>Equipment</v>
      </c>
      <c r="K1028" s="2" t="s">
        <v>1735</v>
      </c>
      <c r="L1028" s="2" t="str">
        <f>_xlfn.XLOOKUP(Sales_Details2[[#This Row],[Store_ID]],Table2[Store_ID],Table2[Region],"Region not found")</f>
        <v>East</v>
      </c>
      <c r="M1028" s="25">
        <v>2</v>
      </c>
      <c r="N1028" s="36">
        <v>773.75</v>
      </c>
      <c r="O1028" s="29">
        <v>0.16</v>
      </c>
      <c r="P1028" s="2" t="s">
        <v>1809</v>
      </c>
      <c r="Q1028" s="36">
        <v>1299.9000000000001</v>
      </c>
    </row>
    <row r="1029" spans="1:17" x14ac:dyDescent="0.3">
      <c r="A1029" s="2" t="s">
        <v>2836</v>
      </c>
      <c r="B1029" s="14">
        <v>45422</v>
      </c>
      <c r="C1029" s="2">
        <f>YEAR(Sales_Details2[[#This Row],[Order_Date]])</f>
        <v>2024</v>
      </c>
      <c r="D1029" s="2" t="s">
        <v>1336</v>
      </c>
      <c r="E1029" s="2" t="str">
        <f>VLOOKUP(Sales_Details2[[#This Row],[Customer_ID]],Customer_Details[#All],4,0)</f>
        <v>Senior</v>
      </c>
      <c r="F1029" s="2" t="str">
        <f>VLOOKUP(Sales_Details2[[#This Row],[Customer_ID]],Customer_Details[#All],5,0)</f>
        <v>Male</v>
      </c>
      <c r="G1029" s="2" t="str">
        <f>VLOOKUP(Sales_Details2[[#This Row],[Customer_ID]],Customer_Details[#All],9,0)</f>
        <v>Gold</v>
      </c>
      <c r="H1029" s="2" t="s">
        <v>1635</v>
      </c>
      <c r="I1029" s="2" t="str">
        <f>VLOOKUP(Sales_Details2[[#This Row],[Product_ID]],Product_details[[#All],[Product_ID]:[Cost]],3,0)</f>
        <v>Sports</v>
      </c>
      <c r="J1029" s="2" t="str">
        <f>VLOOKUP(Sales_Details2[[#This Row],[Product_ID]],Product_details[[#All],[Product_ID]:[Cost]],4,0)</f>
        <v>Team Sports</v>
      </c>
      <c r="K1029" s="2" t="s">
        <v>1793</v>
      </c>
      <c r="L1029" s="2" t="str">
        <f>_xlfn.XLOOKUP(Sales_Details2[[#This Row],[Store_ID]],Table2[Store_ID],Table2[Region],"Region not found")</f>
        <v>East</v>
      </c>
      <c r="M1029" s="25">
        <v>1</v>
      </c>
      <c r="N1029" s="36">
        <v>73.88</v>
      </c>
      <c r="O1029" s="29">
        <v>0.04</v>
      </c>
      <c r="P1029" s="2" t="s">
        <v>1807</v>
      </c>
      <c r="Q1029" s="36">
        <v>70.924799999999991</v>
      </c>
    </row>
    <row r="1030" spans="1:17" x14ac:dyDescent="0.3">
      <c r="A1030" s="2" t="s">
        <v>2837</v>
      </c>
      <c r="B1030" s="14">
        <v>45337</v>
      </c>
      <c r="C1030" s="2">
        <f>YEAR(Sales_Details2[[#This Row],[Order_Date]])</f>
        <v>2024</v>
      </c>
      <c r="D1030" s="2" t="s">
        <v>32</v>
      </c>
      <c r="E1030" s="2" t="str">
        <f>VLOOKUP(Sales_Details2[[#This Row],[Customer_ID]],Customer_Details[#All],4,0)</f>
        <v>Adult</v>
      </c>
      <c r="F1030" s="2" t="str">
        <f>VLOOKUP(Sales_Details2[[#This Row],[Customer_ID]],Customer_Details[#All],5,0)</f>
        <v>Male</v>
      </c>
      <c r="G1030" s="2" t="str">
        <f>VLOOKUP(Sales_Details2[[#This Row],[Customer_ID]],Customer_Details[#All],9,0)</f>
        <v>Bronze</v>
      </c>
      <c r="H1030" s="2" t="s">
        <v>1703</v>
      </c>
      <c r="I1030" s="2" t="str">
        <f>VLOOKUP(Sales_Details2[[#This Row],[Product_ID]],Product_details[[#All],[Product_ID]:[Cost]],3,0)</f>
        <v>Home</v>
      </c>
      <c r="J1030" s="2" t="str">
        <f>VLOOKUP(Sales_Details2[[#This Row],[Product_ID]],Product_details[[#All],[Product_ID]:[Cost]],4,0)</f>
        <v>Kitchen</v>
      </c>
      <c r="K1030" s="2" t="s">
        <v>1793</v>
      </c>
      <c r="L1030" s="2" t="str">
        <f>_xlfn.XLOOKUP(Sales_Details2[[#This Row],[Store_ID]],Table2[Store_ID],Table2[Region],"Region not found")</f>
        <v>East</v>
      </c>
      <c r="M1030" s="25">
        <v>1</v>
      </c>
      <c r="N1030" s="36">
        <v>859.3</v>
      </c>
      <c r="O1030" s="29">
        <v>0.16</v>
      </c>
      <c r="P1030" s="2" t="s">
        <v>1809</v>
      </c>
      <c r="Q1030" s="36">
        <v>721.8119999999999</v>
      </c>
    </row>
    <row r="1031" spans="1:17" x14ac:dyDescent="0.3">
      <c r="A1031" s="2" t="s">
        <v>2838</v>
      </c>
      <c r="B1031" s="14">
        <v>45564</v>
      </c>
      <c r="C1031" s="2">
        <f>YEAR(Sales_Details2[[#This Row],[Order_Date]])</f>
        <v>2024</v>
      </c>
      <c r="D1031" s="2" t="s">
        <v>439</v>
      </c>
      <c r="E1031" s="2" t="str">
        <f>VLOOKUP(Sales_Details2[[#This Row],[Customer_ID]],Customer_Details[#All],4,0)</f>
        <v>Mid-Adult</v>
      </c>
      <c r="F1031" s="2" t="str">
        <f>VLOOKUP(Sales_Details2[[#This Row],[Customer_ID]],Customer_Details[#All],5,0)</f>
        <v>Female</v>
      </c>
      <c r="G1031" s="2" t="str">
        <f>VLOOKUP(Sales_Details2[[#This Row],[Customer_ID]],Customer_Details[#All],9,0)</f>
        <v>Silver</v>
      </c>
      <c r="H1031" s="2" t="s">
        <v>1693</v>
      </c>
      <c r="I1031" s="2" t="str">
        <f>VLOOKUP(Sales_Details2[[#This Row],[Product_ID]],Product_details[[#All],[Product_ID]:[Cost]],3,0)</f>
        <v>Sports</v>
      </c>
      <c r="J1031" s="2" t="str">
        <f>VLOOKUP(Sales_Details2[[#This Row],[Product_ID]],Product_details[[#All],[Product_ID]:[Cost]],4,0)</f>
        <v>Equipment</v>
      </c>
      <c r="K1031" s="2" t="s">
        <v>1759</v>
      </c>
      <c r="L1031" s="2" t="str">
        <f>_xlfn.XLOOKUP(Sales_Details2[[#This Row],[Store_ID]],Table2[Store_ID],Table2[Region],"Region not found")</f>
        <v>East</v>
      </c>
      <c r="M1031" s="25">
        <v>4</v>
      </c>
      <c r="N1031" s="36">
        <v>762.43</v>
      </c>
      <c r="O1031" s="29">
        <v>0.05</v>
      </c>
      <c r="P1031" s="2" t="s">
        <v>1807</v>
      </c>
      <c r="Q1031" s="36">
        <v>2897.233999999999</v>
      </c>
    </row>
    <row r="1032" spans="1:17" x14ac:dyDescent="0.3">
      <c r="A1032" s="2" t="s">
        <v>2839</v>
      </c>
      <c r="B1032" s="14">
        <v>45424</v>
      </c>
      <c r="C1032" s="2">
        <f>YEAR(Sales_Details2[[#This Row],[Order_Date]])</f>
        <v>2024</v>
      </c>
      <c r="D1032" s="2" t="s">
        <v>423</v>
      </c>
      <c r="E1032" s="2" t="str">
        <f>VLOOKUP(Sales_Details2[[#This Row],[Customer_ID]],Customer_Details[#All],4,0)</f>
        <v>Adult</v>
      </c>
      <c r="F1032" s="2" t="str">
        <f>VLOOKUP(Sales_Details2[[#This Row],[Customer_ID]],Customer_Details[#All],5,0)</f>
        <v>Male</v>
      </c>
      <c r="G1032" s="2" t="str">
        <f>VLOOKUP(Sales_Details2[[#This Row],[Customer_ID]],Customer_Details[#All],9,0)</f>
        <v>Bronze</v>
      </c>
      <c r="H1032" s="2" t="s">
        <v>1677</v>
      </c>
      <c r="I1032" s="2" t="str">
        <f>VLOOKUP(Sales_Details2[[#This Row],[Product_ID]],Product_details[[#All],[Product_ID]:[Cost]],3,0)</f>
        <v>Sports</v>
      </c>
      <c r="J1032" s="2" t="str">
        <f>VLOOKUP(Sales_Details2[[#This Row],[Product_ID]],Product_details[[#All],[Product_ID]:[Cost]],4,0)</f>
        <v>Team Sports</v>
      </c>
      <c r="K1032" s="2" t="s">
        <v>1735</v>
      </c>
      <c r="L1032" s="2" t="str">
        <f>_xlfn.XLOOKUP(Sales_Details2[[#This Row],[Store_ID]],Table2[Store_ID],Table2[Region],"Region not found")</f>
        <v>East</v>
      </c>
      <c r="M1032" s="25">
        <v>1</v>
      </c>
      <c r="N1032" s="36">
        <v>328.51</v>
      </c>
      <c r="O1032" s="29">
        <v>0.2</v>
      </c>
      <c r="P1032" s="2" t="s">
        <v>1812</v>
      </c>
      <c r="Q1032" s="36">
        <v>262.80799999999999</v>
      </c>
    </row>
    <row r="1033" spans="1:17" x14ac:dyDescent="0.3">
      <c r="A1033" s="2" t="s">
        <v>2840</v>
      </c>
      <c r="B1033" s="14">
        <v>45719</v>
      </c>
      <c r="C1033" s="2">
        <f>YEAR(Sales_Details2[[#This Row],[Order_Date]])</f>
        <v>2025</v>
      </c>
      <c r="D1033" s="2" t="s">
        <v>864</v>
      </c>
      <c r="E1033" s="2" t="str">
        <f>VLOOKUP(Sales_Details2[[#This Row],[Customer_ID]],Customer_Details[#All],4,0)</f>
        <v>Mid-Adult</v>
      </c>
      <c r="F1033" s="2" t="str">
        <f>VLOOKUP(Sales_Details2[[#This Row],[Customer_ID]],Customer_Details[#All],5,0)</f>
        <v>Male</v>
      </c>
      <c r="G1033" s="2" t="str">
        <f>VLOOKUP(Sales_Details2[[#This Row],[Customer_ID]],Customer_Details[#All],9,0)</f>
        <v>Silver</v>
      </c>
      <c r="H1033" s="2" t="s">
        <v>1619</v>
      </c>
      <c r="I1033" s="2" t="str">
        <f>VLOOKUP(Sales_Details2[[#This Row],[Product_ID]],Product_details[[#All],[Product_ID]:[Cost]],3,0)</f>
        <v>Sports</v>
      </c>
      <c r="J1033" s="2" t="str">
        <f>VLOOKUP(Sales_Details2[[#This Row],[Product_ID]],Product_details[[#All],[Product_ID]:[Cost]],4,0)</f>
        <v>Fitness</v>
      </c>
      <c r="K1033" s="2" t="s">
        <v>1752</v>
      </c>
      <c r="L1033" s="2" t="str">
        <f>_xlfn.XLOOKUP(Sales_Details2[[#This Row],[Store_ID]],Table2[Store_ID],Table2[Region],"Region not found")</f>
        <v>South</v>
      </c>
      <c r="M1033" s="25">
        <v>1</v>
      </c>
      <c r="N1033" s="36">
        <v>34.51</v>
      </c>
      <c r="O1033" s="29">
        <v>0.04</v>
      </c>
      <c r="P1033" s="2" t="s">
        <v>1812</v>
      </c>
      <c r="Q1033" s="36">
        <v>33.129600000000003</v>
      </c>
    </row>
    <row r="1034" spans="1:17" x14ac:dyDescent="0.3">
      <c r="A1034" s="2" t="s">
        <v>2841</v>
      </c>
      <c r="B1034" s="14">
        <v>45250</v>
      </c>
      <c r="C1034" s="2">
        <f>YEAR(Sales_Details2[[#This Row],[Order_Date]])</f>
        <v>2023</v>
      </c>
      <c r="D1034" s="2" t="s">
        <v>367</v>
      </c>
      <c r="E1034" s="2" t="str">
        <f>VLOOKUP(Sales_Details2[[#This Row],[Customer_ID]],Customer_Details[#All],4,0)</f>
        <v>Mid-Adult</v>
      </c>
      <c r="F1034" s="2" t="str">
        <f>VLOOKUP(Sales_Details2[[#This Row],[Customer_ID]],Customer_Details[#All],5,0)</f>
        <v>Female</v>
      </c>
      <c r="G1034" s="2" t="str">
        <f>VLOOKUP(Sales_Details2[[#This Row],[Customer_ID]],Customer_Details[#All],9,0)</f>
        <v>Gold</v>
      </c>
      <c r="H1034" s="2" t="s">
        <v>1569</v>
      </c>
      <c r="I1034" s="2" t="str">
        <f>VLOOKUP(Sales_Details2[[#This Row],[Product_ID]],Product_details[[#All],[Product_ID]:[Cost]],3,0)</f>
        <v>Sports</v>
      </c>
      <c r="J1034" s="2" t="str">
        <f>VLOOKUP(Sales_Details2[[#This Row],[Product_ID]],Product_details[[#All],[Product_ID]:[Cost]],4,0)</f>
        <v>Equipment</v>
      </c>
      <c r="K1034" s="2" t="s">
        <v>1775</v>
      </c>
      <c r="L1034" s="2" t="str">
        <f>_xlfn.XLOOKUP(Sales_Details2[[#This Row],[Store_ID]],Table2[Store_ID],Table2[Region],"Region not found")</f>
        <v>South</v>
      </c>
      <c r="M1034" s="25">
        <v>3</v>
      </c>
      <c r="N1034" s="36">
        <v>663.73</v>
      </c>
      <c r="O1034" s="29">
        <v>0.06</v>
      </c>
      <c r="P1034" s="2" t="s">
        <v>1812</v>
      </c>
      <c r="Q1034" s="36">
        <v>1871.7185999999999</v>
      </c>
    </row>
    <row r="1035" spans="1:17" x14ac:dyDescent="0.3">
      <c r="A1035" s="2" t="s">
        <v>2842</v>
      </c>
      <c r="B1035" s="14">
        <v>45479</v>
      </c>
      <c r="C1035" s="2">
        <f>YEAR(Sales_Details2[[#This Row],[Order_Date]])</f>
        <v>2024</v>
      </c>
      <c r="D1035" s="2" t="s">
        <v>782</v>
      </c>
      <c r="E1035" s="2" t="str">
        <f>VLOOKUP(Sales_Details2[[#This Row],[Customer_ID]],Customer_Details[#All],4,0)</f>
        <v>Senior</v>
      </c>
      <c r="F1035" s="2" t="str">
        <f>VLOOKUP(Sales_Details2[[#This Row],[Customer_ID]],Customer_Details[#All],5,0)</f>
        <v>Male</v>
      </c>
      <c r="G1035" s="2" t="str">
        <f>VLOOKUP(Sales_Details2[[#This Row],[Customer_ID]],Customer_Details[#All],9,0)</f>
        <v>Bronze</v>
      </c>
      <c r="H1035" s="2" t="s">
        <v>1597</v>
      </c>
      <c r="I1035" s="2" t="str">
        <f>VLOOKUP(Sales_Details2[[#This Row],[Product_ID]],Product_details[[#All],[Product_ID]:[Cost]],3,0)</f>
        <v>Home</v>
      </c>
      <c r="J1035" s="2" t="str">
        <f>VLOOKUP(Sales_Details2[[#This Row],[Product_ID]],Product_details[[#All],[Product_ID]:[Cost]],4,0)</f>
        <v>Decor</v>
      </c>
      <c r="K1035" s="2" t="s">
        <v>1769</v>
      </c>
      <c r="L1035" s="2" t="str">
        <f>_xlfn.XLOOKUP(Sales_Details2[[#This Row],[Store_ID]],Table2[Store_ID],Table2[Region],"Region not found")</f>
        <v>South</v>
      </c>
      <c r="M1035" s="25">
        <v>1</v>
      </c>
      <c r="N1035" s="36">
        <v>409.41</v>
      </c>
      <c r="O1035" s="29">
        <v>0.13</v>
      </c>
      <c r="P1035" s="2" t="s">
        <v>1809</v>
      </c>
      <c r="Q1035" s="36">
        <v>356.18669999999997</v>
      </c>
    </row>
    <row r="1036" spans="1:17" x14ac:dyDescent="0.3">
      <c r="A1036" s="2" t="s">
        <v>2843</v>
      </c>
      <c r="B1036" s="14">
        <v>45727</v>
      </c>
      <c r="C1036" s="2">
        <f>YEAR(Sales_Details2[[#This Row],[Order_Date]])</f>
        <v>2025</v>
      </c>
      <c r="D1036" s="2" t="s">
        <v>327</v>
      </c>
      <c r="E1036" s="2" t="str">
        <f>VLOOKUP(Sales_Details2[[#This Row],[Customer_ID]],Customer_Details[#All],4,0)</f>
        <v>Mid-Adult</v>
      </c>
      <c r="F1036" s="2" t="str">
        <f>VLOOKUP(Sales_Details2[[#This Row],[Customer_ID]],Customer_Details[#All],5,0)</f>
        <v>Female</v>
      </c>
      <c r="G1036" s="2" t="str">
        <f>VLOOKUP(Sales_Details2[[#This Row],[Customer_ID]],Customer_Details[#All],9,0)</f>
        <v>Platinum</v>
      </c>
      <c r="H1036" s="2" t="s">
        <v>1687</v>
      </c>
      <c r="I1036" s="2" t="str">
        <f>VLOOKUP(Sales_Details2[[#This Row],[Product_ID]],Product_details[[#All],[Product_ID]:[Cost]],3,0)</f>
        <v>Home</v>
      </c>
      <c r="J1036" s="2" t="str">
        <f>VLOOKUP(Sales_Details2[[#This Row],[Product_ID]],Product_details[[#All],[Product_ID]:[Cost]],4,0)</f>
        <v>Decor</v>
      </c>
      <c r="K1036" s="2" t="s">
        <v>1749</v>
      </c>
      <c r="L1036" s="2" t="str">
        <f>_xlfn.XLOOKUP(Sales_Details2[[#This Row],[Store_ID]],Table2[Store_ID],Table2[Region],"Region not found")</f>
        <v>North</v>
      </c>
      <c r="M1036" s="25">
        <v>3</v>
      </c>
      <c r="N1036" s="36">
        <v>461.03</v>
      </c>
      <c r="O1036" s="29">
        <v>0.11</v>
      </c>
      <c r="P1036" s="2" t="s">
        <v>1809</v>
      </c>
      <c r="Q1036" s="36">
        <v>1230.9501</v>
      </c>
    </row>
    <row r="1037" spans="1:17" x14ac:dyDescent="0.3">
      <c r="A1037" s="2" t="s">
        <v>2844</v>
      </c>
      <c r="B1037" s="14">
        <v>45394</v>
      </c>
      <c r="C1037" s="2">
        <f>YEAR(Sales_Details2[[#This Row],[Order_Date]])</f>
        <v>2024</v>
      </c>
      <c r="D1037" s="2" t="s">
        <v>1138</v>
      </c>
      <c r="E1037" s="2" t="str">
        <f>VLOOKUP(Sales_Details2[[#This Row],[Customer_ID]],Customer_Details[#All],4,0)</f>
        <v>Mid-Adult</v>
      </c>
      <c r="F1037" s="2" t="str">
        <f>VLOOKUP(Sales_Details2[[#This Row],[Customer_ID]],Customer_Details[#All],5,0)</f>
        <v>Female</v>
      </c>
      <c r="G1037" s="2" t="str">
        <f>VLOOKUP(Sales_Details2[[#This Row],[Customer_ID]],Customer_Details[#All],9,0)</f>
        <v>Platinum</v>
      </c>
      <c r="H1037" s="2" t="s">
        <v>1569</v>
      </c>
      <c r="I1037" s="2" t="str">
        <f>VLOOKUP(Sales_Details2[[#This Row],[Product_ID]],Product_details[[#All],[Product_ID]:[Cost]],3,0)</f>
        <v>Sports</v>
      </c>
      <c r="J1037" s="2" t="str">
        <f>VLOOKUP(Sales_Details2[[#This Row],[Product_ID]],Product_details[[#All],[Product_ID]:[Cost]],4,0)</f>
        <v>Equipment</v>
      </c>
      <c r="K1037" s="2" t="s">
        <v>1782</v>
      </c>
      <c r="L1037" s="2" t="str">
        <f>_xlfn.XLOOKUP(Sales_Details2[[#This Row],[Store_ID]],Table2[Store_ID],Table2[Region],"Region not found")</f>
        <v>South</v>
      </c>
      <c r="M1037" s="25">
        <v>2</v>
      </c>
      <c r="N1037" s="36">
        <v>760.14</v>
      </c>
      <c r="O1037" s="29">
        <v>0.02</v>
      </c>
      <c r="P1037" s="2" t="s">
        <v>1812</v>
      </c>
      <c r="Q1037" s="36">
        <v>1489.8743999999999</v>
      </c>
    </row>
    <row r="1038" spans="1:17" x14ac:dyDescent="0.3">
      <c r="A1038" s="2" t="s">
        <v>2845</v>
      </c>
      <c r="B1038" s="14">
        <v>45773</v>
      </c>
      <c r="C1038" s="2">
        <f>YEAR(Sales_Details2[[#This Row],[Order_Date]])</f>
        <v>2025</v>
      </c>
      <c r="D1038" s="2" t="s">
        <v>876</v>
      </c>
      <c r="E1038" s="2" t="str">
        <f>VLOOKUP(Sales_Details2[[#This Row],[Customer_ID]],Customer_Details[#All],4,0)</f>
        <v>Mid-Adult</v>
      </c>
      <c r="F1038" s="2" t="str">
        <f>VLOOKUP(Sales_Details2[[#This Row],[Customer_ID]],Customer_Details[#All],5,0)</f>
        <v>Female</v>
      </c>
      <c r="G1038" s="2" t="str">
        <f>VLOOKUP(Sales_Details2[[#This Row],[Customer_ID]],Customer_Details[#All],9,0)</f>
        <v>Platinum</v>
      </c>
      <c r="H1038" s="2" t="s">
        <v>1577</v>
      </c>
      <c r="I1038" s="2" t="str">
        <f>VLOOKUP(Sales_Details2[[#This Row],[Product_ID]],Product_details[[#All],[Product_ID]:[Cost]],3,0)</f>
        <v>Clothing</v>
      </c>
      <c r="J1038" s="2" t="str">
        <f>VLOOKUP(Sales_Details2[[#This Row],[Product_ID]],Product_details[[#All],[Product_ID]:[Cost]],4,0)</f>
        <v>Tops</v>
      </c>
      <c r="K1038" s="2" t="s">
        <v>1740</v>
      </c>
      <c r="L1038" s="2" t="str">
        <f>_xlfn.XLOOKUP(Sales_Details2[[#This Row],[Store_ID]],Table2[Store_ID],Table2[Region],"Region not found")</f>
        <v>North</v>
      </c>
      <c r="M1038" s="25">
        <v>3</v>
      </c>
      <c r="N1038" s="36">
        <v>688.76</v>
      </c>
      <c r="O1038" s="29">
        <v>0.12</v>
      </c>
      <c r="P1038" s="2" t="s">
        <v>1809</v>
      </c>
      <c r="Q1038" s="36">
        <v>1818.3263999999999</v>
      </c>
    </row>
    <row r="1039" spans="1:17" x14ac:dyDescent="0.3">
      <c r="A1039" s="2" t="s">
        <v>2846</v>
      </c>
      <c r="B1039" s="14">
        <v>45779</v>
      </c>
      <c r="C1039" s="2">
        <f>YEAR(Sales_Details2[[#This Row],[Order_Date]])</f>
        <v>2025</v>
      </c>
      <c r="D1039" s="2" t="s">
        <v>527</v>
      </c>
      <c r="E1039" s="2" t="str">
        <f>VLOOKUP(Sales_Details2[[#This Row],[Customer_ID]],Customer_Details[#All],4,0)</f>
        <v>Mid-Adult</v>
      </c>
      <c r="F1039" s="2" t="str">
        <f>VLOOKUP(Sales_Details2[[#This Row],[Customer_ID]],Customer_Details[#All],5,0)</f>
        <v>Female</v>
      </c>
      <c r="G1039" s="2" t="str">
        <f>VLOOKUP(Sales_Details2[[#This Row],[Customer_ID]],Customer_Details[#All],9,0)</f>
        <v>Gold</v>
      </c>
      <c r="H1039" s="2" t="s">
        <v>1617</v>
      </c>
      <c r="I1039" s="2" t="str">
        <f>VLOOKUP(Sales_Details2[[#This Row],[Product_ID]],Product_details[[#All],[Product_ID]:[Cost]],3,0)</f>
        <v>Electronics</v>
      </c>
      <c r="J1039" s="2" t="str">
        <f>VLOOKUP(Sales_Details2[[#This Row],[Product_ID]],Product_details[[#All],[Product_ID]:[Cost]],4,0)</f>
        <v>Computer</v>
      </c>
      <c r="K1039" s="2" t="s">
        <v>1769</v>
      </c>
      <c r="L1039" s="2" t="str">
        <f>_xlfn.XLOOKUP(Sales_Details2[[#This Row],[Store_ID]],Table2[Store_ID],Table2[Region],"Region not found")</f>
        <v>South</v>
      </c>
      <c r="M1039" s="25">
        <v>2</v>
      </c>
      <c r="N1039" s="36">
        <v>257.77999999999997</v>
      </c>
      <c r="O1039" s="29">
        <v>0.05</v>
      </c>
      <c r="P1039" s="2" t="s">
        <v>1807</v>
      </c>
      <c r="Q1039" s="36">
        <v>489.78199999999993</v>
      </c>
    </row>
    <row r="1040" spans="1:17" x14ac:dyDescent="0.3">
      <c r="A1040" s="2" t="s">
        <v>2847</v>
      </c>
      <c r="B1040" s="14">
        <v>45400</v>
      </c>
      <c r="C1040" s="2">
        <f>YEAR(Sales_Details2[[#This Row],[Order_Date]])</f>
        <v>2024</v>
      </c>
      <c r="D1040" s="2" t="s">
        <v>195</v>
      </c>
      <c r="E1040" s="2" t="str">
        <f>VLOOKUP(Sales_Details2[[#This Row],[Customer_ID]],Customer_Details[#All],4,0)</f>
        <v>Senior</v>
      </c>
      <c r="F1040" s="2" t="str">
        <f>VLOOKUP(Sales_Details2[[#This Row],[Customer_ID]],Customer_Details[#All],5,0)</f>
        <v>Male</v>
      </c>
      <c r="G1040" s="2" t="str">
        <f>VLOOKUP(Sales_Details2[[#This Row],[Customer_ID]],Customer_Details[#All],9,0)</f>
        <v>Bronze</v>
      </c>
      <c r="H1040" s="2" t="s">
        <v>1637</v>
      </c>
      <c r="I1040" s="2" t="str">
        <f>VLOOKUP(Sales_Details2[[#This Row],[Product_ID]],Product_details[[#All],[Product_ID]:[Cost]],3,0)</f>
        <v>Clothing</v>
      </c>
      <c r="J1040" s="2" t="str">
        <f>VLOOKUP(Sales_Details2[[#This Row],[Product_ID]],Product_details[[#All],[Product_ID]:[Cost]],4,0)</f>
        <v>Bottoms</v>
      </c>
      <c r="K1040" s="2" t="s">
        <v>1762</v>
      </c>
      <c r="L1040" s="2" t="str">
        <f>_xlfn.XLOOKUP(Sales_Details2[[#This Row],[Store_ID]],Table2[Store_ID],Table2[Region],"Region not found")</f>
        <v>South</v>
      </c>
      <c r="M1040" s="25">
        <v>2</v>
      </c>
      <c r="N1040" s="36">
        <v>314.29000000000002</v>
      </c>
      <c r="O1040" s="29">
        <v>0.19</v>
      </c>
      <c r="P1040" s="2" t="s">
        <v>1812</v>
      </c>
      <c r="Q1040" s="36">
        <v>509.14980000000008</v>
      </c>
    </row>
    <row r="1041" spans="1:17" x14ac:dyDescent="0.3">
      <c r="A1041" s="2" t="s">
        <v>2848</v>
      </c>
      <c r="B1041" s="14">
        <v>45520</v>
      </c>
      <c r="C1041" s="2">
        <f>YEAR(Sales_Details2[[#This Row],[Order_Date]])</f>
        <v>2024</v>
      </c>
      <c r="D1041" s="2" t="s">
        <v>515</v>
      </c>
      <c r="E1041" s="2" t="str">
        <f>VLOOKUP(Sales_Details2[[#This Row],[Customer_ID]],Customer_Details[#All],4,0)</f>
        <v>Senior</v>
      </c>
      <c r="F1041" s="2" t="str">
        <f>VLOOKUP(Sales_Details2[[#This Row],[Customer_ID]],Customer_Details[#All],5,0)</f>
        <v>Female</v>
      </c>
      <c r="G1041" s="2" t="str">
        <f>VLOOKUP(Sales_Details2[[#This Row],[Customer_ID]],Customer_Details[#All],9,0)</f>
        <v>Gold</v>
      </c>
      <c r="H1041" s="2" t="s">
        <v>1675</v>
      </c>
      <c r="I1041" s="2" t="str">
        <f>VLOOKUP(Sales_Details2[[#This Row],[Product_ID]],Product_details[[#All],[Product_ID]:[Cost]],3,0)</f>
        <v>Sports</v>
      </c>
      <c r="J1041" s="2" t="str">
        <f>VLOOKUP(Sales_Details2[[#This Row],[Product_ID]],Product_details[[#All],[Product_ID]:[Cost]],4,0)</f>
        <v>Fitness</v>
      </c>
      <c r="K1041" s="2" t="s">
        <v>1782</v>
      </c>
      <c r="L1041" s="2" t="str">
        <f>_xlfn.XLOOKUP(Sales_Details2[[#This Row],[Store_ID]],Table2[Store_ID],Table2[Region],"Region not found")</f>
        <v>South</v>
      </c>
      <c r="M1041" s="25">
        <v>3</v>
      </c>
      <c r="N1041" s="36">
        <v>336.09</v>
      </c>
      <c r="O1041" s="29">
        <v>0.01</v>
      </c>
      <c r="P1041" s="2" t="s">
        <v>1809</v>
      </c>
      <c r="Q1041" s="36">
        <v>998.18729999999994</v>
      </c>
    </row>
    <row r="1042" spans="1:17" x14ac:dyDescent="0.3">
      <c r="A1042" s="2" t="s">
        <v>2849</v>
      </c>
      <c r="B1042" s="14">
        <v>45861</v>
      </c>
      <c r="C1042" s="2">
        <f>YEAR(Sales_Details2[[#This Row],[Order_Date]])</f>
        <v>2025</v>
      </c>
      <c r="D1042" s="2" t="s">
        <v>20</v>
      </c>
      <c r="E1042" s="2" t="str">
        <f>VLOOKUP(Sales_Details2[[#This Row],[Customer_ID]],Customer_Details[#All],4,0)</f>
        <v>Adult</v>
      </c>
      <c r="F1042" s="2" t="str">
        <f>VLOOKUP(Sales_Details2[[#This Row],[Customer_ID]],Customer_Details[#All],5,0)</f>
        <v>Female</v>
      </c>
      <c r="G1042" s="2" t="str">
        <f>VLOOKUP(Sales_Details2[[#This Row],[Customer_ID]],Customer_Details[#All],9,0)</f>
        <v>Platinum</v>
      </c>
      <c r="H1042" s="2" t="s">
        <v>1681</v>
      </c>
      <c r="I1042" s="2" t="str">
        <f>VLOOKUP(Sales_Details2[[#This Row],[Product_ID]],Product_details[[#All],[Product_ID]:[Cost]],3,0)</f>
        <v>Clothing</v>
      </c>
      <c r="J1042" s="2" t="str">
        <f>VLOOKUP(Sales_Details2[[#This Row],[Product_ID]],Product_details[[#All],[Product_ID]:[Cost]],4,0)</f>
        <v>Footwear</v>
      </c>
      <c r="K1042" s="2" t="s">
        <v>1790</v>
      </c>
      <c r="L1042" s="2" t="str">
        <f>_xlfn.XLOOKUP(Sales_Details2[[#This Row],[Store_ID]],Table2[Store_ID],Table2[Region],"Region not found")</f>
        <v>North</v>
      </c>
      <c r="M1042" s="25">
        <v>3</v>
      </c>
      <c r="N1042" s="36">
        <v>202.07</v>
      </c>
      <c r="O1042" s="29">
        <v>0.23</v>
      </c>
      <c r="P1042" s="2" t="s">
        <v>1809</v>
      </c>
      <c r="Q1042" s="36">
        <v>466.78170000000011</v>
      </c>
    </row>
    <row r="1043" spans="1:17" x14ac:dyDescent="0.3">
      <c r="A1043" s="2" t="s">
        <v>2850</v>
      </c>
      <c r="B1043" s="14">
        <v>45781</v>
      </c>
      <c r="C1043" s="2">
        <f>YEAR(Sales_Details2[[#This Row],[Order_Date]])</f>
        <v>2025</v>
      </c>
      <c r="D1043" s="2" t="s">
        <v>968</v>
      </c>
      <c r="E1043" s="2" t="str">
        <f>VLOOKUP(Sales_Details2[[#This Row],[Customer_ID]],Customer_Details[#All],4,0)</f>
        <v>Adult</v>
      </c>
      <c r="F1043" s="2" t="str">
        <f>VLOOKUP(Sales_Details2[[#This Row],[Customer_ID]],Customer_Details[#All],5,0)</f>
        <v>Male</v>
      </c>
      <c r="G1043" s="2" t="str">
        <f>VLOOKUP(Sales_Details2[[#This Row],[Customer_ID]],Customer_Details[#All],9,0)</f>
        <v>Silver</v>
      </c>
      <c r="H1043" s="2" t="s">
        <v>1565</v>
      </c>
      <c r="I1043" s="2" t="str">
        <f>VLOOKUP(Sales_Details2[[#This Row],[Product_ID]],Product_details[[#All],[Product_ID]:[Cost]],3,0)</f>
        <v>Sports</v>
      </c>
      <c r="J1043" s="2" t="str">
        <f>VLOOKUP(Sales_Details2[[#This Row],[Product_ID]],Product_details[[#All],[Product_ID]:[Cost]],4,0)</f>
        <v>Accessories</v>
      </c>
      <c r="K1043" s="2" t="s">
        <v>1765</v>
      </c>
      <c r="L1043" s="2" t="str">
        <f>_xlfn.XLOOKUP(Sales_Details2[[#This Row],[Store_ID]],Table2[Store_ID],Table2[Region],"Region not found")</f>
        <v>West</v>
      </c>
      <c r="M1043" s="25">
        <v>2</v>
      </c>
      <c r="N1043" s="36">
        <v>485.25</v>
      </c>
      <c r="O1043" s="29">
        <v>0.28000000000000003</v>
      </c>
      <c r="P1043" s="2" t="s">
        <v>1807</v>
      </c>
      <c r="Q1043" s="36">
        <v>698.76</v>
      </c>
    </row>
    <row r="1044" spans="1:17" x14ac:dyDescent="0.3">
      <c r="A1044" s="2" t="s">
        <v>2851</v>
      </c>
      <c r="B1044" s="14">
        <v>45906</v>
      </c>
      <c r="C1044" s="2">
        <f>YEAR(Sales_Details2[[#This Row],[Order_Date]])</f>
        <v>2025</v>
      </c>
      <c r="D1044" s="2" t="s">
        <v>562</v>
      </c>
      <c r="E1044" s="2" t="str">
        <f>VLOOKUP(Sales_Details2[[#This Row],[Customer_ID]],Customer_Details[#All],4,0)</f>
        <v>Mid-Adult</v>
      </c>
      <c r="F1044" s="2" t="str">
        <f>VLOOKUP(Sales_Details2[[#This Row],[Customer_ID]],Customer_Details[#All],5,0)</f>
        <v>Female</v>
      </c>
      <c r="G1044" s="2" t="str">
        <f>VLOOKUP(Sales_Details2[[#This Row],[Customer_ID]],Customer_Details[#All],9,0)</f>
        <v>Platinum</v>
      </c>
      <c r="H1044" s="2" t="s">
        <v>1681</v>
      </c>
      <c r="I1044" s="2" t="str">
        <f>VLOOKUP(Sales_Details2[[#This Row],[Product_ID]],Product_details[[#All],[Product_ID]:[Cost]],3,0)</f>
        <v>Clothing</v>
      </c>
      <c r="J1044" s="2" t="str">
        <f>VLOOKUP(Sales_Details2[[#This Row],[Product_ID]],Product_details[[#All],[Product_ID]:[Cost]],4,0)</f>
        <v>Footwear</v>
      </c>
      <c r="K1044" s="2" t="s">
        <v>1772</v>
      </c>
      <c r="L1044" s="2" t="str">
        <f>_xlfn.XLOOKUP(Sales_Details2[[#This Row],[Store_ID]],Table2[Store_ID],Table2[Region],"Region not found")</f>
        <v>East</v>
      </c>
      <c r="M1044" s="25">
        <v>4</v>
      </c>
      <c r="N1044" s="36">
        <v>552.38</v>
      </c>
      <c r="O1044" s="29">
        <v>0.1</v>
      </c>
      <c r="P1044" s="2" t="s">
        <v>1809</v>
      </c>
      <c r="Q1044" s="36">
        <v>1988.568</v>
      </c>
    </row>
    <row r="1045" spans="1:17" x14ac:dyDescent="0.3">
      <c r="A1045" s="2" t="s">
        <v>2852</v>
      </c>
      <c r="B1045" s="14">
        <v>45251</v>
      </c>
      <c r="C1045" s="2">
        <f>YEAR(Sales_Details2[[#This Row],[Order_Date]])</f>
        <v>2023</v>
      </c>
      <c r="D1045" s="2" t="s">
        <v>373</v>
      </c>
      <c r="E1045" s="2" t="str">
        <f>VLOOKUP(Sales_Details2[[#This Row],[Customer_ID]],Customer_Details[#All],4,0)</f>
        <v>Senior</v>
      </c>
      <c r="F1045" s="2" t="str">
        <f>VLOOKUP(Sales_Details2[[#This Row],[Customer_ID]],Customer_Details[#All],5,0)</f>
        <v>Female</v>
      </c>
      <c r="G1045" s="2" t="str">
        <f>VLOOKUP(Sales_Details2[[#This Row],[Customer_ID]],Customer_Details[#All],9,0)</f>
        <v>Platinum</v>
      </c>
      <c r="H1045" s="2" t="s">
        <v>1647</v>
      </c>
      <c r="I1045" s="2" t="str">
        <f>VLOOKUP(Sales_Details2[[#This Row],[Product_ID]],Product_details[[#All],[Product_ID]:[Cost]],3,0)</f>
        <v>Clothing</v>
      </c>
      <c r="J1045" s="2" t="str">
        <f>VLOOKUP(Sales_Details2[[#This Row],[Product_ID]],Product_details[[#All],[Product_ID]:[Cost]],4,0)</f>
        <v>Accessories</v>
      </c>
      <c r="K1045" s="2" t="s">
        <v>1790</v>
      </c>
      <c r="L1045" s="2" t="str">
        <f>_xlfn.XLOOKUP(Sales_Details2[[#This Row],[Store_ID]],Table2[Store_ID],Table2[Region],"Region not found")</f>
        <v>North</v>
      </c>
      <c r="M1045" s="25">
        <v>4</v>
      </c>
      <c r="N1045" s="36">
        <v>377.26</v>
      </c>
      <c r="O1045" s="29">
        <v>0.22</v>
      </c>
      <c r="P1045" s="2" t="s">
        <v>1812</v>
      </c>
      <c r="Q1045" s="36">
        <v>1177.0512000000001</v>
      </c>
    </row>
    <row r="1046" spans="1:17" x14ac:dyDescent="0.3">
      <c r="A1046" s="2" t="s">
        <v>2853</v>
      </c>
      <c r="B1046" s="14">
        <v>45257</v>
      </c>
      <c r="C1046" s="2">
        <f>YEAR(Sales_Details2[[#This Row],[Order_Date]])</f>
        <v>2023</v>
      </c>
      <c r="D1046" s="2" t="s">
        <v>199</v>
      </c>
      <c r="E1046" s="2" t="str">
        <f>VLOOKUP(Sales_Details2[[#This Row],[Customer_ID]],Customer_Details[#All],4,0)</f>
        <v>Mid-Adult</v>
      </c>
      <c r="F1046" s="2" t="str">
        <f>VLOOKUP(Sales_Details2[[#This Row],[Customer_ID]],Customer_Details[#All],5,0)</f>
        <v>Female</v>
      </c>
      <c r="G1046" s="2" t="str">
        <f>VLOOKUP(Sales_Details2[[#This Row],[Customer_ID]],Customer_Details[#All],9,0)</f>
        <v>Gold</v>
      </c>
      <c r="H1046" s="2" t="s">
        <v>1625</v>
      </c>
      <c r="I1046" s="2" t="str">
        <f>VLOOKUP(Sales_Details2[[#This Row],[Product_ID]],Product_details[[#All],[Product_ID]:[Cost]],3,0)</f>
        <v>Beauty</v>
      </c>
      <c r="J1046" s="2" t="str">
        <f>VLOOKUP(Sales_Details2[[#This Row],[Product_ID]],Product_details[[#All],[Product_ID]:[Cost]],4,0)</f>
        <v>Makeup</v>
      </c>
      <c r="K1046" s="2" t="s">
        <v>1796</v>
      </c>
      <c r="L1046" s="2" t="str">
        <f>_xlfn.XLOOKUP(Sales_Details2[[#This Row],[Store_ID]],Table2[Store_ID],Table2[Region],"Region not found")</f>
        <v>East</v>
      </c>
      <c r="M1046" s="25">
        <v>4</v>
      </c>
      <c r="N1046" s="36">
        <v>189.07</v>
      </c>
      <c r="O1046" s="29">
        <v>0.1</v>
      </c>
      <c r="P1046" s="2" t="s">
        <v>1812</v>
      </c>
      <c r="Q1046" s="36">
        <v>680.65200000000004</v>
      </c>
    </row>
    <row r="1047" spans="1:17" x14ac:dyDescent="0.3">
      <c r="A1047" s="2" t="s">
        <v>2854</v>
      </c>
      <c r="B1047" s="14">
        <v>45818</v>
      </c>
      <c r="C1047" s="2">
        <f>YEAR(Sales_Details2[[#This Row],[Order_Date]])</f>
        <v>2025</v>
      </c>
      <c r="D1047" s="2" t="s">
        <v>1516</v>
      </c>
      <c r="E1047" s="2" t="str">
        <f>VLOOKUP(Sales_Details2[[#This Row],[Customer_ID]],Customer_Details[#All],4,0)</f>
        <v>Adult</v>
      </c>
      <c r="F1047" s="2" t="str">
        <f>VLOOKUP(Sales_Details2[[#This Row],[Customer_ID]],Customer_Details[#All],5,0)</f>
        <v>Female</v>
      </c>
      <c r="G1047" s="2" t="str">
        <f>VLOOKUP(Sales_Details2[[#This Row],[Customer_ID]],Customer_Details[#All],9,0)</f>
        <v>Platinum</v>
      </c>
      <c r="H1047" s="2" t="s">
        <v>1591</v>
      </c>
      <c r="I1047" s="2" t="str">
        <f>VLOOKUP(Sales_Details2[[#This Row],[Product_ID]],Product_details[[#All],[Product_ID]:[Cost]],3,0)</f>
        <v>Home</v>
      </c>
      <c r="J1047" s="2" t="str">
        <f>VLOOKUP(Sales_Details2[[#This Row],[Product_ID]],Product_details[[#All],[Product_ID]:[Cost]],4,0)</f>
        <v>Kitchen</v>
      </c>
      <c r="K1047" s="2" t="s">
        <v>1752</v>
      </c>
      <c r="L1047" s="2" t="str">
        <f>_xlfn.XLOOKUP(Sales_Details2[[#This Row],[Store_ID]],Table2[Store_ID],Table2[Region],"Region not found")</f>
        <v>South</v>
      </c>
      <c r="M1047" s="25">
        <v>3</v>
      </c>
      <c r="N1047" s="36">
        <v>272.27</v>
      </c>
      <c r="O1047" s="29">
        <v>0.01</v>
      </c>
      <c r="P1047" s="2" t="s">
        <v>1807</v>
      </c>
      <c r="Q1047" s="36">
        <v>808.64189999999996</v>
      </c>
    </row>
    <row r="1048" spans="1:17" x14ac:dyDescent="0.3">
      <c r="A1048" s="2" t="s">
        <v>2855</v>
      </c>
      <c r="B1048" s="14">
        <v>45806</v>
      </c>
      <c r="C1048" s="2">
        <f>YEAR(Sales_Details2[[#This Row],[Order_Date]])</f>
        <v>2025</v>
      </c>
      <c r="D1048" s="2" t="s">
        <v>835</v>
      </c>
      <c r="E1048" s="2" t="str">
        <f>VLOOKUP(Sales_Details2[[#This Row],[Customer_ID]],Customer_Details[#All],4,0)</f>
        <v>Adult</v>
      </c>
      <c r="F1048" s="2" t="str">
        <f>VLOOKUP(Sales_Details2[[#This Row],[Customer_ID]],Customer_Details[#All],5,0)</f>
        <v>Male</v>
      </c>
      <c r="G1048" s="2" t="str">
        <f>VLOOKUP(Sales_Details2[[#This Row],[Customer_ID]],Customer_Details[#All],9,0)</f>
        <v>Gold</v>
      </c>
      <c r="H1048" s="2" t="s">
        <v>1715</v>
      </c>
      <c r="I1048" s="2" t="str">
        <f>VLOOKUP(Sales_Details2[[#This Row],[Product_ID]],Product_details[[#All],[Product_ID]:[Cost]],3,0)</f>
        <v>Home</v>
      </c>
      <c r="J1048" s="2" t="str">
        <f>VLOOKUP(Sales_Details2[[#This Row],[Product_ID]],Product_details[[#All],[Product_ID]:[Cost]],4,0)</f>
        <v>Appliances</v>
      </c>
      <c r="K1048" s="2" t="s">
        <v>1775</v>
      </c>
      <c r="L1048" s="2" t="str">
        <f>_xlfn.XLOOKUP(Sales_Details2[[#This Row],[Store_ID]],Table2[Store_ID],Table2[Region],"Region not found")</f>
        <v>South</v>
      </c>
      <c r="M1048" s="25">
        <v>1</v>
      </c>
      <c r="N1048" s="36">
        <v>209.39</v>
      </c>
      <c r="O1048" s="29">
        <v>0.28000000000000003</v>
      </c>
      <c r="P1048" s="2" t="s">
        <v>1809</v>
      </c>
      <c r="Q1048" s="36">
        <v>150.76079999999999</v>
      </c>
    </row>
    <row r="1049" spans="1:17" x14ac:dyDescent="0.3">
      <c r="A1049" s="2" t="s">
        <v>2856</v>
      </c>
      <c r="B1049" s="14">
        <v>45288</v>
      </c>
      <c r="C1049" s="2">
        <f>YEAR(Sales_Details2[[#This Row],[Order_Date]])</f>
        <v>2023</v>
      </c>
      <c r="D1049" s="2" t="s">
        <v>199</v>
      </c>
      <c r="E1049" s="2" t="str">
        <f>VLOOKUP(Sales_Details2[[#This Row],[Customer_ID]],Customer_Details[#All],4,0)</f>
        <v>Mid-Adult</v>
      </c>
      <c r="F1049" s="2" t="str">
        <f>VLOOKUP(Sales_Details2[[#This Row],[Customer_ID]],Customer_Details[#All],5,0)</f>
        <v>Female</v>
      </c>
      <c r="G1049" s="2" t="str">
        <f>VLOOKUP(Sales_Details2[[#This Row],[Customer_ID]],Customer_Details[#All],9,0)</f>
        <v>Gold</v>
      </c>
      <c r="H1049" s="2" t="s">
        <v>1691</v>
      </c>
      <c r="I1049" s="2" t="str">
        <f>VLOOKUP(Sales_Details2[[#This Row],[Product_ID]],Product_details[[#All],[Product_ID]:[Cost]],3,0)</f>
        <v>Home</v>
      </c>
      <c r="J1049" s="2" t="str">
        <f>VLOOKUP(Sales_Details2[[#This Row],[Product_ID]],Product_details[[#All],[Product_ID]:[Cost]],4,0)</f>
        <v>Kitchen</v>
      </c>
      <c r="K1049" s="2" t="s">
        <v>1769</v>
      </c>
      <c r="L1049" s="2" t="str">
        <f>_xlfn.XLOOKUP(Sales_Details2[[#This Row],[Store_ID]],Table2[Store_ID],Table2[Region],"Region not found")</f>
        <v>South</v>
      </c>
      <c r="M1049" s="25">
        <v>1</v>
      </c>
      <c r="N1049" s="36">
        <v>813.87</v>
      </c>
      <c r="O1049" s="29">
        <v>0.23</v>
      </c>
      <c r="P1049" s="2" t="s">
        <v>1807</v>
      </c>
      <c r="Q1049" s="36">
        <v>626.67989999999998</v>
      </c>
    </row>
    <row r="1050" spans="1:17" x14ac:dyDescent="0.3">
      <c r="A1050" s="2" t="s">
        <v>2857</v>
      </c>
      <c r="B1050" s="14">
        <v>45783</v>
      </c>
      <c r="C1050" s="2">
        <f>YEAR(Sales_Details2[[#This Row],[Order_Date]])</f>
        <v>2025</v>
      </c>
      <c r="D1050" s="2" t="s">
        <v>814</v>
      </c>
      <c r="E1050" s="2" t="str">
        <f>VLOOKUP(Sales_Details2[[#This Row],[Customer_ID]],Customer_Details[#All],4,0)</f>
        <v>Mid-Adult</v>
      </c>
      <c r="F1050" s="2" t="str">
        <f>VLOOKUP(Sales_Details2[[#This Row],[Customer_ID]],Customer_Details[#All],5,0)</f>
        <v>Male</v>
      </c>
      <c r="G1050" s="2" t="str">
        <f>VLOOKUP(Sales_Details2[[#This Row],[Customer_ID]],Customer_Details[#All],9,0)</f>
        <v>Silver</v>
      </c>
      <c r="H1050" s="2" t="s">
        <v>1587</v>
      </c>
      <c r="I1050" s="2" t="str">
        <f>VLOOKUP(Sales_Details2[[#This Row],[Product_ID]],Product_details[[#All],[Product_ID]:[Cost]],3,0)</f>
        <v>Sports</v>
      </c>
      <c r="J1050" s="2" t="str">
        <f>VLOOKUP(Sales_Details2[[#This Row],[Product_ID]],Product_details[[#All],[Product_ID]:[Cost]],4,0)</f>
        <v>Accessories</v>
      </c>
      <c r="K1050" s="2" t="s">
        <v>1735</v>
      </c>
      <c r="L1050" s="2" t="str">
        <f>_xlfn.XLOOKUP(Sales_Details2[[#This Row],[Store_ID]],Table2[Store_ID],Table2[Region],"Region not found")</f>
        <v>East</v>
      </c>
      <c r="M1050" s="25">
        <v>1</v>
      </c>
      <c r="N1050" s="36">
        <v>143.69999999999999</v>
      </c>
      <c r="O1050" s="29">
        <v>0.19</v>
      </c>
      <c r="P1050" s="2" t="s">
        <v>1809</v>
      </c>
      <c r="Q1050" s="36">
        <v>116.39700000000001</v>
      </c>
    </row>
    <row r="1051" spans="1:17" x14ac:dyDescent="0.3">
      <c r="A1051" s="2" t="s">
        <v>2858</v>
      </c>
      <c r="B1051" s="14">
        <v>45385</v>
      </c>
      <c r="C1051" s="2">
        <f>YEAR(Sales_Details2[[#This Row],[Order_Date]])</f>
        <v>2024</v>
      </c>
      <c r="D1051" s="2" t="s">
        <v>1433</v>
      </c>
      <c r="E1051" s="2" t="str">
        <f>VLOOKUP(Sales_Details2[[#This Row],[Customer_ID]],Customer_Details[#All],4,0)</f>
        <v>Adult</v>
      </c>
      <c r="F1051" s="2" t="str">
        <f>VLOOKUP(Sales_Details2[[#This Row],[Customer_ID]],Customer_Details[#All],5,0)</f>
        <v>Female</v>
      </c>
      <c r="G1051" s="2" t="str">
        <f>VLOOKUP(Sales_Details2[[#This Row],[Customer_ID]],Customer_Details[#All],9,0)</f>
        <v>Gold</v>
      </c>
      <c r="H1051" s="2" t="s">
        <v>1623</v>
      </c>
      <c r="I1051" s="2" t="str">
        <f>VLOOKUP(Sales_Details2[[#This Row],[Product_ID]],Product_details[[#All],[Product_ID]:[Cost]],3,0)</f>
        <v>Clothing</v>
      </c>
      <c r="J1051" s="2" t="str">
        <f>VLOOKUP(Sales_Details2[[#This Row],[Product_ID]],Product_details[[#All],[Product_ID]:[Cost]],4,0)</f>
        <v>Outerwear</v>
      </c>
      <c r="K1051" s="2" t="s">
        <v>1740</v>
      </c>
      <c r="L1051" s="2" t="str">
        <f>_xlfn.XLOOKUP(Sales_Details2[[#This Row],[Store_ID]],Table2[Store_ID],Table2[Region],"Region not found")</f>
        <v>North</v>
      </c>
      <c r="M1051" s="25">
        <v>4</v>
      </c>
      <c r="N1051" s="36">
        <v>837.34</v>
      </c>
      <c r="O1051" s="29">
        <v>0.05</v>
      </c>
      <c r="P1051" s="2" t="s">
        <v>1809</v>
      </c>
      <c r="Q1051" s="36">
        <v>3181.8919999999998</v>
      </c>
    </row>
    <row r="1052" spans="1:17" x14ac:dyDescent="0.3">
      <c r="A1052" s="2" t="s">
        <v>2859</v>
      </c>
      <c r="B1052" s="14">
        <v>45878</v>
      </c>
      <c r="C1052" s="2">
        <f>YEAR(Sales_Details2[[#This Row],[Order_Date]])</f>
        <v>2025</v>
      </c>
      <c r="D1052" s="2" t="s">
        <v>412</v>
      </c>
      <c r="E1052" s="2" t="str">
        <f>VLOOKUP(Sales_Details2[[#This Row],[Customer_ID]],Customer_Details[#All],4,0)</f>
        <v>Mid-Adult</v>
      </c>
      <c r="F1052" s="2" t="str">
        <f>VLOOKUP(Sales_Details2[[#This Row],[Customer_ID]],Customer_Details[#All],5,0)</f>
        <v>Female</v>
      </c>
      <c r="G1052" s="2" t="str">
        <f>VLOOKUP(Sales_Details2[[#This Row],[Customer_ID]],Customer_Details[#All],9,0)</f>
        <v>Platinum</v>
      </c>
      <c r="H1052" s="2" t="s">
        <v>1561</v>
      </c>
      <c r="I1052" s="2" t="str">
        <f>VLOOKUP(Sales_Details2[[#This Row],[Product_ID]],Product_details[[#All],[Product_ID]:[Cost]],3,0)</f>
        <v>Electronics</v>
      </c>
      <c r="J1052" s="2" t="str">
        <f>VLOOKUP(Sales_Details2[[#This Row],[Product_ID]],Product_details[[#All],[Product_ID]:[Cost]],4,0)</f>
        <v>Appliances</v>
      </c>
      <c r="K1052" s="2" t="s">
        <v>1796</v>
      </c>
      <c r="L1052" s="2" t="str">
        <f>_xlfn.XLOOKUP(Sales_Details2[[#This Row],[Store_ID]],Table2[Store_ID],Table2[Region],"Region not found")</f>
        <v>East</v>
      </c>
      <c r="M1052" s="25">
        <v>1</v>
      </c>
      <c r="N1052" s="36">
        <v>151.66</v>
      </c>
      <c r="O1052" s="29">
        <v>0.16</v>
      </c>
      <c r="P1052" s="2" t="s">
        <v>1812</v>
      </c>
      <c r="Q1052" s="36">
        <v>127.3944</v>
      </c>
    </row>
    <row r="1053" spans="1:17" x14ac:dyDescent="0.3">
      <c r="A1053" s="2" t="s">
        <v>2860</v>
      </c>
      <c r="B1053" s="14">
        <v>45720</v>
      </c>
      <c r="C1053" s="2">
        <f>YEAR(Sales_Details2[[#This Row],[Order_Date]])</f>
        <v>2025</v>
      </c>
      <c r="D1053" s="2" t="s">
        <v>1516</v>
      </c>
      <c r="E1053" s="2" t="str">
        <f>VLOOKUP(Sales_Details2[[#This Row],[Customer_ID]],Customer_Details[#All],4,0)</f>
        <v>Adult</v>
      </c>
      <c r="F1053" s="2" t="str">
        <f>VLOOKUP(Sales_Details2[[#This Row],[Customer_ID]],Customer_Details[#All],5,0)</f>
        <v>Female</v>
      </c>
      <c r="G1053" s="2" t="str">
        <f>VLOOKUP(Sales_Details2[[#This Row],[Customer_ID]],Customer_Details[#All],9,0)</f>
        <v>Platinum</v>
      </c>
      <c r="H1053" s="2" t="s">
        <v>1619</v>
      </c>
      <c r="I1053" s="2" t="str">
        <f>VLOOKUP(Sales_Details2[[#This Row],[Product_ID]],Product_details[[#All],[Product_ID]:[Cost]],3,0)</f>
        <v>Sports</v>
      </c>
      <c r="J1053" s="2" t="str">
        <f>VLOOKUP(Sales_Details2[[#This Row],[Product_ID]],Product_details[[#All],[Product_ID]:[Cost]],4,0)</f>
        <v>Fitness</v>
      </c>
      <c r="K1053" s="2" t="s">
        <v>1765</v>
      </c>
      <c r="L1053" s="2" t="str">
        <f>_xlfn.XLOOKUP(Sales_Details2[[#This Row],[Store_ID]],Table2[Store_ID],Table2[Region],"Region not found")</f>
        <v>West</v>
      </c>
      <c r="M1053" s="25">
        <v>3</v>
      </c>
      <c r="N1053" s="36">
        <v>961.4</v>
      </c>
      <c r="O1053" s="29">
        <v>0.02</v>
      </c>
      <c r="P1053" s="2" t="s">
        <v>1809</v>
      </c>
      <c r="Q1053" s="36">
        <v>2826.5160000000001</v>
      </c>
    </row>
    <row r="1054" spans="1:17" x14ac:dyDescent="0.3">
      <c r="A1054" s="2" t="s">
        <v>2861</v>
      </c>
      <c r="B1054" s="14">
        <v>45503</v>
      </c>
      <c r="C1054" s="2">
        <f>YEAR(Sales_Details2[[#This Row],[Order_Date]])</f>
        <v>2024</v>
      </c>
      <c r="D1054" s="2" t="s">
        <v>1144</v>
      </c>
      <c r="E1054" s="2" t="str">
        <f>VLOOKUP(Sales_Details2[[#This Row],[Customer_ID]],Customer_Details[#All],4,0)</f>
        <v>Mid-Adult</v>
      </c>
      <c r="F1054" s="2" t="str">
        <f>VLOOKUP(Sales_Details2[[#This Row],[Customer_ID]],Customer_Details[#All],5,0)</f>
        <v>Male</v>
      </c>
      <c r="G1054" s="2" t="str">
        <f>VLOOKUP(Sales_Details2[[#This Row],[Customer_ID]],Customer_Details[#All],9,0)</f>
        <v>Silver</v>
      </c>
      <c r="H1054" s="2" t="s">
        <v>1679</v>
      </c>
      <c r="I1054" s="2" t="str">
        <f>VLOOKUP(Sales_Details2[[#This Row],[Product_ID]],Product_details[[#All],[Product_ID]:[Cost]],3,0)</f>
        <v>Electronics</v>
      </c>
      <c r="J1054" s="2" t="str">
        <f>VLOOKUP(Sales_Details2[[#This Row],[Product_ID]],Product_details[[#All],[Product_ID]:[Cost]],4,0)</f>
        <v>Audio</v>
      </c>
      <c r="K1054" s="2" t="s">
        <v>1793</v>
      </c>
      <c r="L1054" s="2" t="str">
        <f>_xlfn.XLOOKUP(Sales_Details2[[#This Row],[Store_ID]],Table2[Store_ID],Table2[Region],"Region not found")</f>
        <v>East</v>
      </c>
      <c r="M1054" s="25">
        <v>4</v>
      </c>
      <c r="N1054" s="36">
        <v>475.98</v>
      </c>
      <c r="O1054" s="29">
        <v>0.19</v>
      </c>
      <c r="P1054" s="2" t="s">
        <v>1809</v>
      </c>
      <c r="Q1054" s="36">
        <v>1542.1751999999999</v>
      </c>
    </row>
    <row r="1055" spans="1:17" x14ac:dyDescent="0.3">
      <c r="A1055" s="2" t="s">
        <v>2862</v>
      </c>
      <c r="B1055" s="14">
        <v>45551</v>
      </c>
      <c r="C1055" s="2">
        <f>YEAR(Sales_Details2[[#This Row],[Order_Date]])</f>
        <v>2024</v>
      </c>
      <c r="D1055" s="2" t="s">
        <v>1174</v>
      </c>
      <c r="E1055" s="2" t="str">
        <f>VLOOKUP(Sales_Details2[[#This Row],[Customer_ID]],Customer_Details[#All],4,0)</f>
        <v>Adult</v>
      </c>
      <c r="F1055" s="2" t="str">
        <f>VLOOKUP(Sales_Details2[[#This Row],[Customer_ID]],Customer_Details[#All],5,0)</f>
        <v>Male</v>
      </c>
      <c r="G1055" s="2" t="str">
        <f>VLOOKUP(Sales_Details2[[#This Row],[Customer_ID]],Customer_Details[#All],9,0)</f>
        <v>Gold</v>
      </c>
      <c r="H1055" s="2" t="s">
        <v>1607</v>
      </c>
      <c r="I1055" s="2" t="str">
        <f>VLOOKUP(Sales_Details2[[#This Row],[Product_ID]],Product_details[[#All],[Product_ID]:[Cost]],3,0)</f>
        <v>Sports</v>
      </c>
      <c r="J1055" s="2" t="str">
        <f>VLOOKUP(Sales_Details2[[#This Row],[Product_ID]],Product_details[[#All],[Product_ID]:[Cost]],4,0)</f>
        <v>Outdoor</v>
      </c>
      <c r="K1055" s="2" t="s">
        <v>1784</v>
      </c>
      <c r="L1055" s="2" t="str">
        <f>_xlfn.XLOOKUP(Sales_Details2[[#This Row],[Store_ID]],Table2[Store_ID],Table2[Region],"Region not found")</f>
        <v>North</v>
      </c>
      <c r="M1055" s="25">
        <v>4</v>
      </c>
      <c r="N1055" s="36">
        <v>132.88999999999999</v>
      </c>
      <c r="O1055" s="29">
        <v>0.12</v>
      </c>
      <c r="P1055" s="2" t="s">
        <v>1807</v>
      </c>
      <c r="Q1055" s="36">
        <v>467.77280000000002</v>
      </c>
    </row>
    <row r="1056" spans="1:17" x14ac:dyDescent="0.3">
      <c r="A1056" s="2" t="s">
        <v>2863</v>
      </c>
      <c r="B1056" s="14">
        <v>45850</v>
      </c>
      <c r="C1056" s="2">
        <f>YEAR(Sales_Details2[[#This Row],[Order_Date]])</f>
        <v>2025</v>
      </c>
      <c r="D1056" s="2" t="s">
        <v>1339</v>
      </c>
      <c r="E1056" s="2" t="str">
        <f>VLOOKUP(Sales_Details2[[#This Row],[Customer_ID]],Customer_Details[#All],4,0)</f>
        <v>Mid-Adult</v>
      </c>
      <c r="F1056" s="2" t="str">
        <f>VLOOKUP(Sales_Details2[[#This Row],[Customer_ID]],Customer_Details[#All],5,0)</f>
        <v>Female</v>
      </c>
      <c r="G1056" s="2" t="str">
        <f>VLOOKUP(Sales_Details2[[#This Row],[Customer_ID]],Customer_Details[#All],9,0)</f>
        <v>Platinum</v>
      </c>
      <c r="H1056" s="2" t="s">
        <v>1601</v>
      </c>
      <c r="I1056" s="2" t="str">
        <f>VLOOKUP(Sales_Details2[[#This Row],[Product_ID]],Product_details[[#All],[Product_ID]:[Cost]],3,0)</f>
        <v>Home</v>
      </c>
      <c r="J1056" s="2" t="str">
        <f>VLOOKUP(Sales_Details2[[#This Row],[Product_ID]],Product_details[[#All],[Product_ID]:[Cost]],4,0)</f>
        <v>Lighting</v>
      </c>
      <c r="K1056" s="2" t="s">
        <v>1777</v>
      </c>
      <c r="L1056" s="2" t="str">
        <f>_xlfn.XLOOKUP(Sales_Details2[[#This Row],[Store_ID]],Table2[Store_ID],Table2[Region],"Region not found")</f>
        <v>North</v>
      </c>
      <c r="M1056" s="25">
        <v>3</v>
      </c>
      <c r="N1056" s="36">
        <v>471.31</v>
      </c>
      <c r="O1056" s="29">
        <v>0</v>
      </c>
      <c r="P1056" s="2" t="s">
        <v>1809</v>
      </c>
      <c r="Q1056" s="36">
        <v>1413.93</v>
      </c>
    </row>
    <row r="1057" spans="1:17" x14ac:dyDescent="0.3">
      <c r="A1057" s="2" t="s">
        <v>2864</v>
      </c>
      <c r="B1057" s="14">
        <v>45441</v>
      </c>
      <c r="C1057" s="2">
        <f>YEAR(Sales_Details2[[#This Row],[Order_Date]])</f>
        <v>2024</v>
      </c>
      <c r="D1057" s="2" t="s">
        <v>1415</v>
      </c>
      <c r="E1057" s="2" t="str">
        <f>VLOOKUP(Sales_Details2[[#This Row],[Customer_ID]],Customer_Details[#All],4,0)</f>
        <v>Mid-Adult</v>
      </c>
      <c r="F1057" s="2" t="str">
        <f>VLOOKUP(Sales_Details2[[#This Row],[Customer_ID]],Customer_Details[#All],5,0)</f>
        <v>Female</v>
      </c>
      <c r="G1057" s="2" t="str">
        <f>VLOOKUP(Sales_Details2[[#This Row],[Customer_ID]],Customer_Details[#All],9,0)</f>
        <v>Platinum</v>
      </c>
      <c r="H1057" s="2" t="s">
        <v>1683</v>
      </c>
      <c r="I1057" s="2" t="str">
        <f>VLOOKUP(Sales_Details2[[#This Row],[Product_ID]],Product_details[[#All],[Product_ID]:[Cost]],3,0)</f>
        <v>Electronics</v>
      </c>
      <c r="J1057" s="2" t="str">
        <f>VLOOKUP(Sales_Details2[[#This Row],[Product_ID]],Product_details[[#All],[Product_ID]:[Cost]],4,0)</f>
        <v>Computer</v>
      </c>
      <c r="K1057" s="2" t="s">
        <v>1782</v>
      </c>
      <c r="L1057" s="2" t="str">
        <f>_xlfn.XLOOKUP(Sales_Details2[[#This Row],[Store_ID]],Table2[Store_ID],Table2[Region],"Region not found")</f>
        <v>South</v>
      </c>
      <c r="M1057" s="25">
        <v>2</v>
      </c>
      <c r="N1057" s="36">
        <v>720.32</v>
      </c>
      <c r="O1057" s="29">
        <v>0.26</v>
      </c>
      <c r="P1057" s="2" t="s">
        <v>1807</v>
      </c>
      <c r="Q1057" s="36">
        <v>1066.0735999999999</v>
      </c>
    </row>
    <row r="1058" spans="1:17" x14ac:dyDescent="0.3">
      <c r="A1058" s="2" t="s">
        <v>2865</v>
      </c>
      <c r="B1058" s="14">
        <v>45431</v>
      </c>
      <c r="C1058" s="2">
        <f>YEAR(Sales_Details2[[#This Row],[Order_Date]])</f>
        <v>2024</v>
      </c>
      <c r="D1058" s="2" t="s">
        <v>272</v>
      </c>
      <c r="E1058" s="2" t="str">
        <f>VLOOKUP(Sales_Details2[[#This Row],[Customer_ID]],Customer_Details[#All],4,0)</f>
        <v>Senior</v>
      </c>
      <c r="F1058" s="2" t="str">
        <f>VLOOKUP(Sales_Details2[[#This Row],[Customer_ID]],Customer_Details[#All],5,0)</f>
        <v>Female</v>
      </c>
      <c r="G1058" s="2" t="str">
        <f>VLOOKUP(Sales_Details2[[#This Row],[Customer_ID]],Customer_Details[#All],9,0)</f>
        <v>Gold</v>
      </c>
      <c r="H1058" s="2" t="s">
        <v>1663</v>
      </c>
      <c r="I1058" s="2" t="str">
        <f>VLOOKUP(Sales_Details2[[#This Row],[Product_ID]],Product_details[[#All],[Product_ID]:[Cost]],3,0)</f>
        <v>Beauty</v>
      </c>
      <c r="J1058" s="2" t="str">
        <f>VLOOKUP(Sales_Details2[[#This Row],[Product_ID]],Product_details[[#All],[Product_ID]:[Cost]],4,0)</f>
        <v>Haircare</v>
      </c>
      <c r="K1058" s="2" t="s">
        <v>1793</v>
      </c>
      <c r="L1058" s="2" t="str">
        <f>_xlfn.XLOOKUP(Sales_Details2[[#This Row],[Store_ID]],Table2[Store_ID],Table2[Region],"Region not found")</f>
        <v>East</v>
      </c>
      <c r="M1058" s="25">
        <v>4</v>
      </c>
      <c r="N1058" s="36">
        <v>99.92</v>
      </c>
      <c r="O1058" s="29">
        <v>0.11</v>
      </c>
      <c r="P1058" s="2" t="s">
        <v>1812</v>
      </c>
      <c r="Q1058" s="36">
        <v>355.71519999999998</v>
      </c>
    </row>
    <row r="1059" spans="1:17" x14ac:dyDescent="0.3">
      <c r="A1059" s="2" t="s">
        <v>2866</v>
      </c>
      <c r="B1059" s="14">
        <v>45873</v>
      </c>
      <c r="C1059" s="2">
        <f>YEAR(Sales_Details2[[#This Row],[Order_Date]])</f>
        <v>2025</v>
      </c>
      <c r="D1059" s="2" t="s">
        <v>244</v>
      </c>
      <c r="E1059" s="2" t="str">
        <f>VLOOKUP(Sales_Details2[[#This Row],[Customer_ID]],Customer_Details[#All],4,0)</f>
        <v>Senior</v>
      </c>
      <c r="F1059" s="2" t="str">
        <f>VLOOKUP(Sales_Details2[[#This Row],[Customer_ID]],Customer_Details[#All],5,0)</f>
        <v>Male</v>
      </c>
      <c r="G1059" s="2" t="str">
        <f>VLOOKUP(Sales_Details2[[#This Row],[Customer_ID]],Customer_Details[#All],9,0)</f>
        <v>Silver</v>
      </c>
      <c r="H1059" s="2" t="s">
        <v>1551</v>
      </c>
      <c r="I1059" s="2" t="str">
        <f>VLOOKUP(Sales_Details2[[#This Row],[Product_ID]],Product_details[[#All],[Product_ID]:[Cost]],3,0)</f>
        <v>Home</v>
      </c>
      <c r="J1059" s="2" t="str">
        <f>VLOOKUP(Sales_Details2[[#This Row],[Product_ID]],Product_details[[#All],[Product_ID]:[Cost]],4,0)</f>
        <v>Kitchen</v>
      </c>
      <c r="K1059" s="2" t="s">
        <v>1749</v>
      </c>
      <c r="L1059" s="2" t="str">
        <f>_xlfn.XLOOKUP(Sales_Details2[[#This Row],[Store_ID]],Table2[Store_ID],Table2[Region],"Region not found")</f>
        <v>North</v>
      </c>
      <c r="M1059" s="25">
        <v>3</v>
      </c>
      <c r="N1059" s="36">
        <v>900.63</v>
      </c>
      <c r="O1059" s="29">
        <v>0.11</v>
      </c>
      <c r="P1059" s="2" t="s">
        <v>1812</v>
      </c>
      <c r="Q1059" s="36">
        <v>2404.6821</v>
      </c>
    </row>
    <row r="1060" spans="1:17" x14ac:dyDescent="0.3">
      <c r="A1060" s="2" t="s">
        <v>2867</v>
      </c>
      <c r="B1060" s="14">
        <v>45629</v>
      </c>
      <c r="C1060" s="2">
        <f>YEAR(Sales_Details2[[#This Row],[Order_Date]])</f>
        <v>2024</v>
      </c>
      <c r="D1060" s="2" t="s">
        <v>1352</v>
      </c>
      <c r="E1060" s="2" t="str">
        <f>VLOOKUP(Sales_Details2[[#This Row],[Customer_ID]],Customer_Details[#All],4,0)</f>
        <v>Mid-Adult</v>
      </c>
      <c r="F1060" s="2" t="str">
        <f>VLOOKUP(Sales_Details2[[#This Row],[Customer_ID]],Customer_Details[#All],5,0)</f>
        <v>Female</v>
      </c>
      <c r="G1060" s="2" t="str">
        <f>VLOOKUP(Sales_Details2[[#This Row],[Customer_ID]],Customer_Details[#All],9,0)</f>
        <v>Bronze</v>
      </c>
      <c r="H1060" s="2" t="s">
        <v>1623</v>
      </c>
      <c r="I1060" s="2" t="str">
        <f>VLOOKUP(Sales_Details2[[#This Row],[Product_ID]],Product_details[[#All],[Product_ID]:[Cost]],3,0)</f>
        <v>Clothing</v>
      </c>
      <c r="J1060" s="2" t="str">
        <f>VLOOKUP(Sales_Details2[[#This Row],[Product_ID]],Product_details[[#All],[Product_ID]:[Cost]],4,0)</f>
        <v>Outerwear</v>
      </c>
      <c r="K1060" s="2" t="s">
        <v>1765</v>
      </c>
      <c r="L1060" s="2" t="str">
        <f>_xlfn.XLOOKUP(Sales_Details2[[#This Row],[Store_ID]],Table2[Store_ID],Table2[Region],"Region not found")</f>
        <v>West</v>
      </c>
      <c r="M1060" s="25">
        <v>1</v>
      </c>
      <c r="N1060" s="36">
        <v>681.72</v>
      </c>
      <c r="O1060" s="29">
        <v>0.11</v>
      </c>
      <c r="P1060" s="2" t="s">
        <v>1809</v>
      </c>
      <c r="Q1060" s="36">
        <v>606.73080000000004</v>
      </c>
    </row>
    <row r="1061" spans="1:17" x14ac:dyDescent="0.3">
      <c r="A1061" s="2" t="s">
        <v>2868</v>
      </c>
      <c r="B1061" s="14">
        <v>45222</v>
      </c>
      <c r="C1061" s="2">
        <f>YEAR(Sales_Details2[[#This Row],[Order_Date]])</f>
        <v>2023</v>
      </c>
      <c r="D1061" s="2" t="s">
        <v>48</v>
      </c>
      <c r="E1061" s="2" t="str">
        <f>VLOOKUP(Sales_Details2[[#This Row],[Customer_ID]],Customer_Details[#All],4,0)</f>
        <v>Senior</v>
      </c>
      <c r="F1061" s="2" t="str">
        <f>VLOOKUP(Sales_Details2[[#This Row],[Customer_ID]],Customer_Details[#All],5,0)</f>
        <v>Male</v>
      </c>
      <c r="G1061" s="2" t="str">
        <f>VLOOKUP(Sales_Details2[[#This Row],[Customer_ID]],Customer_Details[#All],9,0)</f>
        <v>Platinum</v>
      </c>
      <c r="H1061" s="2" t="s">
        <v>1687</v>
      </c>
      <c r="I1061" s="2" t="str">
        <f>VLOOKUP(Sales_Details2[[#This Row],[Product_ID]],Product_details[[#All],[Product_ID]:[Cost]],3,0)</f>
        <v>Home</v>
      </c>
      <c r="J1061" s="2" t="str">
        <f>VLOOKUP(Sales_Details2[[#This Row],[Product_ID]],Product_details[[#All],[Product_ID]:[Cost]],4,0)</f>
        <v>Decor</v>
      </c>
      <c r="K1061" s="2" t="s">
        <v>1780</v>
      </c>
      <c r="L1061" s="2" t="str">
        <f>_xlfn.XLOOKUP(Sales_Details2[[#This Row],[Store_ID]],Table2[Store_ID],Table2[Region],"Region not found")</f>
        <v>East</v>
      </c>
      <c r="M1061" s="25">
        <v>2</v>
      </c>
      <c r="N1061" s="36">
        <v>838.22</v>
      </c>
      <c r="O1061" s="29">
        <v>0.3</v>
      </c>
      <c r="P1061" s="2" t="s">
        <v>1807</v>
      </c>
      <c r="Q1061" s="36">
        <v>1173.508</v>
      </c>
    </row>
    <row r="1062" spans="1:17" x14ac:dyDescent="0.3">
      <c r="A1062" s="2" t="s">
        <v>2869</v>
      </c>
      <c r="B1062" s="14">
        <v>45797</v>
      </c>
      <c r="C1062" s="2">
        <f>YEAR(Sales_Details2[[#This Row],[Order_Date]])</f>
        <v>2025</v>
      </c>
      <c r="D1062" s="2" t="s">
        <v>631</v>
      </c>
      <c r="E1062" s="2" t="str">
        <f>VLOOKUP(Sales_Details2[[#This Row],[Customer_ID]],Customer_Details[#All],4,0)</f>
        <v>Mid-Adult</v>
      </c>
      <c r="F1062" s="2" t="str">
        <f>VLOOKUP(Sales_Details2[[#This Row],[Customer_ID]],Customer_Details[#All],5,0)</f>
        <v>Male</v>
      </c>
      <c r="G1062" s="2" t="str">
        <f>VLOOKUP(Sales_Details2[[#This Row],[Customer_ID]],Customer_Details[#All],9,0)</f>
        <v>Gold</v>
      </c>
      <c r="H1062" s="2" t="s">
        <v>1705</v>
      </c>
      <c r="I1062" s="2" t="str">
        <f>VLOOKUP(Sales_Details2[[#This Row],[Product_ID]],Product_details[[#All],[Product_ID]:[Cost]],3,0)</f>
        <v>Home</v>
      </c>
      <c r="J1062" s="2" t="str">
        <f>VLOOKUP(Sales_Details2[[#This Row],[Product_ID]],Product_details[[#All],[Product_ID]:[Cost]],4,0)</f>
        <v>Lighting</v>
      </c>
      <c r="K1062" s="2" t="s">
        <v>1777</v>
      </c>
      <c r="L1062" s="2" t="str">
        <f>_xlfn.XLOOKUP(Sales_Details2[[#This Row],[Store_ID]],Table2[Store_ID],Table2[Region],"Region not found")</f>
        <v>North</v>
      </c>
      <c r="M1062" s="25">
        <v>2</v>
      </c>
      <c r="N1062" s="36">
        <v>816.22</v>
      </c>
      <c r="O1062" s="29">
        <v>0.27</v>
      </c>
      <c r="P1062" s="2" t="s">
        <v>1807</v>
      </c>
      <c r="Q1062" s="36">
        <v>1191.6812</v>
      </c>
    </row>
    <row r="1063" spans="1:17" x14ac:dyDescent="0.3">
      <c r="A1063" s="2" t="s">
        <v>2870</v>
      </c>
      <c r="B1063" s="14">
        <v>45554</v>
      </c>
      <c r="C1063" s="2">
        <f>YEAR(Sales_Details2[[#This Row],[Order_Date]])</f>
        <v>2024</v>
      </c>
      <c r="D1063" s="2" t="s">
        <v>1174</v>
      </c>
      <c r="E1063" s="2" t="str">
        <f>VLOOKUP(Sales_Details2[[#This Row],[Customer_ID]],Customer_Details[#All],4,0)</f>
        <v>Adult</v>
      </c>
      <c r="F1063" s="2" t="str">
        <f>VLOOKUP(Sales_Details2[[#This Row],[Customer_ID]],Customer_Details[#All],5,0)</f>
        <v>Male</v>
      </c>
      <c r="G1063" s="2" t="str">
        <f>VLOOKUP(Sales_Details2[[#This Row],[Customer_ID]],Customer_Details[#All],9,0)</f>
        <v>Gold</v>
      </c>
      <c r="H1063" s="2" t="s">
        <v>1653</v>
      </c>
      <c r="I1063" s="2" t="str">
        <f>VLOOKUP(Sales_Details2[[#This Row],[Product_ID]],Product_details[[#All],[Product_ID]:[Cost]],3,0)</f>
        <v>Sports</v>
      </c>
      <c r="J1063" s="2" t="str">
        <f>VLOOKUP(Sales_Details2[[#This Row],[Product_ID]],Product_details[[#All],[Product_ID]:[Cost]],4,0)</f>
        <v>Equipment</v>
      </c>
      <c r="K1063" s="2" t="s">
        <v>1762</v>
      </c>
      <c r="L1063" s="2" t="str">
        <f>_xlfn.XLOOKUP(Sales_Details2[[#This Row],[Store_ID]],Table2[Store_ID],Table2[Region],"Region not found")</f>
        <v>South</v>
      </c>
      <c r="M1063" s="25">
        <v>2</v>
      </c>
      <c r="N1063" s="36">
        <v>654.12</v>
      </c>
      <c r="O1063" s="29">
        <v>0.27</v>
      </c>
      <c r="P1063" s="2" t="s">
        <v>1809</v>
      </c>
      <c r="Q1063" s="36">
        <v>955.01519999999994</v>
      </c>
    </row>
    <row r="1064" spans="1:17" x14ac:dyDescent="0.3">
      <c r="A1064" s="2" t="s">
        <v>2871</v>
      </c>
      <c r="B1064" s="14">
        <v>45385</v>
      </c>
      <c r="C1064" s="2">
        <f>YEAR(Sales_Details2[[#This Row],[Order_Date]])</f>
        <v>2024</v>
      </c>
      <c r="D1064" s="2" t="s">
        <v>367</v>
      </c>
      <c r="E1064" s="2" t="str">
        <f>VLOOKUP(Sales_Details2[[#This Row],[Customer_ID]],Customer_Details[#All],4,0)</f>
        <v>Mid-Adult</v>
      </c>
      <c r="F1064" s="2" t="str">
        <f>VLOOKUP(Sales_Details2[[#This Row],[Customer_ID]],Customer_Details[#All],5,0)</f>
        <v>Female</v>
      </c>
      <c r="G1064" s="2" t="str">
        <f>VLOOKUP(Sales_Details2[[#This Row],[Customer_ID]],Customer_Details[#All],9,0)</f>
        <v>Gold</v>
      </c>
      <c r="H1064" s="2" t="s">
        <v>1677</v>
      </c>
      <c r="I1064" s="2" t="str">
        <f>VLOOKUP(Sales_Details2[[#This Row],[Product_ID]],Product_details[[#All],[Product_ID]:[Cost]],3,0)</f>
        <v>Sports</v>
      </c>
      <c r="J1064" s="2" t="str">
        <f>VLOOKUP(Sales_Details2[[#This Row],[Product_ID]],Product_details[[#All],[Product_ID]:[Cost]],4,0)</f>
        <v>Team Sports</v>
      </c>
      <c r="K1064" s="2" t="s">
        <v>1780</v>
      </c>
      <c r="L1064" s="2" t="str">
        <f>_xlfn.XLOOKUP(Sales_Details2[[#This Row],[Store_ID]],Table2[Store_ID],Table2[Region],"Region not found")</f>
        <v>East</v>
      </c>
      <c r="M1064" s="25">
        <v>4</v>
      </c>
      <c r="N1064" s="36">
        <v>528.22</v>
      </c>
      <c r="O1064" s="29">
        <v>0.2</v>
      </c>
      <c r="P1064" s="2" t="s">
        <v>1809</v>
      </c>
      <c r="Q1064" s="36">
        <v>1690.3040000000001</v>
      </c>
    </row>
    <row r="1065" spans="1:17" x14ac:dyDescent="0.3">
      <c r="A1065" s="2" t="s">
        <v>2872</v>
      </c>
      <c r="B1065" s="14">
        <v>45704</v>
      </c>
      <c r="C1065" s="2">
        <f>YEAR(Sales_Details2[[#This Row],[Order_Date]])</f>
        <v>2025</v>
      </c>
      <c r="D1065" s="2" t="s">
        <v>710</v>
      </c>
      <c r="E1065" s="2" t="str">
        <f>VLOOKUP(Sales_Details2[[#This Row],[Customer_ID]],Customer_Details[#All],4,0)</f>
        <v>Mid-Adult</v>
      </c>
      <c r="F1065" s="2" t="str">
        <f>VLOOKUP(Sales_Details2[[#This Row],[Customer_ID]],Customer_Details[#All],5,0)</f>
        <v>Male</v>
      </c>
      <c r="G1065" s="2" t="str">
        <f>VLOOKUP(Sales_Details2[[#This Row],[Customer_ID]],Customer_Details[#All],9,0)</f>
        <v>Platinum</v>
      </c>
      <c r="H1065" s="2" t="s">
        <v>1599</v>
      </c>
      <c r="I1065" s="2" t="str">
        <f>VLOOKUP(Sales_Details2[[#This Row],[Product_ID]],Product_details[[#All],[Product_ID]:[Cost]],3,0)</f>
        <v>Electronics</v>
      </c>
      <c r="J1065" s="2" t="str">
        <f>VLOOKUP(Sales_Details2[[#This Row],[Product_ID]],Product_details[[#All],[Product_ID]:[Cost]],4,0)</f>
        <v>Computer</v>
      </c>
      <c r="K1065" s="2" t="s">
        <v>1762</v>
      </c>
      <c r="L1065" s="2" t="str">
        <f>_xlfn.XLOOKUP(Sales_Details2[[#This Row],[Store_ID]],Table2[Store_ID],Table2[Region],"Region not found")</f>
        <v>South</v>
      </c>
      <c r="M1065" s="25">
        <v>4</v>
      </c>
      <c r="N1065" s="36">
        <v>36.72</v>
      </c>
      <c r="O1065" s="29">
        <v>7.0000000000000007E-2</v>
      </c>
      <c r="P1065" s="2" t="s">
        <v>1812</v>
      </c>
      <c r="Q1065" s="36">
        <v>136.5984</v>
      </c>
    </row>
    <row r="1066" spans="1:17" x14ac:dyDescent="0.3">
      <c r="A1066" s="2" t="s">
        <v>2873</v>
      </c>
      <c r="B1066" s="14">
        <v>45545</v>
      </c>
      <c r="C1066" s="2">
        <f>YEAR(Sales_Details2[[#This Row],[Order_Date]])</f>
        <v>2024</v>
      </c>
      <c r="D1066" s="2" t="s">
        <v>1144</v>
      </c>
      <c r="E1066" s="2" t="str">
        <f>VLOOKUP(Sales_Details2[[#This Row],[Customer_ID]],Customer_Details[#All],4,0)</f>
        <v>Mid-Adult</v>
      </c>
      <c r="F1066" s="2" t="str">
        <f>VLOOKUP(Sales_Details2[[#This Row],[Customer_ID]],Customer_Details[#All],5,0)</f>
        <v>Male</v>
      </c>
      <c r="G1066" s="2" t="str">
        <f>VLOOKUP(Sales_Details2[[#This Row],[Customer_ID]],Customer_Details[#All],9,0)</f>
        <v>Silver</v>
      </c>
      <c r="H1066" s="2" t="s">
        <v>1687</v>
      </c>
      <c r="I1066" s="2" t="str">
        <f>VLOOKUP(Sales_Details2[[#This Row],[Product_ID]],Product_details[[#All],[Product_ID]:[Cost]],3,0)</f>
        <v>Home</v>
      </c>
      <c r="J1066" s="2" t="str">
        <f>VLOOKUP(Sales_Details2[[#This Row],[Product_ID]],Product_details[[#All],[Product_ID]:[Cost]],4,0)</f>
        <v>Decor</v>
      </c>
      <c r="K1066" s="2" t="s">
        <v>1796</v>
      </c>
      <c r="L1066" s="2" t="str">
        <f>_xlfn.XLOOKUP(Sales_Details2[[#This Row],[Store_ID]],Table2[Store_ID],Table2[Region],"Region not found")</f>
        <v>East</v>
      </c>
      <c r="M1066" s="25">
        <v>2</v>
      </c>
      <c r="N1066" s="36">
        <v>705.97</v>
      </c>
      <c r="O1066" s="29">
        <v>0.1</v>
      </c>
      <c r="P1066" s="2" t="s">
        <v>1809</v>
      </c>
      <c r="Q1066" s="36">
        <v>1270.7460000000001</v>
      </c>
    </row>
    <row r="1067" spans="1:17" x14ac:dyDescent="0.3">
      <c r="A1067" s="2" t="s">
        <v>2874</v>
      </c>
      <c r="B1067" s="14">
        <v>45736</v>
      </c>
      <c r="C1067" s="2">
        <f>YEAR(Sales_Details2[[#This Row],[Order_Date]])</f>
        <v>2025</v>
      </c>
      <c r="D1067" s="2" t="s">
        <v>100</v>
      </c>
      <c r="E1067" s="2" t="str">
        <f>VLOOKUP(Sales_Details2[[#This Row],[Customer_ID]],Customer_Details[#All],4,0)</f>
        <v>Senior</v>
      </c>
      <c r="F1067" s="2" t="str">
        <f>VLOOKUP(Sales_Details2[[#This Row],[Customer_ID]],Customer_Details[#All],5,0)</f>
        <v>Female</v>
      </c>
      <c r="G1067" s="2" t="str">
        <f>VLOOKUP(Sales_Details2[[#This Row],[Customer_ID]],Customer_Details[#All],9,0)</f>
        <v>Silver</v>
      </c>
      <c r="H1067" s="2" t="s">
        <v>1611</v>
      </c>
      <c r="I1067" s="2" t="str">
        <f>VLOOKUP(Sales_Details2[[#This Row],[Product_ID]],Product_details[[#All],[Product_ID]:[Cost]],3,0)</f>
        <v>Electronics</v>
      </c>
      <c r="J1067" s="2" t="str">
        <f>VLOOKUP(Sales_Details2[[#This Row],[Product_ID]],Product_details[[#All],[Product_ID]:[Cost]],4,0)</f>
        <v>Audio</v>
      </c>
      <c r="K1067" s="2" t="s">
        <v>1740</v>
      </c>
      <c r="L1067" s="2" t="str">
        <f>_xlfn.XLOOKUP(Sales_Details2[[#This Row],[Store_ID]],Table2[Store_ID],Table2[Region],"Region not found")</f>
        <v>North</v>
      </c>
      <c r="M1067" s="25">
        <v>2</v>
      </c>
      <c r="N1067" s="36">
        <v>994.29</v>
      </c>
      <c r="O1067" s="29">
        <v>0.01</v>
      </c>
      <c r="P1067" s="2" t="s">
        <v>1809</v>
      </c>
      <c r="Q1067" s="36">
        <v>1968.6941999999999</v>
      </c>
    </row>
    <row r="1068" spans="1:17" x14ac:dyDescent="0.3">
      <c r="A1068" s="2" t="s">
        <v>2875</v>
      </c>
      <c r="B1068" s="14">
        <v>45608</v>
      </c>
      <c r="C1068" s="2">
        <f>YEAR(Sales_Details2[[#This Row],[Order_Date]])</f>
        <v>2024</v>
      </c>
      <c r="D1068" s="2" t="s">
        <v>1292</v>
      </c>
      <c r="E1068" s="2" t="str">
        <f>VLOOKUP(Sales_Details2[[#This Row],[Customer_ID]],Customer_Details[#All],4,0)</f>
        <v>Mid-Adult</v>
      </c>
      <c r="F1068" s="2" t="str">
        <f>VLOOKUP(Sales_Details2[[#This Row],[Customer_ID]],Customer_Details[#All],5,0)</f>
        <v>Female</v>
      </c>
      <c r="G1068" s="2" t="str">
        <f>VLOOKUP(Sales_Details2[[#This Row],[Customer_ID]],Customer_Details[#All],9,0)</f>
        <v>Platinum</v>
      </c>
      <c r="H1068" s="2" t="s">
        <v>1715</v>
      </c>
      <c r="I1068" s="2" t="str">
        <f>VLOOKUP(Sales_Details2[[#This Row],[Product_ID]],Product_details[[#All],[Product_ID]:[Cost]],3,0)</f>
        <v>Home</v>
      </c>
      <c r="J1068" s="2" t="str">
        <f>VLOOKUP(Sales_Details2[[#This Row],[Product_ID]],Product_details[[#All],[Product_ID]:[Cost]],4,0)</f>
        <v>Appliances</v>
      </c>
      <c r="K1068" s="2" t="s">
        <v>1793</v>
      </c>
      <c r="L1068" s="2" t="str">
        <f>_xlfn.XLOOKUP(Sales_Details2[[#This Row],[Store_ID]],Table2[Store_ID],Table2[Region],"Region not found")</f>
        <v>East</v>
      </c>
      <c r="M1068" s="25">
        <v>1</v>
      </c>
      <c r="N1068" s="36">
        <v>909.04</v>
      </c>
      <c r="O1068" s="29">
        <v>0.11</v>
      </c>
      <c r="P1068" s="2" t="s">
        <v>1807</v>
      </c>
      <c r="Q1068" s="36">
        <v>809.04560000000004</v>
      </c>
    </row>
    <row r="1069" spans="1:17" x14ac:dyDescent="0.3">
      <c r="A1069" s="2" t="s">
        <v>2876</v>
      </c>
      <c r="B1069" s="14">
        <v>45334</v>
      </c>
      <c r="C1069" s="2">
        <f>YEAR(Sales_Details2[[#This Row],[Order_Date]])</f>
        <v>2024</v>
      </c>
      <c r="D1069" s="2" t="s">
        <v>1083</v>
      </c>
      <c r="E1069" s="2" t="str">
        <f>VLOOKUP(Sales_Details2[[#This Row],[Customer_ID]],Customer_Details[#All],4,0)</f>
        <v>Mid-Adult</v>
      </c>
      <c r="F1069" s="2" t="str">
        <f>VLOOKUP(Sales_Details2[[#This Row],[Customer_ID]],Customer_Details[#All],5,0)</f>
        <v>Male</v>
      </c>
      <c r="G1069" s="2" t="str">
        <f>VLOOKUP(Sales_Details2[[#This Row],[Customer_ID]],Customer_Details[#All],9,0)</f>
        <v>Bronze</v>
      </c>
      <c r="H1069" s="2" t="s">
        <v>1599</v>
      </c>
      <c r="I1069" s="2" t="str">
        <f>VLOOKUP(Sales_Details2[[#This Row],[Product_ID]],Product_details[[#All],[Product_ID]:[Cost]],3,0)</f>
        <v>Electronics</v>
      </c>
      <c r="J1069" s="2" t="str">
        <f>VLOOKUP(Sales_Details2[[#This Row],[Product_ID]],Product_details[[#All],[Product_ID]:[Cost]],4,0)</f>
        <v>Computer</v>
      </c>
      <c r="K1069" s="2" t="s">
        <v>1775</v>
      </c>
      <c r="L1069" s="2" t="str">
        <f>_xlfn.XLOOKUP(Sales_Details2[[#This Row],[Store_ID]],Table2[Store_ID],Table2[Region],"Region not found")</f>
        <v>South</v>
      </c>
      <c r="M1069" s="25">
        <v>1</v>
      </c>
      <c r="N1069" s="36">
        <v>164.73</v>
      </c>
      <c r="O1069" s="29">
        <v>0.12</v>
      </c>
      <c r="P1069" s="2" t="s">
        <v>1809</v>
      </c>
      <c r="Q1069" s="36">
        <v>144.9624</v>
      </c>
    </row>
    <row r="1070" spans="1:17" x14ac:dyDescent="0.3">
      <c r="A1070" s="2" t="s">
        <v>2877</v>
      </c>
      <c r="B1070" s="14">
        <v>45690</v>
      </c>
      <c r="C1070" s="2">
        <f>YEAR(Sales_Details2[[#This Row],[Order_Date]])</f>
        <v>2025</v>
      </c>
      <c r="D1070" s="2" t="s">
        <v>227</v>
      </c>
      <c r="E1070" s="2" t="str">
        <f>VLOOKUP(Sales_Details2[[#This Row],[Customer_ID]],Customer_Details[#All],4,0)</f>
        <v>Mid-Adult</v>
      </c>
      <c r="F1070" s="2" t="str">
        <f>VLOOKUP(Sales_Details2[[#This Row],[Customer_ID]],Customer_Details[#All],5,0)</f>
        <v>Male</v>
      </c>
      <c r="G1070" s="2" t="str">
        <f>VLOOKUP(Sales_Details2[[#This Row],[Customer_ID]],Customer_Details[#All],9,0)</f>
        <v>Bronze</v>
      </c>
      <c r="H1070" s="2" t="s">
        <v>1605</v>
      </c>
      <c r="I1070" s="2" t="str">
        <f>VLOOKUP(Sales_Details2[[#This Row],[Product_ID]],Product_details[[#All],[Product_ID]:[Cost]],3,0)</f>
        <v>Clothing</v>
      </c>
      <c r="J1070" s="2" t="str">
        <f>VLOOKUP(Sales_Details2[[#This Row],[Product_ID]],Product_details[[#All],[Product_ID]:[Cost]],4,0)</f>
        <v>Footwear</v>
      </c>
      <c r="K1070" s="2" t="s">
        <v>1762</v>
      </c>
      <c r="L1070" s="2" t="str">
        <f>_xlfn.XLOOKUP(Sales_Details2[[#This Row],[Store_ID]],Table2[Store_ID],Table2[Region],"Region not found")</f>
        <v>South</v>
      </c>
      <c r="M1070" s="25">
        <v>2</v>
      </c>
      <c r="N1070" s="36">
        <v>606.35</v>
      </c>
      <c r="O1070" s="29">
        <v>0.16</v>
      </c>
      <c r="P1070" s="2" t="s">
        <v>1812</v>
      </c>
      <c r="Q1070" s="36">
        <v>1018.668</v>
      </c>
    </row>
    <row r="1071" spans="1:17" x14ac:dyDescent="0.3">
      <c r="A1071" s="2" t="s">
        <v>2878</v>
      </c>
      <c r="B1071" s="14">
        <v>45481</v>
      </c>
      <c r="C1071" s="2">
        <f>YEAR(Sales_Details2[[#This Row],[Order_Date]])</f>
        <v>2024</v>
      </c>
      <c r="D1071" s="2" t="s">
        <v>539</v>
      </c>
      <c r="E1071" s="2" t="str">
        <f>VLOOKUP(Sales_Details2[[#This Row],[Customer_ID]],Customer_Details[#All],4,0)</f>
        <v>Adult</v>
      </c>
      <c r="F1071" s="2" t="str">
        <f>VLOOKUP(Sales_Details2[[#This Row],[Customer_ID]],Customer_Details[#All],5,0)</f>
        <v>Male</v>
      </c>
      <c r="G1071" s="2" t="str">
        <f>VLOOKUP(Sales_Details2[[#This Row],[Customer_ID]],Customer_Details[#All],9,0)</f>
        <v>Bronze</v>
      </c>
      <c r="H1071" s="2" t="s">
        <v>1727</v>
      </c>
      <c r="I1071" s="2" t="str">
        <f>VLOOKUP(Sales_Details2[[#This Row],[Product_ID]],Product_details[[#All],[Product_ID]:[Cost]],3,0)</f>
        <v>Electronics</v>
      </c>
      <c r="J1071" s="2" t="str">
        <f>VLOOKUP(Sales_Details2[[#This Row],[Product_ID]],Product_details[[#All],[Product_ID]:[Cost]],4,0)</f>
        <v>Audio</v>
      </c>
      <c r="K1071" s="2" t="s">
        <v>1752</v>
      </c>
      <c r="L1071" s="2" t="str">
        <f>_xlfn.XLOOKUP(Sales_Details2[[#This Row],[Store_ID]],Table2[Store_ID],Table2[Region],"Region not found")</f>
        <v>South</v>
      </c>
      <c r="M1071" s="25">
        <v>3</v>
      </c>
      <c r="N1071" s="36">
        <v>904.19</v>
      </c>
      <c r="O1071" s="29">
        <v>0.09</v>
      </c>
      <c r="P1071" s="2" t="s">
        <v>1807</v>
      </c>
      <c r="Q1071" s="36">
        <v>2468.4387000000002</v>
      </c>
    </row>
    <row r="1072" spans="1:17" x14ac:dyDescent="0.3">
      <c r="A1072" s="2" t="s">
        <v>2879</v>
      </c>
      <c r="B1072" s="14">
        <v>45576</v>
      </c>
      <c r="C1072" s="2">
        <f>YEAR(Sales_Details2[[#This Row],[Order_Date]])</f>
        <v>2024</v>
      </c>
      <c r="D1072" s="2" t="s">
        <v>503</v>
      </c>
      <c r="E1072" s="2" t="str">
        <f>VLOOKUP(Sales_Details2[[#This Row],[Customer_ID]],Customer_Details[#All],4,0)</f>
        <v>Adult</v>
      </c>
      <c r="F1072" s="2" t="str">
        <f>VLOOKUP(Sales_Details2[[#This Row],[Customer_ID]],Customer_Details[#All],5,0)</f>
        <v>Female</v>
      </c>
      <c r="G1072" s="2" t="str">
        <f>VLOOKUP(Sales_Details2[[#This Row],[Customer_ID]],Customer_Details[#All],9,0)</f>
        <v>Gold</v>
      </c>
      <c r="H1072" s="2" t="s">
        <v>1631</v>
      </c>
      <c r="I1072" s="2" t="str">
        <f>VLOOKUP(Sales_Details2[[#This Row],[Product_ID]],Product_details[[#All],[Product_ID]:[Cost]],3,0)</f>
        <v>Sports</v>
      </c>
      <c r="J1072" s="2" t="str">
        <f>VLOOKUP(Sales_Details2[[#This Row],[Product_ID]],Product_details[[#All],[Product_ID]:[Cost]],4,0)</f>
        <v>Fitness</v>
      </c>
      <c r="K1072" s="2" t="s">
        <v>1744</v>
      </c>
      <c r="L1072" s="2" t="str">
        <f>_xlfn.XLOOKUP(Sales_Details2[[#This Row],[Store_ID]],Table2[Store_ID],Table2[Region],"Region not found")</f>
        <v>South</v>
      </c>
      <c r="M1072" s="25">
        <v>4</v>
      </c>
      <c r="N1072" s="36">
        <v>694.61</v>
      </c>
      <c r="O1072" s="29">
        <v>0.18</v>
      </c>
      <c r="P1072" s="2" t="s">
        <v>1812</v>
      </c>
      <c r="Q1072" s="36">
        <v>2278.3208</v>
      </c>
    </row>
    <row r="1073" spans="1:17" x14ac:dyDescent="0.3">
      <c r="A1073" s="2" t="s">
        <v>2880</v>
      </c>
      <c r="B1073" s="14">
        <v>45215</v>
      </c>
      <c r="C1073" s="2">
        <f>YEAR(Sales_Details2[[#This Row],[Order_Date]])</f>
        <v>2023</v>
      </c>
      <c r="D1073" s="2" t="s">
        <v>721</v>
      </c>
      <c r="E1073" s="2" t="str">
        <f>VLOOKUP(Sales_Details2[[#This Row],[Customer_ID]],Customer_Details[#All],4,0)</f>
        <v>Mid-Adult</v>
      </c>
      <c r="F1073" s="2" t="str">
        <f>VLOOKUP(Sales_Details2[[#This Row],[Customer_ID]],Customer_Details[#All],5,0)</f>
        <v>Female</v>
      </c>
      <c r="G1073" s="2" t="str">
        <f>VLOOKUP(Sales_Details2[[#This Row],[Customer_ID]],Customer_Details[#All],9,0)</f>
        <v>Platinum</v>
      </c>
      <c r="H1073" s="2" t="s">
        <v>1709</v>
      </c>
      <c r="I1073" s="2" t="str">
        <f>VLOOKUP(Sales_Details2[[#This Row],[Product_ID]],Product_details[[#All],[Product_ID]:[Cost]],3,0)</f>
        <v>Beauty</v>
      </c>
      <c r="J1073" s="2" t="str">
        <f>VLOOKUP(Sales_Details2[[#This Row],[Product_ID]],Product_details[[#All],[Product_ID]:[Cost]],4,0)</f>
        <v>Makeup</v>
      </c>
      <c r="K1073" s="2" t="s">
        <v>1744</v>
      </c>
      <c r="L1073" s="2" t="str">
        <f>_xlfn.XLOOKUP(Sales_Details2[[#This Row],[Store_ID]],Table2[Store_ID],Table2[Region],"Region not found")</f>
        <v>South</v>
      </c>
      <c r="M1073" s="25">
        <v>4</v>
      </c>
      <c r="N1073" s="36">
        <v>753.83</v>
      </c>
      <c r="O1073" s="29">
        <v>0.24</v>
      </c>
      <c r="P1073" s="2" t="s">
        <v>1807</v>
      </c>
      <c r="Q1073" s="36">
        <v>2291.6432</v>
      </c>
    </row>
    <row r="1074" spans="1:17" x14ac:dyDescent="0.3">
      <c r="A1074" s="2" t="s">
        <v>2881</v>
      </c>
      <c r="B1074" s="14">
        <v>45653</v>
      </c>
      <c r="C1074" s="2">
        <f>YEAR(Sales_Details2[[#This Row],[Order_Date]])</f>
        <v>2024</v>
      </c>
      <c r="D1074" s="2" t="s">
        <v>640</v>
      </c>
      <c r="E1074" s="2" t="str">
        <f>VLOOKUP(Sales_Details2[[#This Row],[Customer_ID]],Customer_Details[#All],4,0)</f>
        <v>Mid-Adult</v>
      </c>
      <c r="F1074" s="2" t="str">
        <f>VLOOKUP(Sales_Details2[[#This Row],[Customer_ID]],Customer_Details[#All],5,0)</f>
        <v>Female</v>
      </c>
      <c r="G1074" s="2" t="str">
        <f>VLOOKUP(Sales_Details2[[#This Row],[Customer_ID]],Customer_Details[#All],9,0)</f>
        <v>Platinum</v>
      </c>
      <c r="H1074" s="2" t="s">
        <v>1573</v>
      </c>
      <c r="I1074" s="2" t="str">
        <f>VLOOKUP(Sales_Details2[[#This Row],[Product_ID]],Product_details[[#All],[Product_ID]:[Cost]],3,0)</f>
        <v>Home</v>
      </c>
      <c r="J1074" s="2" t="str">
        <f>VLOOKUP(Sales_Details2[[#This Row],[Product_ID]],Product_details[[#All],[Product_ID]:[Cost]],4,0)</f>
        <v>Storage</v>
      </c>
      <c r="K1074" s="2" t="s">
        <v>1765</v>
      </c>
      <c r="L1074" s="2" t="str">
        <f>_xlfn.XLOOKUP(Sales_Details2[[#This Row],[Store_ID]],Table2[Store_ID],Table2[Region],"Region not found")</f>
        <v>West</v>
      </c>
      <c r="M1074" s="25">
        <v>1</v>
      </c>
      <c r="N1074" s="36">
        <v>66.22</v>
      </c>
      <c r="O1074" s="29">
        <v>0.02</v>
      </c>
      <c r="P1074" s="2" t="s">
        <v>1807</v>
      </c>
      <c r="Q1074" s="36">
        <v>64.895600000000002</v>
      </c>
    </row>
    <row r="1075" spans="1:17" x14ac:dyDescent="0.3">
      <c r="A1075" s="2" t="s">
        <v>2882</v>
      </c>
      <c r="B1075" s="14">
        <v>45241</v>
      </c>
      <c r="C1075" s="2">
        <f>YEAR(Sales_Details2[[#This Row],[Order_Date]])</f>
        <v>2023</v>
      </c>
      <c r="D1075" s="2" t="s">
        <v>1048</v>
      </c>
      <c r="E1075" s="2" t="str">
        <f>VLOOKUP(Sales_Details2[[#This Row],[Customer_ID]],Customer_Details[#All],4,0)</f>
        <v>Mid-Adult</v>
      </c>
      <c r="F1075" s="2" t="str">
        <f>VLOOKUP(Sales_Details2[[#This Row],[Customer_ID]],Customer_Details[#All],5,0)</f>
        <v>Female</v>
      </c>
      <c r="G1075" s="2" t="str">
        <f>VLOOKUP(Sales_Details2[[#This Row],[Customer_ID]],Customer_Details[#All],9,0)</f>
        <v>Bronze</v>
      </c>
      <c r="H1075" s="2" t="s">
        <v>1659</v>
      </c>
      <c r="I1075" s="2" t="str">
        <f>VLOOKUP(Sales_Details2[[#This Row],[Product_ID]],Product_details[[#All],[Product_ID]:[Cost]],3,0)</f>
        <v>Beauty</v>
      </c>
      <c r="J1075" s="2" t="str">
        <f>VLOOKUP(Sales_Details2[[#This Row],[Product_ID]],Product_details[[#All],[Product_ID]:[Cost]],4,0)</f>
        <v>Makeup</v>
      </c>
      <c r="K1075" s="2" t="s">
        <v>1782</v>
      </c>
      <c r="L1075" s="2" t="str">
        <f>_xlfn.XLOOKUP(Sales_Details2[[#This Row],[Store_ID]],Table2[Store_ID],Table2[Region],"Region not found")</f>
        <v>South</v>
      </c>
      <c r="M1075" s="25">
        <v>2</v>
      </c>
      <c r="N1075" s="36">
        <v>891.8</v>
      </c>
      <c r="O1075" s="29">
        <v>0.28999999999999998</v>
      </c>
      <c r="P1075" s="2" t="s">
        <v>1812</v>
      </c>
      <c r="Q1075" s="36">
        <v>1266.356</v>
      </c>
    </row>
    <row r="1076" spans="1:17" x14ac:dyDescent="0.3">
      <c r="A1076" s="2" t="s">
        <v>2883</v>
      </c>
      <c r="B1076" s="14">
        <v>45428</v>
      </c>
      <c r="C1076" s="2">
        <f>YEAR(Sales_Details2[[#This Row],[Order_Date]])</f>
        <v>2024</v>
      </c>
      <c r="D1076" s="2" t="s">
        <v>1123</v>
      </c>
      <c r="E1076" s="2" t="str">
        <f>VLOOKUP(Sales_Details2[[#This Row],[Customer_ID]],Customer_Details[#All],4,0)</f>
        <v>Adult</v>
      </c>
      <c r="F1076" s="2" t="str">
        <f>VLOOKUP(Sales_Details2[[#This Row],[Customer_ID]],Customer_Details[#All],5,0)</f>
        <v>Male</v>
      </c>
      <c r="G1076" s="2" t="str">
        <f>VLOOKUP(Sales_Details2[[#This Row],[Customer_ID]],Customer_Details[#All],9,0)</f>
        <v>Bronze</v>
      </c>
      <c r="H1076" s="2" t="s">
        <v>1681</v>
      </c>
      <c r="I1076" s="2" t="str">
        <f>VLOOKUP(Sales_Details2[[#This Row],[Product_ID]],Product_details[[#All],[Product_ID]:[Cost]],3,0)</f>
        <v>Clothing</v>
      </c>
      <c r="J1076" s="2" t="str">
        <f>VLOOKUP(Sales_Details2[[#This Row],[Product_ID]],Product_details[[#All],[Product_ID]:[Cost]],4,0)</f>
        <v>Footwear</v>
      </c>
      <c r="K1076" s="2" t="s">
        <v>1769</v>
      </c>
      <c r="L1076" s="2" t="str">
        <f>_xlfn.XLOOKUP(Sales_Details2[[#This Row],[Store_ID]],Table2[Store_ID],Table2[Region],"Region not found")</f>
        <v>South</v>
      </c>
      <c r="M1076" s="25">
        <v>4</v>
      </c>
      <c r="N1076" s="36">
        <v>255.48</v>
      </c>
      <c r="O1076" s="29">
        <v>0.03</v>
      </c>
      <c r="P1076" s="2" t="s">
        <v>1812</v>
      </c>
      <c r="Q1076" s="36">
        <v>991.26239999999996</v>
      </c>
    </row>
    <row r="1077" spans="1:17" x14ac:dyDescent="0.3">
      <c r="A1077" s="2" t="s">
        <v>2884</v>
      </c>
      <c r="B1077" s="14">
        <v>45593</v>
      </c>
      <c r="C1077" s="2">
        <f>YEAR(Sales_Details2[[#This Row],[Order_Date]])</f>
        <v>2024</v>
      </c>
      <c r="D1077" s="2" t="s">
        <v>942</v>
      </c>
      <c r="E1077" s="2" t="str">
        <f>VLOOKUP(Sales_Details2[[#This Row],[Customer_ID]],Customer_Details[#All],4,0)</f>
        <v>Mid-Adult</v>
      </c>
      <c r="F1077" s="2" t="str">
        <f>VLOOKUP(Sales_Details2[[#This Row],[Customer_ID]],Customer_Details[#All],5,0)</f>
        <v>Male</v>
      </c>
      <c r="G1077" s="2" t="str">
        <f>VLOOKUP(Sales_Details2[[#This Row],[Customer_ID]],Customer_Details[#All],9,0)</f>
        <v>Gold</v>
      </c>
      <c r="H1077" s="2" t="s">
        <v>1699</v>
      </c>
      <c r="I1077" s="2" t="str">
        <f>VLOOKUP(Sales_Details2[[#This Row],[Product_ID]],Product_details[[#All],[Product_ID]:[Cost]],3,0)</f>
        <v>Home</v>
      </c>
      <c r="J1077" s="2" t="str">
        <f>VLOOKUP(Sales_Details2[[#This Row],[Product_ID]],Product_details[[#All],[Product_ID]:[Cost]],4,0)</f>
        <v>Furniture</v>
      </c>
      <c r="K1077" s="2" t="s">
        <v>1790</v>
      </c>
      <c r="L1077" s="2" t="str">
        <f>_xlfn.XLOOKUP(Sales_Details2[[#This Row],[Store_ID]],Table2[Store_ID],Table2[Region],"Region not found")</f>
        <v>North</v>
      </c>
      <c r="M1077" s="25">
        <v>4</v>
      </c>
      <c r="N1077" s="36">
        <v>604.87</v>
      </c>
      <c r="O1077" s="29">
        <v>0.28000000000000003</v>
      </c>
      <c r="P1077" s="2" t="s">
        <v>1809</v>
      </c>
      <c r="Q1077" s="36">
        <v>1742.0255999999999</v>
      </c>
    </row>
    <row r="1078" spans="1:17" x14ac:dyDescent="0.3">
      <c r="A1078" s="2" t="s">
        <v>2885</v>
      </c>
      <c r="B1078" s="14">
        <v>45370</v>
      </c>
      <c r="C1078" s="2">
        <f>YEAR(Sales_Details2[[#This Row],[Order_Date]])</f>
        <v>2024</v>
      </c>
      <c r="D1078" s="2" t="s">
        <v>174</v>
      </c>
      <c r="E1078" s="2" t="str">
        <f>VLOOKUP(Sales_Details2[[#This Row],[Customer_ID]],Customer_Details[#All],4,0)</f>
        <v>Senior</v>
      </c>
      <c r="F1078" s="2" t="str">
        <f>VLOOKUP(Sales_Details2[[#This Row],[Customer_ID]],Customer_Details[#All],5,0)</f>
        <v>Male</v>
      </c>
      <c r="G1078" s="2" t="str">
        <f>VLOOKUP(Sales_Details2[[#This Row],[Customer_ID]],Customer_Details[#All],9,0)</f>
        <v>Gold</v>
      </c>
      <c r="H1078" s="2" t="s">
        <v>1597</v>
      </c>
      <c r="I1078" s="2" t="str">
        <f>VLOOKUP(Sales_Details2[[#This Row],[Product_ID]],Product_details[[#All],[Product_ID]:[Cost]],3,0)</f>
        <v>Home</v>
      </c>
      <c r="J1078" s="2" t="str">
        <f>VLOOKUP(Sales_Details2[[#This Row],[Product_ID]],Product_details[[#All],[Product_ID]:[Cost]],4,0)</f>
        <v>Decor</v>
      </c>
      <c r="K1078" s="2" t="s">
        <v>1790</v>
      </c>
      <c r="L1078" s="2" t="str">
        <f>_xlfn.XLOOKUP(Sales_Details2[[#This Row],[Store_ID]],Table2[Store_ID],Table2[Region],"Region not found")</f>
        <v>North</v>
      </c>
      <c r="M1078" s="25">
        <v>3</v>
      </c>
      <c r="N1078" s="36">
        <v>623.82000000000005</v>
      </c>
      <c r="O1078" s="29">
        <v>0.13</v>
      </c>
      <c r="P1078" s="2" t="s">
        <v>1812</v>
      </c>
      <c r="Q1078" s="36">
        <v>1628.1702</v>
      </c>
    </row>
    <row r="1079" spans="1:17" x14ac:dyDescent="0.3">
      <c r="A1079" s="2" t="s">
        <v>2886</v>
      </c>
      <c r="B1079" s="14">
        <v>45882</v>
      </c>
      <c r="C1079" s="2">
        <f>YEAR(Sales_Details2[[#This Row],[Order_Date]])</f>
        <v>2025</v>
      </c>
      <c r="D1079" s="2" t="s">
        <v>465</v>
      </c>
      <c r="E1079" s="2" t="str">
        <f>VLOOKUP(Sales_Details2[[#This Row],[Customer_ID]],Customer_Details[#All],4,0)</f>
        <v>Mid-Adult</v>
      </c>
      <c r="F1079" s="2" t="str">
        <f>VLOOKUP(Sales_Details2[[#This Row],[Customer_ID]],Customer_Details[#All],5,0)</f>
        <v>Male</v>
      </c>
      <c r="G1079" s="2" t="str">
        <f>VLOOKUP(Sales_Details2[[#This Row],[Customer_ID]],Customer_Details[#All],9,0)</f>
        <v>Gold</v>
      </c>
      <c r="H1079" s="2" t="s">
        <v>1673</v>
      </c>
      <c r="I1079" s="2" t="str">
        <f>VLOOKUP(Sales_Details2[[#This Row],[Product_ID]],Product_details[[#All],[Product_ID]:[Cost]],3,0)</f>
        <v>Beauty</v>
      </c>
      <c r="J1079" s="2" t="str">
        <f>VLOOKUP(Sales_Details2[[#This Row],[Product_ID]],Product_details[[#All],[Product_ID]:[Cost]],4,0)</f>
        <v>Haircare</v>
      </c>
      <c r="K1079" s="2" t="s">
        <v>1787</v>
      </c>
      <c r="L1079" s="2" t="str">
        <f>_xlfn.XLOOKUP(Sales_Details2[[#This Row],[Store_ID]],Table2[Store_ID],Table2[Region],"Region not found")</f>
        <v>West</v>
      </c>
      <c r="M1079" s="25">
        <v>3</v>
      </c>
      <c r="N1079" s="36">
        <v>575.24</v>
      </c>
      <c r="O1079" s="29">
        <v>0.12</v>
      </c>
      <c r="P1079" s="2" t="s">
        <v>1812</v>
      </c>
      <c r="Q1079" s="36">
        <v>1518.6335999999999</v>
      </c>
    </row>
    <row r="1080" spans="1:17" x14ac:dyDescent="0.3">
      <c r="A1080" s="2" t="s">
        <v>2887</v>
      </c>
      <c r="B1080" s="14">
        <v>45878</v>
      </c>
      <c r="C1080" s="2">
        <f>YEAR(Sales_Details2[[#This Row],[Order_Date]])</f>
        <v>2025</v>
      </c>
      <c r="D1080" s="2" t="s">
        <v>1272</v>
      </c>
      <c r="E1080" s="2" t="str">
        <f>VLOOKUP(Sales_Details2[[#This Row],[Customer_ID]],Customer_Details[#All],4,0)</f>
        <v>Mid-Adult</v>
      </c>
      <c r="F1080" s="2" t="str">
        <f>VLOOKUP(Sales_Details2[[#This Row],[Customer_ID]],Customer_Details[#All],5,0)</f>
        <v>Female</v>
      </c>
      <c r="G1080" s="2" t="str">
        <f>VLOOKUP(Sales_Details2[[#This Row],[Customer_ID]],Customer_Details[#All],9,0)</f>
        <v>Gold</v>
      </c>
      <c r="H1080" s="2" t="s">
        <v>1536</v>
      </c>
      <c r="I1080" s="2" t="str">
        <f>VLOOKUP(Sales_Details2[[#This Row],[Product_ID]],Product_details[[#All],[Product_ID]:[Cost]],3,0)</f>
        <v>Clothing</v>
      </c>
      <c r="J1080" s="2" t="str">
        <f>VLOOKUP(Sales_Details2[[#This Row],[Product_ID]],Product_details[[#All],[Product_ID]:[Cost]],4,0)</f>
        <v>Bottoms</v>
      </c>
      <c r="K1080" s="2" t="s">
        <v>1775</v>
      </c>
      <c r="L1080" s="2" t="str">
        <f>_xlfn.XLOOKUP(Sales_Details2[[#This Row],[Store_ID]],Table2[Store_ID],Table2[Region],"Region not found")</f>
        <v>South</v>
      </c>
      <c r="M1080" s="25">
        <v>1</v>
      </c>
      <c r="N1080" s="36">
        <v>769.4</v>
      </c>
      <c r="O1080" s="29">
        <v>0.16</v>
      </c>
      <c r="P1080" s="2" t="s">
        <v>1807</v>
      </c>
      <c r="Q1080" s="36">
        <v>646.29599999999994</v>
      </c>
    </row>
    <row r="1081" spans="1:17" x14ac:dyDescent="0.3">
      <c r="A1081" s="2" t="s">
        <v>2888</v>
      </c>
      <c r="B1081" s="14">
        <v>45420</v>
      </c>
      <c r="C1081" s="2">
        <f>YEAR(Sales_Details2[[#This Row],[Order_Date]])</f>
        <v>2024</v>
      </c>
      <c r="D1081" s="2" t="s">
        <v>1024</v>
      </c>
      <c r="E1081" s="2" t="str">
        <f>VLOOKUP(Sales_Details2[[#This Row],[Customer_ID]],Customer_Details[#All],4,0)</f>
        <v>Senior</v>
      </c>
      <c r="F1081" s="2" t="str">
        <f>VLOOKUP(Sales_Details2[[#This Row],[Customer_ID]],Customer_Details[#All],5,0)</f>
        <v>Female</v>
      </c>
      <c r="G1081" s="2" t="str">
        <f>VLOOKUP(Sales_Details2[[#This Row],[Customer_ID]],Customer_Details[#All],9,0)</f>
        <v>Bronze</v>
      </c>
      <c r="H1081" s="2" t="s">
        <v>1536</v>
      </c>
      <c r="I1081" s="2" t="str">
        <f>VLOOKUP(Sales_Details2[[#This Row],[Product_ID]],Product_details[[#All],[Product_ID]:[Cost]],3,0)</f>
        <v>Clothing</v>
      </c>
      <c r="J1081" s="2" t="str">
        <f>VLOOKUP(Sales_Details2[[#This Row],[Product_ID]],Product_details[[#All],[Product_ID]:[Cost]],4,0)</f>
        <v>Bottoms</v>
      </c>
      <c r="K1081" s="2" t="s">
        <v>1790</v>
      </c>
      <c r="L1081" s="2" t="str">
        <f>_xlfn.XLOOKUP(Sales_Details2[[#This Row],[Store_ID]],Table2[Store_ID],Table2[Region],"Region not found")</f>
        <v>North</v>
      </c>
      <c r="M1081" s="25">
        <v>1</v>
      </c>
      <c r="N1081" s="36">
        <v>227.28</v>
      </c>
      <c r="O1081" s="29">
        <v>0.13</v>
      </c>
      <c r="P1081" s="2" t="s">
        <v>1812</v>
      </c>
      <c r="Q1081" s="36">
        <v>197.7336</v>
      </c>
    </row>
    <row r="1082" spans="1:17" x14ac:dyDescent="0.3">
      <c r="A1082" s="2" t="s">
        <v>2889</v>
      </c>
      <c r="B1082" s="14">
        <v>45361</v>
      </c>
      <c r="C1082" s="2">
        <f>YEAR(Sales_Details2[[#This Row],[Order_Date]])</f>
        <v>2024</v>
      </c>
      <c r="D1082" s="2" t="s">
        <v>192</v>
      </c>
      <c r="E1082" s="2" t="str">
        <f>VLOOKUP(Sales_Details2[[#This Row],[Customer_ID]],Customer_Details[#All],4,0)</f>
        <v>Adult</v>
      </c>
      <c r="F1082" s="2" t="str">
        <f>VLOOKUP(Sales_Details2[[#This Row],[Customer_ID]],Customer_Details[#All],5,0)</f>
        <v>Female</v>
      </c>
      <c r="G1082" s="2" t="str">
        <f>VLOOKUP(Sales_Details2[[#This Row],[Customer_ID]],Customer_Details[#All],9,0)</f>
        <v>Gold</v>
      </c>
      <c r="H1082" s="2" t="s">
        <v>1532</v>
      </c>
      <c r="I1082" s="2" t="str">
        <f>VLOOKUP(Sales_Details2[[#This Row],[Product_ID]],Product_details[[#All],[Product_ID]:[Cost]],3,0)</f>
        <v>Clothing</v>
      </c>
      <c r="J1082" s="2" t="str">
        <f>VLOOKUP(Sales_Details2[[#This Row],[Product_ID]],Product_details[[#All],[Product_ID]:[Cost]],4,0)</f>
        <v>Outerwear</v>
      </c>
      <c r="K1082" s="2" t="s">
        <v>1790</v>
      </c>
      <c r="L1082" s="2" t="str">
        <f>_xlfn.XLOOKUP(Sales_Details2[[#This Row],[Store_ID]],Table2[Store_ID],Table2[Region],"Region not found")</f>
        <v>North</v>
      </c>
      <c r="M1082" s="25">
        <v>4</v>
      </c>
      <c r="N1082" s="36">
        <v>127.58</v>
      </c>
      <c r="O1082" s="29">
        <v>0.15</v>
      </c>
      <c r="P1082" s="2" t="s">
        <v>1807</v>
      </c>
      <c r="Q1082" s="36">
        <v>433.77199999999999</v>
      </c>
    </row>
    <row r="1083" spans="1:17" x14ac:dyDescent="0.3">
      <c r="A1083" s="2" t="s">
        <v>2890</v>
      </c>
      <c r="B1083" s="14">
        <v>45702</v>
      </c>
      <c r="C1083" s="2">
        <f>YEAR(Sales_Details2[[#This Row],[Order_Date]])</f>
        <v>2025</v>
      </c>
      <c r="D1083" s="2" t="s">
        <v>1284</v>
      </c>
      <c r="E1083" s="2" t="str">
        <f>VLOOKUP(Sales_Details2[[#This Row],[Customer_ID]],Customer_Details[#All],4,0)</f>
        <v>Senior</v>
      </c>
      <c r="F1083" s="2" t="str">
        <f>VLOOKUP(Sales_Details2[[#This Row],[Customer_ID]],Customer_Details[#All],5,0)</f>
        <v>Female</v>
      </c>
      <c r="G1083" s="2" t="str">
        <f>VLOOKUP(Sales_Details2[[#This Row],[Customer_ID]],Customer_Details[#All],9,0)</f>
        <v>Silver</v>
      </c>
      <c r="H1083" s="2" t="s">
        <v>1619</v>
      </c>
      <c r="I1083" s="2" t="str">
        <f>VLOOKUP(Sales_Details2[[#This Row],[Product_ID]],Product_details[[#All],[Product_ID]:[Cost]],3,0)</f>
        <v>Sports</v>
      </c>
      <c r="J1083" s="2" t="str">
        <f>VLOOKUP(Sales_Details2[[#This Row],[Product_ID]],Product_details[[#All],[Product_ID]:[Cost]],4,0)</f>
        <v>Fitness</v>
      </c>
      <c r="K1083" s="2" t="s">
        <v>1749</v>
      </c>
      <c r="L1083" s="2" t="str">
        <f>_xlfn.XLOOKUP(Sales_Details2[[#This Row],[Store_ID]],Table2[Store_ID],Table2[Region],"Region not found")</f>
        <v>North</v>
      </c>
      <c r="M1083" s="25">
        <v>1</v>
      </c>
      <c r="N1083" s="36">
        <v>793.21</v>
      </c>
      <c r="O1083" s="29">
        <v>0.09</v>
      </c>
      <c r="P1083" s="2" t="s">
        <v>1807</v>
      </c>
      <c r="Q1083" s="36">
        <v>721.8211</v>
      </c>
    </row>
    <row r="1084" spans="1:17" x14ac:dyDescent="0.3">
      <c r="A1084" s="2" t="s">
        <v>2891</v>
      </c>
      <c r="B1084" s="14">
        <v>45871</v>
      </c>
      <c r="C1084" s="2">
        <f>YEAR(Sales_Details2[[#This Row],[Order_Date]])</f>
        <v>2025</v>
      </c>
      <c r="D1084" s="2" t="s">
        <v>942</v>
      </c>
      <c r="E1084" s="2" t="str">
        <f>VLOOKUP(Sales_Details2[[#This Row],[Customer_ID]],Customer_Details[#All],4,0)</f>
        <v>Mid-Adult</v>
      </c>
      <c r="F1084" s="2" t="str">
        <f>VLOOKUP(Sales_Details2[[#This Row],[Customer_ID]],Customer_Details[#All],5,0)</f>
        <v>Male</v>
      </c>
      <c r="G1084" s="2" t="str">
        <f>VLOOKUP(Sales_Details2[[#This Row],[Customer_ID]],Customer_Details[#All],9,0)</f>
        <v>Gold</v>
      </c>
      <c r="H1084" s="2" t="s">
        <v>1697</v>
      </c>
      <c r="I1084" s="2" t="str">
        <f>VLOOKUP(Sales_Details2[[#This Row],[Product_ID]],Product_details[[#All],[Product_ID]:[Cost]],3,0)</f>
        <v>Beauty</v>
      </c>
      <c r="J1084" s="2" t="str">
        <f>VLOOKUP(Sales_Details2[[#This Row],[Product_ID]],Product_details[[#All],[Product_ID]:[Cost]],4,0)</f>
        <v>Skincare</v>
      </c>
      <c r="K1084" s="2" t="s">
        <v>1777</v>
      </c>
      <c r="L1084" s="2" t="str">
        <f>_xlfn.XLOOKUP(Sales_Details2[[#This Row],[Store_ID]],Table2[Store_ID],Table2[Region],"Region not found")</f>
        <v>North</v>
      </c>
      <c r="M1084" s="25">
        <v>3</v>
      </c>
      <c r="N1084" s="36">
        <v>435.61</v>
      </c>
      <c r="O1084" s="29">
        <v>0.03</v>
      </c>
      <c r="P1084" s="2" t="s">
        <v>1809</v>
      </c>
      <c r="Q1084" s="36">
        <v>1267.6251</v>
      </c>
    </row>
    <row r="1085" spans="1:17" x14ac:dyDescent="0.3">
      <c r="A1085" s="2" t="s">
        <v>2892</v>
      </c>
      <c r="B1085" s="14">
        <v>45531</v>
      </c>
      <c r="C1085" s="2">
        <f>YEAR(Sales_Details2[[#This Row],[Order_Date]])</f>
        <v>2024</v>
      </c>
      <c r="D1085" s="2" t="s">
        <v>1189</v>
      </c>
      <c r="E1085" s="2" t="str">
        <f>VLOOKUP(Sales_Details2[[#This Row],[Customer_ID]],Customer_Details[#All],4,0)</f>
        <v>Senior</v>
      </c>
      <c r="F1085" s="2" t="str">
        <f>VLOOKUP(Sales_Details2[[#This Row],[Customer_ID]],Customer_Details[#All],5,0)</f>
        <v>Male</v>
      </c>
      <c r="G1085" s="2" t="str">
        <f>VLOOKUP(Sales_Details2[[#This Row],[Customer_ID]],Customer_Details[#All],9,0)</f>
        <v>Gold</v>
      </c>
      <c r="H1085" s="2" t="s">
        <v>1589</v>
      </c>
      <c r="I1085" s="2" t="str">
        <f>VLOOKUP(Sales_Details2[[#This Row],[Product_ID]],Product_details[[#All],[Product_ID]:[Cost]],3,0)</f>
        <v>Home</v>
      </c>
      <c r="J1085" s="2" t="str">
        <f>VLOOKUP(Sales_Details2[[#This Row],[Product_ID]],Product_details[[#All],[Product_ID]:[Cost]],4,0)</f>
        <v>Decor</v>
      </c>
      <c r="K1085" s="2" t="s">
        <v>1787</v>
      </c>
      <c r="L1085" s="2" t="str">
        <f>_xlfn.XLOOKUP(Sales_Details2[[#This Row],[Store_ID]],Table2[Store_ID],Table2[Region],"Region not found")</f>
        <v>West</v>
      </c>
      <c r="M1085" s="25">
        <v>1</v>
      </c>
      <c r="N1085" s="36">
        <v>850.06</v>
      </c>
      <c r="O1085" s="29">
        <v>0.28999999999999998</v>
      </c>
      <c r="P1085" s="2" t="s">
        <v>1809</v>
      </c>
      <c r="Q1085" s="36">
        <v>603.54259999999988</v>
      </c>
    </row>
    <row r="1086" spans="1:17" x14ac:dyDescent="0.3">
      <c r="A1086" s="2" t="s">
        <v>2893</v>
      </c>
      <c r="B1086" s="14">
        <v>45330</v>
      </c>
      <c r="C1086" s="2">
        <f>YEAR(Sales_Details2[[#This Row],[Order_Date]])</f>
        <v>2024</v>
      </c>
      <c r="D1086" s="2" t="s">
        <v>1078</v>
      </c>
      <c r="E1086" s="2" t="str">
        <f>VLOOKUP(Sales_Details2[[#This Row],[Customer_ID]],Customer_Details[#All],4,0)</f>
        <v>Mid-Adult</v>
      </c>
      <c r="F1086" s="2" t="str">
        <f>VLOOKUP(Sales_Details2[[#This Row],[Customer_ID]],Customer_Details[#All],5,0)</f>
        <v>Female</v>
      </c>
      <c r="G1086" s="2" t="str">
        <f>VLOOKUP(Sales_Details2[[#This Row],[Customer_ID]],Customer_Details[#All],9,0)</f>
        <v>Gold</v>
      </c>
      <c r="H1086" s="2" t="s">
        <v>1563</v>
      </c>
      <c r="I1086" s="2" t="str">
        <f>VLOOKUP(Sales_Details2[[#This Row],[Product_ID]],Product_details[[#All],[Product_ID]:[Cost]],3,0)</f>
        <v>Beauty</v>
      </c>
      <c r="J1086" s="2" t="str">
        <f>VLOOKUP(Sales_Details2[[#This Row],[Product_ID]],Product_details[[#All],[Product_ID]:[Cost]],4,0)</f>
        <v>Grooming</v>
      </c>
      <c r="K1086" s="2" t="s">
        <v>1787</v>
      </c>
      <c r="L1086" s="2" t="str">
        <f>_xlfn.XLOOKUP(Sales_Details2[[#This Row],[Store_ID]],Table2[Store_ID],Table2[Region],"Region not found")</f>
        <v>West</v>
      </c>
      <c r="M1086" s="25">
        <v>2</v>
      </c>
      <c r="N1086" s="36">
        <v>753.92</v>
      </c>
      <c r="O1086" s="29">
        <v>0.17</v>
      </c>
      <c r="P1086" s="2" t="s">
        <v>1809</v>
      </c>
      <c r="Q1086" s="36">
        <v>1251.5072</v>
      </c>
    </row>
    <row r="1087" spans="1:17" x14ac:dyDescent="0.3">
      <c r="A1087" s="2" t="s">
        <v>2894</v>
      </c>
      <c r="B1087" s="14">
        <v>45311</v>
      </c>
      <c r="C1087" s="2">
        <f>YEAR(Sales_Details2[[#This Row],[Order_Date]])</f>
        <v>2024</v>
      </c>
      <c r="D1087" s="2" t="s">
        <v>1484</v>
      </c>
      <c r="E1087" s="2" t="str">
        <f>VLOOKUP(Sales_Details2[[#This Row],[Customer_ID]],Customer_Details[#All],4,0)</f>
        <v>Adult</v>
      </c>
      <c r="F1087" s="2" t="str">
        <f>VLOOKUP(Sales_Details2[[#This Row],[Customer_ID]],Customer_Details[#All],5,0)</f>
        <v>Female</v>
      </c>
      <c r="G1087" s="2" t="str">
        <f>VLOOKUP(Sales_Details2[[#This Row],[Customer_ID]],Customer_Details[#All],9,0)</f>
        <v>Platinum</v>
      </c>
      <c r="H1087" s="2" t="s">
        <v>1536</v>
      </c>
      <c r="I1087" s="2" t="str">
        <f>VLOOKUP(Sales_Details2[[#This Row],[Product_ID]],Product_details[[#All],[Product_ID]:[Cost]],3,0)</f>
        <v>Clothing</v>
      </c>
      <c r="J1087" s="2" t="str">
        <f>VLOOKUP(Sales_Details2[[#This Row],[Product_ID]],Product_details[[#All],[Product_ID]:[Cost]],4,0)</f>
        <v>Bottoms</v>
      </c>
      <c r="K1087" s="2" t="s">
        <v>1780</v>
      </c>
      <c r="L1087" s="2" t="str">
        <f>_xlfn.XLOOKUP(Sales_Details2[[#This Row],[Store_ID]],Table2[Store_ID],Table2[Region],"Region not found")</f>
        <v>East</v>
      </c>
      <c r="M1087" s="25">
        <v>3</v>
      </c>
      <c r="N1087" s="36">
        <v>408.99</v>
      </c>
      <c r="O1087" s="29">
        <v>0.27</v>
      </c>
      <c r="P1087" s="2" t="s">
        <v>1809</v>
      </c>
      <c r="Q1087" s="36">
        <v>895.68809999999996</v>
      </c>
    </row>
    <row r="1088" spans="1:17" x14ac:dyDescent="0.3">
      <c r="A1088" s="2" t="s">
        <v>2895</v>
      </c>
      <c r="B1088" s="14">
        <v>45567</v>
      </c>
      <c r="C1088" s="2">
        <f>YEAR(Sales_Details2[[#This Row],[Order_Date]])</f>
        <v>2024</v>
      </c>
      <c r="D1088" s="2" t="s">
        <v>897</v>
      </c>
      <c r="E1088" s="2" t="str">
        <f>VLOOKUP(Sales_Details2[[#This Row],[Customer_ID]],Customer_Details[#All],4,0)</f>
        <v>Mid-Adult</v>
      </c>
      <c r="F1088" s="2" t="str">
        <f>VLOOKUP(Sales_Details2[[#This Row],[Customer_ID]],Customer_Details[#All],5,0)</f>
        <v>Female</v>
      </c>
      <c r="G1088" s="2" t="str">
        <f>VLOOKUP(Sales_Details2[[#This Row],[Customer_ID]],Customer_Details[#All],9,0)</f>
        <v>Silver</v>
      </c>
      <c r="H1088" s="2" t="s">
        <v>1645</v>
      </c>
      <c r="I1088" s="2" t="str">
        <f>VLOOKUP(Sales_Details2[[#This Row],[Product_ID]],Product_details[[#All],[Product_ID]:[Cost]],3,0)</f>
        <v>Sports</v>
      </c>
      <c r="J1088" s="2" t="str">
        <f>VLOOKUP(Sales_Details2[[#This Row],[Product_ID]],Product_details[[#All],[Product_ID]:[Cost]],4,0)</f>
        <v>Fitness</v>
      </c>
      <c r="K1088" s="2" t="s">
        <v>1756</v>
      </c>
      <c r="L1088" s="2" t="str">
        <f>_xlfn.XLOOKUP(Sales_Details2[[#This Row],[Store_ID]],Table2[Store_ID],Table2[Region],"Region not found")</f>
        <v>North</v>
      </c>
      <c r="M1088" s="25">
        <v>3</v>
      </c>
      <c r="N1088" s="36">
        <v>404.5</v>
      </c>
      <c r="O1088" s="29">
        <v>0.22</v>
      </c>
      <c r="P1088" s="2" t="s">
        <v>1809</v>
      </c>
      <c r="Q1088" s="36">
        <v>946.53000000000009</v>
      </c>
    </row>
    <row r="1089" spans="1:17" x14ac:dyDescent="0.3">
      <c r="A1089" s="2" t="s">
        <v>2896</v>
      </c>
      <c r="B1089" s="14">
        <v>45239</v>
      </c>
      <c r="C1089" s="2">
        <f>YEAR(Sales_Details2[[#This Row],[Order_Date]])</f>
        <v>2023</v>
      </c>
      <c r="D1089" s="2" t="s">
        <v>1174</v>
      </c>
      <c r="E1089" s="2" t="str">
        <f>VLOOKUP(Sales_Details2[[#This Row],[Customer_ID]],Customer_Details[#All],4,0)</f>
        <v>Adult</v>
      </c>
      <c r="F1089" s="2" t="str">
        <f>VLOOKUP(Sales_Details2[[#This Row],[Customer_ID]],Customer_Details[#All],5,0)</f>
        <v>Male</v>
      </c>
      <c r="G1089" s="2" t="str">
        <f>VLOOKUP(Sales_Details2[[#This Row],[Customer_ID]],Customer_Details[#All],9,0)</f>
        <v>Gold</v>
      </c>
      <c r="H1089" s="2" t="s">
        <v>1609</v>
      </c>
      <c r="I1089" s="2" t="str">
        <f>VLOOKUP(Sales_Details2[[#This Row],[Product_ID]],Product_details[[#All],[Product_ID]:[Cost]],3,0)</f>
        <v>Electronics</v>
      </c>
      <c r="J1089" s="2" t="str">
        <f>VLOOKUP(Sales_Details2[[#This Row],[Product_ID]],Product_details[[#All],[Product_ID]:[Cost]],4,0)</f>
        <v>Mobile</v>
      </c>
      <c r="K1089" s="2" t="s">
        <v>1749</v>
      </c>
      <c r="L1089" s="2" t="str">
        <f>_xlfn.XLOOKUP(Sales_Details2[[#This Row],[Store_ID]],Table2[Store_ID],Table2[Region],"Region not found")</f>
        <v>North</v>
      </c>
      <c r="M1089" s="25">
        <v>3</v>
      </c>
      <c r="N1089" s="36">
        <v>717.81</v>
      </c>
      <c r="O1089" s="29">
        <v>0.17</v>
      </c>
      <c r="P1089" s="2" t="s">
        <v>1812</v>
      </c>
      <c r="Q1089" s="36">
        <v>1787.3469</v>
      </c>
    </row>
    <row r="1090" spans="1:17" x14ac:dyDescent="0.3">
      <c r="A1090" s="2" t="s">
        <v>2897</v>
      </c>
      <c r="B1090" s="14">
        <v>45284</v>
      </c>
      <c r="C1090" s="2">
        <f>YEAR(Sales_Details2[[#This Row],[Order_Date]])</f>
        <v>2023</v>
      </c>
      <c r="D1090" s="2" t="s">
        <v>797</v>
      </c>
      <c r="E1090" s="2" t="str">
        <f>VLOOKUP(Sales_Details2[[#This Row],[Customer_ID]],Customer_Details[#All],4,0)</f>
        <v>Senior</v>
      </c>
      <c r="F1090" s="2" t="str">
        <f>VLOOKUP(Sales_Details2[[#This Row],[Customer_ID]],Customer_Details[#All],5,0)</f>
        <v>Male</v>
      </c>
      <c r="G1090" s="2" t="str">
        <f>VLOOKUP(Sales_Details2[[#This Row],[Customer_ID]],Customer_Details[#All],9,0)</f>
        <v>Silver</v>
      </c>
      <c r="H1090" s="2" t="s">
        <v>1699</v>
      </c>
      <c r="I1090" s="2" t="str">
        <f>VLOOKUP(Sales_Details2[[#This Row],[Product_ID]],Product_details[[#All],[Product_ID]:[Cost]],3,0)</f>
        <v>Home</v>
      </c>
      <c r="J1090" s="2" t="str">
        <f>VLOOKUP(Sales_Details2[[#This Row],[Product_ID]],Product_details[[#All],[Product_ID]:[Cost]],4,0)</f>
        <v>Furniture</v>
      </c>
      <c r="K1090" s="2" t="s">
        <v>1740</v>
      </c>
      <c r="L1090" s="2" t="str">
        <f>_xlfn.XLOOKUP(Sales_Details2[[#This Row],[Store_ID]],Table2[Store_ID],Table2[Region],"Region not found")</f>
        <v>North</v>
      </c>
      <c r="M1090" s="25">
        <v>3</v>
      </c>
      <c r="N1090" s="36">
        <v>204.77</v>
      </c>
      <c r="O1090" s="29">
        <v>0.14000000000000001</v>
      </c>
      <c r="P1090" s="2" t="s">
        <v>1807</v>
      </c>
      <c r="Q1090" s="36">
        <v>528.3066</v>
      </c>
    </row>
    <row r="1091" spans="1:17" x14ac:dyDescent="0.3">
      <c r="A1091" s="2" t="s">
        <v>2898</v>
      </c>
      <c r="B1091" s="14">
        <v>45686</v>
      </c>
      <c r="C1091" s="2">
        <f>YEAR(Sales_Details2[[#This Row],[Order_Date]])</f>
        <v>2025</v>
      </c>
      <c r="D1091" s="2" t="s">
        <v>152</v>
      </c>
      <c r="E1091" s="2" t="str">
        <f>VLOOKUP(Sales_Details2[[#This Row],[Customer_ID]],Customer_Details[#All],4,0)</f>
        <v>Senior</v>
      </c>
      <c r="F1091" s="2" t="str">
        <f>VLOOKUP(Sales_Details2[[#This Row],[Customer_ID]],Customer_Details[#All],5,0)</f>
        <v>Female</v>
      </c>
      <c r="G1091" s="2" t="str">
        <f>VLOOKUP(Sales_Details2[[#This Row],[Customer_ID]],Customer_Details[#All],9,0)</f>
        <v>Gold</v>
      </c>
      <c r="H1091" s="2" t="s">
        <v>1627</v>
      </c>
      <c r="I1091" s="2" t="str">
        <f>VLOOKUP(Sales_Details2[[#This Row],[Product_ID]],Product_details[[#All],[Product_ID]:[Cost]],3,0)</f>
        <v>Electronics</v>
      </c>
      <c r="J1091" s="2" t="str">
        <f>VLOOKUP(Sales_Details2[[#This Row],[Product_ID]],Product_details[[#All],[Product_ID]:[Cost]],4,0)</f>
        <v>Accessories</v>
      </c>
      <c r="K1091" s="2" t="s">
        <v>1793</v>
      </c>
      <c r="L1091" s="2" t="str">
        <f>_xlfn.XLOOKUP(Sales_Details2[[#This Row],[Store_ID]],Table2[Store_ID],Table2[Region],"Region not found")</f>
        <v>East</v>
      </c>
      <c r="M1091" s="25">
        <v>4</v>
      </c>
      <c r="N1091" s="36">
        <v>106.23</v>
      </c>
      <c r="O1091" s="29">
        <v>0.28000000000000003</v>
      </c>
      <c r="P1091" s="2" t="s">
        <v>1812</v>
      </c>
      <c r="Q1091" s="36">
        <v>305.94240000000002</v>
      </c>
    </row>
    <row r="1092" spans="1:17" x14ac:dyDescent="0.3">
      <c r="A1092" s="2" t="s">
        <v>2899</v>
      </c>
      <c r="B1092" s="14">
        <v>45824</v>
      </c>
      <c r="C1092" s="2">
        <f>YEAR(Sales_Details2[[#This Row],[Order_Date]])</f>
        <v>2025</v>
      </c>
      <c r="D1092" s="2" t="s">
        <v>1012</v>
      </c>
      <c r="E1092" s="2" t="str">
        <f>VLOOKUP(Sales_Details2[[#This Row],[Customer_ID]],Customer_Details[#All],4,0)</f>
        <v>Senior</v>
      </c>
      <c r="F1092" s="2" t="str">
        <f>VLOOKUP(Sales_Details2[[#This Row],[Customer_ID]],Customer_Details[#All],5,0)</f>
        <v>Male</v>
      </c>
      <c r="G1092" s="2" t="str">
        <f>VLOOKUP(Sales_Details2[[#This Row],[Customer_ID]],Customer_Details[#All],9,0)</f>
        <v>Bronze</v>
      </c>
      <c r="H1092" s="2" t="s">
        <v>1663</v>
      </c>
      <c r="I1092" s="2" t="str">
        <f>VLOOKUP(Sales_Details2[[#This Row],[Product_ID]],Product_details[[#All],[Product_ID]:[Cost]],3,0)</f>
        <v>Beauty</v>
      </c>
      <c r="J1092" s="2" t="str">
        <f>VLOOKUP(Sales_Details2[[#This Row],[Product_ID]],Product_details[[#All],[Product_ID]:[Cost]],4,0)</f>
        <v>Haircare</v>
      </c>
      <c r="K1092" s="2" t="s">
        <v>1756</v>
      </c>
      <c r="L1092" s="2" t="str">
        <f>_xlfn.XLOOKUP(Sales_Details2[[#This Row],[Store_ID]],Table2[Store_ID],Table2[Region],"Region not found")</f>
        <v>North</v>
      </c>
      <c r="M1092" s="25">
        <v>2</v>
      </c>
      <c r="N1092" s="36">
        <v>769.48</v>
      </c>
      <c r="O1092" s="29">
        <v>0.11</v>
      </c>
      <c r="P1092" s="2" t="s">
        <v>1809</v>
      </c>
      <c r="Q1092" s="36">
        <v>1369.6744000000001</v>
      </c>
    </row>
    <row r="1093" spans="1:17" x14ac:dyDescent="0.3">
      <c r="A1093" s="2" t="s">
        <v>2900</v>
      </c>
      <c r="B1093" s="14">
        <v>45867</v>
      </c>
      <c r="C1093" s="2">
        <f>YEAR(Sales_Details2[[#This Row],[Order_Date]])</f>
        <v>2025</v>
      </c>
      <c r="D1093" s="2" t="s">
        <v>808</v>
      </c>
      <c r="E1093" s="2" t="str">
        <f>VLOOKUP(Sales_Details2[[#This Row],[Customer_ID]],Customer_Details[#All],4,0)</f>
        <v>Adult</v>
      </c>
      <c r="F1093" s="2" t="str">
        <f>VLOOKUP(Sales_Details2[[#This Row],[Customer_ID]],Customer_Details[#All],5,0)</f>
        <v>Male</v>
      </c>
      <c r="G1093" s="2" t="str">
        <f>VLOOKUP(Sales_Details2[[#This Row],[Customer_ID]],Customer_Details[#All],9,0)</f>
        <v>Gold</v>
      </c>
      <c r="H1093" s="2" t="s">
        <v>1645</v>
      </c>
      <c r="I1093" s="2" t="str">
        <f>VLOOKUP(Sales_Details2[[#This Row],[Product_ID]],Product_details[[#All],[Product_ID]:[Cost]],3,0)</f>
        <v>Sports</v>
      </c>
      <c r="J1093" s="2" t="str">
        <f>VLOOKUP(Sales_Details2[[#This Row],[Product_ID]],Product_details[[#All],[Product_ID]:[Cost]],4,0)</f>
        <v>Fitness</v>
      </c>
      <c r="K1093" s="2" t="s">
        <v>1780</v>
      </c>
      <c r="L1093" s="2" t="str">
        <f>_xlfn.XLOOKUP(Sales_Details2[[#This Row],[Store_ID]],Table2[Store_ID],Table2[Region],"Region not found")</f>
        <v>East</v>
      </c>
      <c r="M1093" s="25">
        <v>2</v>
      </c>
      <c r="N1093" s="36">
        <v>714.21</v>
      </c>
      <c r="O1093" s="29">
        <v>0.14000000000000001</v>
      </c>
      <c r="P1093" s="2" t="s">
        <v>1807</v>
      </c>
      <c r="Q1093" s="36">
        <v>1228.4412</v>
      </c>
    </row>
    <row r="1094" spans="1:17" x14ac:dyDescent="0.3">
      <c r="A1094" s="2" t="s">
        <v>2901</v>
      </c>
      <c r="B1094" s="14">
        <v>45578</v>
      </c>
      <c r="C1094" s="2">
        <f>YEAR(Sales_Details2[[#This Row],[Order_Date]])</f>
        <v>2024</v>
      </c>
      <c r="D1094" s="2" t="s">
        <v>856</v>
      </c>
      <c r="E1094" s="2" t="str">
        <f>VLOOKUP(Sales_Details2[[#This Row],[Customer_ID]],Customer_Details[#All],4,0)</f>
        <v>Senior</v>
      </c>
      <c r="F1094" s="2" t="str">
        <f>VLOOKUP(Sales_Details2[[#This Row],[Customer_ID]],Customer_Details[#All],5,0)</f>
        <v>Male</v>
      </c>
      <c r="G1094" s="2" t="str">
        <f>VLOOKUP(Sales_Details2[[#This Row],[Customer_ID]],Customer_Details[#All],9,0)</f>
        <v>Platinum</v>
      </c>
      <c r="H1094" s="2" t="s">
        <v>1553</v>
      </c>
      <c r="I1094" s="2" t="str">
        <f>VLOOKUP(Sales_Details2[[#This Row],[Product_ID]],Product_details[[#All],[Product_ID]:[Cost]],3,0)</f>
        <v>Electronics</v>
      </c>
      <c r="J1094" s="2" t="str">
        <f>VLOOKUP(Sales_Details2[[#This Row],[Product_ID]],Product_details[[#All],[Product_ID]:[Cost]],4,0)</f>
        <v>Accessories</v>
      </c>
      <c r="K1094" s="2" t="s">
        <v>1784</v>
      </c>
      <c r="L1094" s="2" t="str">
        <f>_xlfn.XLOOKUP(Sales_Details2[[#This Row],[Store_ID]],Table2[Store_ID],Table2[Region],"Region not found")</f>
        <v>North</v>
      </c>
      <c r="M1094" s="25">
        <v>4</v>
      </c>
      <c r="N1094" s="36">
        <v>632.24</v>
      </c>
      <c r="O1094" s="29">
        <v>0.25</v>
      </c>
      <c r="P1094" s="2" t="s">
        <v>1809</v>
      </c>
      <c r="Q1094" s="36">
        <v>1896.72</v>
      </c>
    </row>
    <row r="1095" spans="1:17" x14ac:dyDescent="0.3">
      <c r="A1095" s="2" t="s">
        <v>2902</v>
      </c>
      <c r="B1095" s="14">
        <v>45575</v>
      </c>
      <c r="C1095" s="2">
        <f>YEAR(Sales_Details2[[#This Row],[Order_Date]])</f>
        <v>2024</v>
      </c>
      <c r="D1095" s="2" t="s">
        <v>533</v>
      </c>
      <c r="E1095" s="2" t="str">
        <f>VLOOKUP(Sales_Details2[[#This Row],[Customer_ID]],Customer_Details[#All],4,0)</f>
        <v>Adult</v>
      </c>
      <c r="F1095" s="2" t="str">
        <f>VLOOKUP(Sales_Details2[[#This Row],[Customer_ID]],Customer_Details[#All],5,0)</f>
        <v>Female</v>
      </c>
      <c r="G1095" s="2" t="str">
        <f>VLOOKUP(Sales_Details2[[#This Row],[Customer_ID]],Customer_Details[#All],9,0)</f>
        <v>Silver</v>
      </c>
      <c r="H1095" s="2" t="s">
        <v>1687</v>
      </c>
      <c r="I1095" s="2" t="str">
        <f>VLOOKUP(Sales_Details2[[#This Row],[Product_ID]],Product_details[[#All],[Product_ID]:[Cost]],3,0)</f>
        <v>Home</v>
      </c>
      <c r="J1095" s="2" t="str">
        <f>VLOOKUP(Sales_Details2[[#This Row],[Product_ID]],Product_details[[#All],[Product_ID]:[Cost]],4,0)</f>
        <v>Decor</v>
      </c>
      <c r="K1095" s="2" t="s">
        <v>1749</v>
      </c>
      <c r="L1095" s="2" t="str">
        <f>_xlfn.XLOOKUP(Sales_Details2[[#This Row],[Store_ID]],Table2[Store_ID],Table2[Region],"Region not found")</f>
        <v>North</v>
      </c>
      <c r="M1095" s="25">
        <v>2</v>
      </c>
      <c r="N1095" s="36">
        <v>845.27</v>
      </c>
      <c r="O1095" s="29">
        <v>0.18</v>
      </c>
      <c r="P1095" s="2" t="s">
        <v>1809</v>
      </c>
      <c r="Q1095" s="36">
        <v>1386.2428</v>
      </c>
    </row>
    <row r="1096" spans="1:17" x14ac:dyDescent="0.3">
      <c r="A1096" s="2" t="s">
        <v>2903</v>
      </c>
      <c r="B1096" s="14">
        <v>45816</v>
      </c>
      <c r="C1096" s="2">
        <f>YEAR(Sales_Details2[[#This Row],[Order_Date]])</f>
        <v>2025</v>
      </c>
      <c r="D1096" s="2" t="s">
        <v>1510</v>
      </c>
      <c r="E1096" s="2" t="str">
        <f>VLOOKUP(Sales_Details2[[#This Row],[Customer_ID]],Customer_Details[#All],4,0)</f>
        <v>Mid-Adult</v>
      </c>
      <c r="F1096" s="2" t="str">
        <f>VLOOKUP(Sales_Details2[[#This Row],[Customer_ID]],Customer_Details[#All],5,0)</f>
        <v>Female</v>
      </c>
      <c r="G1096" s="2" t="str">
        <f>VLOOKUP(Sales_Details2[[#This Row],[Customer_ID]],Customer_Details[#All],9,0)</f>
        <v>Gold</v>
      </c>
      <c r="H1096" s="2" t="s">
        <v>1705</v>
      </c>
      <c r="I1096" s="2" t="str">
        <f>VLOOKUP(Sales_Details2[[#This Row],[Product_ID]],Product_details[[#All],[Product_ID]:[Cost]],3,0)</f>
        <v>Home</v>
      </c>
      <c r="J1096" s="2" t="str">
        <f>VLOOKUP(Sales_Details2[[#This Row],[Product_ID]],Product_details[[#All],[Product_ID]:[Cost]],4,0)</f>
        <v>Lighting</v>
      </c>
      <c r="K1096" s="2" t="s">
        <v>1780</v>
      </c>
      <c r="L1096" s="2" t="str">
        <f>_xlfn.XLOOKUP(Sales_Details2[[#This Row],[Store_ID]],Table2[Store_ID],Table2[Region],"Region not found")</f>
        <v>East</v>
      </c>
      <c r="M1096" s="25">
        <v>1</v>
      </c>
      <c r="N1096" s="36">
        <v>575.94000000000005</v>
      </c>
      <c r="O1096" s="29">
        <v>0.17</v>
      </c>
      <c r="P1096" s="2" t="s">
        <v>1807</v>
      </c>
      <c r="Q1096" s="36">
        <v>478.03019999999998</v>
      </c>
    </row>
    <row r="1097" spans="1:17" x14ac:dyDescent="0.3">
      <c r="A1097" s="2" t="s">
        <v>2904</v>
      </c>
      <c r="B1097" s="14">
        <v>45620</v>
      </c>
      <c r="C1097" s="2">
        <f>YEAR(Sales_Details2[[#This Row],[Order_Date]])</f>
        <v>2024</v>
      </c>
      <c r="D1097" s="2" t="s">
        <v>797</v>
      </c>
      <c r="E1097" s="2" t="str">
        <f>VLOOKUP(Sales_Details2[[#This Row],[Customer_ID]],Customer_Details[#All],4,0)</f>
        <v>Senior</v>
      </c>
      <c r="F1097" s="2" t="str">
        <f>VLOOKUP(Sales_Details2[[#This Row],[Customer_ID]],Customer_Details[#All],5,0)</f>
        <v>Male</v>
      </c>
      <c r="G1097" s="2" t="str">
        <f>VLOOKUP(Sales_Details2[[#This Row],[Customer_ID]],Customer_Details[#All],9,0)</f>
        <v>Silver</v>
      </c>
      <c r="H1097" s="2" t="s">
        <v>1699</v>
      </c>
      <c r="I1097" s="2" t="str">
        <f>VLOOKUP(Sales_Details2[[#This Row],[Product_ID]],Product_details[[#All],[Product_ID]:[Cost]],3,0)</f>
        <v>Home</v>
      </c>
      <c r="J1097" s="2" t="str">
        <f>VLOOKUP(Sales_Details2[[#This Row],[Product_ID]],Product_details[[#All],[Product_ID]:[Cost]],4,0)</f>
        <v>Furniture</v>
      </c>
      <c r="K1097" s="2" t="s">
        <v>1784</v>
      </c>
      <c r="L1097" s="2" t="str">
        <f>_xlfn.XLOOKUP(Sales_Details2[[#This Row],[Store_ID]],Table2[Store_ID],Table2[Region],"Region not found")</f>
        <v>North</v>
      </c>
      <c r="M1097" s="25">
        <v>1</v>
      </c>
      <c r="N1097" s="36">
        <v>907.97</v>
      </c>
      <c r="O1097" s="29">
        <v>0.26</v>
      </c>
      <c r="P1097" s="2" t="s">
        <v>1812</v>
      </c>
      <c r="Q1097" s="36">
        <v>671.89779999999996</v>
      </c>
    </row>
    <row r="1098" spans="1:17" x14ac:dyDescent="0.3">
      <c r="A1098" s="2" t="s">
        <v>2905</v>
      </c>
      <c r="B1098" s="14">
        <v>45695</v>
      </c>
      <c r="C1098" s="2">
        <f>YEAR(Sales_Details2[[#This Row],[Order_Date]])</f>
        <v>2025</v>
      </c>
      <c r="D1098" s="2" t="s">
        <v>842</v>
      </c>
      <c r="E1098" s="2" t="str">
        <f>VLOOKUP(Sales_Details2[[#This Row],[Customer_ID]],Customer_Details[#All],4,0)</f>
        <v>Mid-Adult</v>
      </c>
      <c r="F1098" s="2" t="str">
        <f>VLOOKUP(Sales_Details2[[#This Row],[Customer_ID]],Customer_Details[#All],5,0)</f>
        <v>Female</v>
      </c>
      <c r="G1098" s="2" t="str">
        <f>VLOOKUP(Sales_Details2[[#This Row],[Customer_ID]],Customer_Details[#All],9,0)</f>
        <v>Bronze</v>
      </c>
      <c r="H1098" s="2" t="s">
        <v>1571</v>
      </c>
      <c r="I1098" s="2" t="str">
        <f>VLOOKUP(Sales_Details2[[#This Row],[Product_ID]],Product_details[[#All],[Product_ID]:[Cost]],3,0)</f>
        <v>Sports</v>
      </c>
      <c r="J1098" s="2" t="str">
        <f>VLOOKUP(Sales_Details2[[#This Row],[Product_ID]],Product_details[[#All],[Product_ID]:[Cost]],4,0)</f>
        <v>Accessories</v>
      </c>
      <c r="K1098" s="2" t="s">
        <v>1777</v>
      </c>
      <c r="L1098" s="2" t="str">
        <f>_xlfn.XLOOKUP(Sales_Details2[[#This Row],[Store_ID]],Table2[Store_ID],Table2[Region],"Region not found")</f>
        <v>North</v>
      </c>
      <c r="M1098" s="25">
        <v>1</v>
      </c>
      <c r="N1098" s="36">
        <v>99.35</v>
      </c>
      <c r="O1098" s="29">
        <v>0.08</v>
      </c>
      <c r="P1098" s="2" t="s">
        <v>1812</v>
      </c>
      <c r="Q1098" s="36">
        <v>91.402000000000001</v>
      </c>
    </row>
    <row r="1099" spans="1:17" x14ac:dyDescent="0.3">
      <c r="A1099" s="2" t="s">
        <v>2906</v>
      </c>
      <c r="B1099" s="14">
        <v>45596</v>
      </c>
      <c r="C1099" s="2">
        <f>YEAR(Sales_Details2[[#This Row],[Order_Date]])</f>
        <v>2024</v>
      </c>
      <c r="D1099" s="2" t="s">
        <v>258</v>
      </c>
      <c r="E1099" s="2" t="str">
        <f>VLOOKUP(Sales_Details2[[#This Row],[Customer_ID]],Customer_Details[#All],4,0)</f>
        <v>Senior</v>
      </c>
      <c r="F1099" s="2" t="str">
        <f>VLOOKUP(Sales_Details2[[#This Row],[Customer_ID]],Customer_Details[#All],5,0)</f>
        <v>Female</v>
      </c>
      <c r="G1099" s="2" t="str">
        <f>VLOOKUP(Sales_Details2[[#This Row],[Customer_ID]],Customer_Details[#All],9,0)</f>
        <v>Gold</v>
      </c>
      <c r="H1099" s="2" t="s">
        <v>1526</v>
      </c>
      <c r="I1099" s="2" t="str">
        <f>VLOOKUP(Sales_Details2[[#This Row],[Product_ID]],Product_details[[#All],[Product_ID]:[Cost]],3,0)</f>
        <v>Electronics</v>
      </c>
      <c r="J1099" s="2" t="str">
        <f>VLOOKUP(Sales_Details2[[#This Row],[Product_ID]],Product_details[[#All],[Product_ID]:[Cost]],4,0)</f>
        <v>Computer</v>
      </c>
      <c r="K1099" s="2" t="s">
        <v>1749</v>
      </c>
      <c r="L1099" s="2" t="str">
        <f>_xlfn.XLOOKUP(Sales_Details2[[#This Row],[Store_ID]],Table2[Store_ID],Table2[Region],"Region not found")</f>
        <v>North</v>
      </c>
      <c r="M1099" s="25">
        <v>2</v>
      </c>
      <c r="N1099" s="36">
        <v>374.42</v>
      </c>
      <c r="O1099" s="29">
        <v>0.21</v>
      </c>
      <c r="P1099" s="2" t="s">
        <v>1812</v>
      </c>
      <c r="Q1099" s="36">
        <v>591.58360000000005</v>
      </c>
    </row>
    <row r="1100" spans="1:17" x14ac:dyDescent="0.3">
      <c r="A1100" s="2" t="s">
        <v>2907</v>
      </c>
      <c r="B1100" s="14">
        <v>45869</v>
      </c>
      <c r="C1100" s="2">
        <f>YEAR(Sales_Details2[[#This Row],[Order_Date]])</f>
        <v>2025</v>
      </c>
      <c r="D1100" s="2" t="s">
        <v>1464</v>
      </c>
      <c r="E1100" s="2" t="str">
        <f>VLOOKUP(Sales_Details2[[#This Row],[Customer_ID]],Customer_Details[#All],4,0)</f>
        <v>Adult</v>
      </c>
      <c r="F1100" s="2" t="str">
        <f>VLOOKUP(Sales_Details2[[#This Row],[Customer_ID]],Customer_Details[#All],5,0)</f>
        <v>Male</v>
      </c>
      <c r="G1100" s="2" t="str">
        <f>VLOOKUP(Sales_Details2[[#This Row],[Customer_ID]],Customer_Details[#All],9,0)</f>
        <v>Gold</v>
      </c>
      <c r="H1100" s="2" t="s">
        <v>1561</v>
      </c>
      <c r="I1100" s="2" t="str">
        <f>VLOOKUP(Sales_Details2[[#This Row],[Product_ID]],Product_details[[#All],[Product_ID]:[Cost]],3,0)</f>
        <v>Electronics</v>
      </c>
      <c r="J1100" s="2" t="str">
        <f>VLOOKUP(Sales_Details2[[#This Row],[Product_ID]],Product_details[[#All],[Product_ID]:[Cost]],4,0)</f>
        <v>Appliances</v>
      </c>
      <c r="K1100" s="2" t="s">
        <v>1784</v>
      </c>
      <c r="L1100" s="2" t="str">
        <f>_xlfn.XLOOKUP(Sales_Details2[[#This Row],[Store_ID]],Table2[Store_ID],Table2[Region],"Region not found")</f>
        <v>North</v>
      </c>
      <c r="M1100" s="25">
        <v>3</v>
      </c>
      <c r="N1100" s="36">
        <v>248.43</v>
      </c>
      <c r="O1100" s="29">
        <v>0.24</v>
      </c>
      <c r="P1100" s="2" t="s">
        <v>1812</v>
      </c>
      <c r="Q1100" s="36">
        <v>566.42039999999997</v>
      </c>
    </row>
    <row r="1101" spans="1:17" x14ac:dyDescent="0.3">
      <c r="A1101" s="2" t="s">
        <v>2908</v>
      </c>
      <c r="B1101" s="14">
        <v>45631</v>
      </c>
      <c r="C1101" s="2">
        <f>YEAR(Sales_Details2[[#This Row],[Order_Date]])</f>
        <v>2024</v>
      </c>
      <c r="D1101" s="2" t="s">
        <v>1427</v>
      </c>
      <c r="E1101" s="2" t="str">
        <f>VLOOKUP(Sales_Details2[[#This Row],[Customer_ID]],Customer_Details[#All],4,0)</f>
        <v>Mid-Adult</v>
      </c>
      <c r="F1101" s="2" t="str">
        <f>VLOOKUP(Sales_Details2[[#This Row],[Customer_ID]],Customer_Details[#All],5,0)</f>
        <v>Male</v>
      </c>
      <c r="G1101" s="2" t="str">
        <f>VLOOKUP(Sales_Details2[[#This Row],[Customer_ID]],Customer_Details[#All],9,0)</f>
        <v>Bronze</v>
      </c>
      <c r="H1101" s="2" t="s">
        <v>1701</v>
      </c>
      <c r="I1101" s="2" t="str">
        <f>VLOOKUP(Sales_Details2[[#This Row],[Product_ID]],Product_details[[#All],[Product_ID]:[Cost]],3,0)</f>
        <v>Clothing</v>
      </c>
      <c r="J1101" s="2" t="str">
        <f>VLOOKUP(Sales_Details2[[#This Row],[Product_ID]],Product_details[[#All],[Product_ID]:[Cost]],4,0)</f>
        <v>Accessories</v>
      </c>
      <c r="K1101" s="2" t="s">
        <v>1740</v>
      </c>
      <c r="L1101" s="2" t="str">
        <f>_xlfn.XLOOKUP(Sales_Details2[[#This Row],[Store_ID]],Table2[Store_ID],Table2[Region],"Region not found")</f>
        <v>North</v>
      </c>
      <c r="M1101" s="25">
        <v>1</v>
      </c>
      <c r="N1101" s="36">
        <v>784.46</v>
      </c>
      <c r="O1101" s="29">
        <v>0.14000000000000001</v>
      </c>
      <c r="P1101" s="2" t="s">
        <v>1812</v>
      </c>
      <c r="Q1101" s="36">
        <v>674.63560000000007</v>
      </c>
    </row>
    <row r="1102" spans="1:17" x14ac:dyDescent="0.3">
      <c r="A1102" s="2" t="s">
        <v>2909</v>
      </c>
      <c r="B1102" s="14">
        <v>45379</v>
      </c>
      <c r="C1102" s="2">
        <f>YEAR(Sales_Details2[[#This Row],[Order_Date]])</f>
        <v>2024</v>
      </c>
      <c r="D1102" s="2" t="s">
        <v>820</v>
      </c>
      <c r="E1102" s="2" t="str">
        <f>VLOOKUP(Sales_Details2[[#This Row],[Customer_ID]],Customer_Details[#All],4,0)</f>
        <v>Mid-Adult</v>
      </c>
      <c r="F1102" s="2" t="str">
        <f>VLOOKUP(Sales_Details2[[#This Row],[Customer_ID]],Customer_Details[#All],5,0)</f>
        <v>Female</v>
      </c>
      <c r="G1102" s="2" t="str">
        <f>VLOOKUP(Sales_Details2[[#This Row],[Customer_ID]],Customer_Details[#All],9,0)</f>
        <v>Silver</v>
      </c>
      <c r="H1102" s="2" t="s">
        <v>1635</v>
      </c>
      <c r="I1102" s="2" t="str">
        <f>VLOOKUP(Sales_Details2[[#This Row],[Product_ID]],Product_details[[#All],[Product_ID]:[Cost]],3,0)</f>
        <v>Sports</v>
      </c>
      <c r="J1102" s="2" t="str">
        <f>VLOOKUP(Sales_Details2[[#This Row],[Product_ID]],Product_details[[#All],[Product_ID]:[Cost]],4,0)</f>
        <v>Team Sports</v>
      </c>
      <c r="K1102" s="2" t="s">
        <v>1772</v>
      </c>
      <c r="L1102" s="2" t="str">
        <f>_xlfn.XLOOKUP(Sales_Details2[[#This Row],[Store_ID]],Table2[Store_ID],Table2[Region],"Region not found")</f>
        <v>East</v>
      </c>
      <c r="M1102" s="25">
        <v>3</v>
      </c>
      <c r="N1102" s="36">
        <v>70.88</v>
      </c>
      <c r="O1102" s="29">
        <v>0.27</v>
      </c>
      <c r="P1102" s="2" t="s">
        <v>1812</v>
      </c>
      <c r="Q1102" s="36">
        <v>155.22720000000001</v>
      </c>
    </row>
    <row r="1103" spans="1:17" x14ac:dyDescent="0.3">
      <c r="A1103" s="2" t="s">
        <v>2910</v>
      </c>
      <c r="B1103" s="14">
        <v>45641</v>
      </c>
      <c r="C1103" s="2">
        <f>YEAR(Sales_Details2[[#This Row],[Order_Date]])</f>
        <v>2024</v>
      </c>
      <c r="D1103" s="2" t="s">
        <v>382</v>
      </c>
      <c r="E1103" s="2" t="str">
        <f>VLOOKUP(Sales_Details2[[#This Row],[Customer_ID]],Customer_Details[#All],4,0)</f>
        <v>Mid-Adult</v>
      </c>
      <c r="F1103" s="2" t="str">
        <f>VLOOKUP(Sales_Details2[[#This Row],[Customer_ID]],Customer_Details[#All],5,0)</f>
        <v>Female</v>
      </c>
      <c r="G1103" s="2" t="str">
        <f>VLOOKUP(Sales_Details2[[#This Row],[Customer_ID]],Customer_Details[#All],9,0)</f>
        <v>Gold</v>
      </c>
      <c r="H1103" s="2" t="s">
        <v>1545</v>
      </c>
      <c r="I1103" s="2" t="str">
        <f>VLOOKUP(Sales_Details2[[#This Row],[Product_ID]],Product_details[[#All],[Product_ID]:[Cost]],3,0)</f>
        <v>Electronics</v>
      </c>
      <c r="J1103" s="2" t="str">
        <f>VLOOKUP(Sales_Details2[[#This Row],[Product_ID]],Product_details[[#All],[Product_ID]:[Cost]],4,0)</f>
        <v>Audio</v>
      </c>
      <c r="K1103" s="2" t="s">
        <v>1740</v>
      </c>
      <c r="L1103" s="2" t="str">
        <f>_xlfn.XLOOKUP(Sales_Details2[[#This Row],[Store_ID]],Table2[Store_ID],Table2[Region],"Region not found")</f>
        <v>North</v>
      </c>
      <c r="M1103" s="25">
        <v>3</v>
      </c>
      <c r="N1103" s="36">
        <v>324.29000000000002</v>
      </c>
      <c r="O1103" s="29">
        <v>0.16</v>
      </c>
      <c r="P1103" s="2" t="s">
        <v>1812</v>
      </c>
      <c r="Q1103" s="36">
        <v>817.21080000000006</v>
      </c>
    </row>
    <row r="1104" spans="1:17" x14ac:dyDescent="0.3">
      <c r="A1104" s="2" t="s">
        <v>2911</v>
      </c>
      <c r="B1104" s="14">
        <v>45842</v>
      </c>
      <c r="C1104" s="2">
        <f>YEAR(Sales_Details2[[#This Row],[Order_Date]])</f>
        <v>2025</v>
      </c>
      <c r="D1104" s="2" t="s">
        <v>473</v>
      </c>
      <c r="E1104" s="2" t="str">
        <f>VLOOKUP(Sales_Details2[[#This Row],[Customer_ID]],Customer_Details[#All],4,0)</f>
        <v>Adult</v>
      </c>
      <c r="F1104" s="2" t="str">
        <f>VLOOKUP(Sales_Details2[[#This Row],[Customer_ID]],Customer_Details[#All],5,0)</f>
        <v>Male</v>
      </c>
      <c r="G1104" s="2" t="str">
        <f>VLOOKUP(Sales_Details2[[#This Row],[Customer_ID]],Customer_Details[#All],9,0)</f>
        <v>Bronze</v>
      </c>
      <c r="H1104" s="2" t="s">
        <v>1561</v>
      </c>
      <c r="I1104" s="2" t="str">
        <f>VLOOKUP(Sales_Details2[[#This Row],[Product_ID]],Product_details[[#All],[Product_ID]:[Cost]],3,0)</f>
        <v>Electronics</v>
      </c>
      <c r="J1104" s="2" t="str">
        <f>VLOOKUP(Sales_Details2[[#This Row],[Product_ID]],Product_details[[#All],[Product_ID]:[Cost]],4,0)</f>
        <v>Appliances</v>
      </c>
      <c r="K1104" s="2" t="s">
        <v>1749</v>
      </c>
      <c r="L1104" s="2" t="str">
        <f>_xlfn.XLOOKUP(Sales_Details2[[#This Row],[Store_ID]],Table2[Store_ID],Table2[Region],"Region not found")</f>
        <v>North</v>
      </c>
      <c r="M1104" s="25">
        <v>4</v>
      </c>
      <c r="N1104" s="36">
        <v>243.92</v>
      </c>
      <c r="O1104" s="29">
        <v>0.02</v>
      </c>
      <c r="P1104" s="2" t="s">
        <v>1809</v>
      </c>
      <c r="Q1104" s="36">
        <v>956.16639999999995</v>
      </c>
    </row>
    <row r="1105" spans="1:17" x14ac:dyDescent="0.3">
      <c r="A1105" s="2" t="s">
        <v>2912</v>
      </c>
      <c r="B1105" s="14">
        <v>45257</v>
      </c>
      <c r="C1105" s="2">
        <f>YEAR(Sales_Details2[[#This Row],[Order_Date]])</f>
        <v>2023</v>
      </c>
      <c r="D1105" s="2" t="s">
        <v>1159</v>
      </c>
      <c r="E1105" s="2" t="str">
        <f>VLOOKUP(Sales_Details2[[#This Row],[Customer_ID]],Customer_Details[#All],4,0)</f>
        <v>Adult</v>
      </c>
      <c r="F1105" s="2" t="str">
        <f>VLOOKUP(Sales_Details2[[#This Row],[Customer_ID]],Customer_Details[#All],5,0)</f>
        <v>Male</v>
      </c>
      <c r="G1105" s="2" t="str">
        <f>VLOOKUP(Sales_Details2[[#This Row],[Customer_ID]],Customer_Details[#All],9,0)</f>
        <v>Platinum</v>
      </c>
      <c r="H1105" s="2" t="s">
        <v>1587</v>
      </c>
      <c r="I1105" s="2" t="str">
        <f>VLOOKUP(Sales_Details2[[#This Row],[Product_ID]],Product_details[[#All],[Product_ID]:[Cost]],3,0)</f>
        <v>Sports</v>
      </c>
      <c r="J1105" s="2" t="str">
        <f>VLOOKUP(Sales_Details2[[#This Row],[Product_ID]],Product_details[[#All],[Product_ID]:[Cost]],4,0)</f>
        <v>Accessories</v>
      </c>
      <c r="K1105" s="2" t="s">
        <v>1780</v>
      </c>
      <c r="L1105" s="2" t="str">
        <f>_xlfn.XLOOKUP(Sales_Details2[[#This Row],[Store_ID]],Table2[Store_ID],Table2[Region],"Region not found")</f>
        <v>East</v>
      </c>
      <c r="M1105" s="25">
        <v>1</v>
      </c>
      <c r="N1105" s="36">
        <v>664.35</v>
      </c>
      <c r="O1105" s="29">
        <v>0</v>
      </c>
      <c r="P1105" s="2" t="s">
        <v>1807</v>
      </c>
      <c r="Q1105" s="36">
        <v>664.35</v>
      </c>
    </row>
    <row r="1106" spans="1:17" x14ac:dyDescent="0.3">
      <c r="A1106" s="2" t="s">
        <v>2913</v>
      </c>
      <c r="B1106" s="14">
        <v>45468</v>
      </c>
      <c r="C1106" s="2">
        <f>YEAR(Sales_Details2[[#This Row],[Order_Date]])</f>
        <v>2024</v>
      </c>
      <c r="D1106" s="2" t="s">
        <v>1186</v>
      </c>
      <c r="E1106" s="2" t="str">
        <f>VLOOKUP(Sales_Details2[[#This Row],[Customer_ID]],Customer_Details[#All],4,0)</f>
        <v>Senior</v>
      </c>
      <c r="F1106" s="2" t="str">
        <f>VLOOKUP(Sales_Details2[[#This Row],[Customer_ID]],Customer_Details[#All],5,0)</f>
        <v>Female</v>
      </c>
      <c r="G1106" s="2" t="str">
        <f>VLOOKUP(Sales_Details2[[#This Row],[Customer_ID]],Customer_Details[#All],9,0)</f>
        <v>Bronze</v>
      </c>
      <c r="H1106" s="2" t="s">
        <v>1573</v>
      </c>
      <c r="I1106" s="2" t="str">
        <f>VLOOKUP(Sales_Details2[[#This Row],[Product_ID]],Product_details[[#All],[Product_ID]:[Cost]],3,0)</f>
        <v>Home</v>
      </c>
      <c r="J1106" s="2" t="str">
        <f>VLOOKUP(Sales_Details2[[#This Row],[Product_ID]],Product_details[[#All],[Product_ID]:[Cost]],4,0)</f>
        <v>Storage</v>
      </c>
      <c r="K1106" s="2" t="s">
        <v>1772</v>
      </c>
      <c r="L1106" s="2" t="str">
        <f>_xlfn.XLOOKUP(Sales_Details2[[#This Row],[Store_ID]],Table2[Store_ID],Table2[Region],"Region not found")</f>
        <v>East</v>
      </c>
      <c r="M1106" s="25">
        <v>2</v>
      </c>
      <c r="N1106" s="36">
        <v>218.07</v>
      </c>
      <c r="O1106" s="29">
        <v>0.19</v>
      </c>
      <c r="P1106" s="2" t="s">
        <v>1809</v>
      </c>
      <c r="Q1106" s="36">
        <v>353.27339999999998</v>
      </c>
    </row>
    <row r="1107" spans="1:17" x14ac:dyDescent="0.3">
      <c r="A1107" s="2" t="s">
        <v>2914</v>
      </c>
      <c r="B1107" s="14">
        <v>45228</v>
      </c>
      <c r="C1107" s="2">
        <f>YEAR(Sales_Details2[[#This Row],[Order_Date]])</f>
        <v>2023</v>
      </c>
      <c r="D1107" s="2" t="s">
        <v>1183</v>
      </c>
      <c r="E1107" s="2" t="str">
        <f>VLOOKUP(Sales_Details2[[#This Row],[Customer_ID]],Customer_Details[#All],4,0)</f>
        <v>Adult</v>
      </c>
      <c r="F1107" s="2" t="str">
        <f>VLOOKUP(Sales_Details2[[#This Row],[Customer_ID]],Customer_Details[#All],5,0)</f>
        <v>Female</v>
      </c>
      <c r="G1107" s="2" t="str">
        <f>VLOOKUP(Sales_Details2[[#This Row],[Customer_ID]],Customer_Details[#All],9,0)</f>
        <v>Silver</v>
      </c>
      <c r="H1107" s="2" t="s">
        <v>1561</v>
      </c>
      <c r="I1107" s="2" t="str">
        <f>VLOOKUP(Sales_Details2[[#This Row],[Product_ID]],Product_details[[#All],[Product_ID]:[Cost]],3,0)</f>
        <v>Electronics</v>
      </c>
      <c r="J1107" s="2" t="str">
        <f>VLOOKUP(Sales_Details2[[#This Row],[Product_ID]],Product_details[[#All],[Product_ID]:[Cost]],4,0)</f>
        <v>Appliances</v>
      </c>
      <c r="K1107" s="2" t="s">
        <v>1749</v>
      </c>
      <c r="L1107" s="2" t="str">
        <f>_xlfn.XLOOKUP(Sales_Details2[[#This Row],[Store_ID]],Table2[Store_ID],Table2[Region],"Region not found")</f>
        <v>North</v>
      </c>
      <c r="M1107" s="25">
        <v>4</v>
      </c>
      <c r="N1107" s="36">
        <v>921.83</v>
      </c>
      <c r="O1107" s="29">
        <v>0.27</v>
      </c>
      <c r="P1107" s="2" t="s">
        <v>1807</v>
      </c>
      <c r="Q1107" s="36">
        <v>2691.7435999999998</v>
      </c>
    </row>
    <row r="1108" spans="1:17" x14ac:dyDescent="0.3">
      <c r="A1108" s="2" t="s">
        <v>2915</v>
      </c>
      <c r="B1108" s="14">
        <v>45661</v>
      </c>
      <c r="C1108" s="2">
        <f>YEAR(Sales_Details2[[#This Row],[Order_Date]])</f>
        <v>2025</v>
      </c>
      <c r="D1108" s="2" t="s">
        <v>554</v>
      </c>
      <c r="E1108" s="2" t="str">
        <f>VLOOKUP(Sales_Details2[[#This Row],[Customer_ID]],Customer_Details[#All],4,0)</f>
        <v>Mid-Adult</v>
      </c>
      <c r="F1108" s="2" t="str">
        <f>VLOOKUP(Sales_Details2[[#This Row],[Customer_ID]],Customer_Details[#All],5,0)</f>
        <v>Female</v>
      </c>
      <c r="G1108" s="2" t="str">
        <f>VLOOKUP(Sales_Details2[[#This Row],[Customer_ID]],Customer_Details[#All],9,0)</f>
        <v>Platinum</v>
      </c>
      <c r="H1108" s="2" t="s">
        <v>1631</v>
      </c>
      <c r="I1108" s="2" t="str">
        <f>VLOOKUP(Sales_Details2[[#This Row],[Product_ID]],Product_details[[#All],[Product_ID]:[Cost]],3,0)</f>
        <v>Sports</v>
      </c>
      <c r="J1108" s="2" t="str">
        <f>VLOOKUP(Sales_Details2[[#This Row],[Product_ID]],Product_details[[#All],[Product_ID]:[Cost]],4,0)</f>
        <v>Fitness</v>
      </c>
      <c r="K1108" s="2" t="s">
        <v>1740</v>
      </c>
      <c r="L1108" s="2" t="str">
        <f>_xlfn.XLOOKUP(Sales_Details2[[#This Row],[Store_ID]],Table2[Store_ID],Table2[Region],"Region not found")</f>
        <v>North</v>
      </c>
      <c r="M1108" s="25">
        <v>3</v>
      </c>
      <c r="N1108" s="36">
        <v>326.2</v>
      </c>
      <c r="O1108" s="29">
        <v>0.22</v>
      </c>
      <c r="P1108" s="2" t="s">
        <v>1812</v>
      </c>
      <c r="Q1108" s="36">
        <v>763.30799999999999</v>
      </c>
    </row>
    <row r="1109" spans="1:17" x14ac:dyDescent="0.3">
      <c r="A1109" s="2" t="s">
        <v>2916</v>
      </c>
      <c r="B1109" s="14">
        <v>45701</v>
      </c>
      <c r="C1109" s="2">
        <f>YEAR(Sales_Details2[[#This Row],[Order_Date]])</f>
        <v>2025</v>
      </c>
      <c r="D1109" s="2" t="s">
        <v>1398</v>
      </c>
      <c r="E1109" s="2" t="str">
        <f>VLOOKUP(Sales_Details2[[#This Row],[Customer_ID]],Customer_Details[#All],4,0)</f>
        <v>Senior</v>
      </c>
      <c r="F1109" s="2" t="str">
        <f>VLOOKUP(Sales_Details2[[#This Row],[Customer_ID]],Customer_Details[#All],5,0)</f>
        <v>Female</v>
      </c>
      <c r="G1109" s="2" t="str">
        <f>VLOOKUP(Sales_Details2[[#This Row],[Customer_ID]],Customer_Details[#All],9,0)</f>
        <v>Silver</v>
      </c>
      <c r="H1109" s="2" t="s">
        <v>1565</v>
      </c>
      <c r="I1109" s="2" t="str">
        <f>VLOOKUP(Sales_Details2[[#This Row],[Product_ID]],Product_details[[#All],[Product_ID]:[Cost]],3,0)</f>
        <v>Sports</v>
      </c>
      <c r="J1109" s="2" t="str">
        <f>VLOOKUP(Sales_Details2[[#This Row],[Product_ID]],Product_details[[#All],[Product_ID]:[Cost]],4,0)</f>
        <v>Accessories</v>
      </c>
      <c r="K1109" s="2" t="s">
        <v>1796</v>
      </c>
      <c r="L1109" s="2" t="str">
        <f>_xlfn.XLOOKUP(Sales_Details2[[#This Row],[Store_ID]],Table2[Store_ID],Table2[Region],"Region not found")</f>
        <v>East</v>
      </c>
      <c r="M1109" s="25">
        <v>1</v>
      </c>
      <c r="N1109" s="36">
        <v>244.25</v>
      </c>
      <c r="O1109" s="29">
        <v>0.09</v>
      </c>
      <c r="P1109" s="2" t="s">
        <v>1809</v>
      </c>
      <c r="Q1109" s="36">
        <v>222.26750000000001</v>
      </c>
    </row>
    <row r="1110" spans="1:17" x14ac:dyDescent="0.3">
      <c r="A1110" s="2" t="s">
        <v>2917</v>
      </c>
      <c r="B1110" s="14">
        <v>45448</v>
      </c>
      <c r="C1110" s="2">
        <f>YEAR(Sales_Details2[[#This Row],[Order_Date]])</f>
        <v>2024</v>
      </c>
      <c r="D1110" s="2" t="s">
        <v>1141</v>
      </c>
      <c r="E1110" s="2" t="str">
        <f>VLOOKUP(Sales_Details2[[#This Row],[Customer_ID]],Customer_Details[#All],4,0)</f>
        <v>Adult</v>
      </c>
      <c r="F1110" s="2" t="str">
        <f>VLOOKUP(Sales_Details2[[#This Row],[Customer_ID]],Customer_Details[#All],5,0)</f>
        <v>Female</v>
      </c>
      <c r="G1110" s="2" t="str">
        <f>VLOOKUP(Sales_Details2[[#This Row],[Customer_ID]],Customer_Details[#All],9,0)</f>
        <v>Platinum</v>
      </c>
      <c r="H1110" s="2" t="s">
        <v>1653</v>
      </c>
      <c r="I1110" s="2" t="str">
        <f>VLOOKUP(Sales_Details2[[#This Row],[Product_ID]],Product_details[[#All],[Product_ID]:[Cost]],3,0)</f>
        <v>Sports</v>
      </c>
      <c r="J1110" s="2" t="str">
        <f>VLOOKUP(Sales_Details2[[#This Row],[Product_ID]],Product_details[[#All],[Product_ID]:[Cost]],4,0)</f>
        <v>Equipment</v>
      </c>
      <c r="K1110" s="2" t="s">
        <v>1772</v>
      </c>
      <c r="L1110" s="2" t="str">
        <f>_xlfn.XLOOKUP(Sales_Details2[[#This Row],[Store_ID]],Table2[Store_ID],Table2[Region],"Region not found")</f>
        <v>East</v>
      </c>
      <c r="M1110" s="25">
        <v>3</v>
      </c>
      <c r="N1110" s="36">
        <v>808.87</v>
      </c>
      <c r="O1110" s="29">
        <v>0.12</v>
      </c>
      <c r="P1110" s="2" t="s">
        <v>1812</v>
      </c>
      <c r="Q1110" s="36">
        <v>2135.4168</v>
      </c>
    </row>
    <row r="1111" spans="1:17" x14ac:dyDescent="0.3">
      <c r="A1111" s="2" t="s">
        <v>2918</v>
      </c>
      <c r="B1111" s="14">
        <v>45387</v>
      </c>
      <c r="C1111" s="2">
        <f>YEAR(Sales_Details2[[#This Row],[Order_Date]])</f>
        <v>2024</v>
      </c>
      <c r="D1111" s="2" t="s">
        <v>1051</v>
      </c>
      <c r="E1111" s="2" t="str">
        <f>VLOOKUP(Sales_Details2[[#This Row],[Customer_ID]],Customer_Details[#All],4,0)</f>
        <v>Mid-Adult</v>
      </c>
      <c r="F1111" s="2" t="str">
        <f>VLOOKUP(Sales_Details2[[#This Row],[Customer_ID]],Customer_Details[#All],5,0)</f>
        <v>Female</v>
      </c>
      <c r="G1111" s="2" t="str">
        <f>VLOOKUP(Sales_Details2[[#This Row],[Customer_ID]],Customer_Details[#All],9,0)</f>
        <v>Silver</v>
      </c>
      <c r="H1111" s="2" t="s">
        <v>1593</v>
      </c>
      <c r="I1111" s="2" t="str">
        <f>VLOOKUP(Sales_Details2[[#This Row],[Product_ID]],Product_details[[#All],[Product_ID]:[Cost]],3,0)</f>
        <v>Sports</v>
      </c>
      <c r="J1111" s="2" t="str">
        <f>VLOOKUP(Sales_Details2[[#This Row],[Product_ID]],Product_details[[#All],[Product_ID]:[Cost]],4,0)</f>
        <v>Team Sports</v>
      </c>
      <c r="K1111" s="2" t="s">
        <v>1744</v>
      </c>
      <c r="L1111" s="2" t="str">
        <f>_xlfn.XLOOKUP(Sales_Details2[[#This Row],[Store_ID]],Table2[Store_ID],Table2[Region],"Region not found")</f>
        <v>South</v>
      </c>
      <c r="M1111" s="25">
        <v>3</v>
      </c>
      <c r="N1111" s="36">
        <v>826.15</v>
      </c>
      <c r="O1111" s="29">
        <v>0</v>
      </c>
      <c r="P1111" s="2" t="s">
        <v>1809</v>
      </c>
      <c r="Q1111" s="36">
        <v>2478.4499999999998</v>
      </c>
    </row>
    <row r="1112" spans="1:17" x14ac:dyDescent="0.3">
      <c r="A1112" s="2" t="s">
        <v>2919</v>
      </c>
      <c r="B1112" s="14">
        <v>45652</v>
      </c>
      <c r="C1112" s="2">
        <f>YEAR(Sales_Details2[[#This Row],[Order_Date]])</f>
        <v>2024</v>
      </c>
      <c r="D1112" s="2" t="s">
        <v>610</v>
      </c>
      <c r="E1112" s="2" t="str">
        <f>VLOOKUP(Sales_Details2[[#This Row],[Customer_ID]],Customer_Details[#All],4,0)</f>
        <v>Senior</v>
      </c>
      <c r="F1112" s="2" t="str">
        <f>VLOOKUP(Sales_Details2[[#This Row],[Customer_ID]],Customer_Details[#All],5,0)</f>
        <v>Female</v>
      </c>
      <c r="G1112" s="2" t="str">
        <f>VLOOKUP(Sales_Details2[[#This Row],[Customer_ID]],Customer_Details[#All],9,0)</f>
        <v>Platinum</v>
      </c>
      <c r="H1112" s="2" t="s">
        <v>1579</v>
      </c>
      <c r="I1112" s="2" t="str">
        <f>VLOOKUP(Sales_Details2[[#This Row],[Product_ID]],Product_details[[#All],[Product_ID]:[Cost]],3,0)</f>
        <v>Sports</v>
      </c>
      <c r="J1112" s="2" t="str">
        <f>VLOOKUP(Sales_Details2[[#This Row],[Product_ID]],Product_details[[#All],[Product_ID]:[Cost]],4,0)</f>
        <v>Outdoor</v>
      </c>
      <c r="K1112" s="2" t="s">
        <v>1796</v>
      </c>
      <c r="L1112" s="2" t="str">
        <f>_xlfn.XLOOKUP(Sales_Details2[[#This Row],[Store_ID]],Table2[Store_ID],Table2[Region],"Region not found")</f>
        <v>East</v>
      </c>
      <c r="M1112" s="25">
        <v>3</v>
      </c>
      <c r="N1112" s="36">
        <v>631.20000000000005</v>
      </c>
      <c r="O1112" s="29">
        <v>0.24</v>
      </c>
      <c r="P1112" s="2" t="s">
        <v>1807</v>
      </c>
      <c r="Q1112" s="36">
        <v>1439.136</v>
      </c>
    </row>
    <row r="1113" spans="1:17" x14ac:dyDescent="0.3">
      <c r="A1113" s="2" t="s">
        <v>2920</v>
      </c>
      <c r="B1113" s="14">
        <v>45316</v>
      </c>
      <c r="C1113" s="2">
        <f>YEAR(Sales_Details2[[#This Row],[Order_Date]])</f>
        <v>2024</v>
      </c>
      <c r="D1113" s="2" t="s">
        <v>864</v>
      </c>
      <c r="E1113" s="2" t="str">
        <f>VLOOKUP(Sales_Details2[[#This Row],[Customer_ID]],Customer_Details[#All],4,0)</f>
        <v>Mid-Adult</v>
      </c>
      <c r="F1113" s="2" t="str">
        <f>VLOOKUP(Sales_Details2[[#This Row],[Customer_ID]],Customer_Details[#All],5,0)</f>
        <v>Male</v>
      </c>
      <c r="G1113" s="2" t="str">
        <f>VLOOKUP(Sales_Details2[[#This Row],[Customer_ID]],Customer_Details[#All],9,0)</f>
        <v>Silver</v>
      </c>
      <c r="H1113" s="2" t="s">
        <v>1647</v>
      </c>
      <c r="I1113" s="2" t="str">
        <f>VLOOKUP(Sales_Details2[[#This Row],[Product_ID]],Product_details[[#All],[Product_ID]:[Cost]],3,0)</f>
        <v>Clothing</v>
      </c>
      <c r="J1113" s="2" t="str">
        <f>VLOOKUP(Sales_Details2[[#This Row],[Product_ID]],Product_details[[#All],[Product_ID]:[Cost]],4,0)</f>
        <v>Accessories</v>
      </c>
      <c r="K1113" s="2" t="s">
        <v>1772</v>
      </c>
      <c r="L1113" s="2" t="str">
        <f>_xlfn.XLOOKUP(Sales_Details2[[#This Row],[Store_ID]],Table2[Store_ID],Table2[Region],"Region not found")</f>
        <v>East</v>
      </c>
      <c r="M1113" s="25">
        <v>1</v>
      </c>
      <c r="N1113" s="36">
        <v>937.01</v>
      </c>
      <c r="O1113" s="29">
        <v>7.0000000000000007E-2</v>
      </c>
      <c r="P1113" s="2" t="s">
        <v>1807</v>
      </c>
      <c r="Q1113" s="36">
        <v>871.41929999999991</v>
      </c>
    </row>
    <row r="1114" spans="1:17" x14ac:dyDescent="0.3">
      <c r="A1114" s="2" t="s">
        <v>2921</v>
      </c>
      <c r="B1114" s="14">
        <v>45316</v>
      </c>
      <c r="C1114" s="2">
        <f>YEAR(Sales_Details2[[#This Row],[Order_Date]])</f>
        <v>2024</v>
      </c>
      <c r="D1114" s="2" t="s">
        <v>503</v>
      </c>
      <c r="E1114" s="2" t="str">
        <f>VLOOKUP(Sales_Details2[[#This Row],[Customer_ID]],Customer_Details[#All],4,0)</f>
        <v>Adult</v>
      </c>
      <c r="F1114" s="2" t="str">
        <f>VLOOKUP(Sales_Details2[[#This Row],[Customer_ID]],Customer_Details[#All],5,0)</f>
        <v>Female</v>
      </c>
      <c r="G1114" s="2" t="str">
        <f>VLOOKUP(Sales_Details2[[#This Row],[Customer_ID]],Customer_Details[#All],9,0)</f>
        <v>Gold</v>
      </c>
      <c r="H1114" s="2" t="s">
        <v>1677</v>
      </c>
      <c r="I1114" s="2" t="str">
        <f>VLOOKUP(Sales_Details2[[#This Row],[Product_ID]],Product_details[[#All],[Product_ID]:[Cost]],3,0)</f>
        <v>Sports</v>
      </c>
      <c r="J1114" s="2" t="str">
        <f>VLOOKUP(Sales_Details2[[#This Row],[Product_ID]],Product_details[[#All],[Product_ID]:[Cost]],4,0)</f>
        <v>Team Sports</v>
      </c>
      <c r="K1114" s="2" t="s">
        <v>1756</v>
      </c>
      <c r="L1114" s="2" t="str">
        <f>_xlfn.XLOOKUP(Sales_Details2[[#This Row],[Store_ID]],Table2[Store_ID],Table2[Region],"Region not found")</f>
        <v>North</v>
      </c>
      <c r="M1114" s="25">
        <v>2</v>
      </c>
      <c r="N1114" s="36">
        <v>644</v>
      </c>
      <c r="O1114" s="29">
        <v>0.04</v>
      </c>
      <c r="P1114" s="2" t="s">
        <v>1809</v>
      </c>
      <c r="Q1114" s="36">
        <v>1236.48</v>
      </c>
    </row>
    <row r="1115" spans="1:17" x14ac:dyDescent="0.3">
      <c r="A1115" s="2" t="s">
        <v>2922</v>
      </c>
      <c r="B1115" s="14">
        <v>45888</v>
      </c>
      <c r="C1115" s="2">
        <f>YEAR(Sales_Details2[[#This Row],[Order_Date]])</f>
        <v>2025</v>
      </c>
      <c r="D1115" s="2" t="s">
        <v>333</v>
      </c>
      <c r="E1115" s="2" t="str">
        <f>VLOOKUP(Sales_Details2[[#This Row],[Customer_ID]],Customer_Details[#All],4,0)</f>
        <v>Mid-Adult</v>
      </c>
      <c r="F1115" s="2" t="str">
        <f>VLOOKUP(Sales_Details2[[#This Row],[Customer_ID]],Customer_Details[#All],5,0)</f>
        <v>Female</v>
      </c>
      <c r="G1115" s="2" t="str">
        <f>VLOOKUP(Sales_Details2[[#This Row],[Customer_ID]],Customer_Details[#All],9,0)</f>
        <v>Gold</v>
      </c>
      <c r="H1115" s="2" t="s">
        <v>1713</v>
      </c>
      <c r="I1115" s="2" t="str">
        <f>VLOOKUP(Sales_Details2[[#This Row],[Product_ID]],Product_details[[#All],[Product_ID]:[Cost]],3,0)</f>
        <v>Clothing</v>
      </c>
      <c r="J1115" s="2" t="str">
        <f>VLOOKUP(Sales_Details2[[#This Row],[Product_ID]],Product_details[[#All],[Product_ID]:[Cost]],4,0)</f>
        <v>Footwear</v>
      </c>
      <c r="K1115" s="2" t="s">
        <v>1756</v>
      </c>
      <c r="L1115" s="2" t="str">
        <f>_xlfn.XLOOKUP(Sales_Details2[[#This Row],[Store_ID]],Table2[Store_ID],Table2[Region],"Region not found")</f>
        <v>North</v>
      </c>
      <c r="M1115" s="25">
        <v>3</v>
      </c>
      <c r="N1115" s="36">
        <v>629.58000000000004</v>
      </c>
      <c r="O1115" s="29">
        <v>0.05</v>
      </c>
      <c r="P1115" s="2" t="s">
        <v>1807</v>
      </c>
      <c r="Q1115" s="36">
        <v>1794.3030000000001</v>
      </c>
    </row>
    <row r="1116" spans="1:17" x14ac:dyDescent="0.3">
      <c r="A1116" s="2" t="s">
        <v>2923</v>
      </c>
      <c r="B1116" s="14">
        <v>45791</v>
      </c>
      <c r="C1116" s="2">
        <f>YEAR(Sales_Details2[[#This Row],[Order_Date]])</f>
        <v>2025</v>
      </c>
      <c r="D1116" s="2" t="s">
        <v>1421</v>
      </c>
      <c r="E1116" s="2" t="str">
        <f>VLOOKUP(Sales_Details2[[#This Row],[Customer_ID]],Customer_Details[#All],4,0)</f>
        <v>Adult</v>
      </c>
      <c r="F1116" s="2" t="str">
        <f>VLOOKUP(Sales_Details2[[#This Row],[Customer_ID]],Customer_Details[#All],5,0)</f>
        <v>Male</v>
      </c>
      <c r="G1116" s="2" t="str">
        <f>VLOOKUP(Sales_Details2[[#This Row],[Customer_ID]],Customer_Details[#All],9,0)</f>
        <v>Silver</v>
      </c>
      <c r="H1116" s="2" t="s">
        <v>1705</v>
      </c>
      <c r="I1116" s="2" t="str">
        <f>VLOOKUP(Sales_Details2[[#This Row],[Product_ID]],Product_details[[#All],[Product_ID]:[Cost]],3,0)</f>
        <v>Home</v>
      </c>
      <c r="J1116" s="2" t="str">
        <f>VLOOKUP(Sales_Details2[[#This Row],[Product_ID]],Product_details[[#All],[Product_ID]:[Cost]],4,0)</f>
        <v>Lighting</v>
      </c>
      <c r="K1116" s="2" t="s">
        <v>1744</v>
      </c>
      <c r="L1116" s="2" t="str">
        <f>_xlfn.XLOOKUP(Sales_Details2[[#This Row],[Store_ID]],Table2[Store_ID],Table2[Region],"Region not found")</f>
        <v>South</v>
      </c>
      <c r="M1116" s="25">
        <v>2</v>
      </c>
      <c r="N1116" s="36">
        <v>121.52</v>
      </c>
      <c r="O1116" s="29">
        <v>0.18</v>
      </c>
      <c r="P1116" s="2" t="s">
        <v>1812</v>
      </c>
      <c r="Q1116" s="36">
        <v>199.2928</v>
      </c>
    </row>
    <row r="1117" spans="1:17" x14ac:dyDescent="0.3">
      <c r="A1117" s="2" t="s">
        <v>2924</v>
      </c>
      <c r="B1117" s="14">
        <v>45420</v>
      </c>
      <c r="C1117" s="2">
        <f>YEAR(Sales_Details2[[#This Row],[Order_Date]])</f>
        <v>2024</v>
      </c>
      <c r="D1117" s="2" t="s">
        <v>1235</v>
      </c>
      <c r="E1117" s="2" t="str">
        <f>VLOOKUP(Sales_Details2[[#This Row],[Customer_ID]],Customer_Details[#All],4,0)</f>
        <v>Senior</v>
      </c>
      <c r="F1117" s="2" t="str">
        <f>VLOOKUP(Sales_Details2[[#This Row],[Customer_ID]],Customer_Details[#All],5,0)</f>
        <v>Female</v>
      </c>
      <c r="G1117" s="2" t="str">
        <f>VLOOKUP(Sales_Details2[[#This Row],[Customer_ID]],Customer_Details[#All],9,0)</f>
        <v>Platinum</v>
      </c>
      <c r="H1117" s="2" t="s">
        <v>1661</v>
      </c>
      <c r="I1117" s="2" t="str">
        <f>VLOOKUP(Sales_Details2[[#This Row],[Product_ID]],Product_details[[#All],[Product_ID]:[Cost]],3,0)</f>
        <v>Sports</v>
      </c>
      <c r="J1117" s="2" t="str">
        <f>VLOOKUP(Sales_Details2[[#This Row],[Product_ID]],Product_details[[#All],[Product_ID]:[Cost]],4,0)</f>
        <v>Fitness</v>
      </c>
      <c r="K1117" s="2" t="s">
        <v>1796</v>
      </c>
      <c r="L1117" s="2" t="str">
        <f>_xlfn.XLOOKUP(Sales_Details2[[#This Row],[Store_ID]],Table2[Store_ID],Table2[Region],"Region not found")</f>
        <v>East</v>
      </c>
      <c r="M1117" s="25">
        <v>2</v>
      </c>
      <c r="N1117" s="36">
        <v>549.83000000000004</v>
      </c>
      <c r="O1117" s="29">
        <v>7.0000000000000007E-2</v>
      </c>
      <c r="P1117" s="2" t="s">
        <v>1809</v>
      </c>
      <c r="Q1117" s="36">
        <v>1022.6838</v>
      </c>
    </row>
    <row r="1118" spans="1:17" x14ac:dyDescent="0.3">
      <c r="A1118" s="2" t="s">
        <v>2925</v>
      </c>
      <c r="B1118" s="14">
        <v>45219</v>
      </c>
      <c r="C1118" s="2">
        <f>YEAR(Sales_Details2[[#This Row],[Order_Date]])</f>
        <v>2023</v>
      </c>
      <c r="D1118" s="2" t="s">
        <v>470</v>
      </c>
      <c r="E1118" s="2" t="str">
        <f>VLOOKUP(Sales_Details2[[#This Row],[Customer_ID]],Customer_Details[#All],4,0)</f>
        <v>Senior</v>
      </c>
      <c r="F1118" s="2" t="str">
        <f>VLOOKUP(Sales_Details2[[#This Row],[Customer_ID]],Customer_Details[#All],5,0)</f>
        <v>Female</v>
      </c>
      <c r="G1118" s="2" t="str">
        <f>VLOOKUP(Sales_Details2[[#This Row],[Customer_ID]],Customer_Details[#All],9,0)</f>
        <v>Gold</v>
      </c>
      <c r="H1118" s="2" t="s">
        <v>1557</v>
      </c>
      <c r="I1118" s="2" t="str">
        <f>VLOOKUP(Sales_Details2[[#This Row],[Product_ID]],Product_details[[#All],[Product_ID]:[Cost]],3,0)</f>
        <v>Electronics</v>
      </c>
      <c r="J1118" s="2" t="str">
        <f>VLOOKUP(Sales_Details2[[#This Row],[Product_ID]],Product_details[[#All],[Product_ID]:[Cost]],4,0)</f>
        <v>Accessories</v>
      </c>
      <c r="K1118" s="2" t="s">
        <v>1765</v>
      </c>
      <c r="L1118" s="2" t="str">
        <f>_xlfn.XLOOKUP(Sales_Details2[[#This Row],[Store_ID]],Table2[Store_ID],Table2[Region],"Region not found")</f>
        <v>West</v>
      </c>
      <c r="M1118" s="25">
        <v>3</v>
      </c>
      <c r="N1118" s="36">
        <v>278.38</v>
      </c>
      <c r="O1118" s="29">
        <v>0.03</v>
      </c>
      <c r="P1118" s="2" t="s">
        <v>1807</v>
      </c>
      <c r="Q1118" s="36">
        <v>810.08579999999995</v>
      </c>
    </row>
    <row r="1119" spans="1:17" x14ac:dyDescent="0.3">
      <c r="A1119" s="2" t="s">
        <v>2926</v>
      </c>
      <c r="B1119" s="14">
        <v>45510</v>
      </c>
      <c r="C1119" s="2">
        <f>YEAR(Sales_Details2[[#This Row],[Order_Date]])</f>
        <v>2024</v>
      </c>
      <c r="D1119" s="2" t="s">
        <v>1339</v>
      </c>
      <c r="E1119" s="2" t="str">
        <f>VLOOKUP(Sales_Details2[[#This Row],[Customer_ID]],Customer_Details[#All],4,0)</f>
        <v>Mid-Adult</v>
      </c>
      <c r="F1119" s="2" t="str">
        <f>VLOOKUP(Sales_Details2[[#This Row],[Customer_ID]],Customer_Details[#All],5,0)</f>
        <v>Female</v>
      </c>
      <c r="G1119" s="2" t="str">
        <f>VLOOKUP(Sales_Details2[[#This Row],[Customer_ID]],Customer_Details[#All],9,0)</f>
        <v>Platinum</v>
      </c>
      <c r="H1119" s="2" t="s">
        <v>1723</v>
      </c>
      <c r="I1119" s="2" t="str">
        <f>VLOOKUP(Sales_Details2[[#This Row],[Product_ID]],Product_details[[#All],[Product_ID]:[Cost]],3,0)</f>
        <v>Clothing</v>
      </c>
      <c r="J1119" s="2" t="str">
        <f>VLOOKUP(Sales_Details2[[#This Row],[Product_ID]],Product_details[[#All],[Product_ID]:[Cost]],4,0)</f>
        <v>Outerwear</v>
      </c>
      <c r="K1119" s="2" t="s">
        <v>1749</v>
      </c>
      <c r="L1119" s="2" t="str">
        <f>_xlfn.XLOOKUP(Sales_Details2[[#This Row],[Store_ID]],Table2[Store_ID],Table2[Region],"Region not found")</f>
        <v>North</v>
      </c>
      <c r="M1119" s="25">
        <v>4</v>
      </c>
      <c r="N1119" s="36">
        <v>723.66</v>
      </c>
      <c r="O1119" s="29">
        <v>0.03</v>
      </c>
      <c r="P1119" s="2" t="s">
        <v>1809</v>
      </c>
      <c r="Q1119" s="36">
        <v>2807.8008</v>
      </c>
    </row>
    <row r="1120" spans="1:17" x14ac:dyDescent="0.3">
      <c r="A1120" s="2" t="s">
        <v>2927</v>
      </c>
      <c r="B1120" s="14">
        <v>45687</v>
      </c>
      <c r="C1120" s="2">
        <f>YEAR(Sales_Details2[[#This Row],[Order_Date]])</f>
        <v>2025</v>
      </c>
      <c r="D1120" s="2" t="s">
        <v>663</v>
      </c>
      <c r="E1120" s="2" t="str">
        <f>VLOOKUP(Sales_Details2[[#This Row],[Customer_ID]],Customer_Details[#All],4,0)</f>
        <v>Mid-Adult</v>
      </c>
      <c r="F1120" s="2" t="str">
        <f>VLOOKUP(Sales_Details2[[#This Row],[Customer_ID]],Customer_Details[#All],5,0)</f>
        <v>Female</v>
      </c>
      <c r="G1120" s="2" t="str">
        <f>VLOOKUP(Sales_Details2[[#This Row],[Customer_ID]],Customer_Details[#All],9,0)</f>
        <v>Gold</v>
      </c>
      <c r="H1120" s="2" t="s">
        <v>1675</v>
      </c>
      <c r="I1120" s="2" t="str">
        <f>VLOOKUP(Sales_Details2[[#This Row],[Product_ID]],Product_details[[#All],[Product_ID]:[Cost]],3,0)</f>
        <v>Sports</v>
      </c>
      <c r="J1120" s="2" t="str">
        <f>VLOOKUP(Sales_Details2[[#This Row],[Product_ID]],Product_details[[#All],[Product_ID]:[Cost]],4,0)</f>
        <v>Fitness</v>
      </c>
      <c r="K1120" s="2" t="s">
        <v>1769</v>
      </c>
      <c r="L1120" s="2" t="str">
        <f>_xlfn.XLOOKUP(Sales_Details2[[#This Row],[Store_ID]],Table2[Store_ID],Table2[Region],"Region not found")</f>
        <v>South</v>
      </c>
      <c r="M1120" s="25">
        <v>1</v>
      </c>
      <c r="N1120" s="36">
        <v>724.74</v>
      </c>
      <c r="O1120" s="29">
        <v>0.15</v>
      </c>
      <c r="P1120" s="2" t="s">
        <v>1809</v>
      </c>
      <c r="Q1120" s="36">
        <v>616.029</v>
      </c>
    </row>
    <row r="1121" spans="1:17" x14ac:dyDescent="0.3">
      <c r="A1121" s="2" t="s">
        <v>2928</v>
      </c>
      <c r="B1121" s="14">
        <v>45271</v>
      </c>
      <c r="C1121" s="2">
        <f>YEAR(Sales_Details2[[#This Row],[Order_Date]])</f>
        <v>2023</v>
      </c>
      <c r="D1121" s="2" t="s">
        <v>1389</v>
      </c>
      <c r="E1121" s="2" t="str">
        <f>VLOOKUP(Sales_Details2[[#This Row],[Customer_ID]],Customer_Details[#All],4,0)</f>
        <v>Senior</v>
      </c>
      <c r="F1121" s="2" t="str">
        <f>VLOOKUP(Sales_Details2[[#This Row],[Customer_ID]],Customer_Details[#All],5,0)</f>
        <v>Male</v>
      </c>
      <c r="G1121" s="2" t="str">
        <f>VLOOKUP(Sales_Details2[[#This Row],[Customer_ID]],Customer_Details[#All],9,0)</f>
        <v>Gold</v>
      </c>
      <c r="H1121" s="2" t="s">
        <v>1573</v>
      </c>
      <c r="I1121" s="2" t="str">
        <f>VLOOKUP(Sales_Details2[[#This Row],[Product_ID]],Product_details[[#All],[Product_ID]:[Cost]],3,0)</f>
        <v>Home</v>
      </c>
      <c r="J1121" s="2" t="str">
        <f>VLOOKUP(Sales_Details2[[#This Row],[Product_ID]],Product_details[[#All],[Product_ID]:[Cost]],4,0)</f>
        <v>Storage</v>
      </c>
      <c r="K1121" s="2" t="s">
        <v>1752</v>
      </c>
      <c r="L1121" s="2" t="str">
        <f>_xlfn.XLOOKUP(Sales_Details2[[#This Row],[Store_ID]],Table2[Store_ID],Table2[Region],"Region not found")</f>
        <v>South</v>
      </c>
      <c r="M1121" s="25">
        <v>2</v>
      </c>
      <c r="N1121" s="36">
        <v>961.84</v>
      </c>
      <c r="O1121" s="29">
        <v>0.25</v>
      </c>
      <c r="P1121" s="2" t="s">
        <v>1809</v>
      </c>
      <c r="Q1121" s="36">
        <v>1442.76</v>
      </c>
    </row>
    <row r="1122" spans="1:17" x14ac:dyDescent="0.3">
      <c r="A1122" s="2" t="s">
        <v>2929</v>
      </c>
      <c r="B1122" s="14">
        <v>45446</v>
      </c>
      <c r="C1122" s="2">
        <f>YEAR(Sales_Details2[[#This Row],[Order_Date]])</f>
        <v>2024</v>
      </c>
      <c r="D1122" s="2" t="s">
        <v>89</v>
      </c>
      <c r="E1122" s="2" t="str">
        <f>VLOOKUP(Sales_Details2[[#This Row],[Customer_ID]],Customer_Details[#All],4,0)</f>
        <v>Senior</v>
      </c>
      <c r="F1122" s="2" t="str">
        <f>VLOOKUP(Sales_Details2[[#This Row],[Customer_ID]],Customer_Details[#All],5,0)</f>
        <v>Male</v>
      </c>
      <c r="G1122" s="2" t="str">
        <f>VLOOKUP(Sales_Details2[[#This Row],[Customer_ID]],Customer_Details[#All],9,0)</f>
        <v>Silver</v>
      </c>
      <c r="H1122" s="2" t="s">
        <v>1605</v>
      </c>
      <c r="I1122" s="2" t="str">
        <f>VLOOKUP(Sales_Details2[[#This Row],[Product_ID]],Product_details[[#All],[Product_ID]:[Cost]],3,0)</f>
        <v>Clothing</v>
      </c>
      <c r="J1122" s="2" t="str">
        <f>VLOOKUP(Sales_Details2[[#This Row],[Product_ID]],Product_details[[#All],[Product_ID]:[Cost]],4,0)</f>
        <v>Footwear</v>
      </c>
      <c r="K1122" s="2" t="s">
        <v>1787</v>
      </c>
      <c r="L1122" s="2" t="str">
        <f>_xlfn.XLOOKUP(Sales_Details2[[#This Row],[Store_ID]],Table2[Store_ID],Table2[Region],"Region not found")</f>
        <v>West</v>
      </c>
      <c r="M1122" s="25">
        <v>4</v>
      </c>
      <c r="N1122" s="36">
        <v>21.12</v>
      </c>
      <c r="O1122" s="29">
        <v>0.18</v>
      </c>
      <c r="P1122" s="2" t="s">
        <v>1812</v>
      </c>
      <c r="Q1122" s="36">
        <v>69.273600000000002</v>
      </c>
    </row>
    <row r="1123" spans="1:17" x14ac:dyDescent="0.3">
      <c r="A1123" s="2" t="s">
        <v>2930</v>
      </c>
      <c r="B1123" s="14">
        <v>45579</v>
      </c>
      <c r="C1123" s="2">
        <f>YEAR(Sales_Details2[[#This Row],[Order_Date]])</f>
        <v>2024</v>
      </c>
      <c r="D1123" s="2" t="s">
        <v>995</v>
      </c>
      <c r="E1123" s="2" t="str">
        <f>VLOOKUP(Sales_Details2[[#This Row],[Customer_ID]],Customer_Details[#All],4,0)</f>
        <v>Senior</v>
      </c>
      <c r="F1123" s="2" t="str">
        <f>VLOOKUP(Sales_Details2[[#This Row],[Customer_ID]],Customer_Details[#All],5,0)</f>
        <v>Male</v>
      </c>
      <c r="G1123" s="2" t="str">
        <f>VLOOKUP(Sales_Details2[[#This Row],[Customer_ID]],Customer_Details[#All],9,0)</f>
        <v>Platinum</v>
      </c>
      <c r="H1123" s="2" t="s">
        <v>1526</v>
      </c>
      <c r="I1123" s="2" t="str">
        <f>VLOOKUP(Sales_Details2[[#This Row],[Product_ID]],Product_details[[#All],[Product_ID]:[Cost]],3,0)</f>
        <v>Electronics</v>
      </c>
      <c r="J1123" s="2" t="str">
        <f>VLOOKUP(Sales_Details2[[#This Row],[Product_ID]],Product_details[[#All],[Product_ID]:[Cost]],4,0)</f>
        <v>Computer</v>
      </c>
      <c r="K1123" s="2" t="s">
        <v>1752</v>
      </c>
      <c r="L1123" s="2" t="str">
        <f>_xlfn.XLOOKUP(Sales_Details2[[#This Row],[Store_ID]],Table2[Store_ID],Table2[Region],"Region not found")</f>
        <v>South</v>
      </c>
      <c r="M1123" s="25">
        <v>3</v>
      </c>
      <c r="N1123" s="36">
        <v>819.93</v>
      </c>
      <c r="O1123" s="29">
        <v>0.08</v>
      </c>
      <c r="P1123" s="2" t="s">
        <v>1809</v>
      </c>
      <c r="Q1123" s="36">
        <v>2263.0068000000001</v>
      </c>
    </row>
    <row r="1124" spans="1:17" x14ac:dyDescent="0.3">
      <c r="A1124" s="2" t="s">
        <v>2931</v>
      </c>
      <c r="B1124" s="14">
        <v>45725</v>
      </c>
      <c r="C1124" s="2">
        <f>YEAR(Sales_Details2[[#This Row],[Order_Date]])</f>
        <v>2025</v>
      </c>
      <c r="D1124" s="2" t="s">
        <v>923</v>
      </c>
      <c r="E1124" s="2" t="str">
        <f>VLOOKUP(Sales_Details2[[#This Row],[Customer_ID]],Customer_Details[#All],4,0)</f>
        <v>Adult</v>
      </c>
      <c r="F1124" s="2" t="str">
        <f>VLOOKUP(Sales_Details2[[#This Row],[Customer_ID]],Customer_Details[#All],5,0)</f>
        <v>Male</v>
      </c>
      <c r="G1124" s="2" t="str">
        <f>VLOOKUP(Sales_Details2[[#This Row],[Customer_ID]],Customer_Details[#All],9,0)</f>
        <v>Platinum</v>
      </c>
      <c r="H1124" s="2" t="s">
        <v>1615</v>
      </c>
      <c r="I1124" s="2" t="str">
        <f>VLOOKUP(Sales_Details2[[#This Row],[Product_ID]],Product_details[[#All],[Product_ID]:[Cost]],3,0)</f>
        <v>Electronics</v>
      </c>
      <c r="J1124" s="2" t="str">
        <f>VLOOKUP(Sales_Details2[[#This Row],[Product_ID]],Product_details[[#All],[Product_ID]:[Cost]],4,0)</f>
        <v>Accessories</v>
      </c>
      <c r="K1124" s="2" t="s">
        <v>1735</v>
      </c>
      <c r="L1124" s="2" t="str">
        <f>_xlfn.XLOOKUP(Sales_Details2[[#This Row],[Store_ID]],Table2[Store_ID],Table2[Region],"Region not found")</f>
        <v>East</v>
      </c>
      <c r="M1124" s="25">
        <v>2</v>
      </c>
      <c r="N1124" s="36">
        <v>700.95</v>
      </c>
      <c r="O1124" s="29">
        <v>0.18</v>
      </c>
      <c r="P1124" s="2" t="s">
        <v>1807</v>
      </c>
      <c r="Q1124" s="36">
        <v>1149.558</v>
      </c>
    </row>
    <row r="1125" spans="1:17" x14ac:dyDescent="0.3">
      <c r="A1125" s="2" t="s">
        <v>2932</v>
      </c>
      <c r="B1125" s="14">
        <v>45910</v>
      </c>
      <c r="C1125" s="2">
        <f>YEAR(Sales_Details2[[#This Row],[Order_Date]])</f>
        <v>2025</v>
      </c>
      <c r="D1125" s="2" t="s">
        <v>473</v>
      </c>
      <c r="E1125" s="2" t="str">
        <f>VLOOKUP(Sales_Details2[[#This Row],[Customer_ID]],Customer_Details[#All],4,0)</f>
        <v>Adult</v>
      </c>
      <c r="F1125" s="2" t="str">
        <f>VLOOKUP(Sales_Details2[[#This Row],[Customer_ID]],Customer_Details[#All],5,0)</f>
        <v>Male</v>
      </c>
      <c r="G1125" s="2" t="str">
        <f>VLOOKUP(Sales_Details2[[#This Row],[Customer_ID]],Customer_Details[#All],9,0)</f>
        <v>Bronze</v>
      </c>
      <c r="H1125" s="2" t="s">
        <v>1565</v>
      </c>
      <c r="I1125" s="2" t="str">
        <f>VLOOKUP(Sales_Details2[[#This Row],[Product_ID]],Product_details[[#All],[Product_ID]:[Cost]],3,0)</f>
        <v>Sports</v>
      </c>
      <c r="J1125" s="2" t="str">
        <f>VLOOKUP(Sales_Details2[[#This Row],[Product_ID]],Product_details[[#All],[Product_ID]:[Cost]],4,0)</f>
        <v>Accessories</v>
      </c>
      <c r="K1125" s="2" t="s">
        <v>1782</v>
      </c>
      <c r="L1125" s="2" t="str">
        <f>_xlfn.XLOOKUP(Sales_Details2[[#This Row],[Store_ID]],Table2[Store_ID],Table2[Region],"Region not found")</f>
        <v>South</v>
      </c>
      <c r="M1125" s="25">
        <v>2</v>
      </c>
      <c r="N1125" s="36">
        <v>456.38</v>
      </c>
      <c r="O1125" s="29">
        <v>0.12</v>
      </c>
      <c r="P1125" s="2" t="s">
        <v>1807</v>
      </c>
      <c r="Q1125" s="36">
        <v>803.22879999999998</v>
      </c>
    </row>
    <row r="1126" spans="1:17" x14ac:dyDescent="0.3">
      <c r="A1126" s="2" t="s">
        <v>2933</v>
      </c>
      <c r="B1126" s="14">
        <v>45447</v>
      </c>
      <c r="C1126" s="2">
        <f>YEAR(Sales_Details2[[#This Row],[Order_Date]])</f>
        <v>2024</v>
      </c>
      <c r="D1126" s="2" t="s">
        <v>1118</v>
      </c>
      <c r="E1126" s="2" t="str">
        <f>VLOOKUP(Sales_Details2[[#This Row],[Customer_ID]],Customer_Details[#All],4,0)</f>
        <v>Senior</v>
      </c>
      <c r="F1126" s="2" t="str">
        <f>VLOOKUP(Sales_Details2[[#This Row],[Customer_ID]],Customer_Details[#All],5,0)</f>
        <v>Male</v>
      </c>
      <c r="G1126" s="2" t="str">
        <f>VLOOKUP(Sales_Details2[[#This Row],[Customer_ID]],Customer_Details[#All],9,0)</f>
        <v>Platinum</v>
      </c>
      <c r="H1126" s="2" t="s">
        <v>1683</v>
      </c>
      <c r="I1126" s="2" t="str">
        <f>VLOOKUP(Sales_Details2[[#This Row],[Product_ID]],Product_details[[#All],[Product_ID]:[Cost]],3,0)</f>
        <v>Electronics</v>
      </c>
      <c r="J1126" s="2" t="str">
        <f>VLOOKUP(Sales_Details2[[#This Row],[Product_ID]],Product_details[[#All],[Product_ID]:[Cost]],4,0)</f>
        <v>Computer</v>
      </c>
      <c r="K1126" s="2" t="s">
        <v>1782</v>
      </c>
      <c r="L1126" s="2" t="str">
        <f>_xlfn.XLOOKUP(Sales_Details2[[#This Row],[Store_ID]],Table2[Store_ID],Table2[Region],"Region not found")</f>
        <v>South</v>
      </c>
      <c r="M1126" s="25">
        <v>3</v>
      </c>
      <c r="N1126" s="36">
        <v>291.05</v>
      </c>
      <c r="O1126" s="29">
        <v>0.3</v>
      </c>
      <c r="P1126" s="2" t="s">
        <v>1807</v>
      </c>
      <c r="Q1126" s="36">
        <v>611.20500000000004</v>
      </c>
    </row>
    <row r="1127" spans="1:17" x14ac:dyDescent="0.3">
      <c r="A1127" s="2" t="s">
        <v>2934</v>
      </c>
      <c r="B1127" s="14">
        <v>45307</v>
      </c>
      <c r="C1127" s="2">
        <f>YEAR(Sales_Details2[[#This Row],[Order_Date]])</f>
        <v>2024</v>
      </c>
      <c r="D1127" s="2" t="s">
        <v>743</v>
      </c>
      <c r="E1127" s="2" t="str">
        <f>VLOOKUP(Sales_Details2[[#This Row],[Customer_ID]],Customer_Details[#All],4,0)</f>
        <v>Senior</v>
      </c>
      <c r="F1127" s="2" t="str">
        <f>VLOOKUP(Sales_Details2[[#This Row],[Customer_ID]],Customer_Details[#All],5,0)</f>
        <v>Male</v>
      </c>
      <c r="G1127" s="2" t="str">
        <f>VLOOKUP(Sales_Details2[[#This Row],[Customer_ID]],Customer_Details[#All],9,0)</f>
        <v>Silver</v>
      </c>
      <c r="H1127" s="2" t="s">
        <v>1721</v>
      </c>
      <c r="I1127" s="2" t="str">
        <f>VLOOKUP(Sales_Details2[[#This Row],[Product_ID]],Product_details[[#All],[Product_ID]:[Cost]],3,0)</f>
        <v>Sports</v>
      </c>
      <c r="J1127" s="2" t="str">
        <f>VLOOKUP(Sales_Details2[[#This Row],[Product_ID]],Product_details[[#All],[Product_ID]:[Cost]],4,0)</f>
        <v>Accessories</v>
      </c>
      <c r="K1127" s="2" t="s">
        <v>1784</v>
      </c>
      <c r="L1127" s="2" t="str">
        <f>_xlfn.XLOOKUP(Sales_Details2[[#This Row],[Store_ID]],Table2[Store_ID],Table2[Region],"Region not found")</f>
        <v>North</v>
      </c>
      <c r="M1127" s="25">
        <v>2</v>
      </c>
      <c r="N1127" s="36">
        <v>463.52</v>
      </c>
      <c r="O1127" s="29">
        <v>0.27</v>
      </c>
      <c r="P1127" s="2" t="s">
        <v>1809</v>
      </c>
      <c r="Q1127" s="36">
        <v>676.73919999999998</v>
      </c>
    </row>
    <row r="1128" spans="1:17" x14ac:dyDescent="0.3">
      <c r="A1128" s="2" t="s">
        <v>2935</v>
      </c>
      <c r="B1128" s="14">
        <v>45653</v>
      </c>
      <c r="C1128" s="2">
        <f>YEAR(Sales_Details2[[#This Row],[Order_Date]])</f>
        <v>2024</v>
      </c>
      <c r="D1128" s="2" t="s">
        <v>1171</v>
      </c>
      <c r="E1128" s="2" t="str">
        <f>VLOOKUP(Sales_Details2[[#This Row],[Customer_ID]],Customer_Details[#All],4,0)</f>
        <v>Mid-Adult</v>
      </c>
      <c r="F1128" s="2" t="str">
        <f>VLOOKUP(Sales_Details2[[#This Row],[Customer_ID]],Customer_Details[#All],5,0)</f>
        <v>Female</v>
      </c>
      <c r="G1128" s="2" t="str">
        <f>VLOOKUP(Sales_Details2[[#This Row],[Customer_ID]],Customer_Details[#All],9,0)</f>
        <v>Gold</v>
      </c>
      <c r="H1128" s="2" t="s">
        <v>1526</v>
      </c>
      <c r="I1128" s="2" t="str">
        <f>VLOOKUP(Sales_Details2[[#This Row],[Product_ID]],Product_details[[#All],[Product_ID]:[Cost]],3,0)</f>
        <v>Electronics</v>
      </c>
      <c r="J1128" s="2" t="str">
        <f>VLOOKUP(Sales_Details2[[#This Row],[Product_ID]],Product_details[[#All],[Product_ID]:[Cost]],4,0)</f>
        <v>Computer</v>
      </c>
      <c r="K1128" s="2" t="s">
        <v>1790</v>
      </c>
      <c r="L1128" s="2" t="str">
        <f>_xlfn.XLOOKUP(Sales_Details2[[#This Row],[Store_ID]],Table2[Store_ID],Table2[Region],"Region not found")</f>
        <v>North</v>
      </c>
      <c r="M1128" s="25">
        <v>3</v>
      </c>
      <c r="N1128" s="36">
        <v>241.64</v>
      </c>
      <c r="O1128" s="29">
        <v>0.28999999999999998</v>
      </c>
      <c r="P1128" s="2" t="s">
        <v>1809</v>
      </c>
      <c r="Q1128" s="36">
        <v>514.69319999999993</v>
      </c>
    </row>
    <row r="1129" spans="1:17" x14ac:dyDescent="0.3">
      <c r="A1129" s="2" t="s">
        <v>2936</v>
      </c>
      <c r="B1129" s="14">
        <v>45817</v>
      </c>
      <c r="C1129" s="2">
        <f>YEAR(Sales_Details2[[#This Row],[Order_Date]])</f>
        <v>2025</v>
      </c>
      <c r="D1129" s="2" t="s">
        <v>1470</v>
      </c>
      <c r="E1129" s="2" t="str">
        <f>VLOOKUP(Sales_Details2[[#This Row],[Customer_ID]],Customer_Details[#All],4,0)</f>
        <v>Mid-Adult</v>
      </c>
      <c r="F1129" s="2" t="str">
        <f>VLOOKUP(Sales_Details2[[#This Row],[Customer_ID]],Customer_Details[#All],5,0)</f>
        <v>Male</v>
      </c>
      <c r="G1129" s="2" t="str">
        <f>VLOOKUP(Sales_Details2[[#This Row],[Customer_ID]],Customer_Details[#All],9,0)</f>
        <v>Gold</v>
      </c>
      <c r="H1129" s="2" t="s">
        <v>1591</v>
      </c>
      <c r="I1129" s="2" t="str">
        <f>VLOOKUP(Sales_Details2[[#This Row],[Product_ID]],Product_details[[#All],[Product_ID]:[Cost]],3,0)</f>
        <v>Home</v>
      </c>
      <c r="J1129" s="2" t="str">
        <f>VLOOKUP(Sales_Details2[[#This Row],[Product_ID]],Product_details[[#All],[Product_ID]:[Cost]],4,0)</f>
        <v>Kitchen</v>
      </c>
      <c r="K1129" s="2" t="s">
        <v>1772</v>
      </c>
      <c r="L1129" s="2" t="str">
        <f>_xlfn.XLOOKUP(Sales_Details2[[#This Row],[Store_ID]],Table2[Store_ID],Table2[Region],"Region not found")</f>
        <v>East</v>
      </c>
      <c r="M1129" s="25">
        <v>2</v>
      </c>
      <c r="N1129" s="36">
        <v>47.86</v>
      </c>
      <c r="O1129" s="29">
        <v>0.03</v>
      </c>
      <c r="P1129" s="2" t="s">
        <v>1809</v>
      </c>
      <c r="Q1129" s="36">
        <v>92.848399999999998</v>
      </c>
    </row>
    <row r="1130" spans="1:17" x14ac:dyDescent="0.3">
      <c r="A1130" s="2" t="s">
        <v>2937</v>
      </c>
      <c r="B1130" s="14">
        <v>45509</v>
      </c>
      <c r="C1130" s="2">
        <f>YEAR(Sales_Details2[[#This Row],[Order_Date]])</f>
        <v>2024</v>
      </c>
      <c r="D1130" s="2" t="s">
        <v>1069</v>
      </c>
      <c r="E1130" s="2" t="str">
        <f>VLOOKUP(Sales_Details2[[#This Row],[Customer_ID]],Customer_Details[#All],4,0)</f>
        <v>Mid-Adult</v>
      </c>
      <c r="F1130" s="2" t="str">
        <f>VLOOKUP(Sales_Details2[[#This Row],[Customer_ID]],Customer_Details[#All],5,0)</f>
        <v>Male</v>
      </c>
      <c r="G1130" s="2" t="str">
        <f>VLOOKUP(Sales_Details2[[#This Row],[Customer_ID]],Customer_Details[#All],9,0)</f>
        <v>Gold</v>
      </c>
      <c r="H1130" s="2" t="s">
        <v>1715</v>
      </c>
      <c r="I1130" s="2" t="str">
        <f>VLOOKUP(Sales_Details2[[#This Row],[Product_ID]],Product_details[[#All],[Product_ID]:[Cost]],3,0)</f>
        <v>Home</v>
      </c>
      <c r="J1130" s="2" t="str">
        <f>VLOOKUP(Sales_Details2[[#This Row],[Product_ID]],Product_details[[#All],[Product_ID]:[Cost]],4,0)</f>
        <v>Appliances</v>
      </c>
      <c r="K1130" s="2" t="s">
        <v>1749</v>
      </c>
      <c r="L1130" s="2" t="str">
        <f>_xlfn.XLOOKUP(Sales_Details2[[#This Row],[Store_ID]],Table2[Store_ID],Table2[Region],"Region not found")</f>
        <v>North</v>
      </c>
      <c r="M1130" s="25">
        <v>1</v>
      </c>
      <c r="N1130" s="36">
        <v>805.07</v>
      </c>
      <c r="O1130" s="29">
        <v>0.06</v>
      </c>
      <c r="P1130" s="2" t="s">
        <v>1812</v>
      </c>
      <c r="Q1130" s="36">
        <v>756.76580000000001</v>
      </c>
    </row>
    <row r="1131" spans="1:17" x14ac:dyDescent="0.3">
      <c r="A1131" s="2" t="s">
        <v>2938</v>
      </c>
      <c r="B1131" s="14">
        <v>45753</v>
      </c>
      <c r="C1131" s="2">
        <f>YEAR(Sales_Details2[[#This Row],[Order_Date]])</f>
        <v>2025</v>
      </c>
      <c r="D1131" s="2" t="s">
        <v>1153</v>
      </c>
      <c r="E1131" s="2" t="str">
        <f>VLOOKUP(Sales_Details2[[#This Row],[Customer_ID]],Customer_Details[#All],4,0)</f>
        <v>Mid-Adult</v>
      </c>
      <c r="F1131" s="2" t="str">
        <f>VLOOKUP(Sales_Details2[[#This Row],[Customer_ID]],Customer_Details[#All],5,0)</f>
        <v>Female</v>
      </c>
      <c r="G1131" s="2" t="str">
        <f>VLOOKUP(Sales_Details2[[#This Row],[Customer_ID]],Customer_Details[#All],9,0)</f>
        <v>Gold</v>
      </c>
      <c r="H1131" s="2" t="s">
        <v>1599</v>
      </c>
      <c r="I1131" s="2" t="str">
        <f>VLOOKUP(Sales_Details2[[#This Row],[Product_ID]],Product_details[[#All],[Product_ID]:[Cost]],3,0)</f>
        <v>Electronics</v>
      </c>
      <c r="J1131" s="2" t="str">
        <f>VLOOKUP(Sales_Details2[[#This Row],[Product_ID]],Product_details[[#All],[Product_ID]:[Cost]],4,0)</f>
        <v>Computer</v>
      </c>
      <c r="K1131" s="2" t="s">
        <v>1740</v>
      </c>
      <c r="L1131" s="2" t="str">
        <f>_xlfn.XLOOKUP(Sales_Details2[[#This Row],[Store_ID]],Table2[Store_ID],Table2[Region],"Region not found")</f>
        <v>North</v>
      </c>
      <c r="M1131" s="25">
        <v>3</v>
      </c>
      <c r="N1131" s="36">
        <v>848.48</v>
      </c>
      <c r="O1131" s="29">
        <v>0</v>
      </c>
      <c r="P1131" s="2" t="s">
        <v>1812</v>
      </c>
      <c r="Q1131" s="36">
        <v>2545.44</v>
      </c>
    </row>
    <row r="1132" spans="1:17" x14ac:dyDescent="0.3">
      <c r="A1132" s="2" t="s">
        <v>2939</v>
      </c>
      <c r="B1132" s="14">
        <v>45512</v>
      </c>
      <c r="C1132" s="2">
        <f>YEAR(Sales_Details2[[#This Row],[Order_Date]])</f>
        <v>2024</v>
      </c>
      <c r="D1132" s="2" t="s">
        <v>776</v>
      </c>
      <c r="E1132" s="2" t="str">
        <f>VLOOKUP(Sales_Details2[[#This Row],[Customer_ID]],Customer_Details[#All],4,0)</f>
        <v>Adult</v>
      </c>
      <c r="F1132" s="2" t="str">
        <f>VLOOKUP(Sales_Details2[[#This Row],[Customer_ID]],Customer_Details[#All],5,0)</f>
        <v>Male</v>
      </c>
      <c r="G1132" s="2" t="str">
        <f>VLOOKUP(Sales_Details2[[#This Row],[Customer_ID]],Customer_Details[#All],9,0)</f>
        <v>Bronze</v>
      </c>
      <c r="H1132" s="2" t="s">
        <v>1637</v>
      </c>
      <c r="I1132" s="2" t="str">
        <f>VLOOKUP(Sales_Details2[[#This Row],[Product_ID]],Product_details[[#All],[Product_ID]:[Cost]],3,0)</f>
        <v>Clothing</v>
      </c>
      <c r="J1132" s="2" t="str">
        <f>VLOOKUP(Sales_Details2[[#This Row],[Product_ID]],Product_details[[#All],[Product_ID]:[Cost]],4,0)</f>
        <v>Bottoms</v>
      </c>
      <c r="K1132" s="2" t="s">
        <v>1765</v>
      </c>
      <c r="L1132" s="2" t="str">
        <f>_xlfn.XLOOKUP(Sales_Details2[[#This Row],[Store_ID]],Table2[Store_ID],Table2[Region],"Region not found")</f>
        <v>West</v>
      </c>
      <c r="M1132" s="25">
        <v>2</v>
      </c>
      <c r="N1132" s="36">
        <v>568.95000000000005</v>
      </c>
      <c r="O1132" s="29">
        <v>0.22</v>
      </c>
      <c r="P1132" s="2" t="s">
        <v>1807</v>
      </c>
      <c r="Q1132" s="36">
        <v>887.56200000000013</v>
      </c>
    </row>
    <row r="1133" spans="1:17" x14ac:dyDescent="0.3">
      <c r="A1133" s="2" t="s">
        <v>2940</v>
      </c>
      <c r="B1133" s="14">
        <v>45764</v>
      </c>
      <c r="C1133" s="2">
        <f>YEAR(Sales_Details2[[#This Row],[Order_Date]])</f>
        <v>2025</v>
      </c>
      <c r="D1133" s="2" t="s">
        <v>536</v>
      </c>
      <c r="E1133" s="2" t="str">
        <f>VLOOKUP(Sales_Details2[[#This Row],[Customer_ID]],Customer_Details[#All],4,0)</f>
        <v>Mid-Adult</v>
      </c>
      <c r="F1133" s="2" t="str">
        <f>VLOOKUP(Sales_Details2[[#This Row],[Customer_ID]],Customer_Details[#All],5,0)</f>
        <v>Male</v>
      </c>
      <c r="G1133" s="2" t="str">
        <f>VLOOKUP(Sales_Details2[[#This Row],[Customer_ID]],Customer_Details[#All],9,0)</f>
        <v>Silver</v>
      </c>
      <c r="H1133" s="2" t="s">
        <v>1637</v>
      </c>
      <c r="I1133" s="2" t="str">
        <f>VLOOKUP(Sales_Details2[[#This Row],[Product_ID]],Product_details[[#All],[Product_ID]:[Cost]],3,0)</f>
        <v>Clothing</v>
      </c>
      <c r="J1133" s="2" t="str">
        <f>VLOOKUP(Sales_Details2[[#This Row],[Product_ID]],Product_details[[#All],[Product_ID]:[Cost]],4,0)</f>
        <v>Bottoms</v>
      </c>
      <c r="K1133" s="2" t="s">
        <v>1775</v>
      </c>
      <c r="L1133" s="2" t="str">
        <f>_xlfn.XLOOKUP(Sales_Details2[[#This Row],[Store_ID]],Table2[Store_ID],Table2[Region],"Region not found")</f>
        <v>South</v>
      </c>
      <c r="M1133" s="25">
        <v>3</v>
      </c>
      <c r="N1133" s="36">
        <v>269.83999999999997</v>
      </c>
      <c r="O1133" s="29">
        <v>0.05</v>
      </c>
      <c r="P1133" s="2" t="s">
        <v>1809</v>
      </c>
      <c r="Q1133" s="36">
        <v>769.04399999999998</v>
      </c>
    </row>
    <row r="1134" spans="1:17" x14ac:dyDescent="0.3">
      <c r="A1134" s="2" t="s">
        <v>2941</v>
      </c>
      <c r="B1134" s="14">
        <v>45746</v>
      </c>
      <c r="C1134" s="2">
        <f>YEAR(Sales_Details2[[#This Row],[Order_Date]])</f>
        <v>2025</v>
      </c>
      <c r="D1134" s="2" t="s">
        <v>965</v>
      </c>
      <c r="E1134" s="2" t="str">
        <f>VLOOKUP(Sales_Details2[[#This Row],[Customer_ID]],Customer_Details[#All],4,0)</f>
        <v>Mid-Adult</v>
      </c>
      <c r="F1134" s="2" t="str">
        <f>VLOOKUP(Sales_Details2[[#This Row],[Customer_ID]],Customer_Details[#All],5,0)</f>
        <v>Female</v>
      </c>
      <c r="G1134" s="2" t="str">
        <f>VLOOKUP(Sales_Details2[[#This Row],[Customer_ID]],Customer_Details[#All],9,0)</f>
        <v>Bronze</v>
      </c>
      <c r="H1134" s="2" t="s">
        <v>1655</v>
      </c>
      <c r="I1134" s="2" t="str">
        <f>VLOOKUP(Sales_Details2[[#This Row],[Product_ID]],Product_details[[#All],[Product_ID]:[Cost]],3,0)</f>
        <v>Electronics</v>
      </c>
      <c r="J1134" s="2" t="str">
        <f>VLOOKUP(Sales_Details2[[#This Row],[Product_ID]],Product_details[[#All],[Product_ID]:[Cost]],4,0)</f>
        <v>Computer</v>
      </c>
      <c r="K1134" s="2" t="s">
        <v>1780</v>
      </c>
      <c r="L1134" s="2" t="str">
        <f>_xlfn.XLOOKUP(Sales_Details2[[#This Row],[Store_ID]],Table2[Store_ID],Table2[Region],"Region not found")</f>
        <v>East</v>
      </c>
      <c r="M1134" s="25">
        <v>4</v>
      </c>
      <c r="N1134" s="36">
        <v>267.36</v>
      </c>
      <c r="O1134" s="29">
        <v>0.27</v>
      </c>
      <c r="P1134" s="2" t="s">
        <v>1809</v>
      </c>
      <c r="Q1134" s="36">
        <v>780.69119999999998</v>
      </c>
    </row>
    <row r="1135" spans="1:17" x14ac:dyDescent="0.3">
      <c r="A1135" s="2" t="s">
        <v>2942</v>
      </c>
      <c r="B1135" s="14">
        <v>45647</v>
      </c>
      <c r="C1135" s="2">
        <f>YEAR(Sales_Details2[[#This Row],[Order_Date]])</f>
        <v>2024</v>
      </c>
      <c r="D1135" s="2" t="s">
        <v>394</v>
      </c>
      <c r="E1135" s="2" t="str">
        <f>VLOOKUP(Sales_Details2[[#This Row],[Customer_ID]],Customer_Details[#All],4,0)</f>
        <v>Adult</v>
      </c>
      <c r="F1135" s="2" t="str">
        <f>VLOOKUP(Sales_Details2[[#This Row],[Customer_ID]],Customer_Details[#All],5,0)</f>
        <v>Male</v>
      </c>
      <c r="G1135" s="2" t="str">
        <f>VLOOKUP(Sales_Details2[[#This Row],[Customer_ID]],Customer_Details[#All],9,0)</f>
        <v>Bronze</v>
      </c>
      <c r="H1135" s="2" t="s">
        <v>1605</v>
      </c>
      <c r="I1135" s="2" t="str">
        <f>VLOOKUP(Sales_Details2[[#This Row],[Product_ID]],Product_details[[#All],[Product_ID]:[Cost]],3,0)</f>
        <v>Clothing</v>
      </c>
      <c r="J1135" s="2" t="str">
        <f>VLOOKUP(Sales_Details2[[#This Row],[Product_ID]],Product_details[[#All],[Product_ID]:[Cost]],4,0)</f>
        <v>Footwear</v>
      </c>
      <c r="K1135" s="2" t="s">
        <v>1740</v>
      </c>
      <c r="L1135" s="2" t="str">
        <f>_xlfn.XLOOKUP(Sales_Details2[[#This Row],[Store_ID]],Table2[Store_ID],Table2[Region],"Region not found")</f>
        <v>North</v>
      </c>
      <c r="M1135" s="25">
        <v>1</v>
      </c>
      <c r="N1135" s="36">
        <v>438.41</v>
      </c>
      <c r="O1135" s="29">
        <v>0.09</v>
      </c>
      <c r="P1135" s="2" t="s">
        <v>1807</v>
      </c>
      <c r="Q1135" s="36">
        <v>398.95310000000012</v>
      </c>
    </row>
    <row r="1136" spans="1:17" x14ac:dyDescent="0.3">
      <c r="A1136" s="2" t="s">
        <v>2943</v>
      </c>
      <c r="B1136" s="14">
        <v>45443</v>
      </c>
      <c r="C1136" s="2">
        <f>YEAR(Sales_Details2[[#This Row],[Order_Date]])</f>
        <v>2024</v>
      </c>
      <c r="D1136" s="2" t="s">
        <v>542</v>
      </c>
      <c r="E1136" s="2" t="str">
        <f>VLOOKUP(Sales_Details2[[#This Row],[Customer_ID]],Customer_Details[#All],4,0)</f>
        <v>Mid-Adult</v>
      </c>
      <c r="F1136" s="2" t="str">
        <f>VLOOKUP(Sales_Details2[[#This Row],[Customer_ID]],Customer_Details[#All],5,0)</f>
        <v>Female</v>
      </c>
      <c r="G1136" s="2" t="str">
        <f>VLOOKUP(Sales_Details2[[#This Row],[Customer_ID]],Customer_Details[#All],9,0)</f>
        <v>Silver</v>
      </c>
      <c r="H1136" s="2" t="s">
        <v>1633</v>
      </c>
      <c r="I1136" s="2" t="str">
        <f>VLOOKUP(Sales_Details2[[#This Row],[Product_ID]],Product_details[[#All],[Product_ID]:[Cost]],3,0)</f>
        <v>Electronics</v>
      </c>
      <c r="J1136" s="2" t="str">
        <f>VLOOKUP(Sales_Details2[[#This Row],[Product_ID]],Product_details[[#All],[Product_ID]:[Cost]],4,0)</f>
        <v>Accessories</v>
      </c>
      <c r="K1136" s="2" t="s">
        <v>1793</v>
      </c>
      <c r="L1136" s="2" t="str">
        <f>_xlfn.XLOOKUP(Sales_Details2[[#This Row],[Store_ID]],Table2[Store_ID],Table2[Region],"Region not found")</f>
        <v>East</v>
      </c>
      <c r="M1136" s="25">
        <v>2</v>
      </c>
      <c r="N1136" s="36">
        <v>86.72</v>
      </c>
      <c r="O1136" s="29">
        <v>0.28000000000000003</v>
      </c>
      <c r="P1136" s="2" t="s">
        <v>1812</v>
      </c>
      <c r="Q1136" s="36">
        <v>124.8768</v>
      </c>
    </row>
    <row r="1137" spans="1:17" x14ac:dyDescent="0.3">
      <c r="A1137" s="2" t="s">
        <v>2944</v>
      </c>
      <c r="B1137" s="14">
        <v>45722</v>
      </c>
      <c r="C1137" s="2">
        <f>YEAR(Sales_Details2[[#This Row],[Order_Date]])</f>
        <v>2025</v>
      </c>
      <c r="D1137" s="2" t="s">
        <v>1303</v>
      </c>
      <c r="E1137" s="2" t="str">
        <f>VLOOKUP(Sales_Details2[[#This Row],[Customer_ID]],Customer_Details[#All],4,0)</f>
        <v>Mid-Adult</v>
      </c>
      <c r="F1137" s="2" t="str">
        <f>VLOOKUP(Sales_Details2[[#This Row],[Customer_ID]],Customer_Details[#All],5,0)</f>
        <v>Male</v>
      </c>
      <c r="G1137" s="2" t="str">
        <f>VLOOKUP(Sales_Details2[[#This Row],[Customer_ID]],Customer_Details[#All],9,0)</f>
        <v>Bronze</v>
      </c>
      <c r="H1137" s="2" t="s">
        <v>1709</v>
      </c>
      <c r="I1137" s="2" t="str">
        <f>VLOOKUP(Sales_Details2[[#This Row],[Product_ID]],Product_details[[#All],[Product_ID]:[Cost]],3,0)</f>
        <v>Beauty</v>
      </c>
      <c r="J1137" s="2" t="str">
        <f>VLOOKUP(Sales_Details2[[#This Row],[Product_ID]],Product_details[[#All],[Product_ID]:[Cost]],4,0)</f>
        <v>Makeup</v>
      </c>
      <c r="K1137" s="2" t="s">
        <v>1759</v>
      </c>
      <c r="L1137" s="2" t="str">
        <f>_xlfn.XLOOKUP(Sales_Details2[[#This Row],[Store_ID]],Table2[Store_ID],Table2[Region],"Region not found")</f>
        <v>East</v>
      </c>
      <c r="M1137" s="25">
        <v>4</v>
      </c>
      <c r="N1137" s="36">
        <v>630.21</v>
      </c>
      <c r="O1137" s="29">
        <v>0.14000000000000001</v>
      </c>
      <c r="P1137" s="2" t="s">
        <v>1812</v>
      </c>
      <c r="Q1137" s="36">
        <v>2167.9223999999999</v>
      </c>
    </row>
    <row r="1138" spans="1:17" x14ac:dyDescent="0.3">
      <c r="A1138" s="2" t="s">
        <v>2945</v>
      </c>
      <c r="B1138" s="14">
        <v>45575</v>
      </c>
      <c r="C1138" s="2">
        <f>YEAR(Sales_Details2[[#This Row],[Order_Date]])</f>
        <v>2024</v>
      </c>
      <c r="D1138" s="2" t="s">
        <v>1112</v>
      </c>
      <c r="E1138" s="2" t="str">
        <f>VLOOKUP(Sales_Details2[[#This Row],[Customer_ID]],Customer_Details[#All],4,0)</f>
        <v>Mid-Adult</v>
      </c>
      <c r="F1138" s="2" t="str">
        <f>VLOOKUP(Sales_Details2[[#This Row],[Customer_ID]],Customer_Details[#All],5,0)</f>
        <v>Male</v>
      </c>
      <c r="G1138" s="2" t="str">
        <f>VLOOKUP(Sales_Details2[[#This Row],[Customer_ID]],Customer_Details[#All],9,0)</f>
        <v>Silver</v>
      </c>
      <c r="H1138" s="2" t="s">
        <v>1649</v>
      </c>
      <c r="I1138" s="2" t="str">
        <f>VLOOKUP(Sales_Details2[[#This Row],[Product_ID]],Product_details[[#All],[Product_ID]:[Cost]],3,0)</f>
        <v>Beauty</v>
      </c>
      <c r="J1138" s="2" t="str">
        <f>VLOOKUP(Sales_Details2[[#This Row],[Product_ID]],Product_details[[#All],[Product_ID]:[Cost]],4,0)</f>
        <v>Haircare</v>
      </c>
      <c r="K1138" s="2" t="s">
        <v>1759</v>
      </c>
      <c r="L1138" s="2" t="str">
        <f>_xlfn.XLOOKUP(Sales_Details2[[#This Row],[Store_ID]],Table2[Store_ID],Table2[Region],"Region not found")</f>
        <v>East</v>
      </c>
      <c r="M1138" s="25">
        <v>3</v>
      </c>
      <c r="N1138" s="36">
        <v>180.84</v>
      </c>
      <c r="O1138" s="29">
        <v>0.03</v>
      </c>
      <c r="P1138" s="2" t="s">
        <v>1809</v>
      </c>
      <c r="Q1138" s="36">
        <v>526.24439999999993</v>
      </c>
    </row>
    <row r="1139" spans="1:17" x14ac:dyDescent="0.3">
      <c r="A1139" s="2" t="s">
        <v>2946</v>
      </c>
      <c r="B1139" s="14">
        <v>45441</v>
      </c>
      <c r="C1139" s="2">
        <f>YEAR(Sales_Details2[[#This Row],[Order_Date]])</f>
        <v>2024</v>
      </c>
      <c r="D1139" s="2" t="s">
        <v>27</v>
      </c>
      <c r="E1139" s="2" t="str">
        <f>VLOOKUP(Sales_Details2[[#This Row],[Customer_ID]],Customer_Details[#All],4,0)</f>
        <v>Senior</v>
      </c>
      <c r="F1139" s="2" t="str">
        <f>VLOOKUP(Sales_Details2[[#This Row],[Customer_ID]],Customer_Details[#All],5,0)</f>
        <v>Female</v>
      </c>
      <c r="G1139" s="2" t="str">
        <f>VLOOKUP(Sales_Details2[[#This Row],[Customer_ID]],Customer_Details[#All],9,0)</f>
        <v>Silver</v>
      </c>
      <c r="H1139" s="2" t="s">
        <v>1659</v>
      </c>
      <c r="I1139" s="2" t="str">
        <f>VLOOKUP(Sales_Details2[[#This Row],[Product_ID]],Product_details[[#All],[Product_ID]:[Cost]],3,0)</f>
        <v>Beauty</v>
      </c>
      <c r="J1139" s="2" t="str">
        <f>VLOOKUP(Sales_Details2[[#This Row],[Product_ID]],Product_details[[#All],[Product_ID]:[Cost]],4,0)</f>
        <v>Makeup</v>
      </c>
      <c r="K1139" s="2" t="s">
        <v>1787</v>
      </c>
      <c r="L1139" s="2" t="str">
        <f>_xlfn.XLOOKUP(Sales_Details2[[#This Row],[Store_ID]],Table2[Store_ID],Table2[Region],"Region not found")</f>
        <v>West</v>
      </c>
      <c r="M1139" s="25">
        <v>1</v>
      </c>
      <c r="N1139" s="36">
        <v>453.41</v>
      </c>
      <c r="O1139" s="29">
        <v>0.04</v>
      </c>
      <c r="P1139" s="2" t="s">
        <v>1812</v>
      </c>
      <c r="Q1139" s="36">
        <v>435.27359999999999</v>
      </c>
    </row>
    <row r="1140" spans="1:17" x14ac:dyDescent="0.3">
      <c r="A1140" s="2" t="s">
        <v>2947</v>
      </c>
      <c r="B1140" s="14">
        <v>45940</v>
      </c>
      <c r="C1140" s="2">
        <f>YEAR(Sales_Details2[[#This Row],[Order_Date]])</f>
        <v>2025</v>
      </c>
      <c r="D1140" s="2" t="s">
        <v>103</v>
      </c>
      <c r="E1140" s="2" t="str">
        <f>VLOOKUP(Sales_Details2[[#This Row],[Customer_ID]],Customer_Details[#All],4,0)</f>
        <v>Mid-Adult</v>
      </c>
      <c r="F1140" s="2" t="str">
        <f>VLOOKUP(Sales_Details2[[#This Row],[Customer_ID]],Customer_Details[#All],5,0)</f>
        <v>Male</v>
      </c>
      <c r="G1140" s="2" t="str">
        <f>VLOOKUP(Sales_Details2[[#This Row],[Customer_ID]],Customer_Details[#All],9,0)</f>
        <v>Platinum</v>
      </c>
      <c r="H1140" s="2" t="s">
        <v>1633</v>
      </c>
      <c r="I1140" s="2" t="str">
        <f>VLOOKUP(Sales_Details2[[#This Row],[Product_ID]],Product_details[[#All],[Product_ID]:[Cost]],3,0)</f>
        <v>Electronics</v>
      </c>
      <c r="J1140" s="2" t="str">
        <f>VLOOKUP(Sales_Details2[[#This Row],[Product_ID]],Product_details[[#All],[Product_ID]:[Cost]],4,0)</f>
        <v>Accessories</v>
      </c>
      <c r="K1140" s="2" t="s">
        <v>1759</v>
      </c>
      <c r="L1140" s="2" t="str">
        <f>_xlfn.XLOOKUP(Sales_Details2[[#This Row],[Store_ID]],Table2[Store_ID],Table2[Region],"Region not found")</f>
        <v>East</v>
      </c>
      <c r="M1140" s="25">
        <v>1</v>
      </c>
      <c r="N1140" s="36">
        <v>629.09</v>
      </c>
      <c r="O1140" s="29">
        <v>0.02</v>
      </c>
      <c r="P1140" s="2" t="s">
        <v>1807</v>
      </c>
      <c r="Q1140" s="36">
        <v>616.50819999999999</v>
      </c>
    </row>
    <row r="1141" spans="1:17" x14ac:dyDescent="0.3">
      <c r="A1141" s="2" t="s">
        <v>2948</v>
      </c>
      <c r="B1141" s="14">
        <v>45518</v>
      </c>
      <c r="C1141" s="2">
        <f>YEAR(Sales_Details2[[#This Row],[Order_Date]])</f>
        <v>2024</v>
      </c>
      <c r="D1141" s="2" t="s">
        <v>97</v>
      </c>
      <c r="E1141" s="2" t="str">
        <f>VLOOKUP(Sales_Details2[[#This Row],[Customer_ID]],Customer_Details[#All],4,0)</f>
        <v>Mid-Adult</v>
      </c>
      <c r="F1141" s="2" t="str">
        <f>VLOOKUP(Sales_Details2[[#This Row],[Customer_ID]],Customer_Details[#All],5,0)</f>
        <v>Female</v>
      </c>
      <c r="G1141" s="2" t="str">
        <f>VLOOKUP(Sales_Details2[[#This Row],[Customer_ID]],Customer_Details[#All],9,0)</f>
        <v>Silver</v>
      </c>
      <c r="H1141" s="2" t="s">
        <v>1685</v>
      </c>
      <c r="I1141" s="2" t="str">
        <f>VLOOKUP(Sales_Details2[[#This Row],[Product_ID]],Product_details[[#All],[Product_ID]:[Cost]],3,0)</f>
        <v>Electronics</v>
      </c>
      <c r="J1141" s="2" t="str">
        <f>VLOOKUP(Sales_Details2[[#This Row],[Product_ID]],Product_details[[#All],[Product_ID]:[Cost]],4,0)</f>
        <v>Appliances</v>
      </c>
      <c r="K1141" s="2" t="s">
        <v>1744</v>
      </c>
      <c r="L1141" s="2" t="str">
        <f>_xlfn.XLOOKUP(Sales_Details2[[#This Row],[Store_ID]],Table2[Store_ID],Table2[Region],"Region not found")</f>
        <v>South</v>
      </c>
      <c r="M1141" s="25">
        <v>2</v>
      </c>
      <c r="N1141" s="36">
        <v>257.45</v>
      </c>
      <c r="O1141" s="29">
        <v>0</v>
      </c>
      <c r="P1141" s="2" t="s">
        <v>1812</v>
      </c>
      <c r="Q1141" s="36">
        <v>514.9</v>
      </c>
    </row>
    <row r="1142" spans="1:17" x14ac:dyDescent="0.3">
      <c r="A1142" s="2" t="s">
        <v>2949</v>
      </c>
      <c r="B1142" s="14">
        <v>45861</v>
      </c>
      <c r="C1142" s="2">
        <f>YEAR(Sales_Details2[[#This Row],[Order_Date]])</f>
        <v>2025</v>
      </c>
      <c r="D1142" s="2" t="s">
        <v>586</v>
      </c>
      <c r="E1142" s="2" t="str">
        <f>VLOOKUP(Sales_Details2[[#This Row],[Customer_ID]],Customer_Details[#All],4,0)</f>
        <v>Mid-Adult</v>
      </c>
      <c r="F1142" s="2" t="str">
        <f>VLOOKUP(Sales_Details2[[#This Row],[Customer_ID]],Customer_Details[#All],5,0)</f>
        <v>Female</v>
      </c>
      <c r="G1142" s="2" t="str">
        <f>VLOOKUP(Sales_Details2[[#This Row],[Customer_ID]],Customer_Details[#All],9,0)</f>
        <v>Silver</v>
      </c>
      <c r="H1142" s="2" t="s">
        <v>1599</v>
      </c>
      <c r="I1142" s="2" t="str">
        <f>VLOOKUP(Sales_Details2[[#This Row],[Product_ID]],Product_details[[#All],[Product_ID]:[Cost]],3,0)</f>
        <v>Electronics</v>
      </c>
      <c r="J1142" s="2" t="str">
        <f>VLOOKUP(Sales_Details2[[#This Row],[Product_ID]],Product_details[[#All],[Product_ID]:[Cost]],4,0)</f>
        <v>Computer</v>
      </c>
      <c r="K1142" s="2" t="s">
        <v>1784</v>
      </c>
      <c r="L1142" s="2" t="str">
        <f>_xlfn.XLOOKUP(Sales_Details2[[#This Row],[Store_ID]],Table2[Store_ID],Table2[Region],"Region not found")</f>
        <v>North</v>
      </c>
      <c r="M1142" s="25">
        <v>2</v>
      </c>
      <c r="N1142" s="36">
        <v>696.61</v>
      </c>
      <c r="O1142" s="29">
        <v>0.17</v>
      </c>
      <c r="P1142" s="2" t="s">
        <v>1809</v>
      </c>
      <c r="Q1142" s="36">
        <v>1156.3725999999999</v>
      </c>
    </row>
    <row r="1143" spans="1:17" x14ac:dyDescent="0.3">
      <c r="A1143" s="2" t="s">
        <v>2950</v>
      </c>
      <c r="B1143" s="14">
        <v>45416</v>
      </c>
      <c r="C1143" s="2">
        <f>YEAR(Sales_Details2[[#This Row],[Order_Date]])</f>
        <v>2024</v>
      </c>
      <c r="D1143" s="2" t="s">
        <v>1153</v>
      </c>
      <c r="E1143" s="2" t="str">
        <f>VLOOKUP(Sales_Details2[[#This Row],[Customer_ID]],Customer_Details[#All],4,0)</f>
        <v>Mid-Adult</v>
      </c>
      <c r="F1143" s="2" t="str">
        <f>VLOOKUP(Sales_Details2[[#This Row],[Customer_ID]],Customer_Details[#All],5,0)</f>
        <v>Female</v>
      </c>
      <c r="G1143" s="2" t="str">
        <f>VLOOKUP(Sales_Details2[[#This Row],[Customer_ID]],Customer_Details[#All],9,0)</f>
        <v>Gold</v>
      </c>
      <c r="H1143" s="2" t="s">
        <v>1623</v>
      </c>
      <c r="I1143" s="2" t="str">
        <f>VLOOKUP(Sales_Details2[[#This Row],[Product_ID]],Product_details[[#All],[Product_ID]:[Cost]],3,0)</f>
        <v>Clothing</v>
      </c>
      <c r="J1143" s="2" t="str">
        <f>VLOOKUP(Sales_Details2[[#This Row],[Product_ID]],Product_details[[#All],[Product_ID]:[Cost]],4,0)</f>
        <v>Outerwear</v>
      </c>
      <c r="K1143" s="2" t="s">
        <v>1762</v>
      </c>
      <c r="L1143" s="2" t="str">
        <f>_xlfn.XLOOKUP(Sales_Details2[[#This Row],[Store_ID]],Table2[Store_ID],Table2[Region],"Region not found")</f>
        <v>South</v>
      </c>
      <c r="M1143" s="25">
        <v>2</v>
      </c>
      <c r="N1143" s="36">
        <v>143.79</v>
      </c>
      <c r="O1143" s="29">
        <v>0.1</v>
      </c>
      <c r="P1143" s="2" t="s">
        <v>1809</v>
      </c>
      <c r="Q1143" s="36">
        <v>258.822</v>
      </c>
    </row>
    <row r="1144" spans="1:17" x14ac:dyDescent="0.3">
      <c r="A1144" s="2" t="s">
        <v>2951</v>
      </c>
      <c r="B1144" s="14">
        <v>45608</v>
      </c>
      <c r="C1144" s="2">
        <f>YEAR(Sales_Details2[[#This Row],[Order_Date]])</f>
        <v>2024</v>
      </c>
      <c r="D1144" s="2" t="s">
        <v>928</v>
      </c>
      <c r="E1144" s="2" t="str">
        <f>VLOOKUP(Sales_Details2[[#This Row],[Customer_ID]],Customer_Details[#All],4,0)</f>
        <v>Adult</v>
      </c>
      <c r="F1144" s="2" t="str">
        <f>VLOOKUP(Sales_Details2[[#This Row],[Customer_ID]],Customer_Details[#All],5,0)</f>
        <v>Female</v>
      </c>
      <c r="G1144" s="2" t="str">
        <f>VLOOKUP(Sales_Details2[[#This Row],[Customer_ID]],Customer_Details[#All],9,0)</f>
        <v>Bronze</v>
      </c>
      <c r="H1144" s="2" t="s">
        <v>1697</v>
      </c>
      <c r="I1144" s="2" t="str">
        <f>VLOOKUP(Sales_Details2[[#This Row],[Product_ID]],Product_details[[#All],[Product_ID]:[Cost]],3,0)</f>
        <v>Beauty</v>
      </c>
      <c r="J1144" s="2" t="str">
        <f>VLOOKUP(Sales_Details2[[#This Row],[Product_ID]],Product_details[[#All],[Product_ID]:[Cost]],4,0)</f>
        <v>Skincare</v>
      </c>
      <c r="K1144" s="2" t="s">
        <v>1740</v>
      </c>
      <c r="L1144" s="2" t="str">
        <f>_xlfn.XLOOKUP(Sales_Details2[[#This Row],[Store_ID]],Table2[Store_ID],Table2[Region],"Region not found")</f>
        <v>North</v>
      </c>
      <c r="M1144" s="25">
        <v>3</v>
      </c>
      <c r="N1144" s="36">
        <v>460.93</v>
      </c>
      <c r="O1144" s="29">
        <v>0.19</v>
      </c>
      <c r="P1144" s="2" t="s">
        <v>1812</v>
      </c>
      <c r="Q1144" s="36">
        <v>1120.0599</v>
      </c>
    </row>
    <row r="1145" spans="1:17" x14ac:dyDescent="0.3">
      <c r="A1145" s="2" t="s">
        <v>2952</v>
      </c>
      <c r="B1145" s="14">
        <v>45301</v>
      </c>
      <c r="C1145" s="2">
        <f>YEAR(Sales_Details2[[#This Row],[Order_Date]])</f>
        <v>2024</v>
      </c>
      <c r="D1145" s="2" t="s">
        <v>1516</v>
      </c>
      <c r="E1145" s="2" t="str">
        <f>VLOOKUP(Sales_Details2[[#This Row],[Customer_ID]],Customer_Details[#All],4,0)</f>
        <v>Adult</v>
      </c>
      <c r="F1145" s="2" t="str">
        <f>VLOOKUP(Sales_Details2[[#This Row],[Customer_ID]],Customer_Details[#All],5,0)</f>
        <v>Female</v>
      </c>
      <c r="G1145" s="2" t="str">
        <f>VLOOKUP(Sales_Details2[[#This Row],[Customer_ID]],Customer_Details[#All],9,0)</f>
        <v>Platinum</v>
      </c>
      <c r="H1145" s="2" t="s">
        <v>1587</v>
      </c>
      <c r="I1145" s="2" t="str">
        <f>VLOOKUP(Sales_Details2[[#This Row],[Product_ID]],Product_details[[#All],[Product_ID]:[Cost]],3,0)</f>
        <v>Sports</v>
      </c>
      <c r="J1145" s="2" t="str">
        <f>VLOOKUP(Sales_Details2[[#This Row],[Product_ID]],Product_details[[#All],[Product_ID]:[Cost]],4,0)</f>
        <v>Accessories</v>
      </c>
      <c r="K1145" s="2" t="s">
        <v>1769</v>
      </c>
      <c r="L1145" s="2" t="str">
        <f>_xlfn.XLOOKUP(Sales_Details2[[#This Row],[Store_ID]],Table2[Store_ID],Table2[Region],"Region not found")</f>
        <v>South</v>
      </c>
      <c r="M1145" s="25">
        <v>2</v>
      </c>
      <c r="N1145" s="36">
        <v>67.55</v>
      </c>
      <c r="O1145" s="29">
        <v>0.03</v>
      </c>
      <c r="P1145" s="2" t="s">
        <v>1807</v>
      </c>
      <c r="Q1145" s="36">
        <v>131.047</v>
      </c>
    </row>
    <row r="1146" spans="1:17" x14ac:dyDescent="0.3">
      <c r="A1146" s="2" t="s">
        <v>2953</v>
      </c>
      <c r="B1146" s="14">
        <v>45433</v>
      </c>
      <c r="C1146" s="2">
        <f>YEAR(Sales_Details2[[#This Row],[Order_Date]])</f>
        <v>2024</v>
      </c>
      <c r="D1146" s="2" t="s">
        <v>678</v>
      </c>
      <c r="E1146" s="2" t="str">
        <f>VLOOKUP(Sales_Details2[[#This Row],[Customer_ID]],Customer_Details[#All],4,0)</f>
        <v>Mid-Adult</v>
      </c>
      <c r="F1146" s="2" t="str">
        <f>VLOOKUP(Sales_Details2[[#This Row],[Customer_ID]],Customer_Details[#All],5,0)</f>
        <v>Male</v>
      </c>
      <c r="G1146" s="2" t="str">
        <f>VLOOKUP(Sales_Details2[[#This Row],[Customer_ID]],Customer_Details[#All],9,0)</f>
        <v>Silver</v>
      </c>
      <c r="H1146" s="2" t="s">
        <v>1629</v>
      </c>
      <c r="I1146" s="2" t="str">
        <f>VLOOKUP(Sales_Details2[[#This Row],[Product_ID]],Product_details[[#All],[Product_ID]:[Cost]],3,0)</f>
        <v>Beauty</v>
      </c>
      <c r="J1146" s="2" t="str">
        <f>VLOOKUP(Sales_Details2[[#This Row],[Product_ID]],Product_details[[#All],[Product_ID]:[Cost]],4,0)</f>
        <v>Fragrance</v>
      </c>
      <c r="K1146" s="2" t="s">
        <v>1740</v>
      </c>
      <c r="L1146" s="2" t="str">
        <f>_xlfn.XLOOKUP(Sales_Details2[[#This Row],[Store_ID]],Table2[Store_ID],Table2[Region],"Region not found")</f>
        <v>North</v>
      </c>
      <c r="M1146" s="25">
        <v>3</v>
      </c>
      <c r="N1146" s="36">
        <v>803.31</v>
      </c>
      <c r="O1146" s="29">
        <v>0.1</v>
      </c>
      <c r="P1146" s="2" t="s">
        <v>1809</v>
      </c>
      <c r="Q1146" s="36">
        <v>2168.9369999999999</v>
      </c>
    </row>
    <row r="1147" spans="1:17" x14ac:dyDescent="0.3">
      <c r="A1147" s="2" t="s">
        <v>2954</v>
      </c>
      <c r="B1147" s="14">
        <v>45821</v>
      </c>
      <c r="C1147" s="2">
        <f>YEAR(Sales_Details2[[#This Row],[Order_Date]])</f>
        <v>2025</v>
      </c>
      <c r="D1147" s="2" t="s">
        <v>1324</v>
      </c>
      <c r="E1147" s="2" t="str">
        <f>VLOOKUP(Sales_Details2[[#This Row],[Customer_ID]],Customer_Details[#All],4,0)</f>
        <v>Mid-Adult</v>
      </c>
      <c r="F1147" s="2" t="str">
        <f>VLOOKUP(Sales_Details2[[#This Row],[Customer_ID]],Customer_Details[#All],5,0)</f>
        <v>Male</v>
      </c>
      <c r="G1147" s="2" t="str">
        <f>VLOOKUP(Sales_Details2[[#This Row],[Customer_ID]],Customer_Details[#All],9,0)</f>
        <v>Bronze</v>
      </c>
      <c r="H1147" s="2" t="s">
        <v>1563</v>
      </c>
      <c r="I1147" s="2" t="str">
        <f>VLOOKUP(Sales_Details2[[#This Row],[Product_ID]],Product_details[[#All],[Product_ID]:[Cost]],3,0)</f>
        <v>Beauty</v>
      </c>
      <c r="J1147" s="2" t="str">
        <f>VLOOKUP(Sales_Details2[[#This Row],[Product_ID]],Product_details[[#All],[Product_ID]:[Cost]],4,0)</f>
        <v>Grooming</v>
      </c>
      <c r="K1147" s="2" t="s">
        <v>1780</v>
      </c>
      <c r="L1147" s="2" t="str">
        <f>_xlfn.XLOOKUP(Sales_Details2[[#This Row],[Store_ID]],Table2[Store_ID],Table2[Region],"Region not found")</f>
        <v>East</v>
      </c>
      <c r="M1147" s="25">
        <v>4</v>
      </c>
      <c r="N1147" s="36">
        <v>254.71</v>
      </c>
      <c r="O1147" s="29">
        <v>0.2</v>
      </c>
      <c r="P1147" s="2" t="s">
        <v>1812</v>
      </c>
      <c r="Q1147" s="36">
        <v>815.07200000000012</v>
      </c>
    </row>
    <row r="1148" spans="1:17" x14ac:dyDescent="0.3">
      <c r="A1148" s="2" t="s">
        <v>2955</v>
      </c>
      <c r="B1148" s="14">
        <v>45508</v>
      </c>
      <c r="C1148" s="2">
        <f>YEAR(Sales_Details2[[#This Row],[Order_Date]])</f>
        <v>2024</v>
      </c>
      <c r="D1148" s="2" t="s">
        <v>192</v>
      </c>
      <c r="E1148" s="2" t="str">
        <f>VLOOKUP(Sales_Details2[[#This Row],[Customer_ID]],Customer_Details[#All],4,0)</f>
        <v>Adult</v>
      </c>
      <c r="F1148" s="2" t="str">
        <f>VLOOKUP(Sales_Details2[[#This Row],[Customer_ID]],Customer_Details[#All],5,0)</f>
        <v>Female</v>
      </c>
      <c r="G1148" s="2" t="str">
        <f>VLOOKUP(Sales_Details2[[#This Row],[Customer_ID]],Customer_Details[#All],9,0)</f>
        <v>Gold</v>
      </c>
      <c r="H1148" s="2" t="s">
        <v>1631</v>
      </c>
      <c r="I1148" s="2" t="str">
        <f>VLOOKUP(Sales_Details2[[#This Row],[Product_ID]],Product_details[[#All],[Product_ID]:[Cost]],3,0)</f>
        <v>Sports</v>
      </c>
      <c r="J1148" s="2" t="str">
        <f>VLOOKUP(Sales_Details2[[#This Row],[Product_ID]],Product_details[[#All],[Product_ID]:[Cost]],4,0)</f>
        <v>Fitness</v>
      </c>
      <c r="K1148" s="2" t="s">
        <v>1752</v>
      </c>
      <c r="L1148" s="2" t="str">
        <f>_xlfn.XLOOKUP(Sales_Details2[[#This Row],[Store_ID]],Table2[Store_ID],Table2[Region],"Region not found")</f>
        <v>South</v>
      </c>
      <c r="M1148" s="25">
        <v>4</v>
      </c>
      <c r="N1148" s="36">
        <v>594.89</v>
      </c>
      <c r="O1148" s="29">
        <v>0.3</v>
      </c>
      <c r="P1148" s="2" t="s">
        <v>1809</v>
      </c>
      <c r="Q1148" s="36">
        <v>1665.692</v>
      </c>
    </row>
    <row r="1149" spans="1:17" x14ac:dyDescent="0.3">
      <c r="A1149" s="2" t="s">
        <v>2956</v>
      </c>
      <c r="B1149" s="14">
        <v>45854</v>
      </c>
      <c r="C1149" s="2">
        <f>YEAR(Sales_Details2[[#This Row],[Order_Date]])</f>
        <v>2025</v>
      </c>
      <c r="D1149" s="2" t="s">
        <v>705</v>
      </c>
      <c r="E1149" s="2" t="str">
        <f>VLOOKUP(Sales_Details2[[#This Row],[Customer_ID]],Customer_Details[#All],4,0)</f>
        <v>Mid-Adult</v>
      </c>
      <c r="F1149" s="2" t="str">
        <f>VLOOKUP(Sales_Details2[[#This Row],[Customer_ID]],Customer_Details[#All],5,0)</f>
        <v>Female</v>
      </c>
      <c r="G1149" s="2" t="str">
        <f>VLOOKUP(Sales_Details2[[#This Row],[Customer_ID]],Customer_Details[#All],9,0)</f>
        <v>Gold</v>
      </c>
      <c r="H1149" s="2" t="s">
        <v>1713</v>
      </c>
      <c r="I1149" s="2" t="str">
        <f>VLOOKUP(Sales_Details2[[#This Row],[Product_ID]],Product_details[[#All],[Product_ID]:[Cost]],3,0)</f>
        <v>Clothing</v>
      </c>
      <c r="J1149" s="2" t="str">
        <f>VLOOKUP(Sales_Details2[[#This Row],[Product_ID]],Product_details[[#All],[Product_ID]:[Cost]],4,0)</f>
        <v>Footwear</v>
      </c>
      <c r="K1149" s="2" t="s">
        <v>1735</v>
      </c>
      <c r="L1149" s="2" t="str">
        <f>_xlfn.XLOOKUP(Sales_Details2[[#This Row],[Store_ID]],Table2[Store_ID],Table2[Region],"Region not found")</f>
        <v>East</v>
      </c>
      <c r="M1149" s="25">
        <v>2</v>
      </c>
      <c r="N1149" s="36">
        <v>844.31</v>
      </c>
      <c r="O1149" s="29">
        <v>7.0000000000000007E-2</v>
      </c>
      <c r="P1149" s="2" t="s">
        <v>1809</v>
      </c>
      <c r="Q1149" s="36">
        <v>1570.4166</v>
      </c>
    </row>
    <row r="1150" spans="1:17" x14ac:dyDescent="0.3">
      <c r="A1150" s="2" t="s">
        <v>2957</v>
      </c>
      <c r="B1150" s="14">
        <v>45569</v>
      </c>
      <c r="C1150" s="2">
        <f>YEAR(Sales_Details2[[#This Row],[Order_Date]])</f>
        <v>2024</v>
      </c>
      <c r="D1150" s="2" t="s">
        <v>453</v>
      </c>
      <c r="E1150" s="2" t="str">
        <f>VLOOKUP(Sales_Details2[[#This Row],[Customer_ID]],Customer_Details[#All],4,0)</f>
        <v>Senior</v>
      </c>
      <c r="F1150" s="2" t="str">
        <f>VLOOKUP(Sales_Details2[[#This Row],[Customer_ID]],Customer_Details[#All],5,0)</f>
        <v>Male</v>
      </c>
      <c r="G1150" s="2" t="str">
        <f>VLOOKUP(Sales_Details2[[#This Row],[Customer_ID]],Customer_Details[#All],9,0)</f>
        <v>Gold</v>
      </c>
      <c r="H1150" s="2" t="s">
        <v>1561</v>
      </c>
      <c r="I1150" s="2" t="str">
        <f>VLOOKUP(Sales_Details2[[#This Row],[Product_ID]],Product_details[[#All],[Product_ID]:[Cost]],3,0)</f>
        <v>Electronics</v>
      </c>
      <c r="J1150" s="2" t="str">
        <f>VLOOKUP(Sales_Details2[[#This Row],[Product_ID]],Product_details[[#All],[Product_ID]:[Cost]],4,0)</f>
        <v>Appliances</v>
      </c>
      <c r="K1150" s="2" t="s">
        <v>1759</v>
      </c>
      <c r="L1150" s="2" t="str">
        <f>_xlfn.XLOOKUP(Sales_Details2[[#This Row],[Store_ID]],Table2[Store_ID],Table2[Region],"Region not found")</f>
        <v>East</v>
      </c>
      <c r="M1150" s="25">
        <v>4</v>
      </c>
      <c r="N1150" s="36">
        <v>101.33</v>
      </c>
      <c r="O1150" s="29">
        <v>0</v>
      </c>
      <c r="P1150" s="2" t="s">
        <v>1807</v>
      </c>
      <c r="Q1150" s="36">
        <v>405.32</v>
      </c>
    </row>
    <row r="1151" spans="1:17" x14ac:dyDescent="0.3">
      <c r="A1151" s="2" t="s">
        <v>2958</v>
      </c>
      <c r="B1151" s="14">
        <v>45824</v>
      </c>
      <c r="C1151" s="2">
        <f>YEAR(Sales_Details2[[#This Row],[Order_Date]])</f>
        <v>2025</v>
      </c>
      <c r="D1151" s="2" t="s">
        <v>444</v>
      </c>
      <c r="E1151" s="2" t="str">
        <f>VLOOKUP(Sales_Details2[[#This Row],[Customer_ID]],Customer_Details[#All],4,0)</f>
        <v>Mid-Adult</v>
      </c>
      <c r="F1151" s="2" t="str">
        <f>VLOOKUP(Sales_Details2[[#This Row],[Customer_ID]],Customer_Details[#All],5,0)</f>
        <v>Female</v>
      </c>
      <c r="G1151" s="2" t="str">
        <f>VLOOKUP(Sales_Details2[[#This Row],[Customer_ID]],Customer_Details[#All],9,0)</f>
        <v>Bronze</v>
      </c>
      <c r="H1151" s="2" t="s">
        <v>1583</v>
      </c>
      <c r="I1151" s="2" t="str">
        <f>VLOOKUP(Sales_Details2[[#This Row],[Product_ID]],Product_details[[#All],[Product_ID]:[Cost]],3,0)</f>
        <v>Electronics</v>
      </c>
      <c r="J1151" s="2" t="str">
        <f>VLOOKUP(Sales_Details2[[#This Row],[Product_ID]],Product_details[[#All],[Product_ID]:[Cost]],4,0)</f>
        <v>Audio</v>
      </c>
      <c r="K1151" s="2" t="s">
        <v>1765</v>
      </c>
      <c r="L1151" s="2" t="str">
        <f>_xlfn.XLOOKUP(Sales_Details2[[#This Row],[Store_ID]],Table2[Store_ID],Table2[Region],"Region not found")</f>
        <v>West</v>
      </c>
      <c r="M1151" s="25">
        <v>3</v>
      </c>
      <c r="N1151" s="36">
        <v>922.56</v>
      </c>
      <c r="O1151" s="29">
        <v>0.18</v>
      </c>
      <c r="P1151" s="2" t="s">
        <v>1809</v>
      </c>
      <c r="Q1151" s="36">
        <v>2269.4976000000001</v>
      </c>
    </row>
    <row r="1152" spans="1:17" x14ac:dyDescent="0.3">
      <c r="A1152" s="2" t="s">
        <v>2959</v>
      </c>
      <c r="B1152" s="14">
        <v>45352</v>
      </c>
      <c r="C1152" s="2">
        <f>YEAR(Sales_Details2[[#This Row],[Order_Date]])</f>
        <v>2024</v>
      </c>
      <c r="D1152" s="2" t="s">
        <v>1324</v>
      </c>
      <c r="E1152" s="2" t="str">
        <f>VLOOKUP(Sales_Details2[[#This Row],[Customer_ID]],Customer_Details[#All],4,0)</f>
        <v>Mid-Adult</v>
      </c>
      <c r="F1152" s="2" t="str">
        <f>VLOOKUP(Sales_Details2[[#This Row],[Customer_ID]],Customer_Details[#All],5,0)</f>
        <v>Male</v>
      </c>
      <c r="G1152" s="2" t="str">
        <f>VLOOKUP(Sales_Details2[[#This Row],[Customer_ID]],Customer_Details[#All],9,0)</f>
        <v>Bronze</v>
      </c>
      <c r="H1152" s="2" t="s">
        <v>1607</v>
      </c>
      <c r="I1152" s="2" t="str">
        <f>VLOOKUP(Sales_Details2[[#This Row],[Product_ID]],Product_details[[#All],[Product_ID]:[Cost]],3,0)</f>
        <v>Sports</v>
      </c>
      <c r="J1152" s="2" t="str">
        <f>VLOOKUP(Sales_Details2[[#This Row],[Product_ID]],Product_details[[#All],[Product_ID]:[Cost]],4,0)</f>
        <v>Outdoor</v>
      </c>
      <c r="K1152" s="2" t="s">
        <v>1782</v>
      </c>
      <c r="L1152" s="2" t="str">
        <f>_xlfn.XLOOKUP(Sales_Details2[[#This Row],[Store_ID]],Table2[Store_ID],Table2[Region],"Region not found")</f>
        <v>South</v>
      </c>
      <c r="M1152" s="25">
        <v>4</v>
      </c>
      <c r="N1152" s="36">
        <v>867.19</v>
      </c>
      <c r="O1152" s="29">
        <v>7.0000000000000007E-2</v>
      </c>
      <c r="P1152" s="2" t="s">
        <v>1812</v>
      </c>
      <c r="Q1152" s="36">
        <v>3225.9468000000002</v>
      </c>
    </row>
    <row r="1153" spans="1:17" x14ac:dyDescent="0.3">
      <c r="A1153" s="2" t="s">
        <v>2960</v>
      </c>
      <c r="B1153" s="14">
        <v>45454</v>
      </c>
      <c r="C1153" s="2">
        <f>YEAR(Sales_Details2[[#This Row],[Order_Date]])</f>
        <v>2024</v>
      </c>
      <c r="D1153" s="2" t="s">
        <v>36</v>
      </c>
      <c r="E1153" s="2" t="str">
        <f>VLOOKUP(Sales_Details2[[#This Row],[Customer_ID]],Customer_Details[#All],4,0)</f>
        <v>Adult</v>
      </c>
      <c r="F1153" s="2" t="str">
        <f>VLOOKUP(Sales_Details2[[#This Row],[Customer_ID]],Customer_Details[#All],5,0)</f>
        <v>Female</v>
      </c>
      <c r="G1153" s="2" t="str">
        <f>VLOOKUP(Sales_Details2[[#This Row],[Customer_ID]],Customer_Details[#All],9,0)</f>
        <v>Platinum</v>
      </c>
      <c r="H1153" s="2" t="s">
        <v>1697</v>
      </c>
      <c r="I1153" s="2" t="str">
        <f>VLOOKUP(Sales_Details2[[#This Row],[Product_ID]],Product_details[[#All],[Product_ID]:[Cost]],3,0)</f>
        <v>Beauty</v>
      </c>
      <c r="J1153" s="2" t="str">
        <f>VLOOKUP(Sales_Details2[[#This Row],[Product_ID]],Product_details[[#All],[Product_ID]:[Cost]],4,0)</f>
        <v>Skincare</v>
      </c>
      <c r="K1153" s="2" t="s">
        <v>1790</v>
      </c>
      <c r="L1153" s="2" t="str">
        <f>_xlfn.XLOOKUP(Sales_Details2[[#This Row],[Store_ID]],Table2[Store_ID],Table2[Region],"Region not found")</f>
        <v>North</v>
      </c>
      <c r="M1153" s="25">
        <v>3</v>
      </c>
      <c r="N1153" s="36">
        <v>816.87</v>
      </c>
      <c r="O1153" s="29">
        <v>0.14000000000000001</v>
      </c>
      <c r="P1153" s="2" t="s">
        <v>1809</v>
      </c>
      <c r="Q1153" s="36">
        <v>2107.5246000000002</v>
      </c>
    </row>
    <row r="1154" spans="1:17" x14ac:dyDescent="0.3">
      <c r="A1154" s="2" t="s">
        <v>2961</v>
      </c>
      <c r="B1154" s="14">
        <v>45924</v>
      </c>
      <c r="C1154" s="2">
        <f>YEAR(Sales_Details2[[#This Row],[Order_Date]])</f>
        <v>2025</v>
      </c>
      <c r="D1154" s="2" t="s">
        <v>1461</v>
      </c>
      <c r="E1154" s="2" t="str">
        <f>VLOOKUP(Sales_Details2[[#This Row],[Customer_ID]],Customer_Details[#All],4,0)</f>
        <v>Mid-Adult</v>
      </c>
      <c r="F1154" s="2" t="str">
        <f>VLOOKUP(Sales_Details2[[#This Row],[Customer_ID]],Customer_Details[#All],5,0)</f>
        <v>Male</v>
      </c>
      <c r="G1154" s="2" t="str">
        <f>VLOOKUP(Sales_Details2[[#This Row],[Customer_ID]],Customer_Details[#All],9,0)</f>
        <v>Bronze</v>
      </c>
      <c r="H1154" s="2" t="s">
        <v>1661</v>
      </c>
      <c r="I1154" s="2" t="str">
        <f>VLOOKUP(Sales_Details2[[#This Row],[Product_ID]],Product_details[[#All],[Product_ID]:[Cost]],3,0)</f>
        <v>Sports</v>
      </c>
      <c r="J1154" s="2" t="str">
        <f>VLOOKUP(Sales_Details2[[#This Row],[Product_ID]],Product_details[[#All],[Product_ID]:[Cost]],4,0)</f>
        <v>Fitness</v>
      </c>
      <c r="K1154" s="2" t="s">
        <v>1749</v>
      </c>
      <c r="L1154" s="2" t="str">
        <f>_xlfn.XLOOKUP(Sales_Details2[[#This Row],[Store_ID]],Table2[Store_ID],Table2[Region],"Region not found")</f>
        <v>North</v>
      </c>
      <c r="M1154" s="25">
        <v>3</v>
      </c>
      <c r="N1154" s="36">
        <v>258.06</v>
      </c>
      <c r="O1154" s="29">
        <v>0</v>
      </c>
      <c r="P1154" s="2" t="s">
        <v>1809</v>
      </c>
      <c r="Q1154" s="36">
        <v>774.18000000000006</v>
      </c>
    </row>
    <row r="1155" spans="1:17" x14ac:dyDescent="0.3">
      <c r="A1155" s="2" t="s">
        <v>2962</v>
      </c>
      <c r="B1155" s="14">
        <v>45694</v>
      </c>
      <c r="C1155" s="2">
        <f>YEAR(Sales_Details2[[#This Row],[Order_Date]])</f>
        <v>2025</v>
      </c>
      <c r="D1155" s="2" t="s">
        <v>974</v>
      </c>
      <c r="E1155" s="2" t="str">
        <f>VLOOKUP(Sales_Details2[[#This Row],[Customer_ID]],Customer_Details[#All],4,0)</f>
        <v>Mid-Adult</v>
      </c>
      <c r="F1155" s="2" t="str">
        <f>VLOOKUP(Sales_Details2[[#This Row],[Customer_ID]],Customer_Details[#All],5,0)</f>
        <v>Female</v>
      </c>
      <c r="G1155" s="2" t="str">
        <f>VLOOKUP(Sales_Details2[[#This Row],[Customer_ID]],Customer_Details[#All],9,0)</f>
        <v>Silver</v>
      </c>
      <c r="H1155" s="2" t="s">
        <v>1607</v>
      </c>
      <c r="I1155" s="2" t="str">
        <f>VLOOKUP(Sales_Details2[[#This Row],[Product_ID]],Product_details[[#All],[Product_ID]:[Cost]],3,0)</f>
        <v>Sports</v>
      </c>
      <c r="J1155" s="2" t="str">
        <f>VLOOKUP(Sales_Details2[[#This Row],[Product_ID]],Product_details[[#All],[Product_ID]:[Cost]],4,0)</f>
        <v>Outdoor</v>
      </c>
      <c r="K1155" s="2" t="s">
        <v>1782</v>
      </c>
      <c r="L1155" s="2" t="str">
        <f>_xlfn.XLOOKUP(Sales_Details2[[#This Row],[Store_ID]],Table2[Store_ID],Table2[Region],"Region not found")</f>
        <v>South</v>
      </c>
      <c r="M1155" s="25">
        <v>2</v>
      </c>
      <c r="N1155" s="36">
        <v>574.58000000000004</v>
      </c>
      <c r="O1155" s="29">
        <v>0.06</v>
      </c>
      <c r="P1155" s="2" t="s">
        <v>1807</v>
      </c>
      <c r="Q1155" s="36">
        <v>1080.2103999999999</v>
      </c>
    </row>
    <row r="1156" spans="1:17" x14ac:dyDescent="0.3">
      <c r="A1156" s="2" t="s">
        <v>2963</v>
      </c>
      <c r="B1156" s="14">
        <v>45587</v>
      </c>
      <c r="C1156" s="2">
        <f>YEAR(Sales_Details2[[#This Row],[Order_Date]])</f>
        <v>2024</v>
      </c>
      <c r="D1156" s="2" t="s">
        <v>97</v>
      </c>
      <c r="E1156" s="2" t="str">
        <f>VLOOKUP(Sales_Details2[[#This Row],[Customer_ID]],Customer_Details[#All],4,0)</f>
        <v>Mid-Adult</v>
      </c>
      <c r="F1156" s="2" t="str">
        <f>VLOOKUP(Sales_Details2[[#This Row],[Customer_ID]],Customer_Details[#All],5,0)</f>
        <v>Female</v>
      </c>
      <c r="G1156" s="2" t="str">
        <f>VLOOKUP(Sales_Details2[[#This Row],[Customer_ID]],Customer_Details[#All],9,0)</f>
        <v>Silver</v>
      </c>
      <c r="H1156" s="2" t="s">
        <v>1697</v>
      </c>
      <c r="I1156" s="2" t="str">
        <f>VLOOKUP(Sales_Details2[[#This Row],[Product_ID]],Product_details[[#All],[Product_ID]:[Cost]],3,0)</f>
        <v>Beauty</v>
      </c>
      <c r="J1156" s="2" t="str">
        <f>VLOOKUP(Sales_Details2[[#This Row],[Product_ID]],Product_details[[#All],[Product_ID]:[Cost]],4,0)</f>
        <v>Skincare</v>
      </c>
      <c r="K1156" s="2" t="s">
        <v>1759</v>
      </c>
      <c r="L1156" s="2" t="str">
        <f>_xlfn.XLOOKUP(Sales_Details2[[#This Row],[Store_ID]],Table2[Store_ID],Table2[Region],"Region not found")</f>
        <v>East</v>
      </c>
      <c r="M1156" s="25">
        <v>2</v>
      </c>
      <c r="N1156" s="36">
        <v>472.18</v>
      </c>
      <c r="O1156" s="29">
        <v>0.27</v>
      </c>
      <c r="P1156" s="2" t="s">
        <v>1809</v>
      </c>
      <c r="Q1156" s="36">
        <v>689.38279999999997</v>
      </c>
    </row>
    <row r="1157" spans="1:17" x14ac:dyDescent="0.3">
      <c r="A1157" s="2" t="s">
        <v>2964</v>
      </c>
      <c r="B1157" s="14">
        <v>45556</v>
      </c>
      <c r="C1157" s="2">
        <f>YEAR(Sales_Details2[[#This Row],[Order_Date]])</f>
        <v>2024</v>
      </c>
      <c r="D1157" s="2" t="s">
        <v>1057</v>
      </c>
      <c r="E1157" s="2" t="str">
        <f>VLOOKUP(Sales_Details2[[#This Row],[Customer_ID]],Customer_Details[#All],4,0)</f>
        <v>Adult</v>
      </c>
      <c r="F1157" s="2" t="str">
        <f>VLOOKUP(Sales_Details2[[#This Row],[Customer_ID]],Customer_Details[#All],5,0)</f>
        <v>Male</v>
      </c>
      <c r="G1157" s="2" t="str">
        <f>VLOOKUP(Sales_Details2[[#This Row],[Customer_ID]],Customer_Details[#All],9,0)</f>
        <v>Bronze</v>
      </c>
      <c r="H1157" s="2" t="s">
        <v>1613</v>
      </c>
      <c r="I1157" s="2" t="str">
        <f>VLOOKUP(Sales_Details2[[#This Row],[Product_ID]],Product_details[[#All],[Product_ID]:[Cost]],3,0)</f>
        <v>Sports</v>
      </c>
      <c r="J1157" s="2" t="str">
        <f>VLOOKUP(Sales_Details2[[#This Row],[Product_ID]],Product_details[[#All],[Product_ID]:[Cost]],4,0)</f>
        <v>Fitness</v>
      </c>
      <c r="K1157" s="2" t="s">
        <v>1756</v>
      </c>
      <c r="L1157" s="2" t="str">
        <f>_xlfn.XLOOKUP(Sales_Details2[[#This Row],[Store_ID]],Table2[Store_ID],Table2[Region],"Region not found")</f>
        <v>North</v>
      </c>
      <c r="M1157" s="25">
        <v>2</v>
      </c>
      <c r="N1157" s="36">
        <v>20.47</v>
      </c>
      <c r="O1157" s="29">
        <v>0.12</v>
      </c>
      <c r="P1157" s="2" t="s">
        <v>1812</v>
      </c>
      <c r="Q1157" s="36">
        <v>36.027200000000001</v>
      </c>
    </row>
    <row r="1158" spans="1:17" x14ac:dyDescent="0.3">
      <c r="A1158" s="2" t="s">
        <v>2965</v>
      </c>
      <c r="B1158" s="14">
        <v>45923</v>
      </c>
      <c r="C1158" s="2">
        <f>YEAR(Sales_Details2[[#This Row],[Order_Date]])</f>
        <v>2025</v>
      </c>
      <c r="D1158" s="2" t="s">
        <v>100</v>
      </c>
      <c r="E1158" s="2" t="str">
        <f>VLOOKUP(Sales_Details2[[#This Row],[Customer_ID]],Customer_Details[#All],4,0)</f>
        <v>Senior</v>
      </c>
      <c r="F1158" s="2" t="str">
        <f>VLOOKUP(Sales_Details2[[#This Row],[Customer_ID]],Customer_Details[#All],5,0)</f>
        <v>Female</v>
      </c>
      <c r="G1158" s="2" t="str">
        <f>VLOOKUP(Sales_Details2[[#This Row],[Customer_ID]],Customer_Details[#All],9,0)</f>
        <v>Silver</v>
      </c>
      <c r="H1158" s="2" t="s">
        <v>1575</v>
      </c>
      <c r="I1158" s="2" t="str">
        <f>VLOOKUP(Sales_Details2[[#This Row],[Product_ID]],Product_details[[#All],[Product_ID]:[Cost]],3,0)</f>
        <v>Sports</v>
      </c>
      <c r="J1158" s="2" t="str">
        <f>VLOOKUP(Sales_Details2[[#This Row],[Product_ID]],Product_details[[#All],[Product_ID]:[Cost]],4,0)</f>
        <v>Equipment</v>
      </c>
      <c r="K1158" s="2" t="s">
        <v>1762</v>
      </c>
      <c r="L1158" s="2" t="str">
        <f>_xlfn.XLOOKUP(Sales_Details2[[#This Row],[Store_ID]],Table2[Store_ID],Table2[Region],"Region not found")</f>
        <v>South</v>
      </c>
      <c r="M1158" s="25">
        <v>3</v>
      </c>
      <c r="N1158" s="36">
        <v>235.41</v>
      </c>
      <c r="O1158" s="29">
        <v>0.15</v>
      </c>
      <c r="P1158" s="2" t="s">
        <v>1809</v>
      </c>
      <c r="Q1158" s="36">
        <v>600.29549999999995</v>
      </c>
    </row>
    <row r="1159" spans="1:17" x14ac:dyDescent="0.3">
      <c r="A1159" s="2" t="s">
        <v>2966</v>
      </c>
      <c r="B1159" s="14">
        <v>45811</v>
      </c>
      <c r="C1159" s="2">
        <f>YEAR(Sales_Details2[[#This Row],[Order_Date]])</f>
        <v>2025</v>
      </c>
      <c r="D1159" s="2" t="s">
        <v>734</v>
      </c>
      <c r="E1159" s="2" t="str">
        <f>VLOOKUP(Sales_Details2[[#This Row],[Customer_ID]],Customer_Details[#All],4,0)</f>
        <v>Adult</v>
      </c>
      <c r="F1159" s="2" t="str">
        <f>VLOOKUP(Sales_Details2[[#This Row],[Customer_ID]],Customer_Details[#All],5,0)</f>
        <v>Male</v>
      </c>
      <c r="G1159" s="2" t="str">
        <f>VLOOKUP(Sales_Details2[[#This Row],[Customer_ID]],Customer_Details[#All],9,0)</f>
        <v>Bronze</v>
      </c>
      <c r="H1159" s="2" t="s">
        <v>1687</v>
      </c>
      <c r="I1159" s="2" t="str">
        <f>VLOOKUP(Sales_Details2[[#This Row],[Product_ID]],Product_details[[#All],[Product_ID]:[Cost]],3,0)</f>
        <v>Home</v>
      </c>
      <c r="J1159" s="2" t="str">
        <f>VLOOKUP(Sales_Details2[[#This Row],[Product_ID]],Product_details[[#All],[Product_ID]:[Cost]],4,0)</f>
        <v>Decor</v>
      </c>
      <c r="K1159" s="2" t="s">
        <v>1762</v>
      </c>
      <c r="L1159" s="2" t="str">
        <f>_xlfn.XLOOKUP(Sales_Details2[[#This Row],[Store_ID]],Table2[Store_ID],Table2[Region],"Region not found")</f>
        <v>South</v>
      </c>
      <c r="M1159" s="25">
        <v>3</v>
      </c>
      <c r="N1159" s="36">
        <v>744.9</v>
      </c>
      <c r="O1159" s="29">
        <v>0.27</v>
      </c>
      <c r="P1159" s="2" t="s">
        <v>1809</v>
      </c>
      <c r="Q1159" s="36">
        <v>1631.3309999999999</v>
      </c>
    </row>
    <row r="1160" spans="1:17" x14ac:dyDescent="0.3">
      <c r="A1160" s="2" t="s">
        <v>2967</v>
      </c>
      <c r="B1160" s="14">
        <v>45559</v>
      </c>
      <c r="C1160" s="2">
        <f>YEAR(Sales_Details2[[#This Row],[Order_Date]])</f>
        <v>2024</v>
      </c>
      <c r="D1160" s="2" t="s">
        <v>178</v>
      </c>
      <c r="E1160" s="2" t="str">
        <f>VLOOKUP(Sales_Details2[[#This Row],[Customer_ID]],Customer_Details[#All],4,0)</f>
        <v>Senior</v>
      </c>
      <c r="F1160" s="2" t="str">
        <f>VLOOKUP(Sales_Details2[[#This Row],[Customer_ID]],Customer_Details[#All],5,0)</f>
        <v>Female</v>
      </c>
      <c r="G1160" s="2" t="str">
        <f>VLOOKUP(Sales_Details2[[#This Row],[Customer_ID]],Customer_Details[#All],9,0)</f>
        <v>Silver</v>
      </c>
      <c r="H1160" s="2" t="s">
        <v>1567</v>
      </c>
      <c r="I1160" s="2" t="str">
        <f>VLOOKUP(Sales_Details2[[#This Row],[Product_ID]],Product_details[[#All],[Product_ID]:[Cost]],3,0)</f>
        <v>Clothing</v>
      </c>
      <c r="J1160" s="2" t="str">
        <f>VLOOKUP(Sales_Details2[[#This Row],[Product_ID]],Product_details[[#All],[Product_ID]:[Cost]],4,0)</f>
        <v>Bottoms</v>
      </c>
      <c r="K1160" s="2" t="s">
        <v>1749</v>
      </c>
      <c r="L1160" s="2" t="str">
        <f>_xlfn.XLOOKUP(Sales_Details2[[#This Row],[Store_ID]],Table2[Store_ID],Table2[Region],"Region not found")</f>
        <v>North</v>
      </c>
      <c r="M1160" s="25">
        <v>2</v>
      </c>
      <c r="N1160" s="36">
        <v>382.2</v>
      </c>
      <c r="O1160" s="29">
        <v>0.15</v>
      </c>
      <c r="P1160" s="2" t="s">
        <v>1807</v>
      </c>
      <c r="Q1160" s="36">
        <v>649.74</v>
      </c>
    </row>
    <row r="1161" spans="1:17" x14ac:dyDescent="0.3">
      <c r="A1161" s="2" t="s">
        <v>2968</v>
      </c>
      <c r="B1161" s="14">
        <v>45881</v>
      </c>
      <c r="C1161" s="2">
        <f>YEAR(Sales_Details2[[#This Row],[Order_Date]])</f>
        <v>2025</v>
      </c>
      <c r="D1161" s="2" t="s">
        <v>1075</v>
      </c>
      <c r="E1161" s="2" t="str">
        <f>VLOOKUP(Sales_Details2[[#This Row],[Customer_ID]],Customer_Details[#All],4,0)</f>
        <v>Senior</v>
      </c>
      <c r="F1161" s="2" t="str">
        <f>VLOOKUP(Sales_Details2[[#This Row],[Customer_ID]],Customer_Details[#All],5,0)</f>
        <v>Female</v>
      </c>
      <c r="G1161" s="2" t="str">
        <f>VLOOKUP(Sales_Details2[[#This Row],[Customer_ID]],Customer_Details[#All],9,0)</f>
        <v>Platinum</v>
      </c>
      <c r="H1161" s="2" t="s">
        <v>1711</v>
      </c>
      <c r="I1161" s="2" t="str">
        <f>VLOOKUP(Sales_Details2[[#This Row],[Product_ID]],Product_details[[#All],[Product_ID]:[Cost]],3,0)</f>
        <v>Electronics</v>
      </c>
      <c r="J1161" s="2" t="str">
        <f>VLOOKUP(Sales_Details2[[#This Row],[Product_ID]],Product_details[[#All],[Product_ID]:[Cost]],4,0)</f>
        <v>Accessories</v>
      </c>
      <c r="K1161" s="2" t="s">
        <v>1787</v>
      </c>
      <c r="L1161" s="2" t="str">
        <f>_xlfn.XLOOKUP(Sales_Details2[[#This Row],[Store_ID]],Table2[Store_ID],Table2[Region],"Region not found")</f>
        <v>West</v>
      </c>
      <c r="M1161" s="25">
        <v>1</v>
      </c>
      <c r="N1161" s="36">
        <v>269.25</v>
      </c>
      <c r="O1161" s="29">
        <v>0.14000000000000001</v>
      </c>
      <c r="P1161" s="2" t="s">
        <v>1809</v>
      </c>
      <c r="Q1161" s="36">
        <v>231.55500000000001</v>
      </c>
    </row>
    <row r="1162" spans="1:17" x14ac:dyDescent="0.3">
      <c r="A1162" s="2" t="s">
        <v>2969</v>
      </c>
      <c r="B1162" s="14">
        <v>45367</v>
      </c>
      <c r="C1162" s="2">
        <f>YEAR(Sales_Details2[[#This Row],[Order_Date]])</f>
        <v>2024</v>
      </c>
      <c r="D1162" s="2" t="s">
        <v>1129</v>
      </c>
      <c r="E1162" s="2" t="str">
        <f>VLOOKUP(Sales_Details2[[#This Row],[Customer_ID]],Customer_Details[#All],4,0)</f>
        <v>Senior</v>
      </c>
      <c r="F1162" s="2" t="str">
        <f>VLOOKUP(Sales_Details2[[#This Row],[Customer_ID]],Customer_Details[#All],5,0)</f>
        <v>Female</v>
      </c>
      <c r="G1162" s="2" t="str">
        <f>VLOOKUP(Sales_Details2[[#This Row],[Customer_ID]],Customer_Details[#All],9,0)</f>
        <v>Platinum</v>
      </c>
      <c r="H1162" s="2" t="s">
        <v>1591</v>
      </c>
      <c r="I1162" s="2" t="str">
        <f>VLOOKUP(Sales_Details2[[#This Row],[Product_ID]],Product_details[[#All],[Product_ID]:[Cost]],3,0)</f>
        <v>Home</v>
      </c>
      <c r="J1162" s="2" t="str">
        <f>VLOOKUP(Sales_Details2[[#This Row],[Product_ID]],Product_details[[#All],[Product_ID]:[Cost]],4,0)</f>
        <v>Kitchen</v>
      </c>
      <c r="K1162" s="2" t="s">
        <v>1775</v>
      </c>
      <c r="L1162" s="2" t="str">
        <f>_xlfn.XLOOKUP(Sales_Details2[[#This Row],[Store_ID]],Table2[Store_ID],Table2[Region],"Region not found")</f>
        <v>South</v>
      </c>
      <c r="M1162" s="25">
        <v>2</v>
      </c>
      <c r="N1162" s="36">
        <v>723.75</v>
      </c>
      <c r="O1162" s="29">
        <v>0.03</v>
      </c>
      <c r="P1162" s="2" t="s">
        <v>1809</v>
      </c>
      <c r="Q1162" s="36">
        <v>1404.075</v>
      </c>
    </row>
    <row r="1163" spans="1:17" x14ac:dyDescent="0.3">
      <c r="A1163" s="2" t="s">
        <v>2970</v>
      </c>
      <c r="B1163" s="14">
        <v>45832</v>
      </c>
      <c r="C1163" s="2">
        <f>YEAR(Sales_Details2[[#This Row],[Order_Date]])</f>
        <v>2025</v>
      </c>
      <c r="D1163" s="2" t="s">
        <v>885</v>
      </c>
      <c r="E1163" s="2" t="str">
        <f>VLOOKUP(Sales_Details2[[#This Row],[Customer_ID]],Customer_Details[#All],4,0)</f>
        <v>Senior</v>
      </c>
      <c r="F1163" s="2" t="str">
        <f>VLOOKUP(Sales_Details2[[#This Row],[Customer_ID]],Customer_Details[#All],5,0)</f>
        <v>Male</v>
      </c>
      <c r="G1163" s="2" t="str">
        <f>VLOOKUP(Sales_Details2[[#This Row],[Customer_ID]],Customer_Details[#All],9,0)</f>
        <v>Platinum</v>
      </c>
      <c r="H1163" s="2" t="s">
        <v>1569</v>
      </c>
      <c r="I1163" s="2" t="str">
        <f>VLOOKUP(Sales_Details2[[#This Row],[Product_ID]],Product_details[[#All],[Product_ID]:[Cost]],3,0)</f>
        <v>Sports</v>
      </c>
      <c r="J1163" s="2" t="str">
        <f>VLOOKUP(Sales_Details2[[#This Row],[Product_ID]],Product_details[[#All],[Product_ID]:[Cost]],4,0)</f>
        <v>Equipment</v>
      </c>
      <c r="K1163" s="2" t="s">
        <v>1796</v>
      </c>
      <c r="L1163" s="2" t="str">
        <f>_xlfn.XLOOKUP(Sales_Details2[[#This Row],[Store_ID]],Table2[Store_ID],Table2[Region],"Region not found")</f>
        <v>East</v>
      </c>
      <c r="M1163" s="25">
        <v>4</v>
      </c>
      <c r="N1163" s="36">
        <v>58.92</v>
      </c>
      <c r="O1163" s="29">
        <v>0.18</v>
      </c>
      <c r="P1163" s="2" t="s">
        <v>1807</v>
      </c>
      <c r="Q1163" s="36">
        <v>193.2576</v>
      </c>
    </row>
    <row r="1164" spans="1:17" x14ac:dyDescent="0.3">
      <c r="A1164" s="2" t="s">
        <v>2971</v>
      </c>
      <c r="B1164" s="14">
        <v>45438</v>
      </c>
      <c r="C1164" s="2">
        <f>YEAR(Sales_Details2[[#This Row],[Order_Date]])</f>
        <v>2024</v>
      </c>
      <c r="D1164" s="2" t="s">
        <v>613</v>
      </c>
      <c r="E1164" s="2" t="str">
        <f>VLOOKUP(Sales_Details2[[#This Row],[Customer_ID]],Customer_Details[#All],4,0)</f>
        <v>Mid-Adult</v>
      </c>
      <c r="F1164" s="2" t="str">
        <f>VLOOKUP(Sales_Details2[[#This Row],[Customer_ID]],Customer_Details[#All],5,0)</f>
        <v>Male</v>
      </c>
      <c r="G1164" s="2" t="str">
        <f>VLOOKUP(Sales_Details2[[#This Row],[Customer_ID]],Customer_Details[#All],9,0)</f>
        <v>Silver</v>
      </c>
      <c r="H1164" s="2" t="s">
        <v>1673</v>
      </c>
      <c r="I1164" s="2" t="str">
        <f>VLOOKUP(Sales_Details2[[#This Row],[Product_ID]],Product_details[[#All],[Product_ID]:[Cost]],3,0)</f>
        <v>Beauty</v>
      </c>
      <c r="J1164" s="2" t="str">
        <f>VLOOKUP(Sales_Details2[[#This Row],[Product_ID]],Product_details[[#All],[Product_ID]:[Cost]],4,0)</f>
        <v>Haircare</v>
      </c>
      <c r="K1164" s="2" t="s">
        <v>1772</v>
      </c>
      <c r="L1164" s="2" t="str">
        <f>_xlfn.XLOOKUP(Sales_Details2[[#This Row],[Store_ID]],Table2[Store_ID],Table2[Region],"Region not found")</f>
        <v>East</v>
      </c>
      <c r="M1164" s="25">
        <v>2</v>
      </c>
      <c r="N1164" s="36">
        <v>913.08</v>
      </c>
      <c r="O1164" s="29">
        <v>0.26</v>
      </c>
      <c r="P1164" s="2" t="s">
        <v>1807</v>
      </c>
      <c r="Q1164" s="36">
        <v>1351.3584000000001</v>
      </c>
    </row>
    <row r="1165" spans="1:17" x14ac:dyDescent="0.3">
      <c r="A1165" s="2" t="s">
        <v>2972</v>
      </c>
      <c r="B1165" s="14">
        <v>45691</v>
      </c>
      <c r="C1165" s="2">
        <f>YEAR(Sales_Details2[[#This Row],[Order_Date]])</f>
        <v>2025</v>
      </c>
      <c r="D1165" s="2" t="s">
        <v>770</v>
      </c>
      <c r="E1165" s="2" t="str">
        <f>VLOOKUP(Sales_Details2[[#This Row],[Customer_ID]],Customer_Details[#All],4,0)</f>
        <v>Senior</v>
      </c>
      <c r="F1165" s="2" t="str">
        <f>VLOOKUP(Sales_Details2[[#This Row],[Customer_ID]],Customer_Details[#All],5,0)</f>
        <v>Female</v>
      </c>
      <c r="G1165" s="2" t="str">
        <f>VLOOKUP(Sales_Details2[[#This Row],[Customer_ID]],Customer_Details[#All],9,0)</f>
        <v>Silver</v>
      </c>
      <c r="H1165" s="2" t="s">
        <v>1693</v>
      </c>
      <c r="I1165" s="2" t="str">
        <f>VLOOKUP(Sales_Details2[[#This Row],[Product_ID]],Product_details[[#All],[Product_ID]:[Cost]],3,0)</f>
        <v>Sports</v>
      </c>
      <c r="J1165" s="2" t="str">
        <f>VLOOKUP(Sales_Details2[[#This Row],[Product_ID]],Product_details[[#All],[Product_ID]:[Cost]],4,0)</f>
        <v>Equipment</v>
      </c>
      <c r="K1165" s="2" t="s">
        <v>1740</v>
      </c>
      <c r="L1165" s="2" t="str">
        <f>_xlfn.XLOOKUP(Sales_Details2[[#This Row],[Store_ID]],Table2[Store_ID],Table2[Region],"Region not found")</f>
        <v>North</v>
      </c>
      <c r="M1165" s="25">
        <v>1</v>
      </c>
      <c r="N1165" s="36">
        <v>791.83</v>
      </c>
      <c r="O1165" s="29">
        <v>0.28000000000000003</v>
      </c>
      <c r="P1165" s="2" t="s">
        <v>1809</v>
      </c>
      <c r="Q1165" s="36">
        <v>570.11760000000004</v>
      </c>
    </row>
    <row r="1166" spans="1:17" x14ac:dyDescent="0.3">
      <c r="A1166" s="2" t="s">
        <v>2973</v>
      </c>
      <c r="B1166" s="14">
        <v>45506</v>
      </c>
      <c r="C1166" s="2">
        <f>YEAR(Sales_Details2[[#This Row],[Order_Date]])</f>
        <v>2024</v>
      </c>
      <c r="D1166" s="2" t="s">
        <v>1436</v>
      </c>
      <c r="E1166" s="2" t="str">
        <f>VLOOKUP(Sales_Details2[[#This Row],[Customer_ID]],Customer_Details[#All],4,0)</f>
        <v>Mid-Adult</v>
      </c>
      <c r="F1166" s="2" t="str">
        <f>VLOOKUP(Sales_Details2[[#This Row],[Customer_ID]],Customer_Details[#All],5,0)</f>
        <v>Male</v>
      </c>
      <c r="G1166" s="2" t="str">
        <f>VLOOKUP(Sales_Details2[[#This Row],[Customer_ID]],Customer_Details[#All],9,0)</f>
        <v>Platinum</v>
      </c>
      <c r="H1166" s="2" t="s">
        <v>1534</v>
      </c>
      <c r="I1166" s="2" t="str">
        <f>VLOOKUP(Sales_Details2[[#This Row],[Product_ID]],Product_details[[#All],[Product_ID]:[Cost]],3,0)</f>
        <v>Clothing</v>
      </c>
      <c r="J1166" s="2" t="str">
        <f>VLOOKUP(Sales_Details2[[#This Row],[Product_ID]],Product_details[[#All],[Product_ID]:[Cost]],4,0)</f>
        <v>Outerwear</v>
      </c>
      <c r="K1166" s="2" t="s">
        <v>1784</v>
      </c>
      <c r="L1166" s="2" t="str">
        <f>_xlfn.XLOOKUP(Sales_Details2[[#This Row],[Store_ID]],Table2[Store_ID],Table2[Region],"Region not found")</f>
        <v>North</v>
      </c>
      <c r="M1166" s="25">
        <v>1</v>
      </c>
      <c r="N1166" s="36">
        <v>74.290000000000006</v>
      </c>
      <c r="O1166" s="29">
        <v>0.3</v>
      </c>
      <c r="P1166" s="2" t="s">
        <v>1812</v>
      </c>
      <c r="Q1166" s="36">
        <v>52.003</v>
      </c>
    </row>
    <row r="1167" spans="1:17" x14ac:dyDescent="0.3">
      <c r="A1167" s="2" t="s">
        <v>2974</v>
      </c>
      <c r="B1167" s="14">
        <v>45251</v>
      </c>
      <c r="C1167" s="2">
        <f>YEAR(Sales_Details2[[#This Row],[Order_Date]])</f>
        <v>2023</v>
      </c>
      <c r="D1167" s="2" t="s">
        <v>773</v>
      </c>
      <c r="E1167" s="2" t="str">
        <f>VLOOKUP(Sales_Details2[[#This Row],[Customer_ID]],Customer_Details[#All],4,0)</f>
        <v>Senior</v>
      </c>
      <c r="F1167" s="2" t="str">
        <f>VLOOKUP(Sales_Details2[[#This Row],[Customer_ID]],Customer_Details[#All],5,0)</f>
        <v>Female</v>
      </c>
      <c r="G1167" s="2" t="str">
        <f>VLOOKUP(Sales_Details2[[#This Row],[Customer_ID]],Customer_Details[#All],9,0)</f>
        <v>Gold</v>
      </c>
      <c r="H1167" s="2" t="s">
        <v>1601</v>
      </c>
      <c r="I1167" s="2" t="str">
        <f>VLOOKUP(Sales_Details2[[#This Row],[Product_ID]],Product_details[[#All],[Product_ID]:[Cost]],3,0)</f>
        <v>Home</v>
      </c>
      <c r="J1167" s="2" t="str">
        <f>VLOOKUP(Sales_Details2[[#This Row],[Product_ID]],Product_details[[#All],[Product_ID]:[Cost]],4,0)</f>
        <v>Lighting</v>
      </c>
      <c r="K1167" s="2" t="s">
        <v>1735</v>
      </c>
      <c r="L1167" s="2" t="str">
        <f>_xlfn.XLOOKUP(Sales_Details2[[#This Row],[Store_ID]],Table2[Store_ID],Table2[Region],"Region not found")</f>
        <v>East</v>
      </c>
      <c r="M1167" s="25">
        <v>2</v>
      </c>
      <c r="N1167" s="36">
        <v>961.68</v>
      </c>
      <c r="O1167" s="29">
        <v>0.27</v>
      </c>
      <c r="P1167" s="2" t="s">
        <v>1809</v>
      </c>
      <c r="Q1167" s="36">
        <v>1404.0527999999999</v>
      </c>
    </row>
    <row r="1168" spans="1:17" x14ac:dyDescent="0.3">
      <c r="A1168" s="2" t="s">
        <v>2975</v>
      </c>
      <c r="B1168" s="14">
        <v>45722</v>
      </c>
      <c r="C1168" s="2">
        <f>YEAR(Sales_Details2[[#This Row],[Order_Date]])</f>
        <v>2025</v>
      </c>
      <c r="D1168" s="2" t="s">
        <v>1501</v>
      </c>
      <c r="E1168" s="2" t="str">
        <f>VLOOKUP(Sales_Details2[[#This Row],[Customer_ID]],Customer_Details[#All],4,0)</f>
        <v>Adult</v>
      </c>
      <c r="F1168" s="2" t="str">
        <f>VLOOKUP(Sales_Details2[[#This Row],[Customer_ID]],Customer_Details[#All],5,0)</f>
        <v>Male</v>
      </c>
      <c r="G1168" s="2" t="str">
        <f>VLOOKUP(Sales_Details2[[#This Row],[Customer_ID]],Customer_Details[#All],9,0)</f>
        <v>Gold</v>
      </c>
      <c r="H1168" s="2" t="s">
        <v>1569</v>
      </c>
      <c r="I1168" s="2" t="str">
        <f>VLOOKUP(Sales_Details2[[#This Row],[Product_ID]],Product_details[[#All],[Product_ID]:[Cost]],3,0)</f>
        <v>Sports</v>
      </c>
      <c r="J1168" s="2" t="str">
        <f>VLOOKUP(Sales_Details2[[#This Row],[Product_ID]],Product_details[[#All],[Product_ID]:[Cost]],4,0)</f>
        <v>Equipment</v>
      </c>
      <c r="K1168" s="2" t="s">
        <v>1782</v>
      </c>
      <c r="L1168" s="2" t="str">
        <f>_xlfn.XLOOKUP(Sales_Details2[[#This Row],[Store_ID]],Table2[Store_ID],Table2[Region],"Region not found")</f>
        <v>South</v>
      </c>
      <c r="M1168" s="25">
        <v>1</v>
      </c>
      <c r="N1168" s="36">
        <v>90.72</v>
      </c>
      <c r="O1168" s="29">
        <v>0.1</v>
      </c>
      <c r="P1168" s="2" t="s">
        <v>1809</v>
      </c>
      <c r="Q1168" s="36">
        <v>81.647999999999996</v>
      </c>
    </row>
    <row r="1169" spans="1:17" x14ac:dyDescent="0.3">
      <c r="A1169" s="2" t="s">
        <v>2976</v>
      </c>
      <c r="B1169" s="14">
        <v>45689</v>
      </c>
      <c r="C1169" s="2">
        <f>YEAR(Sales_Details2[[#This Row],[Order_Date]])</f>
        <v>2025</v>
      </c>
      <c r="D1169" s="2" t="s">
        <v>221</v>
      </c>
      <c r="E1169" s="2" t="str">
        <f>VLOOKUP(Sales_Details2[[#This Row],[Customer_ID]],Customer_Details[#All],4,0)</f>
        <v>Adult</v>
      </c>
      <c r="F1169" s="2" t="str">
        <f>VLOOKUP(Sales_Details2[[#This Row],[Customer_ID]],Customer_Details[#All],5,0)</f>
        <v>Female</v>
      </c>
      <c r="G1169" s="2" t="str">
        <f>VLOOKUP(Sales_Details2[[#This Row],[Customer_ID]],Customer_Details[#All],9,0)</f>
        <v>Silver</v>
      </c>
      <c r="H1169" s="2" t="s">
        <v>1647</v>
      </c>
      <c r="I1169" s="2" t="str">
        <f>VLOOKUP(Sales_Details2[[#This Row],[Product_ID]],Product_details[[#All],[Product_ID]:[Cost]],3,0)</f>
        <v>Clothing</v>
      </c>
      <c r="J1169" s="2" t="str">
        <f>VLOOKUP(Sales_Details2[[#This Row],[Product_ID]],Product_details[[#All],[Product_ID]:[Cost]],4,0)</f>
        <v>Accessories</v>
      </c>
      <c r="K1169" s="2" t="s">
        <v>1762</v>
      </c>
      <c r="L1169" s="2" t="str">
        <f>_xlfn.XLOOKUP(Sales_Details2[[#This Row],[Store_ID]],Table2[Store_ID],Table2[Region],"Region not found")</f>
        <v>South</v>
      </c>
      <c r="M1169" s="25">
        <v>1</v>
      </c>
      <c r="N1169" s="36">
        <v>458.69</v>
      </c>
      <c r="O1169" s="29">
        <v>0.16</v>
      </c>
      <c r="P1169" s="2" t="s">
        <v>1809</v>
      </c>
      <c r="Q1169" s="36">
        <v>385.2996</v>
      </c>
    </row>
    <row r="1170" spans="1:17" x14ac:dyDescent="0.3">
      <c r="A1170" s="2" t="s">
        <v>2977</v>
      </c>
      <c r="B1170" s="14">
        <v>45346</v>
      </c>
      <c r="C1170" s="2">
        <f>YEAR(Sales_Details2[[#This Row],[Order_Date]])</f>
        <v>2024</v>
      </c>
      <c r="D1170" s="2" t="s">
        <v>737</v>
      </c>
      <c r="E1170" s="2" t="str">
        <f>VLOOKUP(Sales_Details2[[#This Row],[Customer_ID]],Customer_Details[#All],4,0)</f>
        <v>Adult</v>
      </c>
      <c r="F1170" s="2" t="str">
        <f>VLOOKUP(Sales_Details2[[#This Row],[Customer_ID]],Customer_Details[#All],5,0)</f>
        <v>Female</v>
      </c>
      <c r="G1170" s="2" t="str">
        <f>VLOOKUP(Sales_Details2[[#This Row],[Customer_ID]],Customer_Details[#All],9,0)</f>
        <v>Bronze</v>
      </c>
      <c r="H1170" s="2" t="s">
        <v>1599</v>
      </c>
      <c r="I1170" s="2" t="str">
        <f>VLOOKUP(Sales_Details2[[#This Row],[Product_ID]],Product_details[[#All],[Product_ID]:[Cost]],3,0)</f>
        <v>Electronics</v>
      </c>
      <c r="J1170" s="2" t="str">
        <f>VLOOKUP(Sales_Details2[[#This Row],[Product_ID]],Product_details[[#All],[Product_ID]:[Cost]],4,0)</f>
        <v>Computer</v>
      </c>
      <c r="K1170" s="2" t="s">
        <v>1762</v>
      </c>
      <c r="L1170" s="2" t="str">
        <f>_xlfn.XLOOKUP(Sales_Details2[[#This Row],[Store_ID]],Table2[Store_ID],Table2[Region],"Region not found")</f>
        <v>South</v>
      </c>
      <c r="M1170" s="25">
        <v>1</v>
      </c>
      <c r="N1170" s="36">
        <v>168.29</v>
      </c>
      <c r="O1170" s="29">
        <v>0.05</v>
      </c>
      <c r="P1170" s="2" t="s">
        <v>1809</v>
      </c>
      <c r="Q1170" s="36">
        <v>159.87549999999999</v>
      </c>
    </row>
    <row r="1171" spans="1:17" x14ac:dyDescent="0.3">
      <c r="A1171" s="2" t="s">
        <v>2978</v>
      </c>
      <c r="B1171" s="14">
        <v>45549</v>
      </c>
      <c r="C1171" s="2">
        <f>YEAR(Sales_Details2[[#This Row],[Order_Date]])</f>
        <v>2024</v>
      </c>
      <c r="D1171" s="2" t="s">
        <v>681</v>
      </c>
      <c r="E1171" s="2" t="str">
        <f>VLOOKUP(Sales_Details2[[#This Row],[Customer_ID]],Customer_Details[#All],4,0)</f>
        <v>Adult</v>
      </c>
      <c r="F1171" s="2" t="str">
        <f>VLOOKUP(Sales_Details2[[#This Row],[Customer_ID]],Customer_Details[#All],5,0)</f>
        <v>Female</v>
      </c>
      <c r="G1171" s="2" t="str">
        <f>VLOOKUP(Sales_Details2[[#This Row],[Customer_ID]],Customer_Details[#All],9,0)</f>
        <v>Silver</v>
      </c>
      <c r="H1171" s="2" t="s">
        <v>1565</v>
      </c>
      <c r="I1171" s="2" t="str">
        <f>VLOOKUP(Sales_Details2[[#This Row],[Product_ID]],Product_details[[#All],[Product_ID]:[Cost]],3,0)</f>
        <v>Sports</v>
      </c>
      <c r="J1171" s="2" t="str">
        <f>VLOOKUP(Sales_Details2[[#This Row],[Product_ID]],Product_details[[#All],[Product_ID]:[Cost]],4,0)</f>
        <v>Accessories</v>
      </c>
      <c r="K1171" s="2" t="s">
        <v>1790</v>
      </c>
      <c r="L1171" s="2" t="str">
        <f>_xlfn.XLOOKUP(Sales_Details2[[#This Row],[Store_ID]],Table2[Store_ID],Table2[Region],"Region not found")</f>
        <v>North</v>
      </c>
      <c r="M1171" s="25">
        <v>1</v>
      </c>
      <c r="N1171" s="36">
        <v>391.77</v>
      </c>
      <c r="O1171" s="29">
        <v>0.1</v>
      </c>
      <c r="P1171" s="2" t="s">
        <v>1809</v>
      </c>
      <c r="Q1171" s="36">
        <v>352.59300000000002</v>
      </c>
    </row>
    <row r="1172" spans="1:17" x14ac:dyDescent="0.3">
      <c r="A1172" s="2" t="s">
        <v>2979</v>
      </c>
      <c r="B1172" s="14">
        <v>45900</v>
      </c>
      <c r="C1172" s="2">
        <f>YEAR(Sales_Details2[[#This Row],[Order_Date]])</f>
        <v>2025</v>
      </c>
      <c r="D1172" s="2" t="s">
        <v>1066</v>
      </c>
      <c r="E1172" s="2" t="str">
        <f>VLOOKUP(Sales_Details2[[#This Row],[Customer_ID]],Customer_Details[#All],4,0)</f>
        <v>Mid-Adult</v>
      </c>
      <c r="F1172" s="2" t="str">
        <f>VLOOKUP(Sales_Details2[[#This Row],[Customer_ID]],Customer_Details[#All],5,0)</f>
        <v>Male</v>
      </c>
      <c r="G1172" s="2" t="str">
        <f>VLOOKUP(Sales_Details2[[#This Row],[Customer_ID]],Customer_Details[#All],9,0)</f>
        <v>Bronze</v>
      </c>
      <c r="H1172" s="2" t="s">
        <v>1555</v>
      </c>
      <c r="I1172" s="2" t="str">
        <f>VLOOKUP(Sales_Details2[[#This Row],[Product_ID]],Product_details[[#All],[Product_ID]:[Cost]],3,0)</f>
        <v>Beauty</v>
      </c>
      <c r="J1172" s="2" t="str">
        <f>VLOOKUP(Sales_Details2[[#This Row],[Product_ID]],Product_details[[#All],[Product_ID]:[Cost]],4,0)</f>
        <v>Haircare</v>
      </c>
      <c r="K1172" s="2" t="s">
        <v>1782</v>
      </c>
      <c r="L1172" s="2" t="str">
        <f>_xlfn.XLOOKUP(Sales_Details2[[#This Row],[Store_ID]],Table2[Store_ID],Table2[Region],"Region not found")</f>
        <v>South</v>
      </c>
      <c r="M1172" s="25">
        <v>1</v>
      </c>
      <c r="N1172" s="36">
        <v>424.83</v>
      </c>
      <c r="O1172" s="29">
        <v>0.05</v>
      </c>
      <c r="P1172" s="2" t="s">
        <v>1812</v>
      </c>
      <c r="Q1172" s="36">
        <v>403.58850000000001</v>
      </c>
    </row>
    <row r="1173" spans="1:17" x14ac:dyDescent="0.3">
      <c r="A1173" s="2" t="s">
        <v>2980</v>
      </c>
      <c r="B1173" s="14">
        <v>45308</v>
      </c>
      <c r="C1173" s="2">
        <f>YEAR(Sales_Details2[[#This Row],[Order_Date]])</f>
        <v>2024</v>
      </c>
      <c r="D1173" s="2" t="s">
        <v>199</v>
      </c>
      <c r="E1173" s="2" t="str">
        <f>VLOOKUP(Sales_Details2[[#This Row],[Customer_ID]],Customer_Details[#All],4,0)</f>
        <v>Mid-Adult</v>
      </c>
      <c r="F1173" s="2" t="str">
        <f>VLOOKUP(Sales_Details2[[#This Row],[Customer_ID]],Customer_Details[#All],5,0)</f>
        <v>Female</v>
      </c>
      <c r="G1173" s="2" t="str">
        <f>VLOOKUP(Sales_Details2[[#This Row],[Customer_ID]],Customer_Details[#All],9,0)</f>
        <v>Gold</v>
      </c>
      <c r="H1173" s="2" t="s">
        <v>1553</v>
      </c>
      <c r="I1173" s="2" t="str">
        <f>VLOOKUP(Sales_Details2[[#This Row],[Product_ID]],Product_details[[#All],[Product_ID]:[Cost]],3,0)</f>
        <v>Electronics</v>
      </c>
      <c r="J1173" s="2" t="str">
        <f>VLOOKUP(Sales_Details2[[#This Row],[Product_ID]],Product_details[[#All],[Product_ID]:[Cost]],4,0)</f>
        <v>Accessories</v>
      </c>
      <c r="K1173" s="2" t="s">
        <v>1749</v>
      </c>
      <c r="L1173" s="2" t="str">
        <f>_xlfn.XLOOKUP(Sales_Details2[[#This Row],[Store_ID]],Table2[Store_ID],Table2[Region],"Region not found")</f>
        <v>North</v>
      </c>
      <c r="M1173" s="25">
        <v>1</v>
      </c>
      <c r="N1173" s="36">
        <v>499.46</v>
      </c>
      <c r="O1173" s="29">
        <v>0.1</v>
      </c>
      <c r="P1173" s="2" t="s">
        <v>1807</v>
      </c>
      <c r="Q1173" s="36">
        <v>449.51400000000001</v>
      </c>
    </row>
    <row r="1174" spans="1:17" x14ac:dyDescent="0.3">
      <c r="A1174" s="2" t="s">
        <v>2981</v>
      </c>
      <c r="B1174" s="14">
        <v>45336</v>
      </c>
      <c r="C1174" s="2">
        <f>YEAR(Sales_Details2[[#This Row],[Order_Date]])</f>
        <v>2024</v>
      </c>
      <c r="D1174" s="2" t="s">
        <v>85</v>
      </c>
      <c r="E1174" s="2" t="str">
        <f>VLOOKUP(Sales_Details2[[#This Row],[Customer_ID]],Customer_Details[#All],4,0)</f>
        <v>Mid-Adult</v>
      </c>
      <c r="F1174" s="2" t="str">
        <f>VLOOKUP(Sales_Details2[[#This Row],[Customer_ID]],Customer_Details[#All],5,0)</f>
        <v>Female</v>
      </c>
      <c r="G1174" s="2" t="str">
        <f>VLOOKUP(Sales_Details2[[#This Row],[Customer_ID]],Customer_Details[#All],9,0)</f>
        <v>Platinum</v>
      </c>
      <c r="H1174" s="2" t="s">
        <v>1729</v>
      </c>
      <c r="I1174" s="2" t="str">
        <f>VLOOKUP(Sales_Details2[[#This Row],[Product_ID]],Product_details[[#All],[Product_ID]:[Cost]],3,0)</f>
        <v>Home</v>
      </c>
      <c r="J1174" s="2" t="str">
        <f>VLOOKUP(Sales_Details2[[#This Row],[Product_ID]],Product_details[[#All],[Product_ID]:[Cost]],4,0)</f>
        <v>Kitchen</v>
      </c>
      <c r="K1174" s="2" t="s">
        <v>1740</v>
      </c>
      <c r="L1174" s="2" t="str">
        <f>_xlfn.XLOOKUP(Sales_Details2[[#This Row],[Store_ID]],Table2[Store_ID],Table2[Region],"Region not found")</f>
        <v>North</v>
      </c>
      <c r="M1174" s="25">
        <v>2</v>
      </c>
      <c r="N1174" s="36">
        <v>698.34</v>
      </c>
      <c r="O1174" s="29">
        <v>0.15</v>
      </c>
      <c r="P1174" s="2" t="s">
        <v>1809</v>
      </c>
      <c r="Q1174" s="36">
        <v>1187.1780000000001</v>
      </c>
    </row>
    <row r="1175" spans="1:17" x14ac:dyDescent="0.3">
      <c r="A1175" s="2" t="s">
        <v>2982</v>
      </c>
      <c r="B1175" s="14">
        <v>45213</v>
      </c>
      <c r="C1175" s="2">
        <f>YEAR(Sales_Details2[[#This Row],[Order_Date]])</f>
        <v>2023</v>
      </c>
      <c r="D1175" s="2" t="s">
        <v>891</v>
      </c>
      <c r="E1175" s="2" t="str">
        <f>VLOOKUP(Sales_Details2[[#This Row],[Customer_ID]],Customer_Details[#All],4,0)</f>
        <v>Senior</v>
      </c>
      <c r="F1175" s="2" t="str">
        <f>VLOOKUP(Sales_Details2[[#This Row],[Customer_ID]],Customer_Details[#All],5,0)</f>
        <v>Female</v>
      </c>
      <c r="G1175" s="2" t="str">
        <f>VLOOKUP(Sales_Details2[[#This Row],[Customer_ID]],Customer_Details[#All],9,0)</f>
        <v>Silver</v>
      </c>
      <c r="H1175" s="2" t="s">
        <v>1643</v>
      </c>
      <c r="I1175" s="2" t="str">
        <f>VLOOKUP(Sales_Details2[[#This Row],[Product_ID]],Product_details[[#All],[Product_ID]:[Cost]],3,0)</f>
        <v>Home</v>
      </c>
      <c r="J1175" s="2" t="str">
        <f>VLOOKUP(Sales_Details2[[#This Row],[Product_ID]],Product_details[[#All],[Product_ID]:[Cost]],4,0)</f>
        <v>Decor</v>
      </c>
      <c r="K1175" s="2" t="s">
        <v>1787</v>
      </c>
      <c r="L1175" s="2" t="str">
        <f>_xlfn.XLOOKUP(Sales_Details2[[#This Row],[Store_ID]],Table2[Store_ID],Table2[Region],"Region not found")</f>
        <v>West</v>
      </c>
      <c r="M1175" s="25">
        <v>2</v>
      </c>
      <c r="N1175" s="36">
        <v>805.08</v>
      </c>
      <c r="O1175" s="29">
        <v>0.27</v>
      </c>
      <c r="P1175" s="2" t="s">
        <v>1809</v>
      </c>
      <c r="Q1175" s="36">
        <v>1175.4168</v>
      </c>
    </row>
    <row r="1176" spans="1:17" x14ac:dyDescent="0.3">
      <c r="A1176" s="2" t="s">
        <v>2983</v>
      </c>
      <c r="B1176" s="14">
        <v>45742</v>
      </c>
      <c r="C1176" s="2">
        <f>YEAR(Sales_Details2[[#This Row],[Order_Date]])</f>
        <v>2025</v>
      </c>
      <c r="D1176" s="2" t="s">
        <v>1421</v>
      </c>
      <c r="E1176" s="2" t="str">
        <f>VLOOKUP(Sales_Details2[[#This Row],[Customer_ID]],Customer_Details[#All],4,0)</f>
        <v>Adult</v>
      </c>
      <c r="F1176" s="2" t="str">
        <f>VLOOKUP(Sales_Details2[[#This Row],[Customer_ID]],Customer_Details[#All],5,0)</f>
        <v>Male</v>
      </c>
      <c r="G1176" s="2" t="str">
        <f>VLOOKUP(Sales_Details2[[#This Row],[Customer_ID]],Customer_Details[#All],9,0)</f>
        <v>Silver</v>
      </c>
      <c r="H1176" s="2" t="s">
        <v>1683</v>
      </c>
      <c r="I1176" s="2" t="str">
        <f>VLOOKUP(Sales_Details2[[#This Row],[Product_ID]],Product_details[[#All],[Product_ID]:[Cost]],3,0)</f>
        <v>Electronics</v>
      </c>
      <c r="J1176" s="2" t="str">
        <f>VLOOKUP(Sales_Details2[[#This Row],[Product_ID]],Product_details[[#All],[Product_ID]:[Cost]],4,0)</f>
        <v>Computer</v>
      </c>
      <c r="K1176" s="2" t="s">
        <v>1744</v>
      </c>
      <c r="L1176" s="2" t="str">
        <f>_xlfn.XLOOKUP(Sales_Details2[[#This Row],[Store_ID]],Table2[Store_ID],Table2[Region],"Region not found")</f>
        <v>South</v>
      </c>
      <c r="M1176" s="25">
        <v>4</v>
      </c>
      <c r="N1176" s="36">
        <v>934.79</v>
      </c>
      <c r="O1176" s="29">
        <v>0.08</v>
      </c>
      <c r="P1176" s="2" t="s">
        <v>1809</v>
      </c>
      <c r="Q1176" s="36">
        <v>3440.0272</v>
      </c>
    </row>
    <row r="1177" spans="1:17" x14ac:dyDescent="0.3">
      <c r="A1177" s="2" t="s">
        <v>2984</v>
      </c>
      <c r="B1177" s="14">
        <v>45932</v>
      </c>
      <c r="C1177" s="2">
        <f>YEAR(Sales_Details2[[#This Row],[Order_Date]])</f>
        <v>2025</v>
      </c>
      <c r="D1177" s="2" t="s">
        <v>85</v>
      </c>
      <c r="E1177" s="2" t="str">
        <f>VLOOKUP(Sales_Details2[[#This Row],[Customer_ID]],Customer_Details[#All],4,0)</f>
        <v>Mid-Adult</v>
      </c>
      <c r="F1177" s="2" t="str">
        <f>VLOOKUP(Sales_Details2[[#This Row],[Customer_ID]],Customer_Details[#All],5,0)</f>
        <v>Female</v>
      </c>
      <c r="G1177" s="2" t="str">
        <f>VLOOKUP(Sales_Details2[[#This Row],[Customer_ID]],Customer_Details[#All],9,0)</f>
        <v>Platinum</v>
      </c>
      <c r="H1177" s="2" t="s">
        <v>1651</v>
      </c>
      <c r="I1177" s="2" t="str">
        <f>VLOOKUP(Sales_Details2[[#This Row],[Product_ID]],Product_details[[#All],[Product_ID]:[Cost]],3,0)</f>
        <v>Beauty</v>
      </c>
      <c r="J1177" s="2" t="str">
        <f>VLOOKUP(Sales_Details2[[#This Row],[Product_ID]],Product_details[[#All],[Product_ID]:[Cost]],4,0)</f>
        <v>Fragrance</v>
      </c>
      <c r="K1177" s="2" t="s">
        <v>1740</v>
      </c>
      <c r="L1177" s="2" t="str">
        <f>_xlfn.XLOOKUP(Sales_Details2[[#This Row],[Store_ID]],Table2[Store_ID],Table2[Region],"Region not found")</f>
        <v>North</v>
      </c>
      <c r="M1177" s="25">
        <v>2</v>
      </c>
      <c r="N1177" s="36">
        <v>424.54</v>
      </c>
      <c r="O1177" s="29">
        <v>0.24</v>
      </c>
      <c r="P1177" s="2" t="s">
        <v>1809</v>
      </c>
      <c r="Q1177" s="36">
        <v>645.30080000000009</v>
      </c>
    </row>
    <row r="1178" spans="1:17" x14ac:dyDescent="0.3">
      <c r="A1178" s="2" t="s">
        <v>2985</v>
      </c>
      <c r="B1178" s="14">
        <v>45462</v>
      </c>
      <c r="C1178" s="2">
        <f>YEAR(Sales_Details2[[#This Row],[Order_Date]])</f>
        <v>2024</v>
      </c>
      <c r="D1178" s="2" t="s">
        <v>1018</v>
      </c>
      <c r="E1178" s="2" t="str">
        <f>VLOOKUP(Sales_Details2[[#This Row],[Customer_ID]],Customer_Details[#All],4,0)</f>
        <v>Senior</v>
      </c>
      <c r="F1178" s="2" t="str">
        <f>VLOOKUP(Sales_Details2[[#This Row],[Customer_ID]],Customer_Details[#All],5,0)</f>
        <v>Female</v>
      </c>
      <c r="G1178" s="2" t="str">
        <f>VLOOKUP(Sales_Details2[[#This Row],[Customer_ID]],Customer_Details[#All],9,0)</f>
        <v>Bronze</v>
      </c>
      <c r="H1178" s="2" t="s">
        <v>1699</v>
      </c>
      <c r="I1178" s="2" t="str">
        <f>VLOOKUP(Sales_Details2[[#This Row],[Product_ID]],Product_details[[#All],[Product_ID]:[Cost]],3,0)</f>
        <v>Home</v>
      </c>
      <c r="J1178" s="2" t="str">
        <f>VLOOKUP(Sales_Details2[[#This Row],[Product_ID]],Product_details[[#All],[Product_ID]:[Cost]],4,0)</f>
        <v>Furniture</v>
      </c>
      <c r="K1178" s="2" t="s">
        <v>1790</v>
      </c>
      <c r="L1178" s="2" t="str">
        <f>_xlfn.XLOOKUP(Sales_Details2[[#This Row],[Store_ID]],Table2[Store_ID],Table2[Region],"Region not found")</f>
        <v>North</v>
      </c>
      <c r="M1178" s="25">
        <v>1</v>
      </c>
      <c r="N1178" s="36">
        <v>235.44</v>
      </c>
      <c r="O1178" s="29">
        <v>0.19</v>
      </c>
      <c r="P1178" s="2" t="s">
        <v>1812</v>
      </c>
      <c r="Q1178" s="36">
        <v>190.7064</v>
      </c>
    </row>
    <row r="1179" spans="1:17" x14ac:dyDescent="0.3">
      <c r="A1179" s="2" t="s">
        <v>2986</v>
      </c>
      <c r="B1179" s="14">
        <v>45568</v>
      </c>
      <c r="C1179" s="2">
        <f>YEAR(Sales_Details2[[#This Row],[Order_Date]])</f>
        <v>2024</v>
      </c>
      <c r="D1179" s="2" t="s">
        <v>856</v>
      </c>
      <c r="E1179" s="2" t="str">
        <f>VLOOKUP(Sales_Details2[[#This Row],[Customer_ID]],Customer_Details[#All],4,0)</f>
        <v>Senior</v>
      </c>
      <c r="F1179" s="2" t="str">
        <f>VLOOKUP(Sales_Details2[[#This Row],[Customer_ID]],Customer_Details[#All],5,0)</f>
        <v>Male</v>
      </c>
      <c r="G1179" s="2" t="str">
        <f>VLOOKUP(Sales_Details2[[#This Row],[Customer_ID]],Customer_Details[#All],9,0)</f>
        <v>Platinum</v>
      </c>
      <c r="H1179" s="2" t="s">
        <v>1629</v>
      </c>
      <c r="I1179" s="2" t="str">
        <f>VLOOKUP(Sales_Details2[[#This Row],[Product_ID]],Product_details[[#All],[Product_ID]:[Cost]],3,0)</f>
        <v>Beauty</v>
      </c>
      <c r="J1179" s="2" t="str">
        <f>VLOOKUP(Sales_Details2[[#This Row],[Product_ID]],Product_details[[#All],[Product_ID]:[Cost]],4,0)</f>
        <v>Fragrance</v>
      </c>
      <c r="K1179" s="2" t="s">
        <v>1780</v>
      </c>
      <c r="L1179" s="2" t="str">
        <f>_xlfn.XLOOKUP(Sales_Details2[[#This Row],[Store_ID]],Table2[Store_ID],Table2[Region],"Region not found")</f>
        <v>East</v>
      </c>
      <c r="M1179" s="25">
        <v>2</v>
      </c>
      <c r="N1179" s="36">
        <v>620.71</v>
      </c>
      <c r="O1179" s="29">
        <v>0.27</v>
      </c>
      <c r="P1179" s="2" t="s">
        <v>1807</v>
      </c>
      <c r="Q1179" s="36">
        <v>906.23660000000007</v>
      </c>
    </row>
    <row r="1180" spans="1:17" x14ac:dyDescent="0.3">
      <c r="A1180" s="2" t="s">
        <v>2987</v>
      </c>
      <c r="B1180" s="14">
        <v>45397</v>
      </c>
      <c r="C1180" s="2">
        <f>YEAR(Sales_Details2[[#This Row],[Order_Date]])</f>
        <v>2024</v>
      </c>
      <c r="D1180" s="2" t="s">
        <v>397</v>
      </c>
      <c r="E1180" s="2" t="str">
        <f>VLOOKUP(Sales_Details2[[#This Row],[Customer_ID]],Customer_Details[#All],4,0)</f>
        <v>Senior</v>
      </c>
      <c r="F1180" s="2" t="str">
        <f>VLOOKUP(Sales_Details2[[#This Row],[Customer_ID]],Customer_Details[#All],5,0)</f>
        <v>Female</v>
      </c>
      <c r="G1180" s="2" t="str">
        <f>VLOOKUP(Sales_Details2[[#This Row],[Customer_ID]],Customer_Details[#All],9,0)</f>
        <v>Platinum</v>
      </c>
      <c r="H1180" s="2" t="s">
        <v>1563</v>
      </c>
      <c r="I1180" s="2" t="str">
        <f>VLOOKUP(Sales_Details2[[#This Row],[Product_ID]],Product_details[[#All],[Product_ID]:[Cost]],3,0)</f>
        <v>Beauty</v>
      </c>
      <c r="J1180" s="2" t="str">
        <f>VLOOKUP(Sales_Details2[[#This Row],[Product_ID]],Product_details[[#All],[Product_ID]:[Cost]],4,0)</f>
        <v>Grooming</v>
      </c>
      <c r="K1180" s="2" t="s">
        <v>1775</v>
      </c>
      <c r="L1180" s="2" t="str">
        <f>_xlfn.XLOOKUP(Sales_Details2[[#This Row],[Store_ID]],Table2[Store_ID],Table2[Region],"Region not found")</f>
        <v>South</v>
      </c>
      <c r="M1180" s="25">
        <v>2</v>
      </c>
      <c r="N1180" s="36">
        <v>851.77</v>
      </c>
      <c r="O1180" s="29">
        <v>0.13</v>
      </c>
      <c r="P1180" s="2" t="s">
        <v>1809</v>
      </c>
      <c r="Q1180" s="36">
        <v>1482.0798</v>
      </c>
    </row>
    <row r="1181" spans="1:17" x14ac:dyDescent="0.3">
      <c r="A1181" s="2" t="s">
        <v>2988</v>
      </c>
      <c r="B1181" s="14">
        <v>45569</v>
      </c>
      <c r="C1181" s="2">
        <f>YEAR(Sales_Details2[[#This Row],[Order_Date]])</f>
        <v>2024</v>
      </c>
      <c r="D1181" s="2" t="s">
        <v>554</v>
      </c>
      <c r="E1181" s="2" t="str">
        <f>VLOOKUP(Sales_Details2[[#This Row],[Customer_ID]],Customer_Details[#All],4,0)</f>
        <v>Mid-Adult</v>
      </c>
      <c r="F1181" s="2" t="str">
        <f>VLOOKUP(Sales_Details2[[#This Row],[Customer_ID]],Customer_Details[#All],5,0)</f>
        <v>Female</v>
      </c>
      <c r="G1181" s="2" t="str">
        <f>VLOOKUP(Sales_Details2[[#This Row],[Customer_ID]],Customer_Details[#All],9,0)</f>
        <v>Platinum</v>
      </c>
      <c r="H1181" s="2" t="s">
        <v>1621</v>
      </c>
      <c r="I1181" s="2" t="str">
        <f>VLOOKUP(Sales_Details2[[#This Row],[Product_ID]],Product_details[[#All],[Product_ID]:[Cost]],3,0)</f>
        <v>Sports</v>
      </c>
      <c r="J1181" s="2" t="str">
        <f>VLOOKUP(Sales_Details2[[#This Row],[Product_ID]],Product_details[[#All],[Product_ID]:[Cost]],4,0)</f>
        <v>Team Sports</v>
      </c>
      <c r="K1181" s="2" t="s">
        <v>1740</v>
      </c>
      <c r="L1181" s="2" t="str">
        <f>_xlfn.XLOOKUP(Sales_Details2[[#This Row],[Store_ID]],Table2[Store_ID],Table2[Region],"Region not found")</f>
        <v>North</v>
      </c>
      <c r="M1181" s="25">
        <v>3</v>
      </c>
      <c r="N1181" s="36">
        <v>876.01</v>
      </c>
      <c r="O1181" s="29">
        <v>0.2</v>
      </c>
      <c r="P1181" s="2" t="s">
        <v>1807</v>
      </c>
      <c r="Q1181" s="36">
        <v>2102.424</v>
      </c>
    </row>
    <row r="1182" spans="1:17" x14ac:dyDescent="0.3">
      <c r="A1182" s="2" t="s">
        <v>2989</v>
      </c>
      <c r="B1182" s="14">
        <v>45353</v>
      </c>
      <c r="C1182" s="2">
        <f>YEAR(Sales_Details2[[#This Row],[Order_Date]])</f>
        <v>2024</v>
      </c>
      <c r="D1182" s="2" t="s">
        <v>870</v>
      </c>
      <c r="E1182" s="2" t="str">
        <f>VLOOKUP(Sales_Details2[[#This Row],[Customer_ID]],Customer_Details[#All],4,0)</f>
        <v>Mid-Adult</v>
      </c>
      <c r="F1182" s="2" t="str">
        <f>VLOOKUP(Sales_Details2[[#This Row],[Customer_ID]],Customer_Details[#All],5,0)</f>
        <v>Male</v>
      </c>
      <c r="G1182" s="2" t="str">
        <f>VLOOKUP(Sales_Details2[[#This Row],[Customer_ID]],Customer_Details[#All],9,0)</f>
        <v>Gold</v>
      </c>
      <c r="H1182" s="2" t="s">
        <v>1585</v>
      </c>
      <c r="I1182" s="2" t="str">
        <f>VLOOKUP(Sales_Details2[[#This Row],[Product_ID]],Product_details[[#All],[Product_ID]:[Cost]],3,0)</f>
        <v>Home</v>
      </c>
      <c r="J1182" s="2" t="str">
        <f>VLOOKUP(Sales_Details2[[#This Row],[Product_ID]],Product_details[[#All],[Product_ID]:[Cost]],4,0)</f>
        <v>Decor</v>
      </c>
      <c r="K1182" s="2" t="s">
        <v>1769</v>
      </c>
      <c r="L1182" s="2" t="str">
        <f>_xlfn.XLOOKUP(Sales_Details2[[#This Row],[Store_ID]],Table2[Store_ID],Table2[Region],"Region not found")</f>
        <v>South</v>
      </c>
      <c r="M1182" s="25">
        <v>2</v>
      </c>
      <c r="N1182" s="36">
        <v>717.21</v>
      </c>
      <c r="O1182" s="29">
        <v>0.15</v>
      </c>
      <c r="P1182" s="2" t="s">
        <v>1812</v>
      </c>
      <c r="Q1182" s="36">
        <v>1219.2570000000001</v>
      </c>
    </row>
    <row r="1183" spans="1:17" x14ac:dyDescent="0.3">
      <c r="A1183" s="2" t="s">
        <v>2990</v>
      </c>
      <c r="B1183" s="14">
        <v>45343</v>
      </c>
      <c r="C1183" s="2">
        <f>YEAR(Sales_Details2[[#This Row],[Order_Date]])</f>
        <v>2024</v>
      </c>
      <c r="D1183" s="2" t="s">
        <v>208</v>
      </c>
      <c r="E1183" s="2" t="str">
        <f>VLOOKUP(Sales_Details2[[#This Row],[Customer_ID]],Customer_Details[#All],4,0)</f>
        <v>Mid-Adult</v>
      </c>
      <c r="F1183" s="2" t="str">
        <f>VLOOKUP(Sales_Details2[[#This Row],[Customer_ID]],Customer_Details[#All],5,0)</f>
        <v>Female</v>
      </c>
      <c r="G1183" s="2" t="str">
        <f>VLOOKUP(Sales_Details2[[#This Row],[Customer_ID]],Customer_Details[#All],9,0)</f>
        <v>Gold</v>
      </c>
      <c r="H1183" s="2" t="s">
        <v>1613</v>
      </c>
      <c r="I1183" s="2" t="str">
        <f>VLOOKUP(Sales_Details2[[#This Row],[Product_ID]],Product_details[[#All],[Product_ID]:[Cost]],3,0)</f>
        <v>Sports</v>
      </c>
      <c r="J1183" s="2" t="str">
        <f>VLOOKUP(Sales_Details2[[#This Row],[Product_ID]],Product_details[[#All],[Product_ID]:[Cost]],4,0)</f>
        <v>Fitness</v>
      </c>
      <c r="K1183" s="2" t="s">
        <v>1765</v>
      </c>
      <c r="L1183" s="2" t="str">
        <f>_xlfn.XLOOKUP(Sales_Details2[[#This Row],[Store_ID]],Table2[Store_ID],Table2[Region],"Region not found")</f>
        <v>West</v>
      </c>
      <c r="M1183" s="25">
        <v>2</v>
      </c>
      <c r="N1183" s="36">
        <v>871.43</v>
      </c>
      <c r="O1183" s="29">
        <v>0.05</v>
      </c>
      <c r="P1183" s="2" t="s">
        <v>1807</v>
      </c>
      <c r="Q1183" s="36">
        <v>1655.7170000000001</v>
      </c>
    </row>
    <row r="1184" spans="1:17" x14ac:dyDescent="0.3">
      <c r="A1184" s="2" t="s">
        <v>2991</v>
      </c>
      <c r="B1184" s="14">
        <v>45321</v>
      </c>
      <c r="C1184" s="2">
        <f>YEAR(Sales_Details2[[#This Row],[Order_Date]])</f>
        <v>2024</v>
      </c>
      <c r="D1184" s="2" t="s">
        <v>1384</v>
      </c>
      <c r="E1184" s="2" t="str">
        <f>VLOOKUP(Sales_Details2[[#This Row],[Customer_ID]],Customer_Details[#All],4,0)</f>
        <v>Senior</v>
      </c>
      <c r="F1184" s="2" t="str">
        <f>VLOOKUP(Sales_Details2[[#This Row],[Customer_ID]],Customer_Details[#All],5,0)</f>
        <v>Female</v>
      </c>
      <c r="G1184" s="2" t="str">
        <f>VLOOKUP(Sales_Details2[[#This Row],[Customer_ID]],Customer_Details[#All],9,0)</f>
        <v>Platinum</v>
      </c>
      <c r="H1184" s="2" t="s">
        <v>1603</v>
      </c>
      <c r="I1184" s="2" t="str">
        <f>VLOOKUP(Sales_Details2[[#This Row],[Product_ID]],Product_details[[#All],[Product_ID]:[Cost]],3,0)</f>
        <v>Clothing</v>
      </c>
      <c r="J1184" s="2" t="str">
        <f>VLOOKUP(Sales_Details2[[#This Row],[Product_ID]],Product_details[[#All],[Product_ID]:[Cost]],4,0)</f>
        <v>Tops</v>
      </c>
      <c r="K1184" s="2" t="s">
        <v>1762</v>
      </c>
      <c r="L1184" s="2" t="str">
        <f>_xlfn.XLOOKUP(Sales_Details2[[#This Row],[Store_ID]],Table2[Store_ID],Table2[Region],"Region not found")</f>
        <v>South</v>
      </c>
      <c r="M1184" s="25">
        <v>1</v>
      </c>
      <c r="N1184" s="36">
        <v>514.65</v>
      </c>
      <c r="O1184" s="29">
        <v>0.18</v>
      </c>
      <c r="P1184" s="2" t="s">
        <v>1807</v>
      </c>
      <c r="Q1184" s="36">
        <v>422.01299999999998</v>
      </c>
    </row>
    <row r="1185" spans="1:17" x14ac:dyDescent="0.3">
      <c r="A1185" s="2" t="s">
        <v>2992</v>
      </c>
      <c r="B1185" s="14">
        <v>45650</v>
      </c>
      <c r="C1185" s="2">
        <f>YEAR(Sales_Details2[[#This Row],[Order_Date]])</f>
        <v>2024</v>
      </c>
      <c r="D1185" s="2" t="s">
        <v>1401</v>
      </c>
      <c r="E1185" s="2" t="str">
        <f>VLOOKUP(Sales_Details2[[#This Row],[Customer_ID]],Customer_Details[#All],4,0)</f>
        <v>Adult</v>
      </c>
      <c r="F1185" s="2" t="str">
        <f>VLOOKUP(Sales_Details2[[#This Row],[Customer_ID]],Customer_Details[#All],5,0)</f>
        <v>Female</v>
      </c>
      <c r="G1185" s="2" t="str">
        <f>VLOOKUP(Sales_Details2[[#This Row],[Customer_ID]],Customer_Details[#All],9,0)</f>
        <v>Gold</v>
      </c>
      <c r="H1185" s="2" t="s">
        <v>1655</v>
      </c>
      <c r="I1185" s="2" t="str">
        <f>VLOOKUP(Sales_Details2[[#This Row],[Product_ID]],Product_details[[#All],[Product_ID]:[Cost]],3,0)</f>
        <v>Electronics</v>
      </c>
      <c r="J1185" s="2" t="str">
        <f>VLOOKUP(Sales_Details2[[#This Row],[Product_ID]],Product_details[[#All],[Product_ID]:[Cost]],4,0)</f>
        <v>Computer</v>
      </c>
      <c r="K1185" s="2" t="s">
        <v>1787</v>
      </c>
      <c r="L1185" s="2" t="str">
        <f>_xlfn.XLOOKUP(Sales_Details2[[#This Row],[Store_ID]],Table2[Store_ID],Table2[Region],"Region not found")</f>
        <v>West</v>
      </c>
      <c r="M1185" s="25">
        <v>3</v>
      </c>
      <c r="N1185" s="36">
        <v>198.76</v>
      </c>
      <c r="O1185" s="29">
        <v>0.28000000000000003</v>
      </c>
      <c r="P1185" s="2" t="s">
        <v>1812</v>
      </c>
      <c r="Q1185" s="36">
        <v>429.32159999999999</v>
      </c>
    </row>
    <row r="1186" spans="1:17" x14ac:dyDescent="0.3">
      <c r="A1186" s="2" t="s">
        <v>2993</v>
      </c>
      <c r="B1186" s="14">
        <v>45811</v>
      </c>
      <c r="C1186" s="2">
        <f>YEAR(Sales_Details2[[#This Row],[Order_Date]])</f>
        <v>2025</v>
      </c>
      <c r="D1186" s="2" t="s">
        <v>721</v>
      </c>
      <c r="E1186" s="2" t="str">
        <f>VLOOKUP(Sales_Details2[[#This Row],[Customer_ID]],Customer_Details[#All],4,0)</f>
        <v>Mid-Adult</v>
      </c>
      <c r="F1186" s="2" t="str">
        <f>VLOOKUP(Sales_Details2[[#This Row],[Customer_ID]],Customer_Details[#All],5,0)</f>
        <v>Female</v>
      </c>
      <c r="G1186" s="2" t="str">
        <f>VLOOKUP(Sales_Details2[[#This Row],[Customer_ID]],Customer_Details[#All],9,0)</f>
        <v>Platinum</v>
      </c>
      <c r="H1186" s="2" t="s">
        <v>1657</v>
      </c>
      <c r="I1186" s="2" t="str">
        <f>VLOOKUP(Sales_Details2[[#This Row],[Product_ID]],Product_details[[#All],[Product_ID]:[Cost]],3,0)</f>
        <v>Beauty</v>
      </c>
      <c r="J1186" s="2" t="str">
        <f>VLOOKUP(Sales_Details2[[#This Row],[Product_ID]],Product_details[[#All],[Product_ID]:[Cost]],4,0)</f>
        <v>Skincare</v>
      </c>
      <c r="K1186" s="2" t="s">
        <v>1749</v>
      </c>
      <c r="L1186" s="2" t="str">
        <f>_xlfn.XLOOKUP(Sales_Details2[[#This Row],[Store_ID]],Table2[Store_ID],Table2[Region],"Region not found")</f>
        <v>North</v>
      </c>
      <c r="M1186" s="25">
        <v>2</v>
      </c>
      <c r="N1186" s="36">
        <v>975.72</v>
      </c>
      <c r="O1186" s="29">
        <v>0.16</v>
      </c>
      <c r="P1186" s="2" t="s">
        <v>1812</v>
      </c>
      <c r="Q1186" s="36">
        <v>1639.2095999999999</v>
      </c>
    </row>
    <row r="1187" spans="1:17" x14ac:dyDescent="0.3">
      <c r="A1187" s="2" t="s">
        <v>2994</v>
      </c>
      <c r="B1187" s="14">
        <v>45505</v>
      </c>
      <c r="C1187" s="2">
        <f>YEAR(Sales_Details2[[#This Row],[Order_Date]])</f>
        <v>2024</v>
      </c>
      <c r="D1187" s="2" t="s">
        <v>1290</v>
      </c>
      <c r="E1187" s="2" t="str">
        <f>VLOOKUP(Sales_Details2[[#This Row],[Customer_ID]],Customer_Details[#All],4,0)</f>
        <v>Senior</v>
      </c>
      <c r="F1187" s="2" t="str">
        <f>VLOOKUP(Sales_Details2[[#This Row],[Customer_ID]],Customer_Details[#All],5,0)</f>
        <v>Male</v>
      </c>
      <c r="G1187" s="2" t="str">
        <f>VLOOKUP(Sales_Details2[[#This Row],[Customer_ID]],Customer_Details[#All],9,0)</f>
        <v>Bronze</v>
      </c>
      <c r="H1187" s="2" t="s">
        <v>1561</v>
      </c>
      <c r="I1187" s="2" t="str">
        <f>VLOOKUP(Sales_Details2[[#This Row],[Product_ID]],Product_details[[#All],[Product_ID]:[Cost]],3,0)</f>
        <v>Electronics</v>
      </c>
      <c r="J1187" s="2" t="str">
        <f>VLOOKUP(Sales_Details2[[#This Row],[Product_ID]],Product_details[[#All],[Product_ID]:[Cost]],4,0)</f>
        <v>Appliances</v>
      </c>
      <c r="K1187" s="2" t="s">
        <v>1740</v>
      </c>
      <c r="L1187" s="2" t="str">
        <f>_xlfn.XLOOKUP(Sales_Details2[[#This Row],[Store_ID]],Table2[Store_ID],Table2[Region],"Region not found")</f>
        <v>North</v>
      </c>
      <c r="M1187" s="25">
        <v>1</v>
      </c>
      <c r="N1187" s="36">
        <v>86.03</v>
      </c>
      <c r="O1187" s="29">
        <v>0.01</v>
      </c>
      <c r="P1187" s="2" t="s">
        <v>1807</v>
      </c>
      <c r="Q1187" s="36">
        <v>85.169700000000006</v>
      </c>
    </row>
    <row r="1188" spans="1:17" x14ac:dyDescent="0.3">
      <c r="A1188" s="2" t="s">
        <v>2995</v>
      </c>
      <c r="B1188" s="14">
        <v>45897</v>
      </c>
      <c r="C1188" s="2">
        <f>YEAR(Sales_Details2[[#This Row],[Order_Date]])</f>
        <v>2025</v>
      </c>
      <c r="D1188" s="2" t="s">
        <v>310</v>
      </c>
      <c r="E1188" s="2" t="str">
        <f>VLOOKUP(Sales_Details2[[#This Row],[Customer_ID]],Customer_Details[#All],4,0)</f>
        <v>Senior</v>
      </c>
      <c r="F1188" s="2" t="str">
        <f>VLOOKUP(Sales_Details2[[#This Row],[Customer_ID]],Customer_Details[#All],5,0)</f>
        <v>Female</v>
      </c>
      <c r="G1188" s="2" t="str">
        <f>VLOOKUP(Sales_Details2[[#This Row],[Customer_ID]],Customer_Details[#All],9,0)</f>
        <v>Bronze</v>
      </c>
      <c r="H1188" s="2" t="s">
        <v>1639</v>
      </c>
      <c r="I1188" s="2" t="str">
        <f>VLOOKUP(Sales_Details2[[#This Row],[Product_ID]],Product_details[[#All],[Product_ID]:[Cost]],3,0)</f>
        <v>Sports</v>
      </c>
      <c r="J1188" s="2" t="str">
        <f>VLOOKUP(Sales_Details2[[#This Row],[Product_ID]],Product_details[[#All],[Product_ID]:[Cost]],4,0)</f>
        <v>Accessories</v>
      </c>
      <c r="K1188" s="2" t="s">
        <v>1777</v>
      </c>
      <c r="L1188" s="2" t="str">
        <f>_xlfn.XLOOKUP(Sales_Details2[[#This Row],[Store_ID]],Table2[Store_ID],Table2[Region],"Region not found")</f>
        <v>North</v>
      </c>
      <c r="M1188" s="25">
        <v>4</v>
      </c>
      <c r="N1188" s="36">
        <v>705.12</v>
      </c>
      <c r="O1188" s="29">
        <v>0.15</v>
      </c>
      <c r="P1188" s="2" t="s">
        <v>1809</v>
      </c>
      <c r="Q1188" s="36">
        <v>2397.4079999999999</v>
      </c>
    </row>
    <row r="1189" spans="1:17" x14ac:dyDescent="0.3">
      <c r="A1189" s="2" t="s">
        <v>2996</v>
      </c>
      <c r="B1189" s="14">
        <v>45602</v>
      </c>
      <c r="C1189" s="2">
        <f>YEAR(Sales_Details2[[#This Row],[Order_Date]])</f>
        <v>2024</v>
      </c>
      <c r="D1189" s="2" t="s">
        <v>1147</v>
      </c>
      <c r="E1189" s="2" t="str">
        <f>VLOOKUP(Sales_Details2[[#This Row],[Customer_ID]],Customer_Details[#All],4,0)</f>
        <v>Adult</v>
      </c>
      <c r="F1189" s="2" t="str">
        <f>VLOOKUP(Sales_Details2[[#This Row],[Customer_ID]],Customer_Details[#All],5,0)</f>
        <v>Female</v>
      </c>
      <c r="G1189" s="2" t="str">
        <f>VLOOKUP(Sales_Details2[[#This Row],[Customer_ID]],Customer_Details[#All],9,0)</f>
        <v>Platinum</v>
      </c>
      <c r="H1189" s="2" t="s">
        <v>1567</v>
      </c>
      <c r="I1189" s="2" t="str">
        <f>VLOOKUP(Sales_Details2[[#This Row],[Product_ID]],Product_details[[#All],[Product_ID]:[Cost]],3,0)</f>
        <v>Clothing</v>
      </c>
      <c r="J1189" s="2" t="str">
        <f>VLOOKUP(Sales_Details2[[#This Row],[Product_ID]],Product_details[[#All],[Product_ID]:[Cost]],4,0)</f>
        <v>Bottoms</v>
      </c>
      <c r="K1189" s="2" t="s">
        <v>1777</v>
      </c>
      <c r="L1189" s="2" t="str">
        <f>_xlfn.XLOOKUP(Sales_Details2[[#This Row],[Store_ID]],Table2[Store_ID],Table2[Region],"Region not found")</f>
        <v>North</v>
      </c>
      <c r="M1189" s="25">
        <v>3</v>
      </c>
      <c r="N1189" s="36">
        <v>99.77</v>
      </c>
      <c r="O1189" s="29">
        <v>0.01</v>
      </c>
      <c r="P1189" s="2" t="s">
        <v>1809</v>
      </c>
      <c r="Q1189" s="36">
        <v>296.31689999999998</v>
      </c>
    </row>
    <row r="1190" spans="1:17" x14ac:dyDescent="0.3">
      <c r="A1190" s="2" t="s">
        <v>2997</v>
      </c>
      <c r="B1190" s="14">
        <v>45530</v>
      </c>
      <c r="C1190" s="2">
        <f>YEAR(Sales_Details2[[#This Row],[Order_Date]])</f>
        <v>2024</v>
      </c>
      <c r="D1190" s="2" t="s">
        <v>675</v>
      </c>
      <c r="E1190" s="2" t="str">
        <f>VLOOKUP(Sales_Details2[[#This Row],[Customer_ID]],Customer_Details[#All],4,0)</f>
        <v>Mid-Adult</v>
      </c>
      <c r="F1190" s="2" t="str">
        <f>VLOOKUP(Sales_Details2[[#This Row],[Customer_ID]],Customer_Details[#All],5,0)</f>
        <v>Female</v>
      </c>
      <c r="G1190" s="2" t="str">
        <f>VLOOKUP(Sales_Details2[[#This Row],[Customer_ID]],Customer_Details[#All],9,0)</f>
        <v>Platinum</v>
      </c>
      <c r="H1190" s="2" t="s">
        <v>1599</v>
      </c>
      <c r="I1190" s="2" t="str">
        <f>VLOOKUP(Sales_Details2[[#This Row],[Product_ID]],Product_details[[#All],[Product_ID]:[Cost]],3,0)</f>
        <v>Electronics</v>
      </c>
      <c r="J1190" s="2" t="str">
        <f>VLOOKUP(Sales_Details2[[#This Row],[Product_ID]],Product_details[[#All],[Product_ID]:[Cost]],4,0)</f>
        <v>Computer</v>
      </c>
      <c r="K1190" s="2" t="s">
        <v>1769</v>
      </c>
      <c r="L1190" s="2" t="str">
        <f>_xlfn.XLOOKUP(Sales_Details2[[#This Row],[Store_ID]],Table2[Store_ID],Table2[Region],"Region not found")</f>
        <v>South</v>
      </c>
      <c r="M1190" s="25">
        <v>2</v>
      </c>
      <c r="N1190" s="36">
        <v>166.26</v>
      </c>
      <c r="O1190" s="29">
        <v>0.14000000000000001</v>
      </c>
      <c r="P1190" s="2" t="s">
        <v>1809</v>
      </c>
      <c r="Q1190" s="36">
        <v>285.96719999999999</v>
      </c>
    </row>
    <row r="1191" spans="1:17" x14ac:dyDescent="0.3">
      <c r="A1191" s="2" t="s">
        <v>2998</v>
      </c>
      <c r="B1191" s="14">
        <v>45729</v>
      </c>
      <c r="C1191" s="2">
        <f>YEAR(Sales_Details2[[#This Row],[Order_Date]])</f>
        <v>2025</v>
      </c>
      <c r="D1191" s="2" t="s">
        <v>1401</v>
      </c>
      <c r="E1191" s="2" t="str">
        <f>VLOOKUP(Sales_Details2[[#This Row],[Customer_ID]],Customer_Details[#All],4,0)</f>
        <v>Adult</v>
      </c>
      <c r="F1191" s="2" t="str">
        <f>VLOOKUP(Sales_Details2[[#This Row],[Customer_ID]],Customer_Details[#All],5,0)</f>
        <v>Female</v>
      </c>
      <c r="G1191" s="2" t="str">
        <f>VLOOKUP(Sales_Details2[[#This Row],[Customer_ID]],Customer_Details[#All],9,0)</f>
        <v>Gold</v>
      </c>
      <c r="H1191" s="2" t="s">
        <v>1583</v>
      </c>
      <c r="I1191" s="2" t="str">
        <f>VLOOKUP(Sales_Details2[[#This Row],[Product_ID]],Product_details[[#All],[Product_ID]:[Cost]],3,0)</f>
        <v>Electronics</v>
      </c>
      <c r="J1191" s="2" t="str">
        <f>VLOOKUP(Sales_Details2[[#This Row],[Product_ID]],Product_details[[#All],[Product_ID]:[Cost]],4,0)</f>
        <v>Audio</v>
      </c>
      <c r="K1191" s="2" t="s">
        <v>1756</v>
      </c>
      <c r="L1191" s="2" t="str">
        <f>_xlfn.XLOOKUP(Sales_Details2[[#This Row],[Store_ID]],Table2[Store_ID],Table2[Region],"Region not found")</f>
        <v>North</v>
      </c>
      <c r="M1191" s="25">
        <v>1</v>
      </c>
      <c r="N1191" s="36">
        <v>429.25</v>
      </c>
      <c r="O1191" s="29">
        <v>0.28999999999999998</v>
      </c>
      <c r="P1191" s="2" t="s">
        <v>1807</v>
      </c>
      <c r="Q1191" s="36">
        <v>304.76749999999998</v>
      </c>
    </row>
    <row r="1192" spans="1:17" x14ac:dyDescent="0.3">
      <c r="A1192" s="2" t="s">
        <v>2999</v>
      </c>
      <c r="B1192" s="14">
        <v>45468</v>
      </c>
      <c r="C1192" s="2">
        <f>YEAR(Sales_Details2[[#This Row],[Order_Date]])</f>
        <v>2024</v>
      </c>
      <c r="D1192" s="2" t="s">
        <v>1355</v>
      </c>
      <c r="E1192" s="2" t="str">
        <f>VLOOKUP(Sales_Details2[[#This Row],[Customer_ID]],Customer_Details[#All],4,0)</f>
        <v>Senior</v>
      </c>
      <c r="F1192" s="2" t="str">
        <f>VLOOKUP(Sales_Details2[[#This Row],[Customer_ID]],Customer_Details[#All],5,0)</f>
        <v>Male</v>
      </c>
      <c r="G1192" s="2" t="str">
        <f>VLOOKUP(Sales_Details2[[#This Row],[Customer_ID]],Customer_Details[#All],9,0)</f>
        <v>Silver</v>
      </c>
      <c r="H1192" s="2" t="s">
        <v>1526</v>
      </c>
      <c r="I1192" s="2" t="str">
        <f>VLOOKUP(Sales_Details2[[#This Row],[Product_ID]],Product_details[[#All],[Product_ID]:[Cost]],3,0)</f>
        <v>Electronics</v>
      </c>
      <c r="J1192" s="2" t="str">
        <f>VLOOKUP(Sales_Details2[[#This Row],[Product_ID]],Product_details[[#All],[Product_ID]:[Cost]],4,0)</f>
        <v>Computer</v>
      </c>
      <c r="K1192" s="2" t="s">
        <v>1769</v>
      </c>
      <c r="L1192" s="2" t="str">
        <f>_xlfn.XLOOKUP(Sales_Details2[[#This Row],[Store_ID]],Table2[Store_ID],Table2[Region],"Region not found")</f>
        <v>South</v>
      </c>
      <c r="M1192" s="25">
        <v>2</v>
      </c>
      <c r="N1192" s="36">
        <v>540.48</v>
      </c>
      <c r="O1192" s="29">
        <v>0.28999999999999998</v>
      </c>
      <c r="P1192" s="2" t="s">
        <v>1807</v>
      </c>
      <c r="Q1192" s="36">
        <v>767.48159999999996</v>
      </c>
    </row>
    <row r="1193" spans="1:17" x14ac:dyDescent="0.3">
      <c r="A1193" s="2" t="s">
        <v>3000</v>
      </c>
      <c r="B1193" s="14">
        <v>45936</v>
      </c>
      <c r="C1193" s="2">
        <f>YEAR(Sales_Details2[[#This Row],[Order_Date]])</f>
        <v>2025</v>
      </c>
      <c r="D1193" s="2" t="s">
        <v>850</v>
      </c>
      <c r="E1193" s="2" t="str">
        <f>VLOOKUP(Sales_Details2[[#This Row],[Customer_ID]],Customer_Details[#All],4,0)</f>
        <v>Mid-Adult</v>
      </c>
      <c r="F1193" s="2" t="str">
        <f>VLOOKUP(Sales_Details2[[#This Row],[Customer_ID]],Customer_Details[#All],5,0)</f>
        <v>Female</v>
      </c>
      <c r="G1193" s="2" t="str">
        <f>VLOOKUP(Sales_Details2[[#This Row],[Customer_ID]],Customer_Details[#All],9,0)</f>
        <v>Silver</v>
      </c>
      <c r="H1193" s="2" t="s">
        <v>1649</v>
      </c>
      <c r="I1193" s="2" t="str">
        <f>VLOOKUP(Sales_Details2[[#This Row],[Product_ID]],Product_details[[#All],[Product_ID]:[Cost]],3,0)</f>
        <v>Beauty</v>
      </c>
      <c r="J1193" s="2" t="str">
        <f>VLOOKUP(Sales_Details2[[#This Row],[Product_ID]],Product_details[[#All],[Product_ID]:[Cost]],4,0)</f>
        <v>Haircare</v>
      </c>
      <c r="K1193" s="2" t="s">
        <v>1782</v>
      </c>
      <c r="L1193" s="2" t="str">
        <f>_xlfn.XLOOKUP(Sales_Details2[[#This Row],[Store_ID]],Table2[Store_ID],Table2[Region],"Region not found")</f>
        <v>South</v>
      </c>
      <c r="M1193" s="25">
        <v>2</v>
      </c>
      <c r="N1193" s="36">
        <v>579.52</v>
      </c>
      <c r="O1193" s="29">
        <v>0.01</v>
      </c>
      <c r="P1193" s="2" t="s">
        <v>1809</v>
      </c>
      <c r="Q1193" s="36">
        <v>1147.4495999999999</v>
      </c>
    </row>
    <row r="1194" spans="1:17" x14ac:dyDescent="0.3">
      <c r="A1194" s="2" t="s">
        <v>3001</v>
      </c>
      <c r="B1194" s="14">
        <v>45622</v>
      </c>
      <c r="C1194" s="2">
        <f>YEAR(Sales_Details2[[#This Row],[Order_Date]])</f>
        <v>2024</v>
      </c>
      <c r="D1194" s="2" t="s">
        <v>110</v>
      </c>
      <c r="E1194" s="2" t="str">
        <f>VLOOKUP(Sales_Details2[[#This Row],[Customer_ID]],Customer_Details[#All],4,0)</f>
        <v>Adult</v>
      </c>
      <c r="F1194" s="2" t="str">
        <f>VLOOKUP(Sales_Details2[[#This Row],[Customer_ID]],Customer_Details[#All],5,0)</f>
        <v>Female</v>
      </c>
      <c r="G1194" s="2" t="str">
        <f>VLOOKUP(Sales_Details2[[#This Row],[Customer_ID]],Customer_Details[#All],9,0)</f>
        <v>Gold</v>
      </c>
      <c r="H1194" s="2" t="s">
        <v>1669</v>
      </c>
      <c r="I1194" s="2" t="str">
        <f>VLOOKUP(Sales_Details2[[#This Row],[Product_ID]],Product_details[[#All],[Product_ID]:[Cost]],3,0)</f>
        <v>Clothing</v>
      </c>
      <c r="J1194" s="2" t="str">
        <f>VLOOKUP(Sales_Details2[[#This Row],[Product_ID]],Product_details[[#All],[Product_ID]:[Cost]],4,0)</f>
        <v>Bottoms</v>
      </c>
      <c r="K1194" s="2" t="s">
        <v>1790</v>
      </c>
      <c r="L1194" s="2" t="str">
        <f>_xlfn.XLOOKUP(Sales_Details2[[#This Row],[Store_ID]],Table2[Store_ID],Table2[Region],"Region not found")</f>
        <v>North</v>
      </c>
      <c r="M1194" s="25">
        <v>4</v>
      </c>
      <c r="N1194" s="36">
        <v>477.52</v>
      </c>
      <c r="O1194" s="29">
        <v>7.0000000000000007E-2</v>
      </c>
      <c r="P1194" s="2" t="s">
        <v>1809</v>
      </c>
      <c r="Q1194" s="36">
        <v>1776.3743999999999</v>
      </c>
    </row>
    <row r="1195" spans="1:17" x14ac:dyDescent="0.3">
      <c r="A1195" s="2" t="s">
        <v>3002</v>
      </c>
      <c r="B1195" s="14">
        <v>45705</v>
      </c>
      <c r="C1195" s="2">
        <f>YEAR(Sales_Details2[[#This Row],[Order_Date]])</f>
        <v>2025</v>
      </c>
      <c r="D1195" s="2" t="s">
        <v>820</v>
      </c>
      <c r="E1195" s="2" t="str">
        <f>VLOOKUP(Sales_Details2[[#This Row],[Customer_ID]],Customer_Details[#All],4,0)</f>
        <v>Mid-Adult</v>
      </c>
      <c r="F1195" s="2" t="str">
        <f>VLOOKUP(Sales_Details2[[#This Row],[Customer_ID]],Customer_Details[#All],5,0)</f>
        <v>Female</v>
      </c>
      <c r="G1195" s="2" t="str">
        <f>VLOOKUP(Sales_Details2[[#This Row],[Customer_ID]],Customer_Details[#All],9,0)</f>
        <v>Silver</v>
      </c>
      <c r="H1195" s="2" t="s">
        <v>1713</v>
      </c>
      <c r="I1195" s="2" t="str">
        <f>VLOOKUP(Sales_Details2[[#This Row],[Product_ID]],Product_details[[#All],[Product_ID]:[Cost]],3,0)</f>
        <v>Clothing</v>
      </c>
      <c r="J1195" s="2" t="str">
        <f>VLOOKUP(Sales_Details2[[#This Row],[Product_ID]],Product_details[[#All],[Product_ID]:[Cost]],4,0)</f>
        <v>Footwear</v>
      </c>
      <c r="K1195" s="2" t="s">
        <v>1759</v>
      </c>
      <c r="L1195" s="2" t="str">
        <f>_xlfn.XLOOKUP(Sales_Details2[[#This Row],[Store_ID]],Table2[Store_ID],Table2[Region],"Region not found")</f>
        <v>East</v>
      </c>
      <c r="M1195" s="25">
        <v>3</v>
      </c>
      <c r="N1195" s="36">
        <v>242.58</v>
      </c>
      <c r="O1195" s="29">
        <v>0.25</v>
      </c>
      <c r="P1195" s="2" t="s">
        <v>1807</v>
      </c>
      <c r="Q1195" s="36">
        <v>545.80500000000006</v>
      </c>
    </row>
    <row r="1196" spans="1:17" x14ac:dyDescent="0.3">
      <c r="A1196" s="2" t="s">
        <v>3003</v>
      </c>
      <c r="B1196" s="14">
        <v>45250</v>
      </c>
      <c r="C1196" s="2">
        <f>YEAR(Sales_Details2[[#This Row],[Order_Date]])</f>
        <v>2023</v>
      </c>
      <c r="D1196" s="2" t="s">
        <v>1135</v>
      </c>
      <c r="E1196" s="2" t="str">
        <f>VLOOKUP(Sales_Details2[[#This Row],[Customer_ID]],Customer_Details[#All],4,0)</f>
        <v>Senior</v>
      </c>
      <c r="F1196" s="2" t="str">
        <f>VLOOKUP(Sales_Details2[[#This Row],[Customer_ID]],Customer_Details[#All],5,0)</f>
        <v>Male</v>
      </c>
      <c r="G1196" s="2" t="str">
        <f>VLOOKUP(Sales_Details2[[#This Row],[Customer_ID]],Customer_Details[#All],9,0)</f>
        <v>Bronze</v>
      </c>
      <c r="H1196" s="2" t="s">
        <v>1583</v>
      </c>
      <c r="I1196" s="2" t="str">
        <f>VLOOKUP(Sales_Details2[[#This Row],[Product_ID]],Product_details[[#All],[Product_ID]:[Cost]],3,0)</f>
        <v>Electronics</v>
      </c>
      <c r="J1196" s="2" t="str">
        <f>VLOOKUP(Sales_Details2[[#This Row],[Product_ID]],Product_details[[#All],[Product_ID]:[Cost]],4,0)</f>
        <v>Audio</v>
      </c>
      <c r="K1196" s="2" t="s">
        <v>1790</v>
      </c>
      <c r="L1196" s="2" t="str">
        <f>_xlfn.XLOOKUP(Sales_Details2[[#This Row],[Store_ID]],Table2[Store_ID],Table2[Region],"Region not found")</f>
        <v>North</v>
      </c>
      <c r="M1196" s="25">
        <v>2</v>
      </c>
      <c r="N1196" s="36">
        <v>519.29999999999995</v>
      </c>
      <c r="O1196" s="29">
        <v>0.09</v>
      </c>
      <c r="P1196" s="2" t="s">
        <v>1809</v>
      </c>
      <c r="Q1196" s="36">
        <v>945.12599999999998</v>
      </c>
    </row>
    <row r="1197" spans="1:17" x14ac:dyDescent="0.3">
      <c r="A1197" s="2" t="s">
        <v>3004</v>
      </c>
      <c r="B1197" s="14">
        <v>45684</v>
      </c>
      <c r="C1197" s="2">
        <f>YEAR(Sales_Details2[[#This Row],[Order_Date]])</f>
        <v>2025</v>
      </c>
      <c r="D1197" s="2" t="s">
        <v>1493</v>
      </c>
      <c r="E1197" s="2" t="str">
        <f>VLOOKUP(Sales_Details2[[#This Row],[Customer_ID]],Customer_Details[#All],4,0)</f>
        <v>Senior</v>
      </c>
      <c r="F1197" s="2" t="str">
        <f>VLOOKUP(Sales_Details2[[#This Row],[Customer_ID]],Customer_Details[#All],5,0)</f>
        <v>Female</v>
      </c>
      <c r="G1197" s="2" t="str">
        <f>VLOOKUP(Sales_Details2[[#This Row],[Customer_ID]],Customer_Details[#All],9,0)</f>
        <v>Gold</v>
      </c>
      <c r="H1197" s="2" t="s">
        <v>1719</v>
      </c>
      <c r="I1197" s="2" t="str">
        <f>VLOOKUP(Sales_Details2[[#This Row],[Product_ID]],Product_details[[#All],[Product_ID]:[Cost]],3,0)</f>
        <v>Beauty</v>
      </c>
      <c r="J1197" s="2" t="str">
        <f>VLOOKUP(Sales_Details2[[#This Row],[Product_ID]],Product_details[[#All],[Product_ID]:[Cost]],4,0)</f>
        <v>Skincare</v>
      </c>
      <c r="K1197" s="2" t="s">
        <v>1775</v>
      </c>
      <c r="L1197" s="2" t="str">
        <f>_xlfn.XLOOKUP(Sales_Details2[[#This Row],[Store_ID]],Table2[Store_ID],Table2[Region],"Region not found")</f>
        <v>South</v>
      </c>
      <c r="M1197" s="25">
        <v>3</v>
      </c>
      <c r="N1197" s="36">
        <v>845.67</v>
      </c>
      <c r="O1197" s="29">
        <v>0.12</v>
      </c>
      <c r="P1197" s="2" t="s">
        <v>1812</v>
      </c>
      <c r="Q1197" s="36">
        <v>2232.5688</v>
      </c>
    </row>
    <row r="1198" spans="1:17" x14ac:dyDescent="0.3">
      <c r="A1198" s="2" t="s">
        <v>3005</v>
      </c>
      <c r="B1198" s="14">
        <v>45395</v>
      </c>
      <c r="C1198" s="2">
        <f>YEAR(Sales_Details2[[#This Row],[Order_Date]])</f>
        <v>2024</v>
      </c>
      <c r="D1198" s="2" t="s">
        <v>953</v>
      </c>
      <c r="E1198" s="2" t="str">
        <f>VLOOKUP(Sales_Details2[[#This Row],[Customer_ID]],Customer_Details[#All],4,0)</f>
        <v>Senior</v>
      </c>
      <c r="F1198" s="2" t="str">
        <f>VLOOKUP(Sales_Details2[[#This Row],[Customer_ID]],Customer_Details[#All],5,0)</f>
        <v>Male</v>
      </c>
      <c r="G1198" s="2" t="str">
        <f>VLOOKUP(Sales_Details2[[#This Row],[Customer_ID]],Customer_Details[#All],9,0)</f>
        <v>Platinum</v>
      </c>
      <c r="H1198" s="2" t="s">
        <v>1641</v>
      </c>
      <c r="I1198" s="2" t="str">
        <f>VLOOKUP(Sales_Details2[[#This Row],[Product_ID]],Product_details[[#All],[Product_ID]:[Cost]],3,0)</f>
        <v>Home</v>
      </c>
      <c r="J1198" s="2" t="str">
        <f>VLOOKUP(Sales_Details2[[#This Row],[Product_ID]],Product_details[[#All],[Product_ID]:[Cost]],4,0)</f>
        <v>Decor</v>
      </c>
      <c r="K1198" s="2" t="s">
        <v>1787</v>
      </c>
      <c r="L1198" s="2" t="str">
        <f>_xlfn.XLOOKUP(Sales_Details2[[#This Row],[Store_ID]],Table2[Store_ID],Table2[Region],"Region not found")</f>
        <v>West</v>
      </c>
      <c r="M1198" s="25">
        <v>4</v>
      </c>
      <c r="N1198" s="36">
        <v>750.26</v>
      </c>
      <c r="O1198" s="29">
        <v>0.01</v>
      </c>
      <c r="P1198" s="2" t="s">
        <v>1809</v>
      </c>
      <c r="Q1198" s="36">
        <v>2971.0295999999998</v>
      </c>
    </row>
    <row r="1199" spans="1:17" x14ac:dyDescent="0.3">
      <c r="A1199" s="2" t="s">
        <v>3006</v>
      </c>
      <c r="B1199" s="14">
        <v>45382</v>
      </c>
      <c r="C1199" s="2">
        <f>YEAR(Sales_Details2[[#This Row],[Order_Date]])</f>
        <v>2024</v>
      </c>
      <c r="D1199" s="2" t="s">
        <v>1033</v>
      </c>
      <c r="E1199" s="2" t="str">
        <f>VLOOKUP(Sales_Details2[[#This Row],[Customer_ID]],Customer_Details[#All],4,0)</f>
        <v>Mid-Adult</v>
      </c>
      <c r="F1199" s="2" t="str">
        <f>VLOOKUP(Sales_Details2[[#This Row],[Customer_ID]],Customer_Details[#All],5,0)</f>
        <v>Female</v>
      </c>
      <c r="G1199" s="2" t="str">
        <f>VLOOKUP(Sales_Details2[[#This Row],[Customer_ID]],Customer_Details[#All],9,0)</f>
        <v>Bronze</v>
      </c>
      <c r="H1199" s="2" t="s">
        <v>1715</v>
      </c>
      <c r="I1199" s="2" t="str">
        <f>VLOOKUP(Sales_Details2[[#This Row],[Product_ID]],Product_details[[#All],[Product_ID]:[Cost]],3,0)</f>
        <v>Home</v>
      </c>
      <c r="J1199" s="2" t="str">
        <f>VLOOKUP(Sales_Details2[[#This Row],[Product_ID]],Product_details[[#All],[Product_ID]:[Cost]],4,0)</f>
        <v>Appliances</v>
      </c>
      <c r="K1199" s="2" t="s">
        <v>1777</v>
      </c>
      <c r="L1199" s="2" t="str">
        <f>_xlfn.XLOOKUP(Sales_Details2[[#This Row],[Store_ID]],Table2[Store_ID],Table2[Region],"Region not found")</f>
        <v>North</v>
      </c>
      <c r="M1199" s="25">
        <v>4</v>
      </c>
      <c r="N1199" s="36">
        <v>294.38</v>
      </c>
      <c r="O1199" s="29">
        <v>0.2</v>
      </c>
      <c r="P1199" s="2" t="s">
        <v>1807</v>
      </c>
      <c r="Q1199" s="36">
        <v>942.01600000000008</v>
      </c>
    </row>
    <row r="1200" spans="1:17" x14ac:dyDescent="0.3">
      <c r="A1200" s="2" t="s">
        <v>3007</v>
      </c>
      <c r="B1200" s="14">
        <v>45919</v>
      </c>
      <c r="C1200" s="2">
        <f>YEAR(Sales_Details2[[#This Row],[Order_Date]])</f>
        <v>2025</v>
      </c>
      <c r="D1200" s="2" t="s">
        <v>342</v>
      </c>
      <c r="E1200" s="2" t="str">
        <f>VLOOKUP(Sales_Details2[[#This Row],[Customer_ID]],Customer_Details[#All],4,0)</f>
        <v>Mid-Adult</v>
      </c>
      <c r="F1200" s="2" t="str">
        <f>VLOOKUP(Sales_Details2[[#This Row],[Customer_ID]],Customer_Details[#All],5,0)</f>
        <v>Male</v>
      </c>
      <c r="G1200" s="2" t="str">
        <f>VLOOKUP(Sales_Details2[[#This Row],[Customer_ID]],Customer_Details[#All],9,0)</f>
        <v>Silver</v>
      </c>
      <c r="H1200" s="2" t="s">
        <v>1723</v>
      </c>
      <c r="I1200" s="2" t="str">
        <f>VLOOKUP(Sales_Details2[[#This Row],[Product_ID]],Product_details[[#All],[Product_ID]:[Cost]],3,0)</f>
        <v>Clothing</v>
      </c>
      <c r="J1200" s="2" t="str">
        <f>VLOOKUP(Sales_Details2[[#This Row],[Product_ID]],Product_details[[#All],[Product_ID]:[Cost]],4,0)</f>
        <v>Outerwear</v>
      </c>
      <c r="K1200" s="2" t="s">
        <v>1744</v>
      </c>
      <c r="L1200" s="2" t="str">
        <f>_xlfn.XLOOKUP(Sales_Details2[[#This Row],[Store_ID]],Table2[Store_ID],Table2[Region],"Region not found")</f>
        <v>South</v>
      </c>
      <c r="M1200" s="25">
        <v>3</v>
      </c>
      <c r="N1200" s="36">
        <v>583.52</v>
      </c>
      <c r="O1200" s="29">
        <v>7.0000000000000007E-2</v>
      </c>
      <c r="P1200" s="2" t="s">
        <v>1809</v>
      </c>
      <c r="Q1200" s="36">
        <v>1628.0208</v>
      </c>
    </row>
    <row r="1201" spans="1:17" x14ac:dyDescent="0.3">
      <c r="A1201" s="2" t="s">
        <v>3008</v>
      </c>
      <c r="B1201" s="14">
        <v>45453</v>
      </c>
      <c r="C1201" s="2">
        <f>YEAR(Sales_Details2[[#This Row],[Order_Date]])</f>
        <v>2024</v>
      </c>
      <c r="D1201" s="2" t="s">
        <v>1433</v>
      </c>
      <c r="E1201" s="2" t="str">
        <f>VLOOKUP(Sales_Details2[[#This Row],[Customer_ID]],Customer_Details[#All],4,0)</f>
        <v>Adult</v>
      </c>
      <c r="F1201" s="2" t="str">
        <f>VLOOKUP(Sales_Details2[[#This Row],[Customer_ID]],Customer_Details[#All],5,0)</f>
        <v>Female</v>
      </c>
      <c r="G1201" s="2" t="str">
        <f>VLOOKUP(Sales_Details2[[#This Row],[Customer_ID]],Customer_Details[#All],9,0)</f>
        <v>Gold</v>
      </c>
      <c r="H1201" s="2" t="s">
        <v>1709</v>
      </c>
      <c r="I1201" s="2" t="str">
        <f>VLOOKUP(Sales_Details2[[#This Row],[Product_ID]],Product_details[[#All],[Product_ID]:[Cost]],3,0)</f>
        <v>Beauty</v>
      </c>
      <c r="J1201" s="2" t="str">
        <f>VLOOKUP(Sales_Details2[[#This Row],[Product_ID]],Product_details[[#All],[Product_ID]:[Cost]],4,0)</f>
        <v>Makeup</v>
      </c>
      <c r="K1201" s="2" t="s">
        <v>1787</v>
      </c>
      <c r="L1201" s="2" t="str">
        <f>_xlfn.XLOOKUP(Sales_Details2[[#This Row],[Store_ID]],Table2[Store_ID],Table2[Region],"Region not found")</f>
        <v>West</v>
      </c>
      <c r="M1201" s="25">
        <v>2</v>
      </c>
      <c r="N1201" s="36">
        <v>635.22</v>
      </c>
      <c r="O1201" s="29">
        <v>0.3</v>
      </c>
      <c r="P1201" s="2" t="s">
        <v>1812</v>
      </c>
      <c r="Q1201" s="36">
        <v>889.30799999999999</v>
      </c>
    </row>
    <row r="1202" spans="1:17" x14ac:dyDescent="0.3">
      <c r="A1202" s="2" t="s">
        <v>3009</v>
      </c>
      <c r="B1202" s="14">
        <v>45313</v>
      </c>
      <c r="C1202" s="2">
        <f>YEAR(Sales_Details2[[#This Row],[Order_Date]])</f>
        <v>2024</v>
      </c>
      <c r="D1202" s="2" t="s">
        <v>1312</v>
      </c>
      <c r="E1202" s="2" t="str">
        <f>VLOOKUP(Sales_Details2[[#This Row],[Customer_ID]],Customer_Details[#All],4,0)</f>
        <v>Adult</v>
      </c>
      <c r="F1202" s="2" t="str">
        <f>VLOOKUP(Sales_Details2[[#This Row],[Customer_ID]],Customer_Details[#All],5,0)</f>
        <v>Female</v>
      </c>
      <c r="G1202" s="2" t="str">
        <f>VLOOKUP(Sales_Details2[[#This Row],[Customer_ID]],Customer_Details[#All],9,0)</f>
        <v>Bronze</v>
      </c>
      <c r="H1202" s="2" t="s">
        <v>1663</v>
      </c>
      <c r="I1202" s="2" t="str">
        <f>VLOOKUP(Sales_Details2[[#This Row],[Product_ID]],Product_details[[#All],[Product_ID]:[Cost]],3,0)</f>
        <v>Beauty</v>
      </c>
      <c r="J1202" s="2" t="str">
        <f>VLOOKUP(Sales_Details2[[#This Row],[Product_ID]],Product_details[[#All],[Product_ID]:[Cost]],4,0)</f>
        <v>Haircare</v>
      </c>
      <c r="K1202" s="2" t="s">
        <v>1744</v>
      </c>
      <c r="L1202" s="2" t="str">
        <f>_xlfn.XLOOKUP(Sales_Details2[[#This Row],[Store_ID]],Table2[Store_ID],Table2[Region],"Region not found")</f>
        <v>South</v>
      </c>
      <c r="M1202" s="25">
        <v>1</v>
      </c>
      <c r="N1202" s="36">
        <v>743.55</v>
      </c>
      <c r="O1202" s="29">
        <v>0.11</v>
      </c>
      <c r="P1202" s="2" t="s">
        <v>1812</v>
      </c>
      <c r="Q1202" s="36">
        <v>661.7595</v>
      </c>
    </row>
    <row r="1203" spans="1:17" x14ac:dyDescent="0.3">
      <c r="A1203" s="2" t="s">
        <v>3010</v>
      </c>
      <c r="B1203" s="14">
        <v>45377</v>
      </c>
      <c r="C1203" s="2">
        <f>YEAR(Sales_Details2[[#This Row],[Order_Date]])</f>
        <v>2024</v>
      </c>
      <c r="D1203" s="2" t="s">
        <v>355</v>
      </c>
      <c r="E1203" s="2" t="str">
        <f>VLOOKUP(Sales_Details2[[#This Row],[Customer_ID]],Customer_Details[#All],4,0)</f>
        <v>Adult</v>
      </c>
      <c r="F1203" s="2" t="str">
        <f>VLOOKUP(Sales_Details2[[#This Row],[Customer_ID]],Customer_Details[#All],5,0)</f>
        <v>Male</v>
      </c>
      <c r="G1203" s="2" t="str">
        <f>VLOOKUP(Sales_Details2[[#This Row],[Customer_ID]],Customer_Details[#All],9,0)</f>
        <v>Gold</v>
      </c>
      <c r="H1203" s="2" t="s">
        <v>1619</v>
      </c>
      <c r="I1203" s="2" t="str">
        <f>VLOOKUP(Sales_Details2[[#This Row],[Product_ID]],Product_details[[#All],[Product_ID]:[Cost]],3,0)</f>
        <v>Sports</v>
      </c>
      <c r="J1203" s="2" t="str">
        <f>VLOOKUP(Sales_Details2[[#This Row],[Product_ID]],Product_details[[#All],[Product_ID]:[Cost]],4,0)</f>
        <v>Fitness</v>
      </c>
      <c r="K1203" s="2" t="s">
        <v>1749</v>
      </c>
      <c r="L1203" s="2" t="str">
        <f>_xlfn.XLOOKUP(Sales_Details2[[#This Row],[Store_ID]],Table2[Store_ID],Table2[Region],"Region not found")</f>
        <v>North</v>
      </c>
      <c r="M1203" s="25">
        <v>4</v>
      </c>
      <c r="N1203" s="36">
        <v>530.45000000000005</v>
      </c>
      <c r="O1203" s="29">
        <v>0.13</v>
      </c>
      <c r="P1203" s="2" t="s">
        <v>1807</v>
      </c>
      <c r="Q1203" s="36">
        <v>1845.9659999999999</v>
      </c>
    </row>
    <row r="1204" spans="1:17" x14ac:dyDescent="0.3">
      <c r="A1204" s="2" t="s">
        <v>3011</v>
      </c>
      <c r="B1204" s="14">
        <v>45371</v>
      </c>
      <c r="C1204" s="2">
        <f>YEAR(Sales_Details2[[#This Row],[Order_Date]])</f>
        <v>2024</v>
      </c>
      <c r="D1204" s="2" t="s">
        <v>835</v>
      </c>
      <c r="E1204" s="2" t="str">
        <f>VLOOKUP(Sales_Details2[[#This Row],[Customer_ID]],Customer_Details[#All],4,0)</f>
        <v>Adult</v>
      </c>
      <c r="F1204" s="2" t="str">
        <f>VLOOKUP(Sales_Details2[[#This Row],[Customer_ID]],Customer_Details[#All],5,0)</f>
        <v>Male</v>
      </c>
      <c r="G1204" s="2" t="str">
        <f>VLOOKUP(Sales_Details2[[#This Row],[Customer_ID]],Customer_Details[#All],9,0)</f>
        <v>Gold</v>
      </c>
      <c r="H1204" s="2" t="s">
        <v>1663</v>
      </c>
      <c r="I1204" s="2" t="str">
        <f>VLOOKUP(Sales_Details2[[#This Row],[Product_ID]],Product_details[[#All],[Product_ID]:[Cost]],3,0)</f>
        <v>Beauty</v>
      </c>
      <c r="J1204" s="2" t="str">
        <f>VLOOKUP(Sales_Details2[[#This Row],[Product_ID]],Product_details[[#All],[Product_ID]:[Cost]],4,0)</f>
        <v>Haircare</v>
      </c>
      <c r="K1204" s="2" t="s">
        <v>1769</v>
      </c>
      <c r="L1204" s="2" t="str">
        <f>_xlfn.XLOOKUP(Sales_Details2[[#This Row],[Store_ID]],Table2[Store_ID],Table2[Region],"Region not found")</f>
        <v>South</v>
      </c>
      <c r="M1204" s="25">
        <v>2</v>
      </c>
      <c r="N1204" s="36">
        <v>972.4</v>
      </c>
      <c r="O1204" s="29">
        <v>0.06</v>
      </c>
      <c r="P1204" s="2" t="s">
        <v>1812</v>
      </c>
      <c r="Q1204" s="36">
        <v>1828.1120000000001</v>
      </c>
    </row>
    <row r="1205" spans="1:17" x14ac:dyDescent="0.3">
      <c r="A1205" s="2" t="s">
        <v>3012</v>
      </c>
      <c r="B1205" s="14">
        <v>45797</v>
      </c>
      <c r="C1205" s="2">
        <f>YEAR(Sales_Details2[[#This Row],[Order_Date]])</f>
        <v>2025</v>
      </c>
      <c r="D1205" s="2" t="s">
        <v>1168</v>
      </c>
      <c r="E1205" s="2" t="str">
        <f>VLOOKUP(Sales_Details2[[#This Row],[Customer_ID]],Customer_Details[#All],4,0)</f>
        <v>Mid-Adult</v>
      </c>
      <c r="F1205" s="2" t="str">
        <f>VLOOKUP(Sales_Details2[[#This Row],[Customer_ID]],Customer_Details[#All],5,0)</f>
        <v>Female</v>
      </c>
      <c r="G1205" s="2" t="str">
        <f>VLOOKUP(Sales_Details2[[#This Row],[Customer_ID]],Customer_Details[#All],9,0)</f>
        <v>Bronze</v>
      </c>
      <c r="H1205" s="2" t="s">
        <v>1561</v>
      </c>
      <c r="I1205" s="2" t="str">
        <f>VLOOKUP(Sales_Details2[[#This Row],[Product_ID]],Product_details[[#All],[Product_ID]:[Cost]],3,0)</f>
        <v>Electronics</v>
      </c>
      <c r="J1205" s="2" t="str">
        <f>VLOOKUP(Sales_Details2[[#This Row],[Product_ID]],Product_details[[#All],[Product_ID]:[Cost]],4,0)</f>
        <v>Appliances</v>
      </c>
      <c r="K1205" s="2" t="s">
        <v>1793</v>
      </c>
      <c r="L1205" s="2" t="str">
        <f>_xlfn.XLOOKUP(Sales_Details2[[#This Row],[Store_ID]],Table2[Store_ID],Table2[Region],"Region not found")</f>
        <v>East</v>
      </c>
      <c r="M1205" s="25">
        <v>3</v>
      </c>
      <c r="N1205" s="36">
        <v>197.93</v>
      </c>
      <c r="O1205" s="29">
        <v>0</v>
      </c>
      <c r="P1205" s="2" t="s">
        <v>1812</v>
      </c>
      <c r="Q1205" s="36">
        <v>593.79</v>
      </c>
    </row>
    <row r="1206" spans="1:17" x14ac:dyDescent="0.3">
      <c r="A1206" s="2" t="s">
        <v>3013</v>
      </c>
      <c r="B1206" s="14">
        <v>45575</v>
      </c>
      <c r="C1206" s="2">
        <f>YEAR(Sales_Details2[[#This Row],[Order_Date]])</f>
        <v>2024</v>
      </c>
      <c r="D1206" s="2" t="s">
        <v>1063</v>
      </c>
      <c r="E1206" s="2" t="str">
        <f>VLOOKUP(Sales_Details2[[#This Row],[Customer_ID]],Customer_Details[#All],4,0)</f>
        <v>Adult</v>
      </c>
      <c r="F1206" s="2" t="str">
        <f>VLOOKUP(Sales_Details2[[#This Row],[Customer_ID]],Customer_Details[#All],5,0)</f>
        <v>Female</v>
      </c>
      <c r="G1206" s="2" t="str">
        <f>VLOOKUP(Sales_Details2[[#This Row],[Customer_ID]],Customer_Details[#All],9,0)</f>
        <v>Bronze</v>
      </c>
      <c r="H1206" s="2" t="s">
        <v>1705</v>
      </c>
      <c r="I1206" s="2" t="str">
        <f>VLOOKUP(Sales_Details2[[#This Row],[Product_ID]],Product_details[[#All],[Product_ID]:[Cost]],3,0)</f>
        <v>Home</v>
      </c>
      <c r="J1206" s="2" t="str">
        <f>VLOOKUP(Sales_Details2[[#This Row],[Product_ID]],Product_details[[#All],[Product_ID]:[Cost]],4,0)</f>
        <v>Lighting</v>
      </c>
      <c r="K1206" s="2" t="s">
        <v>1775</v>
      </c>
      <c r="L1206" s="2" t="str">
        <f>_xlfn.XLOOKUP(Sales_Details2[[#This Row],[Store_ID]],Table2[Store_ID],Table2[Region],"Region not found")</f>
        <v>South</v>
      </c>
      <c r="M1206" s="25">
        <v>4</v>
      </c>
      <c r="N1206" s="36">
        <v>565.51</v>
      </c>
      <c r="O1206" s="29">
        <v>0.16</v>
      </c>
      <c r="P1206" s="2" t="s">
        <v>1809</v>
      </c>
      <c r="Q1206" s="36">
        <v>1900.1135999999999</v>
      </c>
    </row>
    <row r="1207" spans="1:17" x14ac:dyDescent="0.3">
      <c r="A1207" s="2" t="s">
        <v>3014</v>
      </c>
      <c r="B1207" s="14">
        <v>45566</v>
      </c>
      <c r="C1207" s="2">
        <f>YEAR(Sales_Details2[[#This Row],[Order_Date]])</f>
        <v>2024</v>
      </c>
      <c r="D1207" s="2" t="s">
        <v>1232</v>
      </c>
      <c r="E1207" s="2" t="str">
        <f>VLOOKUP(Sales_Details2[[#This Row],[Customer_ID]],Customer_Details[#All],4,0)</f>
        <v>Senior</v>
      </c>
      <c r="F1207" s="2" t="str">
        <f>VLOOKUP(Sales_Details2[[#This Row],[Customer_ID]],Customer_Details[#All],5,0)</f>
        <v>Female</v>
      </c>
      <c r="G1207" s="2" t="str">
        <f>VLOOKUP(Sales_Details2[[#This Row],[Customer_ID]],Customer_Details[#All],9,0)</f>
        <v>Platinum</v>
      </c>
      <c r="H1207" s="2" t="s">
        <v>1609</v>
      </c>
      <c r="I1207" s="2" t="str">
        <f>VLOOKUP(Sales_Details2[[#This Row],[Product_ID]],Product_details[[#All],[Product_ID]:[Cost]],3,0)</f>
        <v>Electronics</v>
      </c>
      <c r="J1207" s="2" t="str">
        <f>VLOOKUP(Sales_Details2[[#This Row],[Product_ID]],Product_details[[#All],[Product_ID]:[Cost]],4,0)</f>
        <v>Mobile</v>
      </c>
      <c r="K1207" s="2" t="s">
        <v>1752</v>
      </c>
      <c r="L1207" s="2" t="str">
        <f>_xlfn.XLOOKUP(Sales_Details2[[#This Row],[Store_ID]],Table2[Store_ID],Table2[Region],"Region not found")</f>
        <v>South</v>
      </c>
      <c r="M1207" s="25">
        <v>4</v>
      </c>
      <c r="N1207" s="36">
        <v>983.38</v>
      </c>
      <c r="O1207" s="29">
        <v>0.25</v>
      </c>
      <c r="P1207" s="2" t="s">
        <v>1812</v>
      </c>
      <c r="Q1207" s="36">
        <v>2950.14</v>
      </c>
    </row>
    <row r="1208" spans="1:17" x14ac:dyDescent="0.3">
      <c r="A1208" s="2" t="s">
        <v>3015</v>
      </c>
      <c r="B1208" s="14">
        <v>45252</v>
      </c>
      <c r="C1208" s="2">
        <f>YEAR(Sales_Details2[[#This Row],[Order_Date]])</f>
        <v>2023</v>
      </c>
      <c r="D1208" s="2" t="s">
        <v>746</v>
      </c>
      <c r="E1208" s="2" t="str">
        <f>VLOOKUP(Sales_Details2[[#This Row],[Customer_ID]],Customer_Details[#All],4,0)</f>
        <v>Mid-Adult</v>
      </c>
      <c r="F1208" s="2" t="str">
        <f>VLOOKUP(Sales_Details2[[#This Row],[Customer_ID]],Customer_Details[#All],5,0)</f>
        <v>Female</v>
      </c>
      <c r="G1208" s="2" t="str">
        <f>VLOOKUP(Sales_Details2[[#This Row],[Customer_ID]],Customer_Details[#All],9,0)</f>
        <v>Gold</v>
      </c>
      <c r="H1208" s="2" t="s">
        <v>1729</v>
      </c>
      <c r="I1208" s="2" t="str">
        <f>VLOOKUP(Sales_Details2[[#This Row],[Product_ID]],Product_details[[#All],[Product_ID]:[Cost]],3,0)</f>
        <v>Home</v>
      </c>
      <c r="J1208" s="2" t="str">
        <f>VLOOKUP(Sales_Details2[[#This Row],[Product_ID]],Product_details[[#All],[Product_ID]:[Cost]],4,0)</f>
        <v>Kitchen</v>
      </c>
      <c r="K1208" s="2" t="s">
        <v>1769</v>
      </c>
      <c r="L1208" s="2" t="str">
        <f>_xlfn.XLOOKUP(Sales_Details2[[#This Row],[Store_ID]],Table2[Store_ID],Table2[Region],"Region not found")</f>
        <v>South</v>
      </c>
      <c r="M1208" s="25">
        <v>1</v>
      </c>
      <c r="N1208" s="36">
        <v>955.06</v>
      </c>
      <c r="O1208" s="29">
        <v>0.14000000000000001</v>
      </c>
      <c r="P1208" s="2" t="s">
        <v>1807</v>
      </c>
      <c r="Q1208" s="36">
        <v>821.35159999999996</v>
      </c>
    </row>
    <row r="1209" spans="1:17" x14ac:dyDescent="0.3">
      <c r="A1209" s="2" t="s">
        <v>3016</v>
      </c>
      <c r="B1209" s="14">
        <v>45693</v>
      </c>
      <c r="C1209" s="2">
        <f>YEAR(Sales_Details2[[#This Row],[Order_Date]])</f>
        <v>2025</v>
      </c>
      <c r="D1209" s="2" t="s">
        <v>1092</v>
      </c>
      <c r="E1209" s="2" t="str">
        <f>VLOOKUP(Sales_Details2[[#This Row],[Customer_ID]],Customer_Details[#All],4,0)</f>
        <v>Senior</v>
      </c>
      <c r="F1209" s="2" t="str">
        <f>VLOOKUP(Sales_Details2[[#This Row],[Customer_ID]],Customer_Details[#All],5,0)</f>
        <v>Female</v>
      </c>
      <c r="G1209" s="2" t="str">
        <f>VLOOKUP(Sales_Details2[[#This Row],[Customer_ID]],Customer_Details[#All],9,0)</f>
        <v>Silver</v>
      </c>
      <c r="H1209" s="2" t="s">
        <v>1649</v>
      </c>
      <c r="I1209" s="2" t="str">
        <f>VLOOKUP(Sales_Details2[[#This Row],[Product_ID]],Product_details[[#All],[Product_ID]:[Cost]],3,0)</f>
        <v>Beauty</v>
      </c>
      <c r="J1209" s="2" t="str">
        <f>VLOOKUP(Sales_Details2[[#This Row],[Product_ID]],Product_details[[#All],[Product_ID]:[Cost]],4,0)</f>
        <v>Haircare</v>
      </c>
      <c r="K1209" s="2" t="s">
        <v>1784</v>
      </c>
      <c r="L1209" s="2" t="str">
        <f>_xlfn.XLOOKUP(Sales_Details2[[#This Row],[Store_ID]],Table2[Store_ID],Table2[Region],"Region not found")</f>
        <v>North</v>
      </c>
      <c r="M1209" s="25">
        <v>3</v>
      </c>
      <c r="N1209" s="36">
        <v>597.46</v>
      </c>
      <c r="O1209" s="29">
        <v>0.02</v>
      </c>
      <c r="P1209" s="2" t="s">
        <v>1809</v>
      </c>
      <c r="Q1209" s="36">
        <v>1756.5324000000001</v>
      </c>
    </row>
    <row r="1210" spans="1:17" x14ac:dyDescent="0.3">
      <c r="A1210" s="2" t="s">
        <v>3017</v>
      </c>
      <c r="B1210" s="14">
        <v>45446</v>
      </c>
      <c r="C1210" s="2">
        <f>YEAR(Sales_Details2[[#This Row],[Order_Date]])</f>
        <v>2024</v>
      </c>
      <c r="D1210" s="2" t="s">
        <v>989</v>
      </c>
      <c r="E1210" s="2" t="str">
        <f>VLOOKUP(Sales_Details2[[#This Row],[Customer_ID]],Customer_Details[#All],4,0)</f>
        <v>Senior</v>
      </c>
      <c r="F1210" s="2" t="str">
        <f>VLOOKUP(Sales_Details2[[#This Row],[Customer_ID]],Customer_Details[#All],5,0)</f>
        <v>Female</v>
      </c>
      <c r="G1210" s="2" t="str">
        <f>VLOOKUP(Sales_Details2[[#This Row],[Customer_ID]],Customer_Details[#All],9,0)</f>
        <v>Gold</v>
      </c>
      <c r="H1210" s="2" t="s">
        <v>1545</v>
      </c>
      <c r="I1210" s="2" t="str">
        <f>VLOOKUP(Sales_Details2[[#This Row],[Product_ID]],Product_details[[#All],[Product_ID]:[Cost]],3,0)</f>
        <v>Electronics</v>
      </c>
      <c r="J1210" s="2" t="str">
        <f>VLOOKUP(Sales_Details2[[#This Row],[Product_ID]],Product_details[[#All],[Product_ID]:[Cost]],4,0)</f>
        <v>Audio</v>
      </c>
      <c r="K1210" s="2" t="s">
        <v>1787</v>
      </c>
      <c r="L1210" s="2" t="str">
        <f>_xlfn.XLOOKUP(Sales_Details2[[#This Row],[Store_ID]],Table2[Store_ID],Table2[Region],"Region not found")</f>
        <v>West</v>
      </c>
      <c r="M1210" s="25">
        <v>3</v>
      </c>
      <c r="N1210" s="36">
        <v>581.09</v>
      </c>
      <c r="O1210" s="29">
        <v>0.1</v>
      </c>
      <c r="P1210" s="2" t="s">
        <v>1812</v>
      </c>
      <c r="Q1210" s="36">
        <v>1568.943</v>
      </c>
    </row>
    <row r="1211" spans="1:17" x14ac:dyDescent="0.3">
      <c r="A1211" s="2" t="s">
        <v>3018</v>
      </c>
      <c r="B1211" s="14">
        <v>45862</v>
      </c>
      <c r="C1211" s="2">
        <f>YEAR(Sales_Details2[[#This Row],[Order_Date]])</f>
        <v>2025</v>
      </c>
      <c r="D1211" s="2" t="s">
        <v>202</v>
      </c>
      <c r="E1211" s="2" t="str">
        <f>VLOOKUP(Sales_Details2[[#This Row],[Customer_ID]],Customer_Details[#All],4,0)</f>
        <v>Adult</v>
      </c>
      <c r="F1211" s="2" t="str">
        <f>VLOOKUP(Sales_Details2[[#This Row],[Customer_ID]],Customer_Details[#All],5,0)</f>
        <v>Male</v>
      </c>
      <c r="G1211" s="2" t="str">
        <f>VLOOKUP(Sales_Details2[[#This Row],[Customer_ID]],Customer_Details[#All],9,0)</f>
        <v>Platinum</v>
      </c>
      <c r="H1211" s="2" t="s">
        <v>1591</v>
      </c>
      <c r="I1211" s="2" t="str">
        <f>VLOOKUP(Sales_Details2[[#This Row],[Product_ID]],Product_details[[#All],[Product_ID]:[Cost]],3,0)</f>
        <v>Home</v>
      </c>
      <c r="J1211" s="2" t="str">
        <f>VLOOKUP(Sales_Details2[[#This Row],[Product_ID]],Product_details[[#All],[Product_ID]:[Cost]],4,0)</f>
        <v>Kitchen</v>
      </c>
      <c r="K1211" s="2" t="s">
        <v>1752</v>
      </c>
      <c r="L1211" s="2" t="str">
        <f>_xlfn.XLOOKUP(Sales_Details2[[#This Row],[Store_ID]],Table2[Store_ID],Table2[Region],"Region not found")</f>
        <v>South</v>
      </c>
      <c r="M1211" s="25">
        <v>4</v>
      </c>
      <c r="N1211" s="36">
        <v>153.94999999999999</v>
      </c>
      <c r="O1211" s="29">
        <v>0.11</v>
      </c>
      <c r="P1211" s="2" t="s">
        <v>1809</v>
      </c>
      <c r="Q1211" s="36">
        <v>548.06200000000001</v>
      </c>
    </row>
    <row r="1212" spans="1:17" x14ac:dyDescent="0.3">
      <c r="A1212" s="2" t="s">
        <v>3019</v>
      </c>
      <c r="B1212" s="14">
        <v>45530</v>
      </c>
      <c r="C1212" s="2">
        <f>YEAR(Sales_Details2[[#This Row],[Order_Date]])</f>
        <v>2024</v>
      </c>
      <c r="D1212" s="2" t="s">
        <v>292</v>
      </c>
      <c r="E1212" s="2" t="str">
        <f>VLOOKUP(Sales_Details2[[#This Row],[Customer_ID]],Customer_Details[#All],4,0)</f>
        <v>Mid-Adult</v>
      </c>
      <c r="F1212" s="2" t="str">
        <f>VLOOKUP(Sales_Details2[[#This Row],[Customer_ID]],Customer_Details[#All],5,0)</f>
        <v>Female</v>
      </c>
      <c r="G1212" s="2" t="str">
        <f>VLOOKUP(Sales_Details2[[#This Row],[Customer_ID]],Customer_Details[#All],9,0)</f>
        <v>Platinum</v>
      </c>
      <c r="H1212" s="2" t="s">
        <v>1603</v>
      </c>
      <c r="I1212" s="2" t="str">
        <f>VLOOKUP(Sales_Details2[[#This Row],[Product_ID]],Product_details[[#All],[Product_ID]:[Cost]],3,0)</f>
        <v>Clothing</v>
      </c>
      <c r="J1212" s="2" t="str">
        <f>VLOOKUP(Sales_Details2[[#This Row],[Product_ID]],Product_details[[#All],[Product_ID]:[Cost]],4,0)</f>
        <v>Tops</v>
      </c>
      <c r="K1212" s="2" t="s">
        <v>1765</v>
      </c>
      <c r="L1212" s="2" t="str">
        <f>_xlfn.XLOOKUP(Sales_Details2[[#This Row],[Store_ID]],Table2[Store_ID],Table2[Region],"Region not found")</f>
        <v>West</v>
      </c>
      <c r="M1212" s="25">
        <v>4</v>
      </c>
      <c r="N1212" s="36">
        <v>271.04000000000002</v>
      </c>
      <c r="O1212" s="29">
        <v>0.12</v>
      </c>
      <c r="P1212" s="2" t="s">
        <v>1812</v>
      </c>
      <c r="Q1212" s="36">
        <v>954.06080000000009</v>
      </c>
    </row>
    <row r="1213" spans="1:17" x14ac:dyDescent="0.3">
      <c r="A1213" s="2" t="s">
        <v>3020</v>
      </c>
      <c r="B1213" s="14">
        <v>45558</v>
      </c>
      <c r="C1213" s="2">
        <f>YEAR(Sales_Details2[[#This Row],[Order_Date]])</f>
        <v>2024</v>
      </c>
      <c r="D1213" s="2" t="s">
        <v>71</v>
      </c>
      <c r="E1213" s="2" t="str">
        <f>VLOOKUP(Sales_Details2[[#This Row],[Customer_ID]],Customer_Details[#All],4,0)</f>
        <v>Mid-Adult</v>
      </c>
      <c r="F1213" s="2" t="str">
        <f>VLOOKUP(Sales_Details2[[#This Row],[Customer_ID]],Customer_Details[#All],5,0)</f>
        <v>Female</v>
      </c>
      <c r="G1213" s="2" t="str">
        <f>VLOOKUP(Sales_Details2[[#This Row],[Customer_ID]],Customer_Details[#All],9,0)</f>
        <v>Platinum</v>
      </c>
      <c r="H1213" s="2" t="s">
        <v>1601</v>
      </c>
      <c r="I1213" s="2" t="str">
        <f>VLOOKUP(Sales_Details2[[#This Row],[Product_ID]],Product_details[[#All],[Product_ID]:[Cost]],3,0)</f>
        <v>Home</v>
      </c>
      <c r="J1213" s="2" t="str">
        <f>VLOOKUP(Sales_Details2[[#This Row],[Product_ID]],Product_details[[#All],[Product_ID]:[Cost]],4,0)</f>
        <v>Lighting</v>
      </c>
      <c r="K1213" s="2" t="s">
        <v>1759</v>
      </c>
      <c r="L1213" s="2" t="str">
        <f>_xlfn.XLOOKUP(Sales_Details2[[#This Row],[Store_ID]],Table2[Store_ID],Table2[Region],"Region not found")</f>
        <v>East</v>
      </c>
      <c r="M1213" s="25">
        <v>4</v>
      </c>
      <c r="N1213" s="36">
        <v>328.27</v>
      </c>
      <c r="O1213" s="29">
        <v>0.09</v>
      </c>
      <c r="P1213" s="2" t="s">
        <v>1809</v>
      </c>
      <c r="Q1213" s="36">
        <v>1194.9028000000001</v>
      </c>
    </row>
    <row r="1214" spans="1:17" x14ac:dyDescent="0.3">
      <c r="A1214" s="2" t="s">
        <v>3021</v>
      </c>
      <c r="B1214" s="14">
        <v>45472</v>
      </c>
      <c r="C1214" s="2">
        <f>YEAR(Sales_Details2[[#This Row],[Order_Date]])</f>
        <v>2024</v>
      </c>
      <c r="D1214" s="2" t="s">
        <v>1501</v>
      </c>
      <c r="E1214" s="2" t="str">
        <f>VLOOKUP(Sales_Details2[[#This Row],[Customer_ID]],Customer_Details[#All],4,0)</f>
        <v>Adult</v>
      </c>
      <c r="F1214" s="2" t="str">
        <f>VLOOKUP(Sales_Details2[[#This Row],[Customer_ID]],Customer_Details[#All],5,0)</f>
        <v>Male</v>
      </c>
      <c r="G1214" s="2" t="str">
        <f>VLOOKUP(Sales_Details2[[#This Row],[Customer_ID]],Customer_Details[#All],9,0)</f>
        <v>Gold</v>
      </c>
      <c r="H1214" s="2" t="s">
        <v>1565</v>
      </c>
      <c r="I1214" s="2" t="str">
        <f>VLOOKUP(Sales_Details2[[#This Row],[Product_ID]],Product_details[[#All],[Product_ID]:[Cost]],3,0)</f>
        <v>Sports</v>
      </c>
      <c r="J1214" s="2" t="str">
        <f>VLOOKUP(Sales_Details2[[#This Row],[Product_ID]],Product_details[[#All],[Product_ID]:[Cost]],4,0)</f>
        <v>Accessories</v>
      </c>
      <c r="K1214" s="2" t="s">
        <v>1782</v>
      </c>
      <c r="L1214" s="2" t="str">
        <f>_xlfn.XLOOKUP(Sales_Details2[[#This Row],[Store_ID]],Table2[Store_ID],Table2[Region],"Region not found")</f>
        <v>South</v>
      </c>
      <c r="M1214" s="25">
        <v>4</v>
      </c>
      <c r="N1214" s="36">
        <v>884.71</v>
      </c>
      <c r="O1214" s="29">
        <v>0.09</v>
      </c>
      <c r="P1214" s="2" t="s">
        <v>1809</v>
      </c>
      <c r="Q1214" s="36">
        <v>3220.3444</v>
      </c>
    </row>
    <row r="1215" spans="1:17" x14ac:dyDescent="0.3">
      <c r="A1215" s="2" t="s">
        <v>3022</v>
      </c>
      <c r="B1215" s="14">
        <v>45809</v>
      </c>
      <c r="C1215" s="2">
        <f>YEAR(Sales_Details2[[#This Row],[Order_Date]])</f>
        <v>2025</v>
      </c>
      <c r="D1215" s="2" t="s">
        <v>791</v>
      </c>
      <c r="E1215" s="2" t="str">
        <f>VLOOKUP(Sales_Details2[[#This Row],[Customer_ID]],Customer_Details[#All],4,0)</f>
        <v>Mid-Adult</v>
      </c>
      <c r="F1215" s="2" t="str">
        <f>VLOOKUP(Sales_Details2[[#This Row],[Customer_ID]],Customer_Details[#All],5,0)</f>
        <v>Female</v>
      </c>
      <c r="G1215" s="2" t="str">
        <f>VLOOKUP(Sales_Details2[[#This Row],[Customer_ID]],Customer_Details[#All],9,0)</f>
        <v>Gold</v>
      </c>
      <c r="H1215" s="2" t="s">
        <v>1675</v>
      </c>
      <c r="I1215" s="2" t="str">
        <f>VLOOKUP(Sales_Details2[[#This Row],[Product_ID]],Product_details[[#All],[Product_ID]:[Cost]],3,0)</f>
        <v>Sports</v>
      </c>
      <c r="J1215" s="2" t="str">
        <f>VLOOKUP(Sales_Details2[[#This Row],[Product_ID]],Product_details[[#All],[Product_ID]:[Cost]],4,0)</f>
        <v>Fitness</v>
      </c>
      <c r="K1215" s="2" t="s">
        <v>1752</v>
      </c>
      <c r="L1215" s="2" t="str">
        <f>_xlfn.XLOOKUP(Sales_Details2[[#This Row],[Store_ID]],Table2[Store_ID],Table2[Region],"Region not found")</f>
        <v>South</v>
      </c>
      <c r="M1215" s="25">
        <v>1</v>
      </c>
      <c r="N1215" s="36">
        <v>41.39</v>
      </c>
      <c r="O1215" s="29">
        <v>0.01</v>
      </c>
      <c r="P1215" s="2" t="s">
        <v>1807</v>
      </c>
      <c r="Q1215" s="36">
        <v>40.976100000000002</v>
      </c>
    </row>
    <row r="1216" spans="1:17" x14ac:dyDescent="0.3">
      <c r="A1216" s="2" t="s">
        <v>3023</v>
      </c>
      <c r="B1216" s="14">
        <v>45783</v>
      </c>
      <c r="C1216" s="2">
        <f>YEAR(Sales_Details2[[#This Row],[Order_Date]])</f>
        <v>2025</v>
      </c>
      <c r="D1216" s="2" t="s">
        <v>545</v>
      </c>
      <c r="E1216" s="2" t="str">
        <f>VLOOKUP(Sales_Details2[[#This Row],[Customer_ID]],Customer_Details[#All],4,0)</f>
        <v>Mid-Adult</v>
      </c>
      <c r="F1216" s="2" t="str">
        <f>VLOOKUP(Sales_Details2[[#This Row],[Customer_ID]],Customer_Details[#All],5,0)</f>
        <v>Female</v>
      </c>
      <c r="G1216" s="2" t="str">
        <f>VLOOKUP(Sales_Details2[[#This Row],[Customer_ID]],Customer_Details[#All],9,0)</f>
        <v>Platinum</v>
      </c>
      <c r="H1216" s="2" t="s">
        <v>1645</v>
      </c>
      <c r="I1216" s="2" t="str">
        <f>VLOOKUP(Sales_Details2[[#This Row],[Product_ID]],Product_details[[#All],[Product_ID]:[Cost]],3,0)</f>
        <v>Sports</v>
      </c>
      <c r="J1216" s="2" t="str">
        <f>VLOOKUP(Sales_Details2[[#This Row],[Product_ID]],Product_details[[#All],[Product_ID]:[Cost]],4,0)</f>
        <v>Fitness</v>
      </c>
      <c r="K1216" s="2" t="s">
        <v>1769</v>
      </c>
      <c r="L1216" s="2" t="str">
        <f>_xlfn.XLOOKUP(Sales_Details2[[#This Row],[Store_ID]],Table2[Store_ID],Table2[Region],"Region not found")</f>
        <v>South</v>
      </c>
      <c r="M1216" s="25">
        <v>4</v>
      </c>
      <c r="N1216" s="36">
        <v>64.06</v>
      </c>
      <c r="O1216" s="29">
        <v>0.26</v>
      </c>
      <c r="P1216" s="2" t="s">
        <v>1807</v>
      </c>
      <c r="Q1216" s="36">
        <v>189.61760000000001</v>
      </c>
    </row>
    <row r="1217" spans="1:17" x14ac:dyDescent="0.3">
      <c r="A1217" s="2" t="s">
        <v>3024</v>
      </c>
      <c r="B1217" s="14">
        <v>45849</v>
      </c>
      <c r="C1217" s="2">
        <f>YEAR(Sales_Details2[[#This Row],[Order_Date]])</f>
        <v>2025</v>
      </c>
      <c r="D1217" s="2" t="s">
        <v>1075</v>
      </c>
      <c r="E1217" s="2" t="str">
        <f>VLOOKUP(Sales_Details2[[#This Row],[Customer_ID]],Customer_Details[#All],4,0)</f>
        <v>Senior</v>
      </c>
      <c r="F1217" s="2" t="str">
        <f>VLOOKUP(Sales_Details2[[#This Row],[Customer_ID]],Customer_Details[#All],5,0)</f>
        <v>Female</v>
      </c>
      <c r="G1217" s="2" t="str">
        <f>VLOOKUP(Sales_Details2[[#This Row],[Customer_ID]],Customer_Details[#All],9,0)</f>
        <v>Platinum</v>
      </c>
      <c r="H1217" s="2" t="s">
        <v>1623</v>
      </c>
      <c r="I1217" s="2" t="str">
        <f>VLOOKUP(Sales_Details2[[#This Row],[Product_ID]],Product_details[[#All],[Product_ID]:[Cost]],3,0)</f>
        <v>Clothing</v>
      </c>
      <c r="J1217" s="2" t="str">
        <f>VLOOKUP(Sales_Details2[[#This Row],[Product_ID]],Product_details[[#All],[Product_ID]:[Cost]],4,0)</f>
        <v>Outerwear</v>
      </c>
      <c r="K1217" s="2" t="s">
        <v>1769</v>
      </c>
      <c r="L1217" s="2" t="str">
        <f>_xlfn.XLOOKUP(Sales_Details2[[#This Row],[Store_ID]],Table2[Store_ID],Table2[Region],"Region not found")</f>
        <v>South</v>
      </c>
      <c r="M1217" s="25">
        <v>2</v>
      </c>
      <c r="N1217" s="36">
        <v>152.25</v>
      </c>
      <c r="O1217" s="29">
        <v>0.13</v>
      </c>
      <c r="P1217" s="2" t="s">
        <v>1807</v>
      </c>
      <c r="Q1217" s="36">
        <v>264.91500000000002</v>
      </c>
    </row>
    <row r="1218" spans="1:17" x14ac:dyDescent="0.3">
      <c r="A1218" s="2" t="s">
        <v>3025</v>
      </c>
      <c r="B1218" s="14">
        <v>45281</v>
      </c>
      <c r="C1218" s="2">
        <f>YEAR(Sales_Details2[[#This Row],[Order_Date]])</f>
        <v>2023</v>
      </c>
      <c r="D1218" s="2" t="s">
        <v>351</v>
      </c>
      <c r="E1218" s="2" t="str">
        <f>VLOOKUP(Sales_Details2[[#This Row],[Customer_ID]],Customer_Details[#All],4,0)</f>
        <v>Senior</v>
      </c>
      <c r="F1218" s="2" t="str">
        <f>VLOOKUP(Sales_Details2[[#This Row],[Customer_ID]],Customer_Details[#All],5,0)</f>
        <v>Female</v>
      </c>
      <c r="G1218" s="2" t="str">
        <f>VLOOKUP(Sales_Details2[[#This Row],[Customer_ID]],Customer_Details[#All],9,0)</f>
        <v>Platinum</v>
      </c>
      <c r="H1218" s="2" t="s">
        <v>1557</v>
      </c>
      <c r="I1218" s="2" t="str">
        <f>VLOOKUP(Sales_Details2[[#This Row],[Product_ID]],Product_details[[#All],[Product_ID]:[Cost]],3,0)</f>
        <v>Electronics</v>
      </c>
      <c r="J1218" s="2" t="str">
        <f>VLOOKUP(Sales_Details2[[#This Row],[Product_ID]],Product_details[[#All],[Product_ID]:[Cost]],4,0)</f>
        <v>Accessories</v>
      </c>
      <c r="K1218" s="2" t="s">
        <v>1796</v>
      </c>
      <c r="L1218" s="2" t="str">
        <f>_xlfn.XLOOKUP(Sales_Details2[[#This Row],[Store_ID]],Table2[Store_ID],Table2[Region],"Region not found")</f>
        <v>East</v>
      </c>
      <c r="M1218" s="25">
        <v>2</v>
      </c>
      <c r="N1218" s="36">
        <v>889.04</v>
      </c>
      <c r="O1218" s="29">
        <v>0.23</v>
      </c>
      <c r="P1218" s="2" t="s">
        <v>1807</v>
      </c>
      <c r="Q1218" s="36">
        <v>1369.1215999999999</v>
      </c>
    </row>
    <row r="1219" spans="1:17" x14ac:dyDescent="0.3">
      <c r="A1219" s="2" t="s">
        <v>3026</v>
      </c>
      <c r="B1219" s="14">
        <v>45322</v>
      </c>
      <c r="C1219" s="2">
        <f>YEAR(Sales_Details2[[#This Row],[Order_Date]])</f>
        <v>2024</v>
      </c>
      <c r="D1219" s="2" t="s">
        <v>533</v>
      </c>
      <c r="E1219" s="2" t="str">
        <f>VLOOKUP(Sales_Details2[[#This Row],[Customer_ID]],Customer_Details[#All],4,0)</f>
        <v>Adult</v>
      </c>
      <c r="F1219" s="2" t="str">
        <f>VLOOKUP(Sales_Details2[[#This Row],[Customer_ID]],Customer_Details[#All],5,0)</f>
        <v>Female</v>
      </c>
      <c r="G1219" s="2" t="str">
        <f>VLOOKUP(Sales_Details2[[#This Row],[Customer_ID]],Customer_Details[#All],9,0)</f>
        <v>Silver</v>
      </c>
      <c r="H1219" s="2" t="s">
        <v>1605</v>
      </c>
      <c r="I1219" s="2" t="str">
        <f>VLOOKUP(Sales_Details2[[#This Row],[Product_ID]],Product_details[[#All],[Product_ID]:[Cost]],3,0)</f>
        <v>Clothing</v>
      </c>
      <c r="J1219" s="2" t="str">
        <f>VLOOKUP(Sales_Details2[[#This Row],[Product_ID]],Product_details[[#All],[Product_ID]:[Cost]],4,0)</f>
        <v>Footwear</v>
      </c>
      <c r="K1219" s="2" t="s">
        <v>1772</v>
      </c>
      <c r="L1219" s="2" t="str">
        <f>_xlfn.XLOOKUP(Sales_Details2[[#This Row],[Store_ID]],Table2[Store_ID],Table2[Region],"Region not found")</f>
        <v>East</v>
      </c>
      <c r="M1219" s="25">
        <v>3</v>
      </c>
      <c r="N1219" s="36">
        <v>145.25</v>
      </c>
      <c r="O1219" s="29">
        <v>0.24</v>
      </c>
      <c r="P1219" s="2" t="s">
        <v>1809</v>
      </c>
      <c r="Q1219" s="36">
        <v>331.17</v>
      </c>
    </row>
    <row r="1220" spans="1:17" x14ac:dyDescent="0.3">
      <c r="A1220" s="2" t="s">
        <v>3027</v>
      </c>
      <c r="B1220" s="14">
        <v>45560</v>
      </c>
      <c r="C1220" s="2">
        <f>YEAR(Sales_Details2[[#This Row],[Order_Date]])</f>
        <v>2024</v>
      </c>
      <c r="D1220" s="2" t="s">
        <v>208</v>
      </c>
      <c r="E1220" s="2" t="str">
        <f>VLOOKUP(Sales_Details2[[#This Row],[Customer_ID]],Customer_Details[#All],4,0)</f>
        <v>Mid-Adult</v>
      </c>
      <c r="F1220" s="2" t="str">
        <f>VLOOKUP(Sales_Details2[[#This Row],[Customer_ID]],Customer_Details[#All],5,0)</f>
        <v>Female</v>
      </c>
      <c r="G1220" s="2" t="str">
        <f>VLOOKUP(Sales_Details2[[#This Row],[Customer_ID]],Customer_Details[#All],9,0)</f>
        <v>Gold</v>
      </c>
      <c r="H1220" s="2" t="s">
        <v>1707</v>
      </c>
      <c r="I1220" s="2" t="str">
        <f>VLOOKUP(Sales_Details2[[#This Row],[Product_ID]],Product_details[[#All],[Product_ID]:[Cost]],3,0)</f>
        <v>Sports</v>
      </c>
      <c r="J1220" s="2" t="str">
        <f>VLOOKUP(Sales_Details2[[#This Row],[Product_ID]],Product_details[[#All],[Product_ID]:[Cost]],4,0)</f>
        <v>Accessories</v>
      </c>
      <c r="K1220" s="2" t="s">
        <v>1744</v>
      </c>
      <c r="L1220" s="2" t="str">
        <f>_xlfn.XLOOKUP(Sales_Details2[[#This Row],[Store_ID]],Table2[Store_ID],Table2[Region],"Region not found")</f>
        <v>South</v>
      </c>
      <c r="M1220" s="25">
        <v>2</v>
      </c>
      <c r="N1220" s="36">
        <v>898.45</v>
      </c>
      <c r="O1220" s="29">
        <v>0.28999999999999998</v>
      </c>
      <c r="P1220" s="2" t="s">
        <v>1812</v>
      </c>
      <c r="Q1220" s="36">
        <v>1275.799</v>
      </c>
    </row>
    <row r="1221" spans="1:17" x14ac:dyDescent="0.3">
      <c r="A1221" s="2" t="s">
        <v>3028</v>
      </c>
      <c r="B1221" s="14">
        <v>45905</v>
      </c>
      <c r="C1221" s="2">
        <f>YEAR(Sales_Details2[[#This Row],[Order_Date]])</f>
        <v>2025</v>
      </c>
      <c r="D1221" s="2" t="s">
        <v>124</v>
      </c>
      <c r="E1221" s="2" t="str">
        <f>VLOOKUP(Sales_Details2[[#This Row],[Customer_ID]],Customer_Details[#All],4,0)</f>
        <v>Senior</v>
      </c>
      <c r="F1221" s="2" t="str">
        <f>VLOOKUP(Sales_Details2[[#This Row],[Customer_ID]],Customer_Details[#All],5,0)</f>
        <v>Female</v>
      </c>
      <c r="G1221" s="2" t="str">
        <f>VLOOKUP(Sales_Details2[[#This Row],[Customer_ID]],Customer_Details[#All],9,0)</f>
        <v>Bronze</v>
      </c>
      <c r="H1221" s="2" t="s">
        <v>1601</v>
      </c>
      <c r="I1221" s="2" t="str">
        <f>VLOOKUP(Sales_Details2[[#This Row],[Product_ID]],Product_details[[#All],[Product_ID]:[Cost]],3,0)</f>
        <v>Home</v>
      </c>
      <c r="J1221" s="2" t="str">
        <f>VLOOKUP(Sales_Details2[[#This Row],[Product_ID]],Product_details[[#All],[Product_ID]:[Cost]],4,0)</f>
        <v>Lighting</v>
      </c>
      <c r="K1221" s="2" t="s">
        <v>1784</v>
      </c>
      <c r="L1221" s="2" t="str">
        <f>_xlfn.XLOOKUP(Sales_Details2[[#This Row],[Store_ID]],Table2[Store_ID],Table2[Region],"Region not found")</f>
        <v>North</v>
      </c>
      <c r="M1221" s="25">
        <v>4</v>
      </c>
      <c r="N1221" s="36">
        <v>642.04999999999995</v>
      </c>
      <c r="O1221" s="29">
        <v>0.25</v>
      </c>
      <c r="P1221" s="2" t="s">
        <v>1807</v>
      </c>
      <c r="Q1221" s="36">
        <v>1926.15</v>
      </c>
    </row>
    <row r="1222" spans="1:17" x14ac:dyDescent="0.3">
      <c r="A1222" s="2" t="s">
        <v>3029</v>
      </c>
      <c r="B1222" s="14">
        <v>45531</v>
      </c>
      <c r="C1222" s="2">
        <f>YEAR(Sales_Details2[[#This Row],[Order_Date]])</f>
        <v>2024</v>
      </c>
      <c r="D1222" s="2" t="s">
        <v>977</v>
      </c>
      <c r="E1222" s="2" t="str">
        <f>VLOOKUP(Sales_Details2[[#This Row],[Customer_ID]],Customer_Details[#All],4,0)</f>
        <v>Senior</v>
      </c>
      <c r="F1222" s="2" t="str">
        <f>VLOOKUP(Sales_Details2[[#This Row],[Customer_ID]],Customer_Details[#All],5,0)</f>
        <v>Male</v>
      </c>
      <c r="G1222" s="2" t="str">
        <f>VLOOKUP(Sales_Details2[[#This Row],[Customer_ID]],Customer_Details[#All],9,0)</f>
        <v>Platinum</v>
      </c>
      <c r="H1222" s="2" t="s">
        <v>1699</v>
      </c>
      <c r="I1222" s="2" t="str">
        <f>VLOOKUP(Sales_Details2[[#This Row],[Product_ID]],Product_details[[#All],[Product_ID]:[Cost]],3,0)</f>
        <v>Home</v>
      </c>
      <c r="J1222" s="2" t="str">
        <f>VLOOKUP(Sales_Details2[[#This Row],[Product_ID]],Product_details[[#All],[Product_ID]:[Cost]],4,0)</f>
        <v>Furniture</v>
      </c>
      <c r="K1222" s="2" t="s">
        <v>1762</v>
      </c>
      <c r="L1222" s="2" t="str">
        <f>_xlfn.XLOOKUP(Sales_Details2[[#This Row],[Store_ID]],Table2[Store_ID],Table2[Region],"Region not found")</f>
        <v>South</v>
      </c>
      <c r="M1222" s="25">
        <v>4</v>
      </c>
      <c r="N1222" s="36">
        <v>450.83</v>
      </c>
      <c r="O1222" s="29">
        <v>0.24</v>
      </c>
      <c r="P1222" s="2" t="s">
        <v>1807</v>
      </c>
      <c r="Q1222" s="36">
        <v>1370.5232000000001</v>
      </c>
    </row>
    <row r="1223" spans="1:17" x14ac:dyDescent="0.3">
      <c r="A1223" s="2" t="s">
        <v>3030</v>
      </c>
      <c r="B1223" s="14">
        <v>45216</v>
      </c>
      <c r="C1223" s="2">
        <f>YEAR(Sales_Details2[[#This Row],[Order_Date]])</f>
        <v>2023</v>
      </c>
      <c r="D1223" s="2" t="s">
        <v>52</v>
      </c>
      <c r="E1223" s="2" t="str">
        <f>VLOOKUP(Sales_Details2[[#This Row],[Customer_ID]],Customer_Details[#All],4,0)</f>
        <v>Senior</v>
      </c>
      <c r="F1223" s="2" t="str">
        <f>VLOOKUP(Sales_Details2[[#This Row],[Customer_ID]],Customer_Details[#All],5,0)</f>
        <v>Male</v>
      </c>
      <c r="G1223" s="2" t="str">
        <f>VLOOKUP(Sales_Details2[[#This Row],[Customer_ID]],Customer_Details[#All],9,0)</f>
        <v>Bronze</v>
      </c>
      <c r="H1223" s="2" t="s">
        <v>1635</v>
      </c>
      <c r="I1223" s="2" t="str">
        <f>VLOOKUP(Sales_Details2[[#This Row],[Product_ID]],Product_details[[#All],[Product_ID]:[Cost]],3,0)</f>
        <v>Sports</v>
      </c>
      <c r="J1223" s="2" t="str">
        <f>VLOOKUP(Sales_Details2[[#This Row],[Product_ID]],Product_details[[#All],[Product_ID]:[Cost]],4,0)</f>
        <v>Team Sports</v>
      </c>
      <c r="K1223" s="2" t="s">
        <v>1796</v>
      </c>
      <c r="L1223" s="2" t="str">
        <f>_xlfn.XLOOKUP(Sales_Details2[[#This Row],[Store_ID]],Table2[Store_ID],Table2[Region],"Region not found")</f>
        <v>East</v>
      </c>
      <c r="M1223" s="25">
        <v>2</v>
      </c>
      <c r="N1223" s="36">
        <v>441.03</v>
      </c>
      <c r="O1223" s="29">
        <v>0.23</v>
      </c>
      <c r="P1223" s="2" t="s">
        <v>1812</v>
      </c>
      <c r="Q1223" s="36">
        <v>679.18619999999999</v>
      </c>
    </row>
    <row r="1224" spans="1:17" x14ac:dyDescent="0.3">
      <c r="A1224" s="2" t="s">
        <v>3031</v>
      </c>
      <c r="B1224" s="14">
        <v>45384</v>
      </c>
      <c r="C1224" s="2">
        <f>YEAR(Sales_Details2[[#This Row],[Order_Date]])</f>
        <v>2024</v>
      </c>
      <c r="D1224" s="2" t="s">
        <v>295</v>
      </c>
      <c r="E1224" s="2" t="str">
        <f>VLOOKUP(Sales_Details2[[#This Row],[Customer_ID]],Customer_Details[#All],4,0)</f>
        <v>Senior</v>
      </c>
      <c r="F1224" s="2" t="str">
        <f>VLOOKUP(Sales_Details2[[#This Row],[Customer_ID]],Customer_Details[#All],5,0)</f>
        <v>Male</v>
      </c>
      <c r="G1224" s="2" t="str">
        <f>VLOOKUP(Sales_Details2[[#This Row],[Customer_ID]],Customer_Details[#All],9,0)</f>
        <v>Bronze</v>
      </c>
      <c r="H1224" s="2" t="s">
        <v>1581</v>
      </c>
      <c r="I1224" s="2" t="str">
        <f>VLOOKUP(Sales_Details2[[#This Row],[Product_ID]],Product_details[[#All],[Product_ID]:[Cost]],3,0)</f>
        <v>Clothing</v>
      </c>
      <c r="J1224" s="2" t="str">
        <f>VLOOKUP(Sales_Details2[[#This Row],[Product_ID]],Product_details[[#All],[Product_ID]:[Cost]],4,0)</f>
        <v>Accessories</v>
      </c>
      <c r="K1224" s="2" t="s">
        <v>1744</v>
      </c>
      <c r="L1224" s="2" t="str">
        <f>_xlfn.XLOOKUP(Sales_Details2[[#This Row],[Store_ID]],Table2[Store_ID],Table2[Region],"Region not found")</f>
        <v>South</v>
      </c>
      <c r="M1224" s="25">
        <v>3</v>
      </c>
      <c r="N1224" s="36">
        <v>377.69</v>
      </c>
      <c r="O1224" s="29">
        <v>7.0000000000000007E-2</v>
      </c>
      <c r="P1224" s="2" t="s">
        <v>1809</v>
      </c>
      <c r="Q1224" s="36">
        <v>1053.7551000000001</v>
      </c>
    </row>
    <row r="1225" spans="1:17" x14ac:dyDescent="0.3">
      <c r="A1225" s="2" t="s">
        <v>3032</v>
      </c>
      <c r="B1225" s="14">
        <v>45416</v>
      </c>
      <c r="C1225" s="2">
        <f>YEAR(Sales_Details2[[#This Row],[Order_Date]])</f>
        <v>2024</v>
      </c>
      <c r="D1225" s="2" t="s">
        <v>530</v>
      </c>
      <c r="E1225" s="2" t="str">
        <f>VLOOKUP(Sales_Details2[[#This Row],[Customer_ID]],Customer_Details[#All],4,0)</f>
        <v>Mid-Adult</v>
      </c>
      <c r="F1225" s="2" t="str">
        <f>VLOOKUP(Sales_Details2[[#This Row],[Customer_ID]],Customer_Details[#All],5,0)</f>
        <v>Female</v>
      </c>
      <c r="G1225" s="2" t="str">
        <f>VLOOKUP(Sales_Details2[[#This Row],[Customer_ID]],Customer_Details[#All],9,0)</f>
        <v>Platinum</v>
      </c>
      <c r="H1225" s="2" t="s">
        <v>1551</v>
      </c>
      <c r="I1225" s="2" t="str">
        <f>VLOOKUP(Sales_Details2[[#This Row],[Product_ID]],Product_details[[#All],[Product_ID]:[Cost]],3,0)</f>
        <v>Home</v>
      </c>
      <c r="J1225" s="2" t="str">
        <f>VLOOKUP(Sales_Details2[[#This Row],[Product_ID]],Product_details[[#All],[Product_ID]:[Cost]],4,0)</f>
        <v>Kitchen</v>
      </c>
      <c r="K1225" s="2" t="s">
        <v>1762</v>
      </c>
      <c r="L1225" s="2" t="str">
        <f>_xlfn.XLOOKUP(Sales_Details2[[#This Row],[Store_ID]],Table2[Store_ID],Table2[Region],"Region not found")</f>
        <v>South</v>
      </c>
      <c r="M1225" s="25">
        <v>1</v>
      </c>
      <c r="N1225" s="36">
        <v>457.33</v>
      </c>
      <c r="O1225" s="29">
        <v>0.27</v>
      </c>
      <c r="P1225" s="2" t="s">
        <v>1807</v>
      </c>
      <c r="Q1225" s="36">
        <v>333.85090000000002</v>
      </c>
    </row>
    <row r="1226" spans="1:17" x14ac:dyDescent="0.3">
      <c r="A1226" s="2" t="s">
        <v>3033</v>
      </c>
      <c r="B1226" s="14">
        <v>45880</v>
      </c>
      <c r="C1226" s="2">
        <f>YEAR(Sales_Details2[[#This Row],[Order_Date]])</f>
        <v>2025</v>
      </c>
      <c r="D1226" s="2" t="s">
        <v>776</v>
      </c>
      <c r="E1226" s="2" t="str">
        <f>VLOOKUP(Sales_Details2[[#This Row],[Customer_ID]],Customer_Details[#All],4,0)</f>
        <v>Adult</v>
      </c>
      <c r="F1226" s="2" t="str">
        <f>VLOOKUP(Sales_Details2[[#This Row],[Customer_ID]],Customer_Details[#All],5,0)</f>
        <v>Male</v>
      </c>
      <c r="G1226" s="2" t="str">
        <f>VLOOKUP(Sales_Details2[[#This Row],[Customer_ID]],Customer_Details[#All],9,0)</f>
        <v>Bronze</v>
      </c>
      <c r="H1226" s="2" t="s">
        <v>1683</v>
      </c>
      <c r="I1226" s="2" t="str">
        <f>VLOOKUP(Sales_Details2[[#This Row],[Product_ID]],Product_details[[#All],[Product_ID]:[Cost]],3,0)</f>
        <v>Electronics</v>
      </c>
      <c r="J1226" s="2" t="str">
        <f>VLOOKUP(Sales_Details2[[#This Row],[Product_ID]],Product_details[[#All],[Product_ID]:[Cost]],4,0)</f>
        <v>Computer</v>
      </c>
      <c r="K1226" s="2" t="s">
        <v>1759</v>
      </c>
      <c r="L1226" s="2" t="str">
        <f>_xlfn.XLOOKUP(Sales_Details2[[#This Row],[Store_ID]],Table2[Store_ID],Table2[Region],"Region not found")</f>
        <v>East</v>
      </c>
      <c r="M1226" s="25">
        <v>4</v>
      </c>
      <c r="N1226" s="36">
        <v>218.01</v>
      </c>
      <c r="O1226" s="29">
        <v>0.06</v>
      </c>
      <c r="P1226" s="2" t="s">
        <v>1807</v>
      </c>
      <c r="Q1226" s="36">
        <v>819.71759999999995</v>
      </c>
    </row>
    <row r="1227" spans="1:17" x14ac:dyDescent="0.3">
      <c r="A1227" s="2" t="s">
        <v>3034</v>
      </c>
      <c r="B1227" s="14">
        <v>45933</v>
      </c>
      <c r="C1227" s="2">
        <f>YEAR(Sales_Details2[[#This Row],[Order_Date]])</f>
        <v>2025</v>
      </c>
      <c r="D1227" s="2" t="s">
        <v>702</v>
      </c>
      <c r="E1227" s="2" t="str">
        <f>VLOOKUP(Sales_Details2[[#This Row],[Customer_ID]],Customer_Details[#All],4,0)</f>
        <v>Mid-Adult</v>
      </c>
      <c r="F1227" s="2" t="str">
        <f>VLOOKUP(Sales_Details2[[#This Row],[Customer_ID]],Customer_Details[#All],5,0)</f>
        <v>Male</v>
      </c>
      <c r="G1227" s="2" t="str">
        <f>VLOOKUP(Sales_Details2[[#This Row],[Customer_ID]],Customer_Details[#All],9,0)</f>
        <v>Platinum</v>
      </c>
      <c r="H1227" s="2" t="s">
        <v>1715</v>
      </c>
      <c r="I1227" s="2" t="str">
        <f>VLOOKUP(Sales_Details2[[#This Row],[Product_ID]],Product_details[[#All],[Product_ID]:[Cost]],3,0)</f>
        <v>Home</v>
      </c>
      <c r="J1227" s="2" t="str">
        <f>VLOOKUP(Sales_Details2[[#This Row],[Product_ID]],Product_details[[#All],[Product_ID]:[Cost]],4,0)</f>
        <v>Appliances</v>
      </c>
      <c r="K1227" s="2" t="s">
        <v>1793</v>
      </c>
      <c r="L1227" s="2" t="str">
        <f>_xlfn.XLOOKUP(Sales_Details2[[#This Row],[Store_ID]],Table2[Store_ID],Table2[Region],"Region not found")</f>
        <v>East</v>
      </c>
      <c r="M1227" s="25">
        <v>2</v>
      </c>
      <c r="N1227" s="36">
        <v>682.7</v>
      </c>
      <c r="O1227" s="29">
        <v>0.13</v>
      </c>
      <c r="P1227" s="2" t="s">
        <v>1807</v>
      </c>
      <c r="Q1227" s="36">
        <v>1187.8979999999999</v>
      </c>
    </row>
    <row r="1228" spans="1:17" x14ac:dyDescent="0.3">
      <c r="A1228" s="2" t="s">
        <v>3035</v>
      </c>
      <c r="B1228" s="14">
        <v>45345</v>
      </c>
      <c r="C1228" s="2">
        <f>YEAR(Sales_Details2[[#This Row],[Order_Date]])</f>
        <v>2024</v>
      </c>
      <c r="D1228" s="2" t="s">
        <v>1007</v>
      </c>
      <c r="E1228" s="2" t="str">
        <f>VLOOKUP(Sales_Details2[[#This Row],[Customer_ID]],Customer_Details[#All],4,0)</f>
        <v>Senior</v>
      </c>
      <c r="F1228" s="2" t="str">
        <f>VLOOKUP(Sales_Details2[[#This Row],[Customer_ID]],Customer_Details[#All],5,0)</f>
        <v>Female</v>
      </c>
      <c r="G1228" s="2" t="str">
        <f>VLOOKUP(Sales_Details2[[#This Row],[Customer_ID]],Customer_Details[#All],9,0)</f>
        <v>Platinum</v>
      </c>
      <c r="H1228" s="2" t="s">
        <v>1569</v>
      </c>
      <c r="I1228" s="2" t="str">
        <f>VLOOKUP(Sales_Details2[[#This Row],[Product_ID]],Product_details[[#All],[Product_ID]:[Cost]],3,0)</f>
        <v>Sports</v>
      </c>
      <c r="J1228" s="2" t="str">
        <f>VLOOKUP(Sales_Details2[[#This Row],[Product_ID]],Product_details[[#All],[Product_ID]:[Cost]],4,0)</f>
        <v>Equipment</v>
      </c>
      <c r="K1228" s="2" t="s">
        <v>1793</v>
      </c>
      <c r="L1228" s="2" t="str">
        <f>_xlfn.XLOOKUP(Sales_Details2[[#This Row],[Store_ID]],Table2[Store_ID],Table2[Region],"Region not found")</f>
        <v>East</v>
      </c>
      <c r="M1228" s="25">
        <v>3</v>
      </c>
      <c r="N1228" s="36">
        <v>726.97</v>
      </c>
      <c r="O1228" s="29">
        <v>0.04</v>
      </c>
      <c r="P1228" s="2" t="s">
        <v>1809</v>
      </c>
      <c r="Q1228" s="36">
        <v>2093.6736000000001</v>
      </c>
    </row>
    <row r="1229" spans="1:17" x14ac:dyDescent="0.3">
      <c r="A1229" s="2" t="s">
        <v>3036</v>
      </c>
      <c r="B1229" s="14">
        <v>45681</v>
      </c>
      <c r="C1229" s="2">
        <f>YEAR(Sales_Details2[[#This Row],[Order_Date]])</f>
        <v>2025</v>
      </c>
      <c r="D1229" s="2" t="s">
        <v>1255</v>
      </c>
      <c r="E1229" s="2" t="str">
        <f>VLOOKUP(Sales_Details2[[#This Row],[Customer_ID]],Customer_Details[#All],4,0)</f>
        <v>Mid-Adult</v>
      </c>
      <c r="F1229" s="2" t="str">
        <f>VLOOKUP(Sales_Details2[[#This Row],[Customer_ID]],Customer_Details[#All],5,0)</f>
        <v>Male</v>
      </c>
      <c r="G1229" s="2" t="str">
        <f>VLOOKUP(Sales_Details2[[#This Row],[Customer_ID]],Customer_Details[#All],9,0)</f>
        <v>Gold</v>
      </c>
      <c r="H1229" s="2" t="s">
        <v>1649</v>
      </c>
      <c r="I1229" s="2" t="str">
        <f>VLOOKUP(Sales_Details2[[#This Row],[Product_ID]],Product_details[[#All],[Product_ID]:[Cost]],3,0)</f>
        <v>Beauty</v>
      </c>
      <c r="J1229" s="2" t="str">
        <f>VLOOKUP(Sales_Details2[[#This Row],[Product_ID]],Product_details[[#All],[Product_ID]:[Cost]],4,0)</f>
        <v>Haircare</v>
      </c>
      <c r="K1229" s="2" t="s">
        <v>1769</v>
      </c>
      <c r="L1229" s="2" t="str">
        <f>_xlfn.XLOOKUP(Sales_Details2[[#This Row],[Store_ID]],Table2[Store_ID],Table2[Region],"Region not found")</f>
        <v>South</v>
      </c>
      <c r="M1229" s="25">
        <v>2</v>
      </c>
      <c r="N1229" s="36">
        <v>107.97</v>
      </c>
      <c r="O1229" s="29">
        <v>0.06</v>
      </c>
      <c r="P1229" s="2" t="s">
        <v>1807</v>
      </c>
      <c r="Q1229" s="36">
        <v>202.9836</v>
      </c>
    </row>
    <row r="1230" spans="1:17" x14ac:dyDescent="0.3">
      <c r="A1230" s="2" t="s">
        <v>3037</v>
      </c>
      <c r="B1230" s="14">
        <v>45785</v>
      </c>
      <c r="C1230" s="2">
        <f>YEAR(Sales_Details2[[#This Row],[Order_Date]])</f>
        <v>2025</v>
      </c>
      <c r="D1230" s="2" t="s">
        <v>40</v>
      </c>
      <c r="E1230" s="2" t="str">
        <f>VLOOKUP(Sales_Details2[[#This Row],[Customer_ID]],Customer_Details[#All],4,0)</f>
        <v>Adult</v>
      </c>
      <c r="F1230" s="2" t="str">
        <f>VLOOKUP(Sales_Details2[[#This Row],[Customer_ID]],Customer_Details[#All],5,0)</f>
        <v>Female</v>
      </c>
      <c r="G1230" s="2" t="str">
        <f>VLOOKUP(Sales_Details2[[#This Row],[Customer_ID]],Customer_Details[#All],9,0)</f>
        <v>Bronze</v>
      </c>
      <c r="H1230" s="2" t="s">
        <v>1538</v>
      </c>
      <c r="I1230" s="2" t="str">
        <f>VLOOKUP(Sales_Details2[[#This Row],[Product_ID]],Product_details[[#All],[Product_ID]:[Cost]],3,0)</f>
        <v>Clothing</v>
      </c>
      <c r="J1230" s="2" t="str">
        <f>VLOOKUP(Sales_Details2[[#This Row],[Product_ID]],Product_details[[#All],[Product_ID]:[Cost]],4,0)</f>
        <v>Accessories</v>
      </c>
      <c r="K1230" s="2" t="s">
        <v>1782</v>
      </c>
      <c r="L1230" s="2" t="str">
        <f>_xlfn.XLOOKUP(Sales_Details2[[#This Row],[Store_ID]],Table2[Store_ID],Table2[Region],"Region not found")</f>
        <v>South</v>
      </c>
      <c r="M1230" s="25">
        <v>1</v>
      </c>
      <c r="N1230" s="36">
        <v>38.880000000000003</v>
      </c>
      <c r="O1230" s="29">
        <v>0.16</v>
      </c>
      <c r="P1230" s="2" t="s">
        <v>1812</v>
      </c>
      <c r="Q1230" s="36">
        <v>32.659199999999998</v>
      </c>
    </row>
    <row r="1231" spans="1:17" x14ac:dyDescent="0.3">
      <c r="A1231" s="2" t="s">
        <v>3038</v>
      </c>
      <c r="B1231" s="14">
        <v>45823</v>
      </c>
      <c r="C1231" s="2">
        <f>YEAR(Sales_Details2[[#This Row],[Order_Date]])</f>
        <v>2025</v>
      </c>
      <c r="D1231" s="2" t="s">
        <v>281</v>
      </c>
      <c r="E1231" s="2" t="str">
        <f>VLOOKUP(Sales_Details2[[#This Row],[Customer_ID]],Customer_Details[#All],4,0)</f>
        <v>Adult</v>
      </c>
      <c r="F1231" s="2" t="str">
        <f>VLOOKUP(Sales_Details2[[#This Row],[Customer_ID]],Customer_Details[#All],5,0)</f>
        <v>Male</v>
      </c>
      <c r="G1231" s="2" t="str">
        <f>VLOOKUP(Sales_Details2[[#This Row],[Customer_ID]],Customer_Details[#All],9,0)</f>
        <v>Gold</v>
      </c>
      <c r="H1231" s="2" t="s">
        <v>1563</v>
      </c>
      <c r="I1231" s="2" t="str">
        <f>VLOOKUP(Sales_Details2[[#This Row],[Product_ID]],Product_details[[#All],[Product_ID]:[Cost]],3,0)</f>
        <v>Beauty</v>
      </c>
      <c r="J1231" s="2" t="str">
        <f>VLOOKUP(Sales_Details2[[#This Row],[Product_ID]],Product_details[[#All],[Product_ID]:[Cost]],4,0)</f>
        <v>Grooming</v>
      </c>
      <c r="K1231" s="2" t="s">
        <v>1790</v>
      </c>
      <c r="L1231" s="2" t="str">
        <f>_xlfn.XLOOKUP(Sales_Details2[[#This Row],[Store_ID]],Table2[Store_ID],Table2[Region],"Region not found")</f>
        <v>North</v>
      </c>
      <c r="M1231" s="25">
        <v>3</v>
      </c>
      <c r="N1231" s="36">
        <v>484.39</v>
      </c>
      <c r="O1231" s="29">
        <v>0.28999999999999998</v>
      </c>
      <c r="P1231" s="2" t="s">
        <v>1812</v>
      </c>
      <c r="Q1231" s="36">
        <v>1031.7507000000001</v>
      </c>
    </row>
    <row r="1232" spans="1:17" x14ac:dyDescent="0.3">
      <c r="A1232" s="2" t="s">
        <v>3039</v>
      </c>
      <c r="B1232" s="14">
        <v>45572</v>
      </c>
      <c r="C1232" s="2">
        <f>YEAR(Sales_Details2[[#This Row],[Order_Date]])</f>
        <v>2024</v>
      </c>
      <c r="D1232" s="2" t="s">
        <v>82</v>
      </c>
      <c r="E1232" s="2" t="str">
        <f>VLOOKUP(Sales_Details2[[#This Row],[Customer_ID]],Customer_Details[#All],4,0)</f>
        <v>Mid-Adult</v>
      </c>
      <c r="F1232" s="2" t="str">
        <f>VLOOKUP(Sales_Details2[[#This Row],[Customer_ID]],Customer_Details[#All],5,0)</f>
        <v>Male</v>
      </c>
      <c r="G1232" s="2" t="str">
        <f>VLOOKUP(Sales_Details2[[#This Row],[Customer_ID]],Customer_Details[#All],9,0)</f>
        <v>Platinum</v>
      </c>
      <c r="H1232" s="2" t="s">
        <v>1691</v>
      </c>
      <c r="I1232" s="2" t="str">
        <f>VLOOKUP(Sales_Details2[[#This Row],[Product_ID]],Product_details[[#All],[Product_ID]:[Cost]],3,0)</f>
        <v>Home</v>
      </c>
      <c r="J1232" s="2" t="str">
        <f>VLOOKUP(Sales_Details2[[#This Row],[Product_ID]],Product_details[[#All],[Product_ID]:[Cost]],4,0)</f>
        <v>Kitchen</v>
      </c>
      <c r="K1232" s="2" t="s">
        <v>1784</v>
      </c>
      <c r="L1232" s="2" t="str">
        <f>_xlfn.XLOOKUP(Sales_Details2[[#This Row],[Store_ID]],Table2[Store_ID],Table2[Region],"Region not found")</f>
        <v>North</v>
      </c>
      <c r="M1232" s="25">
        <v>2</v>
      </c>
      <c r="N1232" s="36">
        <v>949.3</v>
      </c>
      <c r="O1232" s="29">
        <v>0.08</v>
      </c>
      <c r="P1232" s="2" t="s">
        <v>1812</v>
      </c>
      <c r="Q1232" s="36">
        <v>1746.712</v>
      </c>
    </row>
    <row r="1233" spans="1:17" x14ac:dyDescent="0.3">
      <c r="A1233" s="2" t="s">
        <v>3040</v>
      </c>
      <c r="B1233" s="14">
        <v>45259</v>
      </c>
      <c r="C1233" s="2">
        <f>YEAR(Sales_Details2[[#This Row],[Order_Date]])</f>
        <v>2023</v>
      </c>
      <c r="D1233" s="2" t="s">
        <v>1327</v>
      </c>
      <c r="E1233" s="2" t="str">
        <f>VLOOKUP(Sales_Details2[[#This Row],[Customer_ID]],Customer_Details[#All],4,0)</f>
        <v>Senior</v>
      </c>
      <c r="F1233" s="2" t="str">
        <f>VLOOKUP(Sales_Details2[[#This Row],[Customer_ID]],Customer_Details[#All],5,0)</f>
        <v>Female</v>
      </c>
      <c r="G1233" s="2" t="str">
        <f>VLOOKUP(Sales_Details2[[#This Row],[Customer_ID]],Customer_Details[#All],9,0)</f>
        <v>Silver</v>
      </c>
      <c r="H1233" s="2" t="s">
        <v>1673</v>
      </c>
      <c r="I1233" s="2" t="str">
        <f>VLOOKUP(Sales_Details2[[#This Row],[Product_ID]],Product_details[[#All],[Product_ID]:[Cost]],3,0)</f>
        <v>Beauty</v>
      </c>
      <c r="J1233" s="2" t="str">
        <f>VLOOKUP(Sales_Details2[[#This Row],[Product_ID]],Product_details[[#All],[Product_ID]:[Cost]],4,0)</f>
        <v>Haircare</v>
      </c>
      <c r="K1233" s="2" t="s">
        <v>1759</v>
      </c>
      <c r="L1233" s="2" t="str">
        <f>_xlfn.XLOOKUP(Sales_Details2[[#This Row],[Store_ID]],Table2[Store_ID],Table2[Region],"Region not found")</f>
        <v>East</v>
      </c>
      <c r="M1233" s="25">
        <v>3</v>
      </c>
      <c r="N1233" s="36">
        <v>664.75</v>
      </c>
      <c r="O1233" s="29">
        <v>0.12</v>
      </c>
      <c r="P1233" s="2" t="s">
        <v>1807</v>
      </c>
      <c r="Q1233" s="36">
        <v>1754.94</v>
      </c>
    </row>
    <row r="1234" spans="1:17" x14ac:dyDescent="0.3">
      <c r="A1234" s="2" t="s">
        <v>3041</v>
      </c>
      <c r="B1234" s="14">
        <v>45740</v>
      </c>
      <c r="C1234" s="2">
        <f>YEAR(Sales_Details2[[#This Row],[Order_Date]])</f>
        <v>2025</v>
      </c>
      <c r="D1234" s="2" t="s">
        <v>888</v>
      </c>
      <c r="E1234" s="2" t="str">
        <f>VLOOKUP(Sales_Details2[[#This Row],[Customer_ID]],Customer_Details[#All],4,0)</f>
        <v>Mid-Adult</v>
      </c>
      <c r="F1234" s="2" t="str">
        <f>VLOOKUP(Sales_Details2[[#This Row],[Customer_ID]],Customer_Details[#All],5,0)</f>
        <v>Female</v>
      </c>
      <c r="G1234" s="2" t="str">
        <f>VLOOKUP(Sales_Details2[[#This Row],[Customer_ID]],Customer_Details[#All],9,0)</f>
        <v>Gold</v>
      </c>
      <c r="H1234" s="2" t="s">
        <v>1671</v>
      </c>
      <c r="I1234" s="2" t="str">
        <f>VLOOKUP(Sales_Details2[[#This Row],[Product_ID]],Product_details[[#All],[Product_ID]:[Cost]],3,0)</f>
        <v>Home</v>
      </c>
      <c r="J1234" s="2" t="str">
        <f>VLOOKUP(Sales_Details2[[#This Row],[Product_ID]],Product_details[[#All],[Product_ID]:[Cost]],4,0)</f>
        <v>Storage</v>
      </c>
      <c r="K1234" s="2" t="s">
        <v>1790</v>
      </c>
      <c r="L1234" s="2" t="str">
        <f>_xlfn.XLOOKUP(Sales_Details2[[#This Row],[Store_ID]],Table2[Store_ID],Table2[Region],"Region not found")</f>
        <v>North</v>
      </c>
      <c r="M1234" s="25">
        <v>3</v>
      </c>
      <c r="N1234" s="36">
        <v>190.04</v>
      </c>
      <c r="O1234" s="29">
        <v>7.0000000000000007E-2</v>
      </c>
      <c r="P1234" s="2" t="s">
        <v>1809</v>
      </c>
      <c r="Q1234" s="36">
        <v>530.21159999999998</v>
      </c>
    </row>
    <row r="1235" spans="1:17" x14ac:dyDescent="0.3">
      <c r="A1235" s="2" t="s">
        <v>3042</v>
      </c>
      <c r="B1235" s="14">
        <v>45869</v>
      </c>
      <c r="C1235" s="2">
        <f>YEAR(Sales_Details2[[#This Row],[Order_Date]])</f>
        <v>2025</v>
      </c>
      <c r="D1235" s="2" t="s">
        <v>873</v>
      </c>
      <c r="E1235" s="2" t="str">
        <f>VLOOKUP(Sales_Details2[[#This Row],[Customer_ID]],Customer_Details[#All],4,0)</f>
        <v>Adult</v>
      </c>
      <c r="F1235" s="2" t="str">
        <f>VLOOKUP(Sales_Details2[[#This Row],[Customer_ID]],Customer_Details[#All],5,0)</f>
        <v>Female</v>
      </c>
      <c r="G1235" s="2" t="str">
        <f>VLOOKUP(Sales_Details2[[#This Row],[Customer_ID]],Customer_Details[#All],9,0)</f>
        <v>Platinum</v>
      </c>
      <c r="H1235" s="2" t="s">
        <v>1543</v>
      </c>
      <c r="I1235" s="2" t="str">
        <f>VLOOKUP(Sales_Details2[[#This Row],[Product_ID]],Product_details[[#All],[Product_ID]:[Cost]],3,0)</f>
        <v>Home</v>
      </c>
      <c r="J1235" s="2" t="str">
        <f>VLOOKUP(Sales_Details2[[#This Row],[Product_ID]],Product_details[[#All],[Product_ID]:[Cost]],4,0)</f>
        <v>Lighting</v>
      </c>
      <c r="K1235" s="2" t="s">
        <v>1784</v>
      </c>
      <c r="L1235" s="2" t="str">
        <f>_xlfn.XLOOKUP(Sales_Details2[[#This Row],[Store_ID]],Table2[Store_ID],Table2[Region],"Region not found")</f>
        <v>North</v>
      </c>
      <c r="M1235" s="25">
        <v>3</v>
      </c>
      <c r="N1235" s="36">
        <v>754.02</v>
      </c>
      <c r="O1235" s="29">
        <v>0.1</v>
      </c>
      <c r="P1235" s="2" t="s">
        <v>1812</v>
      </c>
      <c r="Q1235" s="36">
        <v>2035.854</v>
      </c>
    </row>
    <row r="1236" spans="1:17" x14ac:dyDescent="0.3">
      <c r="A1236" s="2" t="s">
        <v>3043</v>
      </c>
      <c r="B1236" s="14">
        <v>45526</v>
      </c>
      <c r="C1236" s="2">
        <f>YEAR(Sales_Details2[[#This Row],[Order_Date]])</f>
        <v>2024</v>
      </c>
      <c r="D1236" s="2" t="s">
        <v>1186</v>
      </c>
      <c r="E1236" s="2" t="str">
        <f>VLOOKUP(Sales_Details2[[#This Row],[Customer_ID]],Customer_Details[#All],4,0)</f>
        <v>Senior</v>
      </c>
      <c r="F1236" s="2" t="str">
        <f>VLOOKUP(Sales_Details2[[#This Row],[Customer_ID]],Customer_Details[#All],5,0)</f>
        <v>Female</v>
      </c>
      <c r="G1236" s="2" t="str">
        <f>VLOOKUP(Sales_Details2[[#This Row],[Customer_ID]],Customer_Details[#All],9,0)</f>
        <v>Bronze</v>
      </c>
      <c r="H1236" s="2" t="s">
        <v>1599</v>
      </c>
      <c r="I1236" s="2" t="str">
        <f>VLOOKUP(Sales_Details2[[#This Row],[Product_ID]],Product_details[[#All],[Product_ID]:[Cost]],3,0)</f>
        <v>Electronics</v>
      </c>
      <c r="J1236" s="2" t="str">
        <f>VLOOKUP(Sales_Details2[[#This Row],[Product_ID]],Product_details[[#All],[Product_ID]:[Cost]],4,0)</f>
        <v>Computer</v>
      </c>
      <c r="K1236" s="2" t="s">
        <v>1777</v>
      </c>
      <c r="L1236" s="2" t="str">
        <f>_xlfn.XLOOKUP(Sales_Details2[[#This Row],[Store_ID]],Table2[Store_ID],Table2[Region],"Region not found")</f>
        <v>North</v>
      </c>
      <c r="M1236" s="25">
        <v>4</v>
      </c>
      <c r="N1236" s="36">
        <v>94.13</v>
      </c>
      <c r="O1236" s="29">
        <v>0.04</v>
      </c>
      <c r="P1236" s="2" t="s">
        <v>1812</v>
      </c>
      <c r="Q1236" s="36">
        <v>361.45920000000001</v>
      </c>
    </row>
    <row r="1237" spans="1:17" x14ac:dyDescent="0.3">
      <c r="A1237" s="2" t="s">
        <v>3044</v>
      </c>
      <c r="B1237" s="14">
        <v>45489</v>
      </c>
      <c r="C1237" s="2">
        <f>YEAR(Sales_Details2[[#This Row],[Order_Date]])</f>
        <v>2024</v>
      </c>
      <c r="D1237" s="2" t="s">
        <v>1427</v>
      </c>
      <c r="E1237" s="2" t="str">
        <f>VLOOKUP(Sales_Details2[[#This Row],[Customer_ID]],Customer_Details[#All],4,0)</f>
        <v>Mid-Adult</v>
      </c>
      <c r="F1237" s="2" t="str">
        <f>VLOOKUP(Sales_Details2[[#This Row],[Customer_ID]],Customer_Details[#All],5,0)</f>
        <v>Male</v>
      </c>
      <c r="G1237" s="2" t="str">
        <f>VLOOKUP(Sales_Details2[[#This Row],[Customer_ID]],Customer_Details[#All],9,0)</f>
        <v>Bronze</v>
      </c>
      <c r="H1237" s="2" t="s">
        <v>1529</v>
      </c>
      <c r="I1237" s="2" t="str">
        <f>VLOOKUP(Sales_Details2[[#This Row],[Product_ID]],Product_details[[#All],[Product_ID]:[Cost]],3,0)</f>
        <v>Clothing</v>
      </c>
      <c r="J1237" s="2" t="str">
        <f>VLOOKUP(Sales_Details2[[#This Row],[Product_ID]],Product_details[[#All],[Product_ID]:[Cost]],4,0)</f>
        <v>Tops</v>
      </c>
      <c r="K1237" s="2" t="s">
        <v>1784</v>
      </c>
      <c r="L1237" s="2" t="str">
        <f>_xlfn.XLOOKUP(Sales_Details2[[#This Row],[Store_ID]],Table2[Store_ID],Table2[Region],"Region not found")</f>
        <v>North</v>
      </c>
      <c r="M1237" s="25">
        <v>3</v>
      </c>
      <c r="N1237" s="36">
        <v>402.3</v>
      </c>
      <c r="O1237" s="29">
        <v>0.21</v>
      </c>
      <c r="P1237" s="2" t="s">
        <v>1809</v>
      </c>
      <c r="Q1237" s="36">
        <v>953.45100000000014</v>
      </c>
    </row>
    <row r="1238" spans="1:17" x14ac:dyDescent="0.3">
      <c r="A1238" s="2" t="s">
        <v>3045</v>
      </c>
      <c r="B1238" s="14">
        <v>45908</v>
      </c>
      <c r="C1238" s="2">
        <f>YEAR(Sales_Details2[[#This Row],[Order_Date]])</f>
        <v>2025</v>
      </c>
      <c r="D1238" s="2" t="s">
        <v>761</v>
      </c>
      <c r="E1238" s="2" t="str">
        <f>VLOOKUP(Sales_Details2[[#This Row],[Customer_ID]],Customer_Details[#All],4,0)</f>
        <v>Senior</v>
      </c>
      <c r="F1238" s="2" t="str">
        <f>VLOOKUP(Sales_Details2[[#This Row],[Customer_ID]],Customer_Details[#All],5,0)</f>
        <v>Female</v>
      </c>
      <c r="G1238" s="2" t="str">
        <f>VLOOKUP(Sales_Details2[[#This Row],[Customer_ID]],Customer_Details[#All],9,0)</f>
        <v>Platinum</v>
      </c>
      <c r="H1238" s="2" t="s">
        <v>1703</v>
      </c>
      <c r="I1238" s="2" t="str">
        <f>VLOOKUP(Sales_Details2[[#This Row],[Product_ID]],Product_details[[#All],[Product_ID]:[Cost]],3,0)</f>
        <v>Home</v>
      </c>
      <c r="J1238" s="2" t="str">
        <f>VLOOKUP(Sales_Details2[[#This Row],[Product_ID]],Product_details[[#All],[Product_ID]:[Cost]],4,0)</f>
        <v>Kitchen</v>
      </c>
      <c r="K1238" s="2" t="s">
        <v>1762</v>
      </c>
      <c r="L1238" s="2" t="str">
        <f>_xlfn.XLOOKUP(Sales_Details2[[#This Row],[Store_ID]],Table2[Store_ID],Table2[Region],"Region not found")</f>
        <v>South</v>
      </c>
      <c r="M1238" s="25">
        <v>1</v>
      </c>
      <c r="N1238" s="36">
        <v>729.05</v>
      </c>
      <c r="O1238" s="29">
        <v>0.06</v>
      </c>
      <c r="P1238" s="2" t="s">
        <v>1812</v>
      </c>
      <c r="Q1238" s="36">
        <v>685.3069999999999</v>
      </c>
    </row>
    <row r="1239" spans="1:17" x14ac:dyDescent="0.3">
      <c r="A1239" s="2" t="s">
        <v>3046</v>
      </c>
      <c r="B1239" s="14">
        <v>45912</v>
      </c>
      <c r="C1239" s="2">
        <f>YEAR(Sales_Details2[[#This Row],[Order_Date]])</f>
        <v>2025</v>
      </c>
      <c r="D1239" s="2" t="s">
        <v>453</v>
      </c>
      <c r="E1239" s="2" t="str">
        <f>VLOOKUP(Sales_Details2[[#This Row],[Customer_ID]],Customer_Details[#All],4,0)</f>
        <v>Senior</v>
      </c>
      <c r="F1239" s="2" t="str">
        <f>VLOOKUP(Sales_Details2[[#This Row],[Customer_ID]],Customer_Details[#All],5,0)</f>
        <v>Male</v>
      </c>
      <c r="G1239" s="2" t="str">
        <f>VLOOKUP(Sales_Details2[[#This Row],[Customer_ID]],Customer_Details[#All],9,0)</f>
        <v>Gold</v>
      </c>
      <c r="H1239" s="2" t="s">
        <v>1711</v>
      </c>
      <c r="I1239" s="2" t="str">
        <f>VLOOKUP(Sales_Details2[[#This Row],[Product_ID]],Product_details[[#All],[Product_ID]:[Cost]],3,0)</f>
        <v>Electronics</v>
      </c>
      <c r="J1239" s="2" t="str">
        <f>VLOOKUP(Sales_Details2[[#This Row],[Product_ID]],Product_details[[#All],[Product_ID]:[Cost]],4,0)</f>
        <v>Accessories</v>
      </c>
      <c r="K1239" s="2" t="s">
        <v>1780</v>
      </c>
      <c r="L1239" s="2" t="str">
        <f>_xlfn.XLOOKUP(Sales_Details2[[#This Row],[Store_ID]],Table2[Store_ID],Table2[Region],"Region not found")</f>
        <v>East</v>
      </c>
      <c r="M1239" s="25">
        <v>1</v>
      </c>
      <c r="N1239" s="36">
        <v>822.6</v>
      </c>
      <c r="O1239" s="29">
        <v>0.28999999999999998</v>
      </c>
      <c r="P1239" s="2" t="s">
        <v>1809</v>
      </c>
      <c r="Q1239" s="36">
        <v>584.04599999999994</v>
      </c>
    </row>
    <row r="1240" spans="1:17" x14ac:dyDescent="0.3">
      <c r="A1240" s="2" t="s">
        <v>3047</v>
      </c>
      <c r="B1240" s="14">
        <v>45771</v>
      </c>
      <c r="C1240" s="2">
        <f>YEAR(Sales_Details2[[#This Row],[Order_Date]])</f>
        <v>2025</v>
      </c>
      <c r="D1240" s="2" t="s">
        <v>628</v>
      </c>
      <c r="E1240" s="2" t="str">
        <f>VLOOKUP(Sales_Details2[[#This Row],[Customer_ID]],Customer_Details[#All],4,0)</f>
        <v>Mid-Adult</v>
      </c>
      <c r="F1240" s="2" t="str">
        <f>VLOOKUP(Sales_Details2[[#This Row],[Customer_ID]],Customer_Details[#All],5,0)</f>
        <v>Male</v>
      </c>
      <c r="G1240" s="2" t="str">
        <f>VLOOKUP(Sales_Details2[[#This Row],[Customer_ID]],Customer_Details[#All],9,0)</f>
        <v>Gold</v>
      </c>
      <c r="H1240" s="2" t="s">
        <v>1697</v>
      </c>
      <c r="I1240" s="2" t="str">
        <f>VLOOKUP(Sales_Details2[[#This Row],[Product_ID]],Product_details[[#All],[Product_ID]:[Cost]],3,0)</f>
        <v>Beauty</v>
      </c>
      <c r="J1240" s="2" t="str">
        <f>VLOOKUP(Sales_Details2[[#This Row],[Product_ID]],Product_details[[#All],[Product_ID]:[Cost]],4,0)</f>
        <v>Skincare</v>
      </c>
      <c r="K1240" s="2" t="s">
        <v>1765</v>
      </c>
      <c r="L1240" s="2" t="str">
        <f>_xlfn.XLOOKUP(Sales_Details2[[#This Row],[Store_ID]],Table2[Store_ID],Table2[Region],"Region not found")</f>
        <v>West</v>
      </c>
      <c r="M1240" s="25">
        <v>2</v>
      </c>
      <c r="N1240" s="36">
        <v>327.25</v>
      </c>
      <c r="O1240" s="29">
        <v>0.19</v>
      </c>
      <c r="P1240" s="2" t="s">
        <v>1809</v>
      </c>
      <c r="Q1240" s="36">
        <v>530.14499999999998</v>
      </c>
    </row>
    <row r="1241" spans="1:17" x14ac:dyDescent="0.3">
      <c r="A1241" s="2" t="s">
        <v>3048</v>
      </c>
      <c r="B1241" s="14">
        <v>45619</v>
      </c>
      <c r="C1241" s="2">
        <f>YEAR(Sales_Details2[[#This Row],[Order_Date]])</f>
        <v>2024</v>
      </c>
      <c r="D1241" s="2" t="s">
        <v>301</v>
      </c>
      <c r="E1241" s="2" t="str">
        <f>VLOOKUP(Sales_Details2[[#This Row],[Customer_ID]],Customer_Details[#All],4,0)</f>
        <v>Adult</v>
      </c>
      <c r="F1241" s="2" t="str">
        <f>VLOOKUP(Sales_Details2[[#This Row],[Customer_ID]],Customer_Details[#All],5,0)</f>
        <v>Female</v>
      </c>
      <c r="G1241" s="2" t="str">
        <f>VLOOKUP(Sales_Details2[[#This Row],[Customer_ID]],Customer_Details[#All],9,0)</f>
        <v>Platinum</v>
      </c>
      <c r="H1241" s="2" t="s">
        <v>1671</v>
      </c>
      <c r="I1241" s="2" t="str">
        <f>VLOOKUP(Sales_Details2[[#This Row],[Product_ID]],Product_details[[#All],[Product_ID]:[Cost]],3,0)</f>
        <v>Home</v>
      </c>
      <c r="J1241" s="2" t="str">
        <f>VLOOKUP(Sales_Details2[[#This Row],[Product_ID]],Product_details[[#All],[Product_ID]:[Cost]],4,0)</f>
        <v>Storage</v>
      </c>
      <c r="K1241" s="2" t="s">
        <v>1769</v>
      </c>
      <c r="L1241" s="2" t="str">
        <f>_xlfn.XLOOKUP(Sales_Details2[[#This Row],[Store_ID]],Table2[Store_ID],Table2[Region],"Region not found")</f>
        <v>South</v>
      </c>
      <c r="M1241" s="25">
        <v>4</v>
      </c>
      <c r="N1241" s="36">
        <v>930.38</v>
      </c>
      <c r="O1241" s="29">
        <v>0</v>
      </c>
      <c r="P1241" s="2" t="s">
        <v>1812</v>
      </c>
      <c r="Q1241" s="36">
        <v>3721.52</v>
      </c>
    </row>
    <row r="1242" spans="1:17" x14ac:dyDescent="0.3">
      <c r="A1242" s="2" t="s">
        <v>3049</v>
      </c>
      <c r="B1242" s="14">
        <v>45394</v>
      </c>
      <c r="C1242" s="2">
        <f>YEAR(Sales_Details2[[#This Row],[Order_Date]])</f>
        <v>2024</v>
      </c>
      <c r="D1242" s="2" t="s">
        <v>482</v>
      </c>
      <c r="E1242" s="2" t="str">
        <f>VLOOKUP(Sales_Details2[[#This Row],[Customer_ID]],Customer_Details[#All],4,0)</f>
        <v>Senior</v>
      </c>
      <c r="F1242" s="2" t="str">
        <f>VLOOKUP(Sales_Details2[[#This Row],[Customer_ID]],Customer_Details[#All],5,0)</f>
        <v>Female</v>
      </c>
      <c r="G1242" s="2" t="str">
        <f>VLOOKUP(Sales_Details2[[#This Row],[Customer_ID]],Customer_Details[#All],9,0)</f>
        <v>Bronze</v>
      </c>
      <c r="H1242" s="2" t="s">
        <v>1585</v>
      </c>
      <c r="I1242" s="2" t="str">
        <f>VLOOKUP(Sales_Details2[[#This Row],[Product_ID]],Product_details[[#All],[Product_ID]:[Cost]],3,0)</f>
        <v>Home</v>
      </c>
      <c r="J1242" s="2" t="str">
        <f>VLOOKUP(Sales_Details2[[#This Row],[Product_ID]],Product_details[[#All],[Product_ID]:[Cost]],4,0)</f>
        <v>Decor</v>
      </c>
      <c r="K1242" s="2" t="s">
        <v>1756</v>
      </c>
      <c r="L1242" s="2" t="str">
        <f>_xlfn.XLOOKUP(Sales_Details2[[#This Row],[Store_ID]],Table2[Store_ID],Table2[Region],"Region not found")</f>
        <v>North</v>
      </c>
      <c r="M1242" s="25">
        <v>2</v>
      </c>
      <c r="N1242" s="36">
        <v>437.84</v>
      </c>
      <c r="O1242" s="29">
        <v>0.24</v>
      </c>
      <c r="P1242" s="2" t="s">
        <v>1807</v>
      </c>
      <c r="Q1242" s="36">
        <v>665.51679999999999</v>
      </c>
    </row>
    <row r="1243" spans="1:17" x14ac:dyDescent="0.3">
      <c r="A1243" s="2" t="s">
        <v>3050</v>
      </c>
      <c r="B1243" s="14">
        <v>45786</v>
      </c>
      <c r="C1243" s="2">
        <f>YEAR(Sales_Details2[[#This Row],[Order_Date]])</f>
        <v>2025</v>
      </c>
      <c r="D1243" s="2" t="s">
        <v>255</v>
      </c>
      <c r="E1243" s="2" t="str">
        <f>VLOOKUP(Sales_Details2[[#This Row],[Customer_ID]],Customer_Details[#All],4,0)</f>
        <v>Adult</v>
      </c>
      <c r="F1243" s="2" t="str">
        <f>VLOOKUP(Sales_Details2[[#This Row],[Customer_ID]],Customer_Details[#All],5,0)</f>
        <v>Female</v>
      </c>
      <c r="G1243" s="2" t="str">
        <f>VLOOKUP(Sales_Details2[[#This Row],[Customer_ID]],Customer_Details[#All],9,0)</f>
        <v>Gold</v>
      </c>
      <c r="H1243" s="2" t="s">
        <v>1563</v>
      </c>
      <c r="I1243" s="2" t="str">
        <f>VLOOKUP(Sales_Details2[[#This Row],[Product_ID]],Product_details[[#All],[Product_ID]:[Cost]],3,0)</f>
        <v>Beauty</v>
      </c>
      <c r="J1243" s="2" t="str">
        <f>VLOOKUP(Sales_Details2[[#This Row],[Product_ID]],Product_details[[#All],[Product_ID]:[Cost]],4,0)</f>
        <v>Grooming</v>
      </c>
      <c r="K1243" s="2" t="s">
        <v>1787</v>
      </c>
      <c r="L1243" s="2" t="str">
        <f>_xlfn.XLOOKUP(Sales_Details2[[#This Row],[Store_ID]],Table2[Store_ID],Table2[Region],"Region not found")</f>
        <v>West</v>
      </c>
      <c r="M1243" s="25">
        <v>2</v>
      </c>
      <c r="N1243" s="36">
        <v>126.02</v>
      </c>
      <c r="O1243" s="29">
        <v>0.09</v>
      </c>
      <c r="P1243" s="2" t="s">
        <v>1812</v>
      </c>
      <c r="Q1243" s="36">
        <v>229.35640000000001</v>
      </c>
    </row>
    <row r="1244" spans="1:17" x14ac:dyDescent="0.3">
      <c r="A1244" s="2" t="s">
        <v>3051</v>
      </c>
      <c r="B1244" s="14">
        <v>45692</v>
      </c>
      <c r="C1244" s="2">
        <f>YEAR(Sales_Details2[[#This Row],[Order_Date]])</f>
        <v>2025</v>
      </c>
      <c r="D1244" s="2" t="s">
        <v>1339</v>
      </c>
      <c r="E1244" s="2" t="str">
        <f>VLOOKUP(Sales_Details2[[#This Row],[Customer_ID]],Customer_Details[#All],4,0)</f>
        <v>Mid-Adult</v>
      </c>
      <c r="F1244" s="2" t="str">
        <f>VLOOKUP(Sales_Details2[[#This Row],[Customer_ID]],Customer_Details[#All],5,0)</f>
        <v>Female</v>
      </c>
      <c r="G1244" s="2" t="str">
        <f>VLOOKUP(Sales_Details2[[#This Row],[Customer_ID]],Customer_Details[#All],9,0)</f>
        <v>Platinum</v>
      </c>
      <c r="H1244" s="2" t="s">
        <v>1697</v>
      </c>
      <c r="I1244" s="2" t="str">
        <f>VLOOKUP(Sales_Details2[[#This Row],[Product_ID]],Product_details[[#All],[Product_ID]:[Cost]],3,0)</f>
        <v>Beauty</v>
      </c>
      <c r="J1244" s="2" t="str">
        <f>VLOOKUP(Sales_Details2[[#This Row],[Product_ID]],Product_details[[#All],[Product_ID]:[Cost]],4,0)</f>
        <v>Skincare</v>
      </c>
      <c r="K1244" s="2" t="s">
        <v>1784</v>
      </c>
      <c r="L1244" s="2" t="str">
        <f>_xlfn.XLOOKUP(Sales_Details2[[#This Row],[Store_ID]],Table2[Store_ID],Table2[Region],"Region not found")</f>
        <v>North</v>
      </c>
      <c r="M1244" s="25">
        <v>1</v>
      </c>
      <c r="N1244" s="36">
        <v>860.84</v>
      </c>
      <c r="O1244" s="29">
        <v>7.0000000000000007E-2</v>
      </c>
      <c r="P1244" s="2" t="s">
        <v>1809</v>
      </c>
      <c r="Q1244" s="36">
        <v>800.58119999999997</v>
      </c>
    </row>
    <row r="1245" spans="1:17" x14ac:dyDescent="0.3">
      <c r="A1245" s="2" t="s">
        <v>3052</v>
      </c>
      <c r="B1245" s="14">
        <v>45677</v>
      </c>
      <c r="C1245" s="2">
        <f>YEAR(Sales_Details2[[#This Row],[Order_Date]])</f>
        <v>2025</v>
      </c>
      <c r="D1245" s="2" t="s">
        <v>330</v>
      </c>
      <c r="E1245" s="2" t="str">
        <f>VLOOKUP(Sales_Details2[[#This Row],[Customer_ID]],Customer_Details[#All],4,0)</f>
        <v>Adult</v>
      </c>
      <c r="F1245" s="2" t="str">
        <f>VLOOKUP(Sales_Details2[[#This Row],[Customer_ID]],Customer_Details[#All],5,0)</f>
        <v>Female</v>
      </c>
      <c r="G1245" s="2" t="str">
        <f>VLOOKUP(Sales_Details2[[#This Row],[Customer_ID]],Customer_Details[#All],9,0)</f>
        <v>Gold</v>
      </c>
      <c r="H1245" s="2" t="s">
        <v>1627</v>
      </c>
      <c r="I1245" s="2" t="str">
        <f>VLOOKUP(Sales_Details2[[#This Row],[Product_ID]],Product_details[[#All],[Product_ID]:[Cost]],3,0)</f>
        <v>Electronics</v>
      </c>
      <c r="J1245" s="2" t="str">
        <f>VLOOKUP(Sales_Details2[[#This Row],[Product_ID]],Product_details[[#All],[Product_ID]:[Cost]],4,0)</f>
        <v>Accessories</v>
      </c>
      <c r="K1245" s="2" t="s">
        <v>1780</v>
      </c>
      <c r="L1245" s="2" t="str">
        <f>_xlfn.XLOOKUP(Sales_Details2[[#This Row],[Store_ID]],Table2[Store_ID],Table2[Region],"Region not found")</f>
        <v>East</v>
      </c>
      <c r="M1245" s="25">
        <v>1</v>
      </c>
      <c r="N1245" s="36">
        <v>161.80000000000001</v>
      </c>
      <c r="O1245" s="29">
        <v>0.24</v>
      </c>
      <c r="P1245" s="2" t="s">
        <v>1809</v>
      </c>
      <c r="Q1245" s="36">
        <v>122.968</v>
      </c>
    </row>
    <row r="1246" spans="1:17" x14ac:dyDescent="0.3">
      <c r="A1246" s="2" t="s">
        <v>3053</v>
      </c>
      <c r="B1246" s="14">
        <v>45669</v>
      </c>
      <c r="C1246" s="2">
        <f>YEAR(Sales_Details2[[#This Row],[Order_Date]])</f>
        <v>2025</v>
      </c>
      <c r="D1246" s="2" t="s">
        <v>1189</v>
      </c>
      <c r="E1246" s="2" t="str">
        <f>VLOOKUP(Sales_Details2[[#This Row],[Customer_ID]],Customer_Details[#All],4,0)</f>
        <v>Senior</v>
      </c>
      <c r="F1246" s="2" t="str">
        <f>VLOOKUP(Sales_Details2[[#This Row],[Customer_ID]],Customer_Details[#All],5,0)</f>
        <v>Male</v>
      </c>
      <c r="G1246" s="2" t="str">
        <f>VLOOKUP(Sales_Details2[[#This Row],[Customer_ID]],Customer_Details[#All],9,0)</f>
        <v>Gold</v>
      </c>
      <c r="H1246" s="2" t="s">
        <v>1607</v>
      </c>
      <c r="I1246" s="2" t="str">
        <f>VLOOKUP(Sales_Details2[[#This Row],[Product_ID]],Product_details[[#All],[Product_ID]:[Cost]],3,0)</f>
        <v>Sports</v>
      </c>
      <c r="J1246" s="2" t="str">
        <f>VLOOKUP(Sales_Details2[[#This Row],[Product_ID]],Product_details[[#All],[Product_ID]:[Cost]],4,0)</f>
        <v>Outdoor</v>
      </c>
      <c r="K1246" s="2" t="s">
        <v>1790</v>
      </c>
      <c r="L1246" s="2" t="str">
        <f>_xlfn.XLOOKUP(Sales_Details2[[#This Row],[Store_ID]],Table2[Store_ID],Table2[Region],"Region not found")</f>
        <v>North</v>
      </c>
      <c r="M1246" s="25">
        <v>4</v>
      </c>
      <c r="N1246" s="36">
        <v>347.82</v>
      </c>
      <c r="O1246" s="29">
        <v>0.02</v>
      </c>
      <c r="P1246" s="2" t="s">
        <v>1812</v>
      </c>
      <c r="Q1246" s="36">
        <v>1363.4544000000001</v>
      </c>
    </row>
    <row r="1247" spans="1:17" x14ac:dyDescent="0.3">
      <c r="A1247" s="2" t="s">
        <v>3054</v>
      </c>
      <c r="B1247" s="14">
        <v>45299</v>
      </c>
      <c r="C1247" s="2">
        <f>YEAR(Sales_Details2[[#This Row],[Order_Date]])</f>
        <v>2024</v>
      </c>
      <c r="D1247" s="2" t="s">
        <v>1384</v>
      </c>
      <c r="E1247" s="2" t="str">
        <f>VLOOKUP(Sales_Details2[[#This Row],[Customer_ID]],Customer_Details[#All],4,0)</f>
        <v>Senior</v>
      </c>
      <c r="F1247" s="2" t="str">
        <f>VLOOKUP(Sales_Details2[[#This Row],[Customer_ID]],Customer_Details[#All],5,0)</f>
        <v>Female</v>
      </c>
      <c r="G1247" s="2" t="str">
        <f>VLOOKUP(Sales_Details2[[#This Row],[Customer_ID]],Customer_Details[#All],9,0)</f>
        <v>Platinum</v>
      </c>
      <c r="H1247" s="2" t="s">
        <v>1701</v>
      </c>
      <c r="I1247" s="2" t="str">
        <f>VLOOKUP(Sales_Details2[[#This Row],[Product_ID]],Product_details[[#All],[Product_ID]:[Cost]],3,0)</f>
        <v>Clothing</v>
      </c>
      <c r="J1247" s="2" t="str">
        <f>VLOOKUP(Sales_Details2[[#This Row],[Product_ID]],Product_details[[#All],[Product_ID]:[Cost]],4,0)</f>
        <v>Accessories</v>
      </c>
      <c r="K1247" s="2" t="s">
        <v>1787</v>
      </c>
      <c r="L1247" s="2" t="str">
        <f>_xlfn.XLOOKUP(Sales_Details2[[#This Row],[Store_ID]],Table2[Store_ID],Table2[Region],"Region not found")</f>
        <v>West</v>
      </c>
      <c r="M1247" s="25">
        <v>3</v>
      </c>
      <c r="N1247" s="36">
        <v>416.44</v>
      </c>
      <c r="O1247" s="29">
        <v>0.27</v>
      </c>
      <c r="P1247" s="2" t="s">
        <v>1807</v>
      </c>
      <c r="Q1247" s="36">
        <v>912.00359999999989</v>
      </c>
    </row>
    <row r="1248" spans="1:17" x14ac:dyDescent="0.3">
      <c r="A1248" s="2" t="s">
        <v>3055</v>
      </c>
      <c r="B1248" s="14">
        <v>45893</v>
      </c>
      <c r="C1248" s="2">
        <f>YEAR(Sales_Details2[[#This Row],[Order_Date]])</f>
        <v>2025</v>
      </c>
      <c r="D1248" s="2" t="s">
        <v>32</v>
      </c>
      <c r="E1248" s="2" t="str">
        <f>VLOOKUP(Sales_Details2[[#This Row],[Customer_ID]],Customer_Details[#All],4,0)</f>
        <v>Adult</v>
      </c>
      <c r="F1248" s="2" t="str">
        <f>VLOOKUP(Sales_Details2[[#This Row],[Customer_ID]],Customer_Details[#All],5,0)</f>
        <v>Male</v>
      </c>
      <c r="G1248" s="2" t="str">
        <f>VLOOKUP(Sales_Details2[[#This Row],[Customer_ID]],Customer_Details[#All],9,0)</f>
        <v>Bronze</v>
      </c>
      <c r="H1248" s="2" t="s">
        <v>1655</v>
      </c>
      <c r="I1248" s="2" t="str">
        <f>VLOOKUP(Sales_Details2[[#This Row],[Product_ID]],Product_details[[#All],[Product_ID]:[Cost]],3,0)</f>
        <v>Electronics</v>
      </c>
      <c r="J1248" s="2" t="str">
        <f>VLOOKUP(Sales_Details2[[#This Row],[Product_ID]],Product_details[[#All],[Product_ID]:[Cost]],4,0)</f>
        <v>Computer</v>
      </c>
      <c r="K1248" s="2" t="s">
        <v>1735</v>
      </c>
      <c r="L1248" s="2" t="str">
        <f>_xlfn.XLOOKUP(Sales_Details2[[#This Row],[Store_ID]],Table2[Store_ID],Table2[Region],"Region not found")</f>
        <v>East</v>
      </c>
      <c r="M1248" s="25">
        <v>1</v>
      </c>
      <c r="N1248" s="36">
        <v>147.96</v>
      </c>
      <c r="O1248" s="29">
        <v>0.24</v>
      </c>
      <c r="P1248" s="2" t="s">
        <v>1812</v>
      </c>
      <c r="Q1248" s="36">
        <v>112.4496</v>
      </c>
    </row>
    <row r="1249" spans="1:17" x14ac:dyDescent="0.3">
      <c r="A1249" s="2" t="s">
        <v>3056</v>
      </c>
      <c r="B1249" s="14">
        <v>45560</v>
      </c>
      <c r="C1249" s="2">
        <f>YEAR(Sales_Details2[[#This Row],[Order_Date]])</f>
        <v>2024</v>
      </c>
      <c r="D1249" s="2" t="s">
        <v>1361</v>
      </c>
      <c r="E1249" s="2" t="str">
        <f>VLOOKUP(Sales_Details2[[#This Row],[Customer_ID]],Customer_Details[#All],4,0)</f>
        <v>Mid-Adult</v>
      </c>
      <c r="F1249" s="2" t="str">
        <f>VLOOKUP(Sales_Details2[[#This Row],[Customer_ID]],Customer_Details[#All],5,0)</f>
        <v>Female</v>
      </c>
      <c r="G1249" s="2" t="str">
        <f>VLOOKUP(Sales_Details2[[#This Row],[Customer_ID]],Customer_Details[#All],9,0)</f>
        <v>Platinum</v>
      </c>
      <c r="H1249" s="2" t="s">
        <v>1567</v>
      </c>
      <c r="I1249" s="2" t="str">
        <f>VLOOKUP(Sales_Details2[[#This Row],[Product_ID]],Product_details[[#All],[Product_ID]:[Cost]],3,0)</f>
        <v>Clothing</v>
      </c>
      <c r="J1249" s="2" t="str">
        <f>VLOOKUP(Sales_Details2[[#This Row],[Product_ID]],Product_details[[#All],[Product_ID]:[Cost]],4,0)</f>
        <v>Bottoms</v>
      </c>
      <c r="K1249" s="2" t="s">
        <v>1765</v>
      </c>
      <c r="L1249" s="2" t="str">
        <f>_xlfn.XLOOKUP(Sales_Details2[[#This Row],[Store_ID]],Table2[Store_ID],Table2[Region],"Region not found")</f>
        <v>West</v>
      </c>
      <c r="M1249" s="25">
        <v>3</v>
      </c>
      <c r="N1249" s="36">
        <v>550.26</v>
      </c>
      <c r="O1249" s="29">
        <v>0.22</v>
      </c>
      <c r="P1249" s="2" t="s">
        <v>1807</v>
      </c>
      <c r="Q1249" s="36">
        <v>1287.6084000000001</v>
      </c>
    </row>
    <row r="1250" spans="1:17" x14ac:dyDescent="0.3">
      <c r="A1250" s="2" t="s">
        <v>3057</v>
      </c>
      <c r="B1250" s="14">
        <v>45267</v>
      </c>
      <c r="C1250" s="2">
        <f>YEAR(Sales_Details2[[#This Row],[Order_Date]])</f>
        <v>2023</v>
      </c>
      <c r="D1250" s="2" t="s">
        <v>1147</v>
      </c>
      <c r="E1250" s="2" t="str">
        <f>VLOOKUP(Sales_Details2[[#This Row],[Customer_ID]],Customer_Details[#All],4,0)</f>
        <v>Adult</v>
      </c>
      <c r="F1250" s="2" t="str">
        <f>VLOOKUP(Sales_Details2[[#This Row],[Customer_ID]],Customer_Details[#All],5,0)</f>
        <v>Female</v>
      </c>
      <c r="G1250" s="2" t="str">
        <f>VLOOKUP(Sales_Details2[[#This Row],[Customer_ID]],Customer_Details[#All],9,0)</f>
        <v>Platinum</v>
      </c>
      <c r="H1250" s="2" t="s">
        <v>1725</v>
      </c>
      <c r="I1250" s="2" t="str">
        <f>VLOOKUP(Sales_Details2[[#This Row],[Product_ID]],Product_details[[#All],[Product_ID]:[Cost]],3,0)</f>
        <v>Sports</v>
      </c>
      <c r="J1250" s="2" t="str">
        <f>VLOOKUP(Sales_Details2[[#This Row],[Product_ID]],Product_details[[#All],[Product_ID]:[Cost]],4,0)</f>
        <v>Team Sports</v>
      </c>
      <c r="K1250" s="2" t="s">
        <v>1762</v>
      </c>
      <c r="L1250" s="2" t="str">
        <f>_xlfn.XLOOKUP(Sales_Details2[[#This Row],[Store_ID]],Table2[Store_ID],Table2[Region],"Region not found")</f>
        <v>South</v>
      </c>
      <c r="M1250" s="25">
        <v>4</v>
      </c>
      <c r="N1250" s="36">
        <v>938.21</v>
      </c>
      <c r="O1250" s="29">
        <v>0.04</v>
      </c>
      <c r="P1250" s="2" t="s">
        <v>1809</v>
      </c>
      <c r="Q1250" s="36">
        <v>3602.7264</v>
      </c>
    </row>
    <row r="1251" spans="1:17" x14ac:dyDescent="0.3">
      <c r="A1251" s="2" t="s">
        <v>3058</v>
      </c>
      <c r="B1251" s="14">
        <v>45467</v>
      </c>
      <c r="C1251" s="2">
        <f>YEAR(Sales_Details2[[#This Row],[Order_Date]])</f>
        <v>2024</v>
      </c>
      <c r="D1251" s="2" t="s">
        <v>453</v>
      </c>
      <c r="E1251" s="2" t="str">
        <f>VLOOKUP(Sales_Details2[[#This Row],[Customer_ID]],Customer_Details[#All],4,0)</f>
        <v>Senior</v>
      </c>
      <c r="F1251" s="2" t="str">
        <f>VLOOKUP(Sales_Details2[[#This Row],[Customer_ID]],Customer_Details[#All],5,0)</f>
        <v>Male</v>
      </c>
      <c r="G1251" s="2" t="str">
        <f>VLOOKUP(Sales_Details2[[#This Row],[Customer_ID]],Customer_Details[#All],9,0)</f>
        <v>Gold</v>
      </c>
      <c r="H1251" s="2" t="s">
        <v>1719</v>
      </c>
      <c r="I1251" s="2" t="str">
        <f>VLOOKUP(Sales_Details2[[#This Row],[Product_ID]],Product_details[[#All],[Product_ID]:[Cost]],3,0)</f>
        <v>Beauty</v>
      </c>
      <c r="J1251" s="2" t="str">
        <f>VLOOKUP(Sales_Details2[[#This Row],[Product_ID]],Product_details[[#All],[Product_ID]:[Cost]],4,0)</f>
        <v>Skincare</v>
      </c>
      <c r="K1251" s="2" t="s">
        <v>1787</v>
      </c>
      <c r="L1251" s="2" t="str">
        <f>_xlfn.XLOOKUP(Sales_Details2[[#This Row],[Store_ID]],Table2[Store_ID],Table2[Region],"Region not found")</f>
        <v>West</v>
      </c>
      <c r="M1251" s="25">
        <v>3</v>
      </c>
      <c r="N1251" s="36">
        <v>517.98</v>
      </c>
      <c r="O1251" s="29">
        <v>0.01</v>
      </c>
      <c r="P1251" s="2" t="s">
        <v>1809</v>
      </c>
      <c r="Q1251" s="36">
        <v>1538.4005999999999</v>
      </c>
    </row>
    <row r="1252" spans="1:17" x14ac:dyDescent="0.3">
      <c r="A1252" s="2" t="s">
        <v>3059</v>
      </c>
      <c r="B1252" s="14">
        <v>45847</v>
      </c>
      <c r="C1252" s="2">
        <f>YEAR(Sales_Details2[[#This Row],[Order_Date]])</f>
        <v>2025</v>
      </c>
      <c r="D1252" s="2" t="s">
        <v>143</v>
      </c>
      <c r="E1252" s="2" t="str">
        <f>VLOOKUP(Sales_Details2[[#This Row],[Customer_ID]],Customer_Details[#All],4,0)</f>
        <v>Adult</v>
      </c>
      <c r="F1252" s="2" t="str">
        <f>VLOOKUP(Sales_Details2[[#This Row],[Customer_ID]],Customer_Details[#All],5,0)</f>
        <v>Female</v>
      </c>
      <c r="G1252" s="2" t="str">
        <f>VLOOKUP(Sales_Details2[[#This Row],[Customer_ID]],Customer_Details[#All],9,0)</f>
        <v>Gold</v>
      </c>
      <c r="H1252" s="2" t="s">
        <v>1540</v>
      </c>
      <c r="I1252" s="2" t="str">
        <f>VLOOKUP(Sales_Details2[[#This Row],[Product_ID]],Product_details[[#All],[Product_ID]:[Cost]],3,0)</f>
        <v>Beauty</v>
      </c>
      <c r="J1252" s="2" t="str">
        <f>VLOOKUP(Sales_Details2[[#This Row],[Product_ID]],Product_details[[#All],[Product_ID]:[Cost]],4,0)</f>
        <v>Skincare</v>
      </c>
      <c r="K1252" s="2" t="s">
        <v>1765</v>
      </c>
      <c r="L1252" s="2" t="str">
        <f>_xlfn.XLOOKUP(Sales_Details2[[#This Row],[Store_ID]],Table2[Store_ID],Table2[Region],"Region not found")</f>
        <v>West</v>
      </c>
      <c r="M1252" s="25">
        <v>1</v>
      </c>
      <c r="N1252" s="36">
        <v>98.27</v>
      </c>
      <c r="O1252" s="29">
        <v>0.16</v>
      </c>
      <c r="P1252" s="2" t="s">
        <v>1809</v>
      </c>
      <c r="Q1252" s="36">
        <v>82.54679999999999</v>
      </c>
    </row>
    <row r="1253" spans="1:17" x14ac:dyDescent="0.3">
      <c r="A1253" s="2" t="s">
        <v>3060</v>
      </c>
      <c r="B1253" s="14">
        <v>45480</v>
      </c>
      <c r="C1253" s="2">
        <f>YEAR(Sales_Details2[[#This Row],[Order_Date]])</f>
        <v>2024</v>
      </c>
      <c r="D1253" s="2" t="s">
        <v>797</v>
      </c>
      <c r="E1253" s="2" t="str">
        <f>VLOOKUP(Sales_Details2[[#This Row],[Customer_ID]],Customer_Details[#All],4,0)</f>
        <v>Senior</v>
      </c>
      <c r="F1253" s="2" t="str">
        <f>VLOOKUP(Sales_Details2[[#This Row],[Customer_ID]],Customer_Details[#All],5,0)</f>
        <v>Male</v>
      </c>
      <c r="G1253" s="2" t="str">
        <f>VLOOKUP(Sales_Details2[[#This Row],[Customer_ID]],Customer_Details[#All],9,0)</f>
        <v>Silver</v>
      </c>
      <c r="H1253" s="2" t="s">
        <v>1627</v>
      </c>
      <c r="I1253" s="2" t="str">
        <f>VLOOKUP(Sales_Details2[[#This Row],[Product_ID]],Product_details[[#All],[Product_ID]:[Cost]],3,0)</f>
        <v>Electronics</v>
      </c>
      <c r="J1253" s="2" t="str">
        <f>VLOOKUP(Sales_Details2[[#This Row],[Product_ID]],Product_details[[#All],[Product_ID]:[Cost]],4,0)</f>
        <v>Accessories</v>
      </c>
      <c r="K1253" s="2" t="s">
        <v>1775</v>
      </c>
      <c r="L1253" s="2" t="str">
        <f>_xlfn.XLOOKUP(Sales_Details2[[#This Row],[Store_ID]],Table2[Store_ID],Table2[Region],"Region not found")</f>
        <v>South</v>
      </c>
      <c r="M1253" s="25">
        <v>2</v>
      </c>
      <c r="N1253" s="36">
        <v>875.2</v>
      </c>
      <c r="O1253" s="29">
        <v>0.19</v>
      </c>
      <c r="P1253" s="2" t="s">
        <v>1807</v>
      </c>
      <c r="Q1253" s="36">
        <v>1417.8240000000001</v>
      </c>
    </row>
    <row r="1254" spans="1:17" x14ac:dyDescent="0.3">
      <c r="A1254" s="2" t="s">
        <v>3061</v>
      </c>
      <c r="B1254" s="14">
        <v>45345</v>
      </c>
      <c r="C1254" s="2">
        <f>YEAR(Sales_Details2[[#This Row],[Order_Date]])</f>
        <v>2024</v>
      </c>
      <c r="D1254" s="2" t="s">
        <v>953</v>
      </c>
      <c r="E1254" s="2" t="str">
        <f>VLOOKUP(Sales_Details2[[#This Row],[Customer_ID]],Customer_Details[#All],4,0)</f>
        <v>Senior</v>
      </c>
      <c r="F1254" s="2" t="str">
        <f>VLOOKUP(Sales_Details2[[#This Row],[Customer_ID]],Customer_Details[#All],5,0)</f>
        <v>Male</v>
      </c>
      <c r="G1254" s="2" t="str">
        <f>VLOOKUP(Sales_Details2[[#This Row],[Customer_ID]],Customer_Details[#All],9,0)</f>
        <v>Platinum</v>
      </c>
      <c r="H1254" s="2" t="s">
        <v>1703</v>
      </c>
      <c r="I1254" s="2" t="str">
        <f>VLOOKUP(Sales_Details2[[#This Row],[Product_ID]],Product_details[[#All],[Product_ID]:[Cost]],3,0)</f>
        <v>Home</v>
      </c>
      <c r="J1254" s="2" t="str">
        <f>VLOOKUP(Sales_Details2[[#This Row],[Product_ID]],Product_details[[#All],[Product_ID]:[Cost]],4,0)</f>
        <v>Kitchen</v>
      </c>
      <c r="K1254" s="2" t="s">
        <v>1735</v>
      </c>
      <c r="L1254" s="2" t="str">
        <f>_xlfn.XLOOKUP(Sales_Details2[[#This Row],[Store_ID]],Table2[Store_ID],Table2[Region],"Region not found")</f>
        <v>East</v>
      </c>
      <c r="M1254" s="25">
        <v>1</v>
      </c>
      <c r="N1254" s="36">
        <v>227.35</v>
      </c>
      <c r="O1254" s="29">
        <v>0.06</v>
      </c>
      <c r="P1254" s="2" t="s">
        <v>1812</v>
      </c>
      <c r="Q1254" s="36">
        <v>213.709</v>
      </c>
    </row>
    <row r="1255" spans="1:17" x14ac:dyDescent="0.3">
      <c r="A1255" s="2" t="s">
        <v>3062</v>
      </c>
      <c r="B1255" s="14">
        <v>45235</v>
      </c>
      <c r="C1255" s="2">
        <f>YEAR(Sales_Details2[[#This Row],[Order_Date]])</f>
        <v>2023</v>
      </c>
      <c r="D1255" s="2" t="s">
        <v>678</v>
      </c>
      <c r="E1255" s="2" t="str">
        <f>VLOOKUP(Sales_Details2[[#This Row],[Customer_ID]],Customer_Details[#All],4,0)</f>
        <v>Mid-Adult</v>
      </c>
      <c r="F1255" s="2" t="str">
        <f>VLOOKUP(Sales_Details2[[#This Row],[Customer_ID]],Customer_Details[#All],5,0)</f>
        <v>Male</v>
      </c>
      <c r="G1255" s="2" t="str">
        <f>VLOOKUP(Sales_Details2[[#This Row],[Customer_ID]],Customer_Details[#All],9,0)</f>
        <v>Silver</v>
      </c>
      <c r="H1255" s="2" t="s">
        <v>1679</v>
      </c>
      <c r="I1255" s="2" t="str">
        <f>VLOOKUP(Sales_Details2[[#This Row],[Product_ID]],Product_details[[#All],[Product_ID]:[Cost]],3,0)</f>
        <v>Electronics</v>
      </c>
      <c r="J1255" s="2" t="str">
        <f>VLOOKUP(Sales_Details2[[#This Row],[Product_ID]],Product_details[[#All],[Product_ID]:[Cost]],4,0)</f>
        <v>Audio</v>
      </c>
      <c r="K1255" s="2" t="s">
        <v>1740</v>
      </c>
      <c r="L1255" s="2" t="str">
        <f>_xlfn.XLOOKUP(Sales_Details2[[#This Row],[Store_ID]],Table2[Store_ID],Table2[Region],"Region not found")</f>
        <v>North</v>
      </c>
      <c r="M1255" s="25">
        <v>1</v>
      </c>
      <c r="N1255" s="36">
        <v>842.46</v>
      </c>
      <c r="O1255" s="29">
        <v>0.05</v>
      </c>
      <c r="P1255" s="2" t="s">
        <v>1812</v>
      </c>
      <c r="Q1255" s="36">
        <v>800.33699999999999</v>
      </c>
    </row>
    <row r="1256" spans="1:17" x14ac:dyDescent="0.3">
      <c r="A1256" s="2" t="s">
        <v>3063</v>
      </c>
      <c r="B1256" s="14">
        <v>45543</v>
      </c>
      <c r="C1256" s="2">
        <f>YEAR(Sales_Details2[[#This Row],[Order_Date]])</f>
        <v>2024</v>
      </c>
      <c r="D1256" s="2" t="s">
        <v>684</v>
      </c>
      <c r="E1256" s="2" t="str">
        <f>VLOOKUP(Sales_Details2[[#This Row],[Customer_ID]],Customer_Details[#All],4,0)</f>
        <v>Senior</v>
      </c>
      <c r="F1256" s="2" t="str">
        <f>VLOOKUP(Sales_Details2[[#This Row],[Customer_ID]],Customer_Details[#All],5,0)</f>
        <v>Female</v>
      </c>
      <c r="G1256" s="2" t="str">
        <f>VLOOKUP(Sales_Details2[[#This Row],[Customer_ID]],Customer_Details[#All],9,0)</f>
        <v>Platinum</v>
      </c>
      <c r="H1256" s="2" t="s">
        <v>1603</v>
      </c>
      <c r="I1256" s="2" t="str">
        <f>VLOOKUP(Sales_Details2[[#This Row],[Product_ID]],Product_details[[#All],[Product_ID]:[Cost]],3,0)</f>
        <v>Clothing</v>
      </c>
      <c r="J1256" s="2" t="str">
        <f>VLOOKUP(Sales_Details2[[#This Row],[Product_ID]],Product_details[[#All],[Product_ID]:[Cost]],4,0)</f>
        <v>Tops</v>
      </c>
      <c r="K1256" s="2" t="s">
        <v>1775</v>
      </c>
      <c r="L1256" s="2" t="str">
        <f>_xlfn.XLOOKUP(Sales_Details2[[#This Row],[Store_ID]],Table2[Store_ID],Table2[Region],"Region not found")</f>
        <v>South</v>
      </c>
      <c r="M1256" s="25">
        <v>3</v>
      </c>
      <c r="N1256" s="36">
        <v>120.67</v>
      </c>
      <c r="O1256" s="29">
        <v>0.08</v>
      </c>
      <c r="P1256" s="2" t="s">
        <v>1812</v>
      </c>
      <c r="Q1256" s="36">
        <v>333.04919999999998</v>
      </c>
    </row>
    <row r="1257" spans="1:17" x14ac:dyDescent="0.3">
      <c r="A1257" s="2" t="s">
        <v>3064</v>
      </c>
      <c r="B1257" s="14">
        <v>45402</v>
      </c>
      <c r="C1257" s="2">
        <f>YEAR(Sales_Details2[[#This Row],[Order_Date]])</f>
        <v>2024</v>
      </c>
      <c r="D1257" s="2" t="s">
        <v>1510</v>
      </c>
      <c r="E1257" s="2" t="str">
        <f>VLOOKUP(Sales_Details2[[#This Row],[Customer_ID]],Customer_Details[#All],4,0)</f>
        <v>Mid-Adult</v>
      </c>
      <c r="F1257" s="2" t="str">
        <f>VLOOKUP(Sales_Details2[[#This Row],[Customer_ID]],Customer_Details[#All],5,0)</f>
        <v>Female</v>
      </c>
      <c r="G1257" s="2" t="str">
        <f>VLOOKUP(Sales_Details2[[#This Row],[Customer_ID]],Customer_Details[#All],9,0)</f>
        <v>Gold</v>
      </c>
      <c r="H1257" s="2" t="s">
        <v>1571</v>
      </c>
      <c r="I1257" s="2" t="str">
        <f>VLOOKUP(Sales_Details2[[#This Row],[Product_ID]],Product_details[[#All],[Product_ID]:[Cost]],3,0)</f>
        <v>Sports</v>
      </c>
      <c r="J1257" s="2" t="str">
        <f>VLOOKUP(Sales_Details2[[#This Row],[Product_ID]],Product_details[[#All],[Product_ID]:[Cost]],4,0)</f>
        <v>Accessories</v>
      </c>
      <c r="K1257" s="2" t="s">
        <v>1749</v>
      </c>
      <c r="L1257" s="2" t="str">
        <f>_xlfn.XLOOKUP(Sales_Details2[[#This Row],[Store_ID]],Table2[Store_ID],Table2[Region],"Region not found")</f>
        <v>North</v>
      </c>
      <c r="M1257" s="25">
        <v>4</v>
      </c>
      <c r="N1257" s="36">
        <v>176.13</v>
      </c>
      <c r="O1257" s="29">
        <v>0.27</v>
      </c>
      <c r="P1257" s="2" t="s">
        <v>1809</v>
      </c>
      <c r="Q1257" s="36">
        <v>514.29959999999994</v>
      </c>
    </row>
    <row r="1258" spans="1:17" x14ac:dyDescent="0.3">
      <c r="A1258" s="2" t="s">
        <v>3065</v>
      </c>
      <c r="B1258" s="14">
        <v>45671</v>
      </c>
      <c r="C1258" s="2">
        <f>YEAR(Sales_Details2[[#This Row],[Order_Date]])</f>
        <v>2025</v>
      </c>
      <c r="D1258" s="2" t="s">
        <v>1376</v>
      </c>
      <c r="E1258" s="2" t="str">
        <f>VLOOKUP(Sales_Details2[[#This Row],[Customer_ID]],Customer_Details[#All],4,0)</f>
        <v>Senior</v>
      </c>
      <c r="F1258" s="2" t="str">
        <f>VLOOKUP(Sales_Details2[[#This Row],[Customer_ID]],Customer_Details[#All],5,0)</f>
        <v>Male</v>
      </c>
      <c r="G1258" s="2" t="str">
        <f>VLOOKUP(Sales_Details2[[#This Row],[Customer_ID]],Customer_Details[#All],9,0)</f>
        <v>Bronze</v>
      </c>
      <c r="H1258" s="2" t="s">
        <v>1657</v>
      </c>
      <c r="I1258" s="2" t="str">
        <f>VLOOKUP(Sales_Details2[[#This Row],[Product_ID]],Product_details[[#All],[Product_ID]:[Cost]],3,0)</f>
        <v>Beauty</v>
      </c>
      <c r="J1258" s="2" t="str">
        <f>VLOOKUP(Sales_Details2[[#This Row],[Product_ID]],Product_details[[#All],[Product_ID]:[Cost]],4,0)</f>
        <v>Skincare</v>
      </c>
      <c r="K1258" s="2" t="s">
        <v>1775</v>
      </c>
      <c r="L1258" s="2" t="str">
        <f>_xlfn.XLOOKUP(Sales_Details2[[#This Row],[Store_ID]],Table2[Store_ID],Table2[Region],"Region not found")</f>
        <v>South</v>
      </c>
      <c r="M1258" s="25">
        <v>4</v>
      </c>
      <c r="N1258" s="36">
        <v>592.67999999999995</v>
      </c>
      <c r="O1258" s="29">
        <v>0.03</v>
      </c>
      <c r="P1258" s="2" t="s">
        <v>1807</v>
      </c>
      <c r="Q1258" s="36">
        <v>2299.5983999999999</v>
      </c>
    </row>
    <row r="1259" spans="1:17" x14ac:dyDescent="0.3">
      <c r="A1259" s="2" t="s">
        <v>3066</v>
      </c>
      <c r="B1259" s="14">
        <v>45367</v>
      </c>
      <c r="C1259" s="2">
        <f>YEAR(Sales_Details2[[#This Row],[Order_Date]])</f>
        <v>2024</v>
      </c>
      <c r="D1259" s="2" t="s">
        <v>576</v>
      </c>
      <c r="E1259" s="2" t="str">
        <f>VLOOKUP(Sales_Details2[[#This Row],[Customer_ID]],Customer_Details[#All],4,0)</f>
        <v>Mid-Adult</v>
      </c>
      <c r="F1259" s="2" t="str">
        <f>VLOOKUP(Sales_Details2[[#This Row],[Customer_ID]],Customer_Details[#All],5,0)</f>
        <v>Male</v>
      </c>
      <c r="G1259" s="2" t="str">
        <f>VLOOKUP(Sales_Details2[[#This Row],[Customer_ID]],Customer_Details[#All],9,0)</f>
        <v>Silver</v>
      </c>
      <c r="H1259" s="2" t="s">
        <v>1671</v>
      </c>
      <c r="I1259" s="2" t="str">
        <f>VLOOKUP(Sales_Details2[[#This Row],[Product_ID]],Product_details[[#All],[Product_ID]:[Cost]],3,0)</f>
        <v>Home</v>
      </c>
      <c r="J1259" s="2" t="str">
        <f>VLOOKUP(Sales_Details2[[#This Row],[Product_ID]],Product_details[[#All],[Product_ID]:[Cost]],4,0)</f>
        <v>Storage</v>
      </c>
      <c r="K1259" s="2" t="s">
        <v>1752</v>
      </c>
      <c r="L1259" s="2" t="str">
        <f>_xlfn.XLOOKUP(Sales_Details2[[#This Row],[Store_ID]],Table2[Store_ID],Table2[Region],"Region not found")</f>
        <v>South</v>
      </c>
      <c r="M1259" s="25">
        <v>4</v>
      </c>
      <c r="N1259" s="36">
        <v>662.43</v>
      </c>
      <c r="O1259" s="29">
        <v>0.24</v>
      </c>
      <c r="P1259" s="2" t="s">
        <v>1809</v>
      </c>
      <c r="Q1259" s="36">
        <v>2013.7872</v>
      </c>
    </row>
    <row r="1260" spans="1:17" x14ac:dyDescent="0.3">
      <c r="A1260" s="2" t="s">
        <v>3067</v>
      </c>
      <c r="B1260" s="14">
        <v>45488</v>
      </c>
      <c r="C1260" s="2">
        <f>YEAR(Sales_Details2[[#This Row],[Order_Date]])</f>
        <v>2024</v>
      </c>
      <c r="D1260" s="2" t="s">
        <v>436</v>
      </c>
      <c r="E1260" s="2" t="str">
        <f>VLOOKUP(Sales_Details2[[#This Row],[Customer_ID]],Customer_Details[#All],4,0)</f>
        <v>Mid-Adult</v>
      </c>
      <c r="F1260" s="2" t="str">
        <f>VLOOKUP(Sales_Details2[[#This Row],[Customer_ID]],Customer_Details[#All],5,0)</f>
        <v>Male</v>
      </c>
      <c r="G1260" s="2" t="str">
        <f>VLOOKUP(Sales_Details2[[#This Row],[Customer_ID]],Customer_Details[#All],9,0)</f>
        <v>Silver</v>
      </c>
      <c r="H1260" s="2" t="s">
        <v>1617</v>
      </c>
      <c r="I1260" s="2" t="str">
        <f>VLOOKUP(Sales_Details2[[#This Row],[Product_ID]],Product_details[[#All],[Product_ID]:[Cost]],3,0)</f>
        <v>Electronics</v>
      </c>
      <c r="J1260" s="2" t="str">
        <f>VLOOKUP(Sales_Details2[[#This Row],[Product_ID]],Product_details[[#All],[Product_ID]:[Cost]],4,0)</f>
        <v>Computer</v>
      </c>
      <c r="K1260" s="2" t="s">
        <v>1765</v>
      </c>
      <c r="L1260" s="2" t="str">
        <f>_xlfn.XLOOKUP(Sales_Details2[[#This Row],[Store_ID]],Table2[Store_ID],Table2[Region],"Region not found")</f>
        <v>West</v>
      </c>
      <c r="M1260" s="25">
        <v>3</v>
      </c>
      <c r="N1260" s="36">
        <v>518.35</v>
      </c>
      <c r="O1260" s="29">
        <v>0.21</v>
      </c>
      <c r="P1260" s="2" t="s">
        <v>1812</v>
      </c>
      <c r="Q1260" s="36">
        <v>1228.4894999999999</v>
      </c>
    </row>
    <row r="1261" spans="1:17" x14ac:dyDescent="0.3">
      <c r="A1261" s="2" t="s">
        <v>3068</v>
      </c>
      <c r="B1261" s="14">
        <v>45509</v>
      </c>
      <c r="C1261" s="2">
        <f>YEAR(Sales_Details2[[#This Row],[Order_Date]])</f>
        <v>2024</v>
      </c>
      <c r="D1261" s="2" t="s">
        <v>968</v>
      </c>
      <c r="E1261" s="2" t="str">
        <f>VLOOKUP(Sales_Details2[[#This Row],[Customer_ID]],Customer_Details[#All],4,0)</f>
        <v>Adult</v>
      </c>
      <c r="F1261" s="2" t="str">
        <f>VLOOKUP(Sales_Details2[[#This Row],[Customer_ID]],Customer_Details[#All],5,0)</f>
        <v>Male</v>
      </c>
      <c r="G1261" s="2" t="str">
        <f>VLOOKUP(Sales_Details2[[#This Row],[Customer_ID]],Customer_Details[#All],9,0)</f>
        <v>Silver</v>
      </c>
      <c r="H1261" s="2" t="s">
        <v>1653</v>
      </c>
      <c r="I1261" s="2" t="str">
        <f>VLOOKUP(Sales_Details2[[#This Row],[Product_ID]],Product_details[[#All],[Product_ID]:[Cost]],3,0)</f>
        <v>Sports</v>
      </c>
      <c r="J1261" s="2" t="str">
        <f>VLOOKUP(Sales_Details2[[#This Row],[Product_ID]],Product_details[[#All],[Product_ID]:[Cost]],4,0)</f>
        <v>Equipment</v>
      </c>
      <c r="K1261" s="2" t="s">
        <v>1756</v>
      </c>
      <c r="L1261" s="2" t="str">
        <f>_xlfn.XLOOKUP(Sales_Details2[[#This Row],[Store_ID]],Table2[Store_ID],Table2[Region],"Region not found")</f>
        <v>North</v>
      </c>
      <c r="M1261" s="25">
        <v>1</v>
      </c>
      <c r="N1261" s="36">
        <v>85.58</v>
      </c>
      <c r="O1261" s="29">
        <v>0.1</v>
      </c>
      <c r="P1261" s="2" t="s">
        <v>1812</v>
      </c>
      <c r="Q1261" s="36">
        <v>77.022000000000006</v>
      </c>
    </row>
    <row r="1262" spans="1:17" x14ac:dyDescent="0.3">
      <c r="A1262" s="2" t="s">
        <v>3069</v>
      </c>
      <c r="B1262" s="14">
        <v>45323</v>
      </c>
      <c r="C1262" s="2">
        <f>YEAR(Sales_Details2[[#This Row],[Order_Date]])</f>
        <v>2024</v>
      </c>
      <c r="D1262" s="2" t="s">
        <v>1123</v>
      </c>
      <c r="E1262" s="2" t="str">
        <f>VLOOKUP(Sales_Details2[[#This Row],[Customer_ID]],Customer_Details[#All],4,0)</f>
        <v>Adult</v>
      </c>
      <c r="F1262" s="2" t="str">
        <f>VLOOKUP(Sales_Details2[[#This Row],[Customer_ID]],Customer_Details[#All],5,0)</f>
        <v>Male</v>
      </c>
      <c r="G1262" s="2" t="str">
        <f>VLOOKUP(Sales_Details2[[#This Row],[Customer_ID]],Customer_Details[#All],9,0)</f>
        <v>Bronze</v>
      </c>
      <c r="H1262" s="2" t="s">
        <v>1705</v>
      </c>
      <c r="I1262" s="2" t="str">
        <f>VLOOKUP(Sales_Details2[[#This Row],[Product_ID]],Product_details[[#All],[Product_ID]:[Cost]],3,0)</f>
        <v>Home</v>
      </c>
      <c r="J1262" s="2" t="str">
        <f>VLOOKUP(Sales_Details2[[#This Row],[Product_ID]],Product_details[[#All],[Product_ID]:[Cost]],4,0)</f>
        <v>Lighting</v>
      </c>
      <c r="K1262" s="2" t="s">
        <v>1740</v>
      </c>
      <c r="L1262" s="2" t="str">
        <f>_xlfn.XLOOKUP(Sales_Details2[[#This Row],[Store_ID]],Table2[Store_ID],Table2[Region],"Region not found")</f>
        <v>North</v>
      </c>
      <c r="M1262" s="25">
        <v>4</v>
      </c>
      <c r="N1262" s="36">
        <v>800</v>
      </c>
      <c r="O1262" s="29">
        <v>0.2</v>
      </c>
      <c r="P1262" s="2" t="s">
        <v>1807</v>
      </c>
      <c r="Q1262" s="36">
        <v>2560</v>
      </c>
    </row>
    <row r="1263" spans="1:17" x14ac:dyDescent="0.3">
      <c r="A1263" s="2" t="s">
        <v>3070</v>
      </c>
      <c r="B1263" s="14">
        <v>45889</v>
      </c>
      <c r="C1263" s="2">
        <f>YEAR(Sales_Details2[[#This Row],[Order_Date]])</f>
        <v>2025</v>
      </c>
      <c r="D1263" s="2" t="s">
        <v>515</v>
      </c>
      <c r="E1263" s="2" t="str">
        <f>VLOOKUP(Sales_Details2[[#This Row],[Customer_ID]],Customer_Details[#All],4,0)</f>
        <v>Senior</v>
      </c>
      <c r="F1263" s="2" t="str">
        <f>VLOOKUP(Sales_Details2[[#This Row],[Customer_ID]],Customer_Details[#All],5,0)</f>
        <v>Female</v>
      </c>
      <c r="G1263" s="2" t="str">
        <f>VLOOKUP(Sales_Details2[[#This Row],[Customer_ID]],Customer_Details[#All],9,0)</f>
        <v>Gold</v>
      </c>
      <c r="H1263" s="2" t="s">
        <v>1651</v>
      </c>
      <c r="I1263" s="2" t="str">
        <f>VLOOKUP(Sales_Details2[[#This Row],[Product_ID]],Product_details[[#All],[Product_ID]:[Cost]],3,0)</f>
        <v>Beauty</v>
      </c>
      <c r="J1263" s="2" t="str">
        <f>VLOOKUP(Sales_Details2[[#This Row],[Product_ID]],Product_details[[#All],[Product_ID]:[Cost]],4,0)</f>
        <v>Fragrance</v>
      </c>
      <c r="K1263" s="2" t="s">
        <v>1772</v>
      </c>
      <c r="L1263" s="2" t="str">
        <f>_xlfn.XLOOKUP(Sales_Details2[[#This Row],[Store_ID]],Table2[Store_ID],Table2[Region],"Region not found")</f>
        <v>East</v>
      </c>
      <c r="M1263" s="25">
        <v>3</v>
      </c>
      <c r="N1263" s="36">
        <v>118.25</v>
      </c>
      <c r="O1263" s="29">
        <v>0.26</v>
      </c>
      <c r="P1263" s="2" t="s">
        <v>1809</v>
      </c>
      <c r="Q1263" s="36">
        <v>262.51499999999999</v>
      </c>
    </row>
    <row r="1264" spans="1:17" x14ac:dyDescent="0.3">
      <c r="A1264" s="2" t="s">
        <v>3071</v>
      </c>
      <c r="B1264" s="14">
        <v>45253</v>
      </c>
      <c r="C1264" s="2">
        <f>YEAR(Sales_Details2[[#This Row],[Order_Date]])</f>
        <v>2023</v>
      </c>
      <c r="D1264" s="2" t="s">
        <v>1292</v>
      </c>
      <c r="E1264" s="2" t="str">
        <f>VLOOKUP(Sales_Details2[[#This Row],[Customer_ID]],Customer_Details[#All],4,0)</f>
        <v>Mid-Adult</v>
      </c>
      <c r="F1264" s="2" t="str">
        <f>VLOOKUP(Sales_Details2[[#This Row],[Customer_ID]],Customer_Details[#All],5,0)</f>
        <v>Female</v>
      </c>
      <c r="G1264" s="2" t="str">
        <f>VLOOKUP(Sales_Details2[[#This Row],[Customer_ID]],Customer_Details[#All],9,0)</f>
        <v>Platinum</v>
      </c>
      <c r="H1264" s="2" t="s">
        <v>1595</v>
      </c>
      <c r="I1264" s="2" t="str">
        <f>VLOOKUP(Sales_Details2[[#This Row],[Product_ID]],Product_details[[#All],[Product_ID]:[Cost]],3,0)</f>
        <v>Beauty</v>
      </c>
      <c r="J1264" s="2" t="str">
        <f>VLOOKUP(Sales_Details2[[#This Row],[Product_ID]],Product_details[[#All],[Product_ID]:[Cost]],4,0)</f>
        <v>Skincare</v>
      </c>
      <c r="K1264" s="2" t="s">
        <v>1784</v>
      </c>
      <c r="L1264" s="2" t="str">
        <f>_xlfn.XLOOKUP(Sales_Details2[[#This Row],[Store_ID]],Table2[Store_ID],Table2[Region],"Region not found")</f>
        <v>North</v>
      </c>
      <c r="M1264" s="25">
        <v>1</v>
      </c>
      <c r="N1264" s="36">
        <v>223.25</v>
      </c>
      <c r="O1264" s="29">
        <v>0.28999999999999998</v>
      </c>
      <c r="P1264" s="2" t="s">
        <v>1807</v>
      </c>
      <c r="Q1264" s="36">
        <v>158.50749999999999</v>
      </c>
    </row>
    <row r="1265" spans="1:17" x14ac:dyDescent="0.3">
      <c r="A1265" s="2" t="s">
        <v>3072</v>
      </c>
      <c r="B1265" s="14">
        <v>45530</v>
      </c>
      <c r="C1265" s="2">
        <f>YEAR(Sales_Details2[[#This Row],[Order_Date]])</f>
        <v>2024</v>
      </c>
      <c r="D1265" s="2" t="s">
        <v>1309</v>
      </c>
      <c r="E1265" s="2" t="str">
        <f>VLOOKUP(Sales_Details2[[#This Row],[Customer_ID]],Customer_Details[#All],4,0)</f>
        <v>Adult</v>
      </c>
      <c r="F1265" s="2" t="str">
        <f>VLOOKUP(Sales_Details2[[#This Row],[Customer_ID]],Customer_Details[#All],5,0)</f>
        <v>Female</v>
      </c>
      <c r="G1265" s="2" t="str">
        <f>VLOOKUP(Sales_Details2[[#This Row],[Customer_ID]],Customer_Details[#All],9,0)</f>
        <v>Gold</v>
      </c>
      <c r="H1265" s="2" t="s">
        <v>1595</v>
      </c>
      <c r="I1265" s="2" t="str">
        <f>VLOOKUP(Sales_Details2[[#This Row],[Product_ID]],Product_details[[#All],[Product_ID]:[Cost]],3,0)</f>
        <v>Beauty</v>
      </c>
      <c r="J1265" s="2" t="str">
        <f>VLOOKUP(Sales_Details2[[#This Row],[Product_ID]],Product_details[[#All],[Product_ID]:[Cost]],4,0)</f>
        <v>Skincare</v>
      </c>
      <c r="K1265" s="2" t="s">
        <v>1752</v>
      </c>
      <c r="L1265" s="2" t="str">
        <f>_xlfn.XLOOKUP(Sales_Details2[[#This Row],[Store_ID]],Table2[Store_ID],Table2[Region],"Region not found")</f>
        <v>South</v>
      </c>
      <c r="M1265" s="25">
        <v>3</v>
      </c>
      <c r="N1265" s="36">
        <v>918.76</v>
      </c>
      <c r="O1265" s="29">
        <v>0.2</v>
      </c>
      <c r="P1265" s="2" t="s">
        <v>1809</v>
      </c>
      <c r="Q1265" s="36">
        <v>2205.0239999999999</v>
      </c>
    </row>
    <row r="1266" spans="1:17" x14ac:dyDescent="0.3">
      <c r="A1266" s="2" t="s">
        <v>3073</v>
      </c>
      <c r="B1266" s="14">
        <v>45491</v>
      </c>
      <c r="C1266" s="2">
        <f>YEAR(Sales_Details2[[#This Row],[Order_Date]])</f>
        <v>2024</v>
      </c>
      <c r="D1266" s="2" t="s">
        <v>882</v>
      </c>
      <c r="E1266" s="2" t="str">
        <f>VLOOKUP(Sales_Details2[[#This Row],[Customer_ID]],Customer_Details[#All],4,0)</f>
        <v>Mid-Adult</v>
      </c>
      <c r="F1266" s="2" t="str">
        <f>VLOOKUP(Sales_Details2[[#This Row],[Customer_ID]],Customer_Details[#All],5,0)</f>
        <v>Male</v>
      </c>
      <c r="G1266" s="2" t="str">
        <f>VLOOKUP(Sales_Details2[[#This Row],[Customer_ID]],Customer_Details[#All],9,0)</f>
        <v>Bronze</v>
      </c>
      <c r="H1266" s="2" t="s">
        <v>1699</v>
      </c>
      <c r="I1266" s="2" t="str">
        <f>VLOOKUP(Sales_Details2[[#This Row],[Product_ID]],Product_details[[#All],[Product_ID]:[Cost]],3,0)</f>
        <v>Home</v>
      </c>
      <c r="J1266" s="2" t="str">
        <f>VLOOKUP(Sales_Details2[[#This Row],[Product_ID]],Product_details[[#All],[Product_ID]:[Cost]],4,0)</f>
        <v>Furniture</v>
      </c>
      <c r="K1266" s="2" t="s">
        <v>1780</v>
      </c>
      <c r="L1266" s="2" t="str">
        <f>_xlfn.XLOOKUP(Sales_Details2[[#This Row],[Store_ID]],Table2[Store_ID],Table2[Region],"Region not found")</f>
        <v>East</v>
      </c>
      <c r="M1266" s="25">
        <v>2</v>
      </c>
      <c r="N1266" s="36">
        <v>905.26</v>
      </c>
      <c r="O1266" s="29">
        <v>0.15</v>
      </c>
      <c r="P1266" s="2" t="s">
        <v>1812</v>
      </c>
      <c r="Q1266" s="36">
        <v>1538.942</v>
      </c>
    </row>
    <row r="1267" spans="1:17" x14ac:dyDescent="0.3">
      <c r="A1267" s="2" t="s">
        <v>3074</v>
      </c>
      <c r="B1267" s="14">
        <v>45628</v>
      </c>
      <c r="C1267" s="2">
        <f>YEAR(Sales_Details2[[#This Row],[Order_Date]])</f>
        <v>2024</v>
      </c>
      <c r="D1267" s="2" t="s">
        <v>974</v>
      </c>
      <c r="E1267" s="2" t="str">
        <f>VLOOKUP(Sales_Details2[[#This Row],[Customer_ID]],Customer_Details[#All],4,0)</f>
        <v>Mid-Adult</v>
      </c>
      <c r="F1267" s="2" t="str">
        <f>VLOOKUP(Sales_Details2[[#This Row],[Customer_ID]],Customer_Details[#All],5,0)</f>
        <v>Female</v>
      </c>
      <c r="G1267" s="2" t="str">
        <f>VLOOKUP(Sales_Details2[[#This Row],[Customer_ID]],Customer_Details[#All],9,0)</f>
        <v>Silver</v>
      </c>
      <c r="H1267" s="2" t="s">
        <v>1563</v>
      </c>
      <c r="I1267" s="2" t="str">
        <f>VLOOKUP(Sales_Details2[[#This Row],[Product_ID]],Product_details[[#All],[Product_ID]:[Cost]],3,0)</f>
        <v>Beauty</v>
      </c>
      <c r="J1267" s="2" t="str">
        <f>VLOOKUP(Sales_Details2[[#This Row],[Product_ID]],Product_details[[#All],[Product_ID]:[Cost]],4,0)</f>
        <v>Grooming</v>
      </c>
      <c r="K1267" s="2" t="s">
        <v>1796</v>
      </c>
      <c r="L1267" s="2" t="str">
        <f>_xlfn.XLOOKUP(Sales_Details2[[#This Row],[Store_ID]],Table2[Store_ID],Table2[Region],"Region not found")</f>
        <v>East</v>
      </c>
      <c r="M1267" s="25">
        <v>4</v>
      </c>
      <c r="N1267" s="36">
        <v>295.39999999999998</v>
      </c>
      <c r="O1267" s="29">
        <v>0.23</v>
      </c>
      <c r="P1267" s="2" t="s">
        <v>1809</v>
      </c>
      <c r="Q1267" s="36">
        <v>909.83199999999999</v>
      </c>
    </row>
    <row r="1268" spans="1:17" x14ac:dyDescent="0.3">
      <c r="A1268" s="2" t="s">
        <v>3075</v>
      </c>
      <c r="B1268" s="14">
        <v>45861</v>
      </c>
      <c r="C1268" s="2">
        <f>YEAR(Sales_Details2[[#This Row],[Order_Date]])</f>
        <v>2025</v>
      </c>
      <c r="D1268" s="2" t="s">
        <v>310</v>
      </c>
      <c r="E1268" s="2" t="str">
        <f>VLOOKUP(Sales_Details2[[#This Row],[Customer_ID]],Customer_Details[#All],4,0)</f>
        <v>Senior</v>
      </c>
      <c r="F1268" s="2" t="str">
        <f>VLOOKUP(Sales_Details2[[#This Row],[Customer_ID]],Customer_Details[#All],5,0)</f>
        <v>Female</v>
      </c>
      <c r="G1268" s="2" t="str">
        <f>VLOOKUP(Sales_Details2[[#This Row],[Customer_ID]],Customer_Details[#All],9,0)</f>
        <v>Bronze</v>
      </c>
      <c r="H1268" s="2" t="s">
        <v>1719</v>
      </c>
      <c r="I1268" s="2" t="str">
        <f>VLOOKUP(Sales_Details2[[#This Row],[Product_ID]],Product_details[[#All],[Product_ID]:[Cost]],3,0)</f>
        <v>Beauty</v>
      </c>
      <c r="J1268" s="2" t="str">
        <f>VLOOKUP(Sales_Details2[[#This Row],[Product_ID]],Product_details[[#All],[Product_ID]:[Cost]],4,0)</f>
        <v>Skincare</v>
      </c>
      <c r="K1268" s="2" t="s">
        <v>1756</v>
      </c>
      <c r="L1268" s="2" t="str">
        <f>_xlfn.XLOOKUP(Sales_Details2[[#This Row],[Store_ID]],Table2[Store_ID],Table2[Region],"Region not found")</f>
        <v>North</v>
      </c>
      <c r="M1268" s="25">
        <v>1</v>
      </c>
      <c r="N1268" s="36">
        <v>252.18</v>
      </c>
      <c r="O1268" s="29">
        <v>0.23</v>
      </c>
      <c r="P1268" s="2" t="s">
        <v>1809</v>
      </c>
      <c r="Q1268" s="36">
        <v>194.17859999999999</v>
      </c>
    </row>
    <row r="1269" spans="1:17" x14ac:dyDescent="0.3">
      <c r="A1269" s="2" t="s">
        <v>3076</v>
      </c>
      <c r="B1269" s="14">
        <v>45878</v>
      </c>
      <c r="C1269" s="2">
        <f>YEAR(Sales_Details2[[#This Row],[Order_Date]])</f>
        <v>2025</v>
      </c>
      <c r="D1269" s="2" t="s">
        <v>506</v>
      </c>
      <c r="E1269" s="2" t="str">
        <f>VLOOKUP(Sales_Details2[[#This Row],[Customer_ID]],Customer_Details[#All],4,0)</f>
        <v>Mid-Adult</v>
      </c>
      <c r="F1269" s="2" t="str">
        <f>VLOOKUP(Sales_Details2[[#This Row],[Customer_ID]],Customer_Details[#All],5,0)</f>
        <v>Female</v>
      </c>
      <c r="G1269" s="2" t="str">
        <f>VLOOKUP(Sales_Details2[[#This Row],[Customer_ID]],Customer_Details[#All],9,0)</f>
        <v>Platinum</v>
      </c>
      <c r="H1269" s="2" t="s">
        <v>1725</v>
      </c>
      <c r="I1269" s="2" t="str">
        <f>VLOOKUP(Sales_Details2[[#This Row],[Product_ID]],Product_details[[#All],[Product_ID]:[Cost]],3,0)</f>
        <v>Sports</v>
      </c>
      <c r="J1269" s="2" t="str">
        <f>VLOOKUP(Sales_Details2[[#This Row],[Product_ID]],Product_details[[#All],[Product_ID]:[Cost]],4,0)</f>
        <v>Team Sports</v>
      </c>
      <c r="K1269" s="2" t="s">
        <v>1777</v>
      </c>
      <c r="L1269" s="2" t="str">
        <f>_xlfn.XLOOKUP(Sales_Details2[[#This Row],[Store_ID]],Table2[Store_ID],Table2[Region],"Region not found")</f>
        <v>North</v>
      </c>
      <c r="M1269" s="25">
        <v>4</v>
      </c>
      <c r="N1269" s="36">
        <v>792.1</v>
      </c>
      <c r="O1269" s="29">
        <v>0.19</v>
      </c>
      <c r="P1269" s="2" t="s">
        <v>1812</v>
      </c>
      <c r="Q1269" s="36">
        <v>2566.404</v>
      </c>
    </row>
    <row r="1270" spans="1:17" x14ac:dyDescent="0.3">
      <c r="A1270" s="2" t="s">
        <v>3077</v>
      </c>
      <c r="B1270" s="14">
        <v>45426</v>
      </c>
      <c r="C1270" s="2">
        <f>YEAR(Sales_Details2[[#This Row],[Order_Date]])</f>
        <v>2024</v>
      </c>
      <c r="D1270" s="2" t="s">
        <v>275</v>
      </c>
      <c r="E1270" s="2" t="str">
        <f>VLOOKUP(Sales_Details2[[#This Row],[Customer_ID]],Customer_Details[#All],4,0)</f>
        <v>Mid-Adult</v>
      </c>
      <c r="F1270" s="2" t="str">
        <f>VLOOKUP(Sales_Details2[[#This Row],[Customer_ID]],Customer_Details[#All],5,0)</f>
        <v>Male</v>
      </c>
      <c r="G1270" s="2" t="str">
        <f>VLOOKUP(Sales_Details2[[#This Row],[Customer_ID]],Customer_Details[#All],9,0)</f>
        <v>Gold</v>
      </c>
      <c r="H1270" s="2" t="s">
        <v>1707</v>
      </c>
      <c r="I1270" s="2" t="str">
        <f>VLOOKUP(Sales_Details2[[#This Row],[Product_ID]],Product_details[[#All],[Product_ID]:[Cost]],3,0)</f>
        <v>Sports</v>
      </c>
      <c r="J1270" s="2" t="str">
        <f>VLOOKUP(Sales_Details2[[#This Row],[Product_ID]],Product_details[[#All],[Product_ID]:[Cost]],4,0)</f>
        <v>Accessories</v>
      </c>
      <c r="K1270" s="2" t="s">
        <v>1782</v>
      </c>
      <c r="L1270" s="2" t="str">
        <f>_xlfn.XLOOKUP(Sales_Details2[[#This Row],[Store_ID]],Table2[Store_ID],Table2[Region],"Region not found")</f>
        <v>South</v>
      </c>
      <c r="M1270" s="25">
        <v>1</v>
      </c>
      <c r="N1270" s="36">
        <v>883.36</v>
      </c>
      <c r="O1270" s="29">
        <v>0.11</v>
      </c>
      <c r="P1270" s="2" t="s">
        <v>1809</v>
      </c>
      <c r="Q1270" s="36">
        <v>786.19040000000007</v>
      </c>
    </row>
    <row r="1271" spans="1:17" x14ac:dyDescent="0.3">
      <c r="A1271" s="2" t="s">
        <v>3078</v>
      </c>
      <c r="B1271" s="14">
        <v>45231</v>
      </c>
      <c r="C1271" s="2">
        <f>YEAR(Sales_Details2[[#This Row],[Order_Date]])</f>
        <v>2023</v>
      </c>
      <c r="D1271" s="2" t="s">
        <v>870</v>
      </c>
      <c r="E1271" s="2" t="str">
        <f>VLOOKUP(Sales_Details2[[#This Row],[Customer_ID]],Customer_Details[#All],4,0)</f>
        <v>Mid-Adult</v>
      </c>
      <c r="F1271" s="2" t="str">
        <f>VLOOKUP(Sales_Details2[[#This Row],[Customer_ID]],Customer_Details[#All],5,0)</f>
        <v>Male</v>
      </c>
      <c r="G1271" s="2" t="str">
        <f>VLOOKUP(Sales_Details2[[#This Row],[Customer_ID]],Customer_Details[#All],9,0)</f>
        <v>Gold</v>
      </c>
      <c r="H1271" s="2" t="s">
        <v>1669</v>
      </c>
      <c r="I1271" s="2" t="str">
        <f>VLOOKUP(Sales_Details2[[#This Row],[Product_ID]],Product_details[[#All],[Product_ID]:[Cost]],3,0)</f>
        <v>Clothing</v>
      </c>
      <c r="J1271" s="2" t="str">
        <f>VLOOKUP(Sales_Details2[[#This Row],[Product_ID]],Product_details[[#All],[Product_ID]:[Cost]],4,0)</f>
        <v>Bottoms</v>
      </c>
      <c r="K1271" s="2" t="s">
        <v>1735</v>
      </c>
      <c r="L1271" s="2" t="str">
        <f>_xlfn.XLOOKUP(Sales_Details2[[#This Row],[Store_ID]],Table2[Store_ID],Table2[Region],"Region not found")</f>
        <v>East</v>
      </c>
      <c r="M1271" s="25">
        <v>4</v>
      </c>
      <c r="N1271" s="36">
        <v>305.95</v>
      </c>
      <c r="O1271" s="29">
        <v>0.08</v>
      </c>
      <c r="P1271" s="2" t="s">
        <v>1809</v>
      </c>
      <c r="Q1271" s="36">
        <v>1125.896</v>
      </c>
    </row>
    <row r="1272" spans="1:17" x14ac:dyDescent="0.3">
      <c r="A1272" s="2" t="s">
        <v>3079</v>
      </c>
      <c r="B1272" s="14">
        <v>45609</v>
      </c>
      <c r="C1272" s="2">
        <f>YEAR(Sales_Details2[[#This Row],[Order_Date]])</f>
        <v>2024</v>
      </c>
      <c r="D1272" s="2" t="s">
        <v>1235</v>
      </c>
      <c r="E1272" s="2" t="str">
        <f>VLOOKUP(Sales_Details2[[#This Row],[Customer_ID]],Customer_Details[#All],4,0)</f>
        <v>Senior</v>
      </c>
      <c r="F1272" s="2" t="str">
        <f>VLOOKUP(Sales_Details2[[#This Row],[Customer_ID]],Customer_Details[#All],5,0)</f>
        <v>Female</v>
      </c>
      <c r="G1272" s="2" t="str">
        <f>VLOOKUP(Sales_Details2[[#This Row],[Customer_ID]],Customer_Details[#All],9,0)</f>
        <v>Platinum</v>
      </c>
      <c r="H1272" s="2" t="s">
        <v>1647</v>
      </c>
      <c r="I1272" s="2" t="str">
        <f>VLOOKUP(Sales_Details2[[#This Row],[Product_ID]],Product_details[[#All],[Product_ID]:[Cost]],3,0)</f>
        <v>Clothing</v>
      </c>
      <c r="J1272" s="2" t="str">
        <f>VLOOKUP(Sales_Details2[[#This Row],[Product_ID]],Product_details[[#All],[Product_ID]:[Cost]],4,0)</f>
        <v>Accessories</v>
      </c>
      <c r="K1272" s="2" t="s">
        <v>1762</v>
      </c>
      <c r="L1272" s="2" t="str">
        <f>_xlfn.XLOOKUP(Sales_Details2[[#This Row],[Store_ID]],Table2[Store_ID],Table2[Region],"Region not found")</f>
        <v>South</v>
      </c>
      <c r="M1272" s="25">
        <v>3</v>
      </c>
      <c r="N1272" s="36">
        <v>742.45</v>
      </c>
      <c r="O1272" s="29">
        <v>0.23</v>
      </c>
      <c r="P1272" s="2" t="s">
        <v>1812</v>
      </c>
      <c r="Q1272" s="36">
        <v>1715.0595000000001</v>
      </c>
    </row>
    <row r="1273" spans="1:17" x14ac:dyDescent="0.3">
      <c r="A1273" s="2" t="s">
        <v>3080</v>
      </c>
      <c r="B1273" s="14">
        <v>45392</v>
      </c>
      <c r="C1273" s="2">
        <f>YEAR(Sales_Details2[[#This Row],[Order_Date]])</f>
        <v>2024</v>
      </c>
      <c r="D1273" s="2" t="s">
        <v>1100</v>
      </c>
      <c r="E1273" s="2" t="str">
        <f>VLOOKUP(Sales_Details2[[#This Row],[Customer_ID]],Customer_Details[#All],4,0)</f>
        <v>Adult</v>
      </c>
      <c r="F1273" s="2" t="str">
        <f>VLOOKUP(Sales_Details2[[#This Row],[Customer_ID]],Customer_Details[#All],5,0)</f>
        <v>Male</v>
      </c>
      <c r="G1273" s="2" t="str">
        <f>VLOOKUP(Sales_Details2[[#This Row],[Customer_ID]],Customer_Details[#All],9,0)</f>
        <v>Gold</v>
      </c>
      <c r="H1273" s="2" t="s">
        <v>1581</v>
      </c>
      <c r="I1273" s="2" t="str">
        <f>VLOOKUP(Sales_Details2[[#This Row],[Product_ID]],Product_details[[#All],[Product_ID]:[Cost]],3,0)</f>
        <v>Clothing</v>
      </c>
      <c r="J1273" s="2" t="str">
        <f>VLOOKUP(Sales_Details2[[#This Row],[Product_ID]],Product_details[[#All],[Product_ID]:[Cost]],4,0)</f>
        <v>Accessories</v>
      </c>
      <c r="K1273" s="2" t="s">
        <v>1793</v>
      </c>
      <c r="L1273" s="2" t="str">
        <f>_xlfn.XLOOKUP(Sales_Details2[[#This Row],[Store_ID]],Table2[Store_ID],Table2[Region],"Region not found")</f>
        <v>East</v>
      </c>
      <c r="M1273" s="25">
        <v>3</v>
      </c>
      <c r="N1273" s="36">
        <v>336.1</v>
      </c>
      <c r="O1273" s="29">
        <v>0.12</v>
      </c>
      <c r="P1273" s="2" t="s">
        <v>1812</v>
      </c>
      <c r="Q1273" s="36">
        <v>887.30400000000009</v>
      </c>
    </row>
    <row r="1274" spans="1:17" x14ac:dyDescent="0.3">
      <c r="A1274" s="2" t="s">
        <v>3081</v>
      </c>
      <c r="B1274" s="14">
        <v>45876</v>
      </c>
      <c r="C1274" s="2">
        <f>YEAR(Sales_Details2[[#This Row],[Order_Date]])</f>
        <v>2025</v>
      </c>
      <c r="D1274" s="2" t="s">
        <v>1267</v>
      </c>
      <c r="E1274" s="2" t="str">
        <f>VLOOKUP(Sales_Details2[[#This Row],[Customer_ID]],Customer_Details[#All],4,0)</f>
        <v>Adult</v>
      </c>
      <c r="F1274" s="2" t="str">
        <f>VLOOKUP(Sales_Details2[[#This Row],[Customer_ID]],Customer_Details[#All],5,0)</f>
        <v>Female</v>
      </c>
      <c r="G1274" s="2" t="str">
        <f>VLOOKUP(Sales_Details2[[#This Row],[Customer_ID]],Customer_Details[#All],9,0)</f>
        <v>Gold</v>
      </c>
      <c r="H1274" s="2" t="s">
        <v>1589</v>
      </c>
      <c r="I1274" s="2" t="str">
        <f>VLOOKUP(Sales_Details2[[#This Row],[Product_ID]],Product_details[[#All],[Product_ID]:[Cost]],3,0)</f>
        <v>Home</v>
      </c>
      <c r="J1274" s="2" t="str">
        <f>VLOOKUP(Sales_Details2[[#This Row],[Product_ID]],Product_details[[#All],[Product_ID]:[Cost]],4,0)</f>
        <v>Decor</v>
      </c>
      <c r="K1274" s="2" t="s">
        <v>1762</v>
      </c>
      <c r="L1274" s="2" t="str">
        <f>_xlfn.XLOOKUP(Sales_Details2[[#This Row],[Store_ID]],Table2[Store_ID],Table2[Region],"Region not found")</f>
        <v>South</v>
      </c>
      <c r="M1274" s="25">
        <v>3</v>
      </c>
      <c r="N1274" s="36">
        <v>310.36</v>
      </c>
      <c r="O1274" s="29">
        <v>0.14000000000000001</v>
      </c>
      <c r="P1274" s="2" t="s">
        <v>1812</v>
      </c>
      <c r="Q1274" s="36">
        <v>800.72879999999998</v>
      </c>
    </row>
    <row r="1275" spans="1:17" x14ac:dyDescent="0.3">
      <c r="A1275" s="2" t="s">
        <v>3082</v>
      </c>
      <c r="B1275" s="14">
        <v>45772</v>
      </c>
      <c r="C1275" s="2">
        <f>YEAR(Sales_Details2[[#This Row],[Order_Date]])</f>
        <v>2025</v>
      </c>
      <c r="D1275" s="2" t="s">
        <v>879</v>
      </c>
      <c r="E1275" s="2" t="str">
        <f>VLOOKUP(Sales_Details2[[#This Row],[Customer_ID]],Customer_Details[#All],4,0)</f>
        <v>Adult</v>
      </c>
      <c r="F1275" s="2" t="str">
        <f>VLOOKUP(Sales_Details2[[#This Row],[Customer_ID]],Customer_Details[#All],5,0)</f>
        <v>Female</v>
      </c>
      <c r="G1275" s="2" t="str">
        <f>VLOOKUP(Sales_Details2[[#This Row],[Customer_ID]],Customer_Details[#All],9,0)</f>
        <v>Bronze</v>
      </c>
      <c r="H1275" s="2" t="s">
        <v>1727</v>
      </c>
      <c r="I1275" s="2" t="str">
        <f>VLOOKUP(Sales_Details2[[#This Row],[Product_ID]],Product_details[[#All],[Product_ID]:[Cost]],3,0)</f>
        <v>Electronics</v>
      </c>
      <c r="J1275" s="2" t="str">
        <f>VLOOKUP(Sales_Details2[[#This Row],[Product_ID]],Product_details[[#All],[Product_ID]:[Cost]],4,0)</f>
        <v>Audio</v>
      </c>
      <c r="K1275" s="2" t="s">
        <v>1765</v>
      </c>
      <c r="L1275" s="2" t="str">
        <f>_xlfn.XLOOKUP(Sales_Details2[[#This Row],[Store_ID]],Table2[Store_ID],Table2[Region],"Region not found")</f>
        <v>West</v>
      </c>
      <c r="M1275" s="25">
        <v>3</v>
      </c>
      <c r="N1275" s="36">
        <v>992.81</v>
      </c>
      <c r="O1275" s="29">
        <v>0.04</v>
      </c>
      <c r="P1275" s="2" t="s">
        <v>1809</v>
      </c>
      <c r="Q1275" s="36">
        <v>2859.2928000000002</v>
      </c>
    </row>
    <row r="1276" spans="1:17" x14ac:dyDescent="0.3">
      <c r="A1276" s="2" t="s">
        <v>3083</v>
      </c>
      <c r="B1276" s="14">
        <v>45217</v>
      </c>
      <c r="C1276" s="2">
        <f>YEAR(Sales_Details2[[#This Row],[Order_Date]])</f>
        <v>2023</v>
      </c>
      <c r="D1276" s="2" t="s">
        <v>642</v>
      </c>
      <c r="E1276" s="2" t="str">
        <f>VLOOKUP(Sales_Details2[[#This Row],[Customer_ID]],Customer_Details[#All],4,0)</f>
        <v>Senior</v>
      </c>
      <c r="F1276" s="2" t="str">
        <f>VLOOKUP(Sales_Details2[[#This Row],[Customer_ID]],Customer_Details[#All],5,0)</f>
        <v>Male</v>
      </c>
      <c r="G1276" s="2" t="str">
        <f>VLOOKUP(Sales_Details2[[#This Row],[Customer_ID]],Customer_Details[#All],9,0)</f>
        <v>Bronze</v>
      </c>
      <c r="H1276" s="2" t="s">
        <v>1651</v>
      </c>
      <c r="I1276" s="2" t="str">
        <f>VLOOKUP(Sales_Details2[[#This Row],[Product_ID]],Product_details[[#All],[Product_ID]:[Cost]],3,0)</f>
        <v>Beauty</v>
      </c>
      <c r="J1276" s="2" t="str">
        <f>VLOOKUP(Sales_Details2[[#This Row],[Product_ID]],Product_details[[#All],[Product_ID]:[Cost]],4,0)</f>
        <v>Fragrance</v>
      </c>
      <c r="K1276" s="2" t="s">
        <v>1775</v>
      </c>
      <c r="L1276" s="2" t="str">
        <f>_xlfn.XLOOKUP(Sales_Details2[[#This Row],[Store_ID]],Table2[Store_ID],Table2[Region],"Region not found")</f>
        <v>South</v>
      </c>
      <c r="M1276" s="25">
        <v>3</v>
      </c>
      <c r="N1276" s="36">
        <v>257.11</v>
      </c>
      <c r="O1276" s="29">
        <v>0.26</v>
      </c>
      <c r="P1276" s="2" t="s">
        <v>1812</v>
      </c>
      <c r="Q1276" s="36">
        <v>570.78420000000006</v>
      </c>
    </row>
    <row r="1277" spans="1:17" x14ac:dyDescent="0.3">
      <c r="A1277" s="2" t="s">
        <v>3084</v>
      </c>
      <c r="B1277" s="14">
        <v>45739</v>
      </c>
      <c r="C1277" s="2">
        <f>YEAR(Sales_Details2[[#This Row],[Order_Date]])</f>
        <v>2025</v>
      </c>
      <c r="D1277" s="2" t="s">
        <v>707</v>
      </c>
      <c r="E1277" s="2" t="str">
        <f>VLOOKUP(Sales_Details2[[#This Row],[Customer_ID]],Customer_Details[#All],4,0)</f>
        <v>Mid-Adult</v>
      </c>
      <c r="F1277" s="2" t="str">
        <f>VLOOKUP(Sales_Details2[[#This Row],[Customer_ID]],Customer_Details[#All],5,0)</f>
        <v>Female</v>
      </c>
      <c r="G1277" s="2" t="str">
        <f>VLOOKUP(Sales_Details2[[#This Row],[Customer_ID]],Customer_Details[#All],9,0)</f>
        <v>Bronze</v>
      </c>
      <c r="H1277" s="2" t="s">
        <v>1721</v>
      </c>
      <c r="I1277" s="2" t="str">
        <f>VLOOKUP(Sales_Details2[[#This Row],[Product_ID]],Product_details[[#All],[Product_ID]:[Cost]],3,0)</f>
        <v>Sports</v>
      </c>
      <c r="J1277" s="2" t="str">
        <f>VLOOKUP(Sales_Details2[[#This Row],[Product_ID]],Product_details[[#All],[Product_ID]:[Cost]],4,0)</f>
        <v>Accessories</v>
      </c>
      <c r="K1277" s="2" t="s">
        <v>1777</v>
      </c>
      <c r="L1277" s="2" t="str">
        <f>_xlfn.XLOOKUP(Sales_Details2[[#This Row],[Store_ID]],Table2[Store_ID],Table2[Region],"Region not found")</f>
        <v>North</v>
      </c>
      <c r="M1277" s="25">
        <v>4</v>
      </c>
      <c r="N1277" s="36">
        <v>816.29</v>
      </c>
      <c r="O1277" s="29">
        <v>0.24</v>
      </c>
      <c r="P1277" s="2" t="s">
        <v>1809</v>
      </c>
      <c r="Q1277" s="36">
        <v>2481.5216</v>
      </c>
    </row>
    <row r="1278" spans="1:17" x14ac:dyDescent="0.3">
      <c r="A1278" s="2" t="s">
        <v>3085</v>
      </c>
      <c r="B1278" s="14">
        <v>45272</v>
      </c>
      <c r="C1278" s="2">
        <f>YEAR(Sales_Details2[[#This Row],[Order_Date]])</f>
        <v>2023</v>
      </c>
      <c r="D1278" s="2" t="s">
        <v>417</v>
      </c>
      <c r="E1278" s="2" t="str">
        <f>VLOOKUP(Sales_Details2[[#This Row],[Customer_ID]],Customer_Details[#All],4,0)</f>
        <v>Mid-Adult</v>
      </c>
      <c r="F1278" s="2" t="str">
        <f>VLOOKUP(Sales_Details2[[#This Row],[Customer_ID]],Customer_Details[#All],5,0)</f>
        <v>Male</v>
      </c>
      <c r="G1278" s="2" t="str">
        <f>VLOOKUP(Sales_Details2[[#This Row],[Customer_ID]],Customer_Details[#All],9,0)</f>
        <v>Platinum</v>
      </c>
      <c r="H1278" s="2" t="s">
        <v>1651</v>
      </c>
      <c r="I1278" s="2" t="str">
        <f>VLOOKUP(Sales_Details2[[#This Row],[Product_ID]],Product_details[[#All],[Product_ID]:[Cost]],3,0)</f>
        <v>Beauty</v>
      </c>
      <c r="J1278" s="2" t="str">
        <f>VLOOKUP(Sales_Details2[[#This Row],[Product_ID]],Product_details[[#All],[Product_ID]:[Cost]],4,0)</f>
        <v>Fragrance</v>
      </c>
      <c r="K1278" s="2" t="s">
        <v>1777</v>
      </c>
      <c r="L1278" s="2" t="str">
        <f>_xlfn.XLOOKUP(Sales_Details2[[#This Row],[Store_ID]],Table2[Store_ID],Table2[Region],"Region not found")</f>
        <v>North</v>
      </c>
      <c r="M1278" s="25">
        <v>4</v>
      </c>
      <c r="N1278" s="36">
        <v>755.82</v>
      </c>
      <c r="O1278" s="29">
        <v>0.22</v>
      </c>
      <c r="P1278" s="2" t="s">
        <v>1812</v>
      </c>
      <c r="Q1278" s="36">
        <v>2358.1583999999998</v>
      </c>
    </row>
    <row r="1279" spans="1:17" x14ac:dyDescent="0.3">
      <c r="A1279" s="2" t="s">
        <v>3086</v>
      </c>
      <c r="B1279" s="14">
        <v>45524</v>
      </c>
      <c r="C1279" s="2">
        <f>YEAR(Sales_Details2[[#This Row],[Order_Date]])</f>
        <v>2024</v>
      </c>
      <c r="D1279" s="2" t="s">
        <v>23</v>
      </c>
      <c r="E1279" s="2" t="str">
        <f>VLOOKUP(Sales_Details2[[#This Row],[Customer_ID]],Customer_Details[#All],4,0)</f>
        <v>Senior</v>
      </c>
      <c r="F1279" s="2" t="str">
        <f>VLOOKUP(Sales_Details2[[#This Row],[Customer_ID]],Customer_Details[#All],5,0)</f>
        <v>Female</v>
      </c>
      <c r="G1279" s="2" t="str">
        <f>VLOOKUP(Sales_Details2[[#This Row],[Customer_ID]],Customer_Details[#All],9,0)</f>
        <v>Bronze</v>
      </c>
      <c r="H1279" s="2" t="s">
        <v>1526</v>
      </c>
      <c r="I1279" s="2" t="str">
        <f>VLOOKUP(Sales_Details2[[#This Row],[Product_ID]],Product_details[[#All],[Product_ID]:[Cost]],3,0)</f>
        <v>Electronics</v>
      </c>
      <c r="J1279" s="2" t="str">
        <f>VLOOKUP(Sales_Details2[[#This Row],[Product_ID]],Product_details[[#All],[Product_ID]:[Cost]],4,0)</f>
        <v>Computer</v>
      </c>
      <c r="K1279" s="2" t="s">
        <v>1782</v>
      </c>
      <c r="L1279" s="2" t="str">
        <f>_xlfn.XLOOKUP(Sales_Details2[[#This Row],[Store_ID]],Table2[Store_ID],Table2[Region],"Region not found")</f>
        <v>South</v>
      </c>
      <c r="M1279" s="25">
        <v>1</v>
      </c>
      <c r="N1279" s="36">
        <v>449.6</v>
      </c>
      <c r="O1279" s="29">
        <v>0.01</v>
      </c>
      <c r="P1279" s="2" t="s">
        <v>1809</v>
      </c>
      <c r="Q1279" s="36">
        <v>445.10399999999998</v>
      </c>
    </row>
    <row r="1280" spans="1:17" x14ac:dyDescent="0.3">
      <c r="A1280" s="2" t="s">
        <v>3087</v>
      </c>
      <c r="B1280" s="14">
        <v>45481</v>
      </c>
      <c r="C1280" s="2">
        <f>YEAR(Sales_Details2[[#This Row],[Order_Date]])</f>
        <v>2024</v>
      </c>
      <c r="D1280" s="2" t="s">
        <v>1089</v>
      </c>
      <c r="E1280" s="2" t="str">
        <f>VLOOKUP(Sales_Details2[[#This Row],[Customer_ID]],Customer_Details[#All],4,0)</f>
        <v>Adult</v>
      </c>
      <c r="F1280" s="2" t="str">
        <f>VLOOKUP(Sales_Details2[[#This Row],[Customer_ID]],Customer_Details[#All],5,0)</f>
        <v>Female</v>
      </c>
      <c r="G1280" s="2" t="str">
        <f>VLOOKUP(Sales_Details2[[#This Row],[Customer_ID]],Customer_Details[#All],9,0)</f>
        <v>Bronze</v>
      </c>
      <c r="H1280" s="2" t="s">
        <v>1559</v>
      </c>
      <c r="I1280" s="2" t="str">
        <f>VLOOKUP(Sales_Details2[[#This Row],[Product_ID]],Product_details[[#All],[Product_ID]:[Cost]],3,0)</f>
        <v>Home</v>
      </c>
      <c r="J1280" s="2" t="str">
        <f>VLOOKUP(Sales_Details2[[#This Row],[Product_ID]],Product_details[[#All],[Product_ID]:[Cost]],4,0)</f>
        <v>Decor</v>
      </c>
      <c r="K1280" s="2" t="s">
        <v>1735</v>
      </c>
      <c r="L1280" s="2" t="str">
        <f>_xlfn.XLOOKUP(Sales_Details2[[#This Row],[Store_ID]],Table2[Store_ID],Table2[Region],"Region not found")</f>
        <v>East</v>
      </c>
      <c r="M1280" s="25">
        <v>2</v>
      </c>
      <c r="N1280" s="36">
        <v>779.29</v>
      </c>
      <c r="O1280" s="29">
        <v>0.12</v>
      </c>
      <c r="P1280" s="2" t="s">
        <v>1812</v>
      </c>
      <c r="Q1280" s="36">
        <v>1371.5504000000001</v>
      </c>
    </row>
    <row r="1281" spans="1:17" x14ac:dyDescent="0.3">
      <c r="A1281" s="2" t="s">
        <v>3088</v>
      </c>
      <c r="B1281" s="14">
        <v>45267</v>
      </c>
      <c r="C1281" s="2">
        <f>YEAR(Sales_Details2[[#This Row],[Order_Date]])</f>
        <v>2023</v>
      </c>
      <c r="D1281" s="2" t="s">
        <v>1415</v>
      </c>
      <c r="E1281" s="2" t="str">
        <f>VLOOKUP(Sales_Details2[[#This Row],[Customer_ID]],Customer_Details[#All],4,0)</f>
        <v>Mid-Adult</v>
      </c>
      <c r="F1281" s="2" t="str">
        <f>VLOOKUP(Sales_Details2[[#This Row],[Customer_ID]],Customer_Details[#All],5,0)</f>
        <v>Female</v>
      </c>
      <c r="G1281" s="2" t="str">
        <f>VLOOKUP(Sales_Details2[[#This Row],[Customer_ID]],Customer_Details[#All],9,0)</f>
        <v>Platinum</v>
      </c>
      <c r="H1281" s="2" t="s">
        <v>1685</v>
      </c>
      <c r="I1281" s="2" t="str">
        <f>VLOOKUP(Sales_Details2[[#This Row],[Product_ID]],Product_details[[#All],[Product_ID]:[Cost]],3,0)</f>
        <v>Electronics</v>
      </c>
      <c r="J1281" s="2" t="str">
        <f>VLOOKUP(Sales_Details2[[#This Row],[Product_ID]],Product_details[[#All],[Product_ID]:[Cost]],4,0)</f>
        <v>Appliances</v>
      </c>
      <c r="K1281" s="2" t="s">
        <v>1790</v>
      </c>
      <c r="L1281" s="2" t="str">
        <f>_xlfn.XLOOKUP(Sales_Details2[[#This Row],[Store_ID]],Table2[Store_ID],Table2[Region],"Region not found")</f>
        <v>North</v>
      </c>
      <c r="M1281" s="25">
        <v>1</v>
      </c>
      <c r="N1281" s="36">
        <v>748.75</v>
      </c>
      <c r="O1281" s="29">
        <v>0.1</v>
      </c>
      <c r="P1281" s="2" t="s">
        <v>1812</v>
      </c>
      <c r="Q1281" s="36">
        <v>673.875</v>
      </c>
    </row>
    <row r="1282" spans="1:17" x14ac:dyDescent="0.3">
      <c r="A1282" s="2" t="s">
        <v>3089</v>
      </c>
      <c r="B1282" s="14">
        <v>45328</v>
      </c>
      <c r="C1282" s="2">
        <f>YEAR(Sales_Details2[[#This Row],[Order_Date]])</f>
        <v>2024</v>
      </c>
      <c r="D1282" s="2" t="s">
        <v>592</v>
      </c>
      <c r="E1282" s="2" t="str">
        <f>VLOOKUP(Sales_Details2[[#This Row],[Customer_ID]],Customer_Details[#All],4,0)</f>
        <v>Senior</v>
      </c>
      <c r="F1282" s="2" t="str">
        <f>VLOOKUP(Sales_Details2[[#This Row],[Customer_ID]],Customer_Details[#All],5,0)</f>
        <v>Male</v>
      </c>
      <c r="G1282" s="2" t="str">
        <f>VLOOKUP(Sales_Details2[[#This Row],[Customer_ID]],Customer_Details[#All],9,0)</f>
        <v>Bronze</v>
      </c>
      <c r="H1282" s="2" t="s">
        <v>1709</v>
      </c>
      <c r="I1282" s="2" t="str">
        <f>VLOOKUP(Sales_Details2[[#This Row],[Product_ID]],Product_details[[#All],[Product_ID]:[Cost]],3,0)</f>
        <v>Beauty</v>
      </c>
      <c r="J1282" s="2" t="str">
        <f>VLOOKUP(Sales_Details2[[#This Row],[Product_ID]],Product_details[[#All],[Product_ID]:[Cost]],4,0)</f>
        <v>Makeup</v>
      </c>
      <c r="K1282" s="2" t="s">
        <v>1735</v>
      </c>
      <c r="L1282" s="2" t="str">
        <f>_xlfn.XLOOKUP(Sales_Details2[[#This Row],[Store_ID]],Table2[Store_ID],Table2[Region],"Region not found")</f>
        <v>East</v>
      </c>
      <c r="M1282" s="25">
        <v>2</v>
      </c>
      <c r="N1282" s="36">
        <v>121.67</v>
      </c>
      <c r="O1282" s="29">
        <v>0.08</v>
      </c>
      <c r="P1282" s="2" t="s">
        <v>1812</v>
      </c>
      <c r="Q1282" s="36">
        <v>223.87280000000001</v>
      </c>
    </row>
    <row r="1283" spans="1:17" x14ac:dyDescent="0.3">
      <c r="A1283" s="2" t="s">
        <v>3090</v>
      </c>
      <c r="B1283" s="14">
        <v>45787</v>
      </c>
      <c r="C1283" s="2">
        <f>YEAR(Sales_Details2[[#This Row],[Order_Date]])</f>
        <v>2025</v>
      </c>
      <c r="D1283" s="2" t="s">
        <v>1496</v>
      </c>
      <c r="E1283" s="2" t="str">
        <f>VLOOKUP(Sales_Details2[[#This Row],[Customer_ID]],Customer_Details[#All],4,0)</f>
        <v>Senior</v>
      </c>
      <c r="F1283" s="2" t="str">
        <f>VLOOKUP(Sales_Details2[[#This Row],[Customer_ID]],Customer_Details[#All],5,0)</f>
        <v>Female</v>
      </c>
      <c r="G1283" s="2" t="str">
        <f>VLOOKUP(Sales_Details2[[#This Row],[Customer_ID]],Customer_Details[#All],9,0)</f>
        <v>Platinum</v>
      </c>
      <c r="H1283" s="2" t="s">
        <v>1629</v>
      </c>
      <c r="I1283" s="2" t="str">
        <f>VLOOKUP(Sales_Details2[[#This Row],[Product_ID]],Product_details[[#All],[Product_ID]:[Cost]],3,0)</f>
        <v>Beauty</v>
      </c>
      <c r="J1283" s="2" t="str">
        <f>VLOOKUP(Sales_Details2[[#This Row],[Product_ID]],Product_details[[#All],[Product_ID]:[Cost]],4,0)</f>
        <v>Fragrance</v>
      </c>
      <c r="K1283" s="2" t="s">
        <v>1784</v>
      </c>
      <c r="L1283" s="2" t="str">
        <f>_xlfn.XLOOKUP(Sales_Details2[[#This Row],[Store_ID]],Table2[Store_ID],Table2[Region],"Region not found")</f>
        <v>North</v>
      </c>
      <c r="M1283" s="25">
        <v>3</v>
      </c>
      <c r="N1283" s="36">
        <v>225.14</v>
      </c>
      <c r="O1283" s="29">
        <v>0.15</v>
      </c>
      <c r="P1283" s="2" t="s">
        <v>1812</v>
      </c>
      <c r="Q1283" s="36">
        <v>574.10699999999997</v>
      </c>
    </row>
    <row r="1284" spans="1:17" x14ac:dyDescent="0.3">
      <c r="A1284" s="2" t="s">
        <v>3091</v>
      </c>
      <c r="B1284" s="14">
        <v>45876</v>
      </c>
      <c r="C1284" s="2">
        <f>YEAR(Sales_Details2[[#This Row],[Order_Date]])</f>
        <v>2025</v>
      </c>
      <c r="D1284" s="2" t="s">
        <v>1001</v>
      </c>
      <c r="E1284" s="2" t="str">
        <f>VLOOKUP(Sales_Details2[[#This Row],[Customer_ID]],Customer_Details[#All],4,0)</f>
        <v>Adult</v>
      </c>
      <c r="F1284" s="2" t="str">
        <f>VLOOKUP(Sales_Details2[[#This Row],[Customer_ID]],Customer_Details[#All],5,0)</f>
        <v>Female</v>
      </c>
      <c r="G1284" s="2" t="str">
        <f>VLOOKUP(Sales_Details2[[#This Row],[Customer_ID]],Customer_Details[#All],9,0)</f>
        <v>Bronze</v>
      </c>
      <c r="H1284" s="2" t="s">
        <v>1589</v>
      </c>
      <c r="I1284" s="2" t="str">
        <f>VLOOKUP(Sales_Details2[[#This Row],[Product_ID]],Product_details[[#All],[Product_ID]:[Cost]],3,0)</f>
        <v>Home</v>
      </c>
      <c r="J1284" s="2" t="str">
        <f>VLOOKUP(Sales_Details2[[#This Row],[Product_ID]],Product_details[[#All],[Product_ID]:[Cost]],4,0)</f>
        <v>Decor</v>
      </c>
      <c r="K1284" s="2" t="s">
        <v>1796</v>
      </c>
      <c r="L1284" s="2" t="str">
        <f>_xlfn.XLOOKUP(Sales_Details2[[#This Row],[Store_ID]],Table2[Store_ID],Table2[Region],"Region not found")</f>
        <v>East</v>
      </c>
      <c r="M1284" s="25">
        <v>1</v>
      </c>
      <c r="N1284" s="36">
        <v>654.17999999999995</v>
      </c>
      <c r="O1284" s="29">
        <v>0.19</v>
      </c>
      <c r="P1284" s="2" t="s">
        <v>1809</v>
      </c>
      <c r="Q1284" s="36">
        <v>529.88580000000002</v>
      </c>
    </row>
    <row r="1285" spans="1:17" x14ac:dyDescent="0.3">
      <c r="A1285" s="2" t="s">
        <v>3092</v>
      </c>
      <c r="B1285" s="14">
        <v>45552</v>
      </c>
      <c r="C1285" s="2">
        <f>YEAR(Sales_Details2[[#This Row],[Order_Date]])</f>
        <v>2024</v>
      </c>
      <c r="D1285" s="2" t="s">
        <v>215</v>
      </c>
      <c r="E1285" s="2" t="str">
        <f>VLOOKUP(Sales_Details2[[#This Row],[Customer_ID]],Customer_Details[#All],4,0)</f>
        <v>Senior</v>
      </c>
      <c r="F1285" s="2" t="str">
        <f>VLOOKUP(Sales_Details2[[#This Row],[Customer_ID]],Customer_Details[#All],5,0)</f>
        <v>Male</v>
      </c>
      <c r="G1285" s="2" t="str">
        <f>VLOOKUP(Sales_Details2[[#This Row],[Customer_ID]],Customer_Details[#All],9,0)</f>
        <v>Platinum</v>
      </c>
      <c r="H1285" s="2" t="s">
        <v>1673</v>
      </c>
      <c r="I1285" s="2" t="str">
        <f>VLOOKUP(Sales_Details2[[#This Row],[Product_ID]],Product_details[[#All],[Product_ID]:[Cost]],3,0)</f>
        <v>Beauty</v>
      </c>
      <c r="J1285" s="2" t="str">
        <f>VLOOKUP(Sales_Details2[[#This Row],[Product_ID]],Product_details[[#All],[Product_ID]:[Cost]],4,0)</f>
        <v>Haircare</v>
      </c>
      <c r="K1285" s="2" t="s">
        <v>1756</v>
      </c>
      <c r="L1285" s="2" t="str">
        <f>_xlfn.XLOOKUP(Sales_Details2[[#This Row],[Store_ID]],Table2[Store_ID],Table2[Region],"Region not found")</f>
        <v>North</v>
      </c>
      <c r="M1285" s="25">
        <v>2</v>
      </c>
      <c r="N1285" s="36">
        <v>504.98</v>
      </c>
      <c r="O1285" s="29">
        <v>0.08</v>
      </c>
      <c r="P1285" s="2" t="s">
        <v>1812</v>
      </c>
      <c r="Q1285" s="36">
        <v>929.16320000000007</v>
      </c>
    </row>
    <row r="1286" spans="1:17" x14ac:dyDescent="0.3">
      <c r="A1286" s="2" t="s">
        <v>3093</v>
      </c>
      <c r="B1286" s="14">
        <v>45823</v>
      </c>
      <c r="C1286" s="2">
        <f>YEAR(Sales_Details2[[#This Row],[Order_Date]])</f>
        <v>2025</v>
      </c>
      <c r="D1286" s="2" t="s">
        <v>1168</v>
      </c>
      <c r="E1286" s="2" t="str">
        <f>VLOOKUP(Sales_Details2[[#This Row],[Customer_ID]],Customer_Details[#All],4,0)</f>
        <v>Mid-Adult</v>
      </c>
      <c r="F1286" s="2" t="str">
        <f>VLOOKUP(Sales_Details2[[#This Row],[Customer_ID]],Customer_Details[#All],5,0)</f>
        <v>Female</v>
      </c>
      <c r="G1286" s="2" t="str">
        <f>VLOOKUP(Sales_Details2[[#This Row],[Customer_ID]],Customer_Details[#All],9,0)</f>
        <v>Bronze</v>
      </c>
      <c r="H1286" s="2" t="s">
        <v>1639</v>
      </c>
      <c r="I1286" s="2" t="str">
        <f>VLOOKUP(Sales_Details2[[#This Row],[Product_ID]],Product_details[[#All],[Product_ID]:[Cost]],3,0)</f>
        <v>Sports</v>
      </c>
      <c r="J1286" s="2" t="str">
        <f>VLOOKUP(Sales_Details2[[#This Row],[Product_ID]],Product_details[[#All],[Product_ID]:[Cost]],4,0)</f>
        <v>Accessories</v>
      </c>
      <c r="K1286" s="2" t="s">
        <v>1765</v>
      </c>
      <c r="L1286" s="2" t="str">
        <f>_xlfn.XLOOKUP(Sales_Details2[[#This Row],[Store_ID]],Table2[Store_ID],Table2[Region],"Region not found")</f>
        <v>West</v>
      </c>
      <c r="M1286" s="25">
        <v>2</v>
      </c>
      <c r="N1286" s="36">
        <v>623.20000000000005</v>
      </c>
      <c r="O1286" s="29">
        <v>0.14000000000000001</v>
      </c>
      <c r="P1286" s="2" t="s">
        <v>1812</v>
      </c>
      <c r="Q1286" s="36">
        <v>1071.904</v>
      </c>
    </row>
    <row r="1287" spans="1:17" x14ac:dyDescent="0.3">
      <c r="A1287" s="2" t="s">
        <v>3094</v>
      </c>
      <c r="B1287" s="14">
        <v>45622</v>
      </c>
      <c r="C1287" s="2">
        <f>YEAR(Sales_Details2[[#This Row],[Order_Date]])</f>
        <v>2024</v>
      </c>
      <c r="D1287" s="2" t="s">
        <v>1012</v>
      </c>
      <c r="E1287" s="2" t="str">
        <f>VLOOKUP(Sales_Details2[[#This Row],[Customer_ID]],Customer_Details[#All],4,0)</f>
        <v>Senior</v>
      </c>
      <c r="F1287" s="2" t="str">
        <f>VLOOKUP(Sales_Details2[[#This Row],[Customer_ID]],Customer_Details[#All],5,0)</f>
        <v>Male</v>
      </c>
      <c r="G1287" s="2" t="str">
        <f>VLOOKUP(Sales_Details2[[#This Row],[Customer_ID]],Customer_Details[#All],9,0)</f>
        <v>Bronze</v>
      </c>
      <c r="H1287" s="2" t="s">
        <v>1538</v>
      </c>
      <c r="I1287" s="2" t="str">
        <f>VLOOKUP(Sales_Details2[[#This Row],[Product_ID]],Product_details[[#All],[Product_ID]:[Cost]],3,0)</f>
        <v>Clothing</v>
      </c>
      <c r="J1287" s="2" t="str">
        <f>VLOOKUP(Sales_Details2[[#This Row],[Product_ID]],Product_details[[#All],[Product_ID]:[Cost]],4,0)</f>
        <v>Accessories</v>
      </c>
      <c r="K1287" s="2" t="s">
        <v>1787</v>
      </c>
      <c r="L1287" s="2" t="str">
        <f>_xlfn.XLOOKUP(Sales_Details2[[#This Row],[Store_ID]],Table2[Store_ID],Table2[Region],"Region not found")</f>
        <v>West</v>
      </c>
      <c r="M1287" s="25">
        <v>2</v>
      </c>
      <c r="N1287" s="36">
        <v>530.54</v>
      </c>
      <c r="O1287" s="29">
        <v>0.28000000000000003</v>
      </c>
      <c r="P1287" s="2" t="s">
        <v>1812</v>
      </c>
      <c r="Q1287" s="36">
        <v>763.97759999999994</v>
      </c>
    </row>
    <row r="1288" spans="1:17" x14ac:dyDescent="0.3">
      <c r="A1288" s="2" t="s">
        <v>3095</v>
      </c>
      <c r="B1288" s="14">
        <v>45810</v>
      </c>
      <c r="C1288" s="2">
        <f>YEAR(Sales_Details2[[#This Row],[Order_Date]])</f>
        <v>2025</v>
      </c>
      <c r="D1288" s="2" t="s">
        <v>1129</v>
      </c>
      <c r="E1288" s="2" t="str">
        <f>VLOOKUP(Sales_Details2[[#This Row],[Customer_ID]],Customer_Details[#All],4,0)</f>
        <v>Senior</v>
      </c>
      <c r="F1288" s="2" t="str">
        <f>VLOOKUP(Sales_Details2[[#This Row],[Customer_ID]],Customer_Details[#All],5,0)</f>
        <v>Female</v>
      </c>
      <c r="G1288" s="2" t="str">
        <f>VLOOKUP(Sales_Details2[[#This Row],[Customer_ID]],Customer_Details[#All],9,0)</f>
        <v>Platinum</v>
      </c>
      <c r="H1288" s="2" t="s">
        <v>1526</v>
      </c>
      <c r="I1288" s="2" t="str">
        <f>VLOOKUP(Sales_Details2[[#This Row],[Product_ID]],Product_details[[#All],[Product_ID]:[Cost]],3,0)</f>
        <v>Electronics</v>
      </c>
      <c r="J1288" s="2" t="str">
        <f>VLOOKUP(Sales_Details2[[#This Row],[Product_ID]],Product_details[[#All],[Product_ID]:[Cost]],4,0)</f>
        <v>Computer</v>
      </c>
      <c r="K1288" s="2" t="s">
        <v>1787</v>
      </c>
      <c r="L1288" s="2" t="str">
        <f>_xlfn.XLOOKUP(Sales_Details2[[#This Row],[Store_ID]],Table2[Store_ID],Table2[Region],"Region not found")</f>
        <v>West</v>
      </c>
      <c r="M1288" s="25">
        <v>3</v>
      </c>
      <c r="N1288" s="36">
        <v>279.45</v>
      </c>
      <c r="O1288" s="29">
        <v>0.15</v>
      </c>
      <c r="P1288" s="2" t="s">
        <v>1812</v>
      </c>
      <c r="Q1288" s="36">
        <v>712.59749999999985</v>
      </c>
    </row>
    <row r="1289" spans="1:17" x14ac:dyDescent="0.3">
      <c r="A1289" s="2" t="s">
        <v>3096</v>
      </c>
      <c r="B1289" s="14">
        <v>45645</v>
      </c>
      <c r="C1289" s="2">
        <f>YEAR(Sales_Details2[[#This Row],[Order_Date]])</f>
        <v>2024</v>
      </c>
      <c r="D1289" s="2" t="s">
        <v>842</v>
      </c>
      <c r="E1289" s="2" t="str">
        <f>VLOOKUP(Sales_Details2[[#This Row],[Customer_ID]],Customer_Details[#All],4,0)</f>
        <v>Mid-Adult</v>
      </c>
      <c r="F1289" s="2" t="str">
        <f>VLOOKUP(Sales_Details2[[#This Row],[Customer_ID]],Customer_Details[#All],5,0)</f>
        <v>Female</v>
      </c>
      <c r="G1289" s="2" t="str">
        <f>VLOOKUP(Sales_Details2[[#This Row],[Customer_ID]],Customer_Details[#All],9,0)</f>
        <v>Bronze</v>
      </c>
      <c r="H1289" s="2" t="s">
        <v>1555</v>
      </c>
      <c r="I1289" s="2" t="str">
        <f>VLOOKUP(Sales_Details2[[#This Row],[Product_ID]],Product_details[[#All],[Product_ID]:[Cost]],3,0)</f>
        <v>Beauty</v>
      </c>
      <c r="J1289" s="2" t="str">
        <f>VLOOKUP(Sales_Details2[[#This Row],[Product_ID]],Product_details[[#All],[Product_ID]:[Cost]],4,0)</f>
        <v>Haircare</v>
      </c>
      <c r="K1289" s="2" t="s">
        <v>1765</v>
      </c>
      <c r="L1289" s="2" t="str">
        <f>_xlfn.XLOOKUP(Sales_Details2[[#This Row],[Store_ID]],Table2[Store_ID],Table2[Region],"Region not found")</f>
        <v>West</v>
      </c>
      <c r="M1289" s="25">
        <v>3</v>
      </c>
      <c r="N1289" s="36">
        <v>906.99</v>
      </c>
      <c r="O1289" s="29">
        <v>0.26</v>
      </c>
      <c r="P1289" s="2" t="s">
        <v>1812</v>
      </c>
      <c r="Q1289" s="36">
        <v>2013.5178000000001</v>
      </c>
    </row>
    <row r="1290" spans="1:17" x14ac:dyDescent="0.3">
      <c r="A1290" s="2" t="s">
        <v>3097</v>
      </c>
      <c r="B1290" s="14">
        <v>45749</v>
      </c>
      <c r="C1290" s="2">
        <f>YEAR(Sales_Details2[[#This Row],[Order_Date]])</f>
        <v>2025</v>
      </c>
      <c r="D1290" s="2" t="s">
        <v>255</v>
      </c>
      <c r="E1290" s="2" t="str">
        <f>VLOOKUP(Sales_Details2[[#This Row],[Customer_ID]],Customer_Details[#All],4,0)</f>
        <v>Adult</v>
      </c>
      <c r="F1290" s="2" t="str">
        <f>VLOOKUP(Sales_Details2[[#This Row],[Customer_ID]],Customer_Details[#All],5,0)</f>
        <v>Female</v>
      </c>
      <c r="G1290" s="2" t="str">
        <f>VLOOKUP(Sales_Details2[[#This Row],[Customer_ID]],Customer_Details[#All],9,0)</f>
        <v>Gold</v>
      </c>
      <c r="H1290" s="2" t="s">
        <v>1691</v>
      </c>
      <c r="I1290" s="2" t="str">
        <f>VLOOKUP(Sales_Details2[[#This Row],[Product_ID]],Product_details[[#All],[Product_ID]:[Cost]],3,0)</f>
        <v>Home</v>
      </c>
      <c r="J1290" s="2" t="str">
        <f>VLOOKUP(Sales_Details2[[#This Row],[Product_ID]],Product_details[[#All],[Product_ID]:[Cost]],4,0)</f>
        <v>Kitchen</v>
      </c>
      <c r="K1290" s="2" t="s">
        <v>1790</v>
      </c>
      <c r="L1290" s="2" t="str">
        <f>_xlfn.XLOOKUP(Sales_Details2[[#This Row],[Store_ID]],Table2[Store_ID],Table2[Region],"Region not found")</f>
        <v>North</v>
      </c>
      <c r="M1290" s="25">
        <v>4</v>
      </c>
      <c r="N1290" s="36">
        <v>408.76</v>
      </c>
      <c r="O1290" s="29">
        <v>0.12</v>
      </c>
      <c r="P1290" s="2" t="s">
        <v>1812</v>
      </c>
      <c r="Q1290" s="36">
        <v>1438.8352</v>
      </c>
    </row>
    <row r="1291" spans="1:17" x14ac:dyDescent="0.3">
      <c r="A1291" s="2" t="s">
        <v>3098</v>
      </c>
      <c r="B1291" s="14">
        <v>45537</v>
      </c>
      <c r="C1291" s="2">
        <f>YEAR(Sales_Details2[[#This Row],[Order_Date]])</f>
        <v>2024</v>
      </c>
      <c r="D1291" s="2" t="s">
        <v>579</v>
      </c>
      <c r="E1291" s="2" t="str">
        <f>VLOOKUP(Sales_Details2[[#This Row],[Customer_ID]],Customer_Details[#All],4,0)</f>
        <v>Senior</v>
      </c>
      <c r="F1291" s="2" t="str">
        <f>VLOOKUP(Sales_Details2[[#This Row],[Customer_ID]],Customer_Details[#All],5,0)</f>
        <v>Male</v>
      </c>
      <c r="G1291" s="2" t="str">
        <f>VLOOKUP(Sales_Details2[[#This Row],[Customer_ID]],Customer_Details[#All],9,0)</f>
        <v>Platinum</v>
      </c>
      <c r="H1291" s="2" t="s">
        <v>1603</v>
      </c>
      <c r="I1291" s="2" t="str">
        <f>VLOOKUP(Sales_Details2[[#This Row],[Product_ID]],Product_details[[#All],[Product_ID]:[Cost]],3,0)</f>
        <v>Clothing</v>
      </c>
      <c r="J1291" s="2" t="str">
        <f>VLOOKUP(Sales_Details2[[#This Row],[Product_ID]],Product_details[[#All],[Product_ID]:[Cost]],4,0)</f>
        <v>Tops</v>
      </c>
      <c r="K1291" s="2" t="s">
        <v>1769</v>
      </c>
      <c r="L1291" s="2" t="str">
        <f>_xlfn.XLOOKUP(Sales_Details2[[#This Row],[Store_ID]],Table2[Store_ID],Table2[Region],"Region not found")</f>
        <v>South</v>
      </c>
      <c r="M1291" s="25">
        <v>2</v>
      </c>
      <c r="N1291" s="36">
        <v>117.34</v>
      </c>
      <c r="O1291" s="29">
        <v>0.09</v>
      </c>
      <c r="P1291" s="2" t="s">
        <v>1809</v>
      </c>
      <c r="Q1291" s="36">
        <v>213.55879999999999</v>
      </c>
    </row>
    <row r="1292" spans="1:17" x14ac:dyDescent="0.3">
      <c r="A1292" s="2" t="s">
        <v>3099</v>
      </c>
      <c r="B1292" s="14">
        <v>45376</v>
      </c>
      <c r="C1292" s="2">
        <f>YEAR(Sales_Details2[[#This Row],[Order_Date]])</f>
        <v>2024</v>
      </c>
      <c r="D1292" s="2" t="s">
        <v>554</v>
      </c>
      <c r="E1292" s="2" t="str">
        <f>VLOOKUP(Sales_Details2[[#This Row],[Customer_ID]],Customer_Details[#All],4,0)</f>
        <v>Mid-Adult</v>
      </c>
      <c r="F1292" s="2" t="str">
        <f>VLOOKUP(Sales_Details2[[#This Row],[Customer_ID]],Customer_Details[#All],5,0)</f>
        <v>Female</v>
      </c>
      <c r="G1292" s="2" t="str">
        <f>VLOOKUP(Sales_Details2[[#This Row],[Customer_ID]],Customer_Details[#All],9,0)</f>
        <v>Platinum</v>
      </c>
      <c r="H1292" s="2" t="s">
        <v>1713</v>
      </c>
      <c r="I1292" s="2" t="str">
        <f>VLOOKUP(Sales_Details2[[#This Row],[Product_ID]],Product_details[[#All],[Product_ID]:[Cost]],3,0)</f>
        <v>Clothing</v>
      </c>
      <c r="J1292" s="2" t="str">
        <f>VLOOKUP(Sales_Details2[[#This Row],[Product_ID]],Product_details[[#All],[Product_ID]:[Cost]],4,0)</f>
        <v>Footwear</v>
      </c>
      <c r="K1292" s="2" t="s">
        <v>1782</v>
      </c>
      <c r="L1292" s="2" t="str">
        <f>_xlfn.XLOOKUP(Sales_Details2[[#This Row],[Store_ID]],Table2[Store_ID],Table2[Region],"Region not found")</f>
        <v>South</v>
      </c>
      <c r="M1292" s="25">
        <v>3</v>
      </c>
      <c r="N1292" s="36">
        <v>690.27</v>
      </c>
      <c r="O1292" s="29">
        <v>7.0000000000000007E-2</v>
      </c>
      <c r="P1292" s="2" t="s">
        <v>1809</v>
      </c>
      <c r="Q1292" s="36">
        <v>1925.8533</v>
      </c>
    </row>
    <row r="1293" spans="1:17" x14ac:dyDescent="0.3">
      <c r="A1293" s="2" t="s">
        <v>3100</v>
      </c>
      <c r="B1293" s="14">
        <v>45709</v>
      </c>
      <c r="C1293" s="2">
        <f>YEAR(Sales_Details2[[#This Row],[Order_Date]])</f>
        <v>2025</v>
      </c>
      <c r="D1293" s="2" t="s">
        <v>376</v>
      </c>
      <c r="E1293" s="2" t="str">
        <f>VLOOKUP(Sales_Details2[[#This Row],[Customer_ID]],Customer_Details[#All],4,0)</f>
        <v>Mid-Adult</v>
      </c>
      <c r="F1293" s="2" t="str">
        <f>VLOOKUP(Sales_Details2[[#This Row],[Customer_ID]],Customer_Details[#All],5,0)</f>
        <v>Male</v>
      </c>
      <c r="G1293" s="2" t="str">
        <f>VLOOKUP(Sales_Details2[[#This Row],[Customer_ID]],Customer_Details[#All],9,0)</f>
        <v>Bronze</v>
      </c>
      <c r="H1293" s="2" t="s">
        <v>1587</v>
      </c>
      <c r="I1293" s="2" t="str">
        <f>VLOOKUP(Sales_Details2[[#This Row],[Product_ID]],Product_details[[#All],[Product_ID]:[Cost]],3,0)</f>
        <v>Sports</v>
      </c>
      <c r="J1293" s="2" t="str">
        <f>VLOOKUP(Sales_Details2[[#This Row],[Product_ID]],Product_details[[#All],[Product_ID]:[Cost]],4,0)</f>
        <v>Accessories</v>
      </c>
      <c r="K1293" s="2" t="s">
        <v>1790</v>
      </c>
      <c r="L1293" s="2" t="str">
        <f>_xlfn.XLOOKUP(Sales_Details2[[#This Row],[Store_ID]],Table2[Store_ID],Table2[Region],"Region not found")</f>
        <v>North</v>
      </c>
      <c r="M1293" s="25">
        <v>4</v>
      </c>
      <c r="N1293" s="36">
        <v>377.18</v>
      </c>
      <c r="O1293" s="29">
        <v>0.24</v>
      </c>
      <c r="P1293" s="2" t="s">
        <v>1809</v>
      </c>
      <c r="Q1293" s="36">
        <v>1146.6271999999999</v>
      </c>
    </row>
    <row r="1294" spans="1:17" x14ac:dyDescent="0.3">
      <c r="A1294" s="2" t="s">
        <v>3101</v>
      </c>
      <c r="B1294" s="14">
        <v>45446</v>
      </c>
      <c r="C1294" s="2">
        <f>YEAR(Sales_Details2[[#This Row],[Order_Date]])</f>
        <v>2024</v>
      </c>
      <c r="D1294" s="2" t="s">
        <v>388</v>
      </c>
      <c r="E1294" s="2" t="str">
        <f>VLOOKUP(Sales_Details2[[#This Row],[Customer_ID]],Customer_Details[#All],4,0)</f>
        <v>Adult</v>
      </c>
      <c r="F1294" s="2" t="str">
        <f>VLOOKUP(Sales_Details2[[#This Row],[Customer_ID]],Customer_Details[#All],5,0)</f>
        <v>Female</v>
      </c>
      <c r="G1294" s="2" t="str">
        <f>VLOOKUP(Sales_Details2[[#This Row],[Customer_ID]],Customer_Details[#All],9,0)</f>
        <v>Silver</v>
      </c>
      <c r="H1294" s="2" t="s">
        <v>1611</v>
      </c>
      <c r="I1294" s="2" t="str">
        <f>VLOOKUP(Sales_Details2[[#This Row],[Product_ID]],Product_details[[#All],[Product_ID]:[Cost]],3,0)</f>
        <v>Electronics</v>
      </c>
      <c r="J1294" s="2" t="str">
        <f>VLOOKUP(Sales_Details2[[#This Row],[Product_ID]],Product_details[[#All],[Product_ID]:[Cost]],4,0)</f>
        <v>Audio</v>
      </c>
      <c r="K1294" s="2" t="s">
        <v>1735</v>
      </c>
      <c r="L1294" s="2" t="str">
        <f>_xlfn.XLOOKUP(Sales_Details2[[#This Row],[Store_ID]],Table2[Store_ID],Table2[Region],"Region not found")</f>
        <v>East</v>
      </c>
      <c r="M1294" s="25">
        <v>1</v>
      </c>
      <c r="N1294" s="36">
        <v>70.52</v>
      </c>
      <c r="O1294" s="29">
        <v>0.08</v>
      </c>
      <c r="P1294" s="2" t="s">
        <v>1812</v>
      </c>
      <c r="Q1294" s="36">
        <v>64.878399999999999</v>
      </c>
    </row>
    <row r="1295" spans="1:17" x14ac:dyDescent="0.3">
      <c r="A1295" s="2" t="s">
        <v>3102</v>
      </c>
      <c r="B1295" s="14">
        <v>45330</v>
      </c>
      <c r="C1295" s="2">
        <f>YEAR(Sales_Details2[[#This Row],[Order_Date]])</f>
        <v>2024</v>
      </c>
      <c r="D1295" s="2" t="s">
        <v>867</v>
      </c>
      <c r="E1295" s="2" t="str">
        <f>VLOOKUP(Sales_Details2[[#This Row],[Customer_ID]],Customer_Details[#All],4,0)</f>
        <v>Adult</v>
      </c>
      <c r="F1295" s="2" t="str">
        <f>VLOOKUP(Sales_Details2[[#This Row],[Customer_ID]],Customer_Details[#All],5,0)</f>
        <v>Male</v>
      </c>
      <c r="G1295" s="2" t="str">
        <f>VLOOKUP(Sales_Details2[[#This Row],[Customer_ID]],Customer_Details[#All],9,0)</f>
        <v>Gold</v>
      </c>
      <c r="H1295" s="2" t="s">
        <v>1607</v>
      </c>
      <c r="I1295" s="2" t="str">
        <f>VLOOKUP(Sales_Details2[[#This Row],[Product_ID]],Product_details[[#All],[Product_ID]:[Cost]],3,0)</f>
        <v>Sports</v>
      </c>
      <c r="J1295" s="2" t="str">
        <f>VLOOKUP(Sales_Details2[[#This Row],[Product_ID]],Product_details[[#All],[Product_ID]:[Cost]],4,0)</f>
        <v>Outdoor</v>
      </c>
      <c r="K1295" s="2" t="s">
        <v>1769</v>
      </c>
      <c r="L1295" s="2" t="str">
        <f>_xlfn.XLOOKUP(Sales_Details2[[#This Row],[Store_ID]],Table2[Store_ID],Table2[Region],"Region not found")</f>
        <v>South</v>
      </c>
      <c r="M1295" s="25">
        <v>1</v>
      </c>
      <c r="N1295" s="36">
        <v>40.25</v>
      </c>
      <c r="O1295" s="29">
        <v>0.1</v>
      </c>
      <c r="P1295" s="2" t="s">
        <v>1809</v>
      </c>
      <c r="Q1295" s="36">
        <v>36.225000000000001</v>
      </c>
    </row>
    <row r="1296" spans="1:17" x14ac:dyDescent="0.3">
      <c r="A1296" s="2" t="s">
        <v>3103</v>
      </c>
      <c r="B1296" s="14">
        <v>45388</v>
      </c>
      <c r="C1296" s="2">
        <f>YEAR(Sales_Details2[[#This Row],[Order_Date]])</f>
        <v>2024</v>
      </c>
      <c r="D1296" s="2" t="s">
        <v>740</v>
      </c>
      <c r="E1296" s="2" t="str">
        <f>VLOOKUP(Sales_Details2[[#This Row],[Customer_ID]],Customer_Details[#All],4,0)</f>
        <v>Adult</v>
      </c>
      <c r="F1296" s="2" t="str">
        <f>VLOOKUP(Sales_Details2[[#This Row],[Customer_ID]],Customer_Details[#All],5,0)</f>
        <v>Female</v>
      </c>
      <c r="G1296" s="2" t="str">
        <f>VLOOKUP(Sales_Details2[[#This Row],[Customer_ID]],Customer_Details[#All],9,0)</f>
        <v>Platinum</v>
      </c>
      <c r="H1296" s="2" t="s">
        <v>1709</v>
      </c>
      <c r="I1296" s="2" t="str">
        <f>VLOOKUP(Sales_Details2[[#This Row],[Product_ID]],Product_details[[#All],[Product_ID]:[Cost]],3,0)</f>
        <v>Beauty</v>
      </c>
      <c r="J1296" s="2" t="str">
        <f>VLOOKUP(Sales_Details2[[#This Row],[Product_ID]],Product_details[[#All],[Product_ID]:[Cost]],4,0)</f>
        <v>Makeup</v>
      </c>
      <c r="K1296" s="2" t="s">
        <v>1775</v>
      </c>
      <c r="L1296" s="2" t="str">
        <f>_xlfn.XLOOKUP(Sales_Details2[[#This Row],[Store_ID]],Table2[Store_ID],Table2[Region],"Region not found")</f>
        <v>South</v>
      </c>
      <c r="M1296" s="25">
        <v>3</v>
      </c>
      <c r="N1296" s="36">
        <v>539.44000000000005</v>
      </c>
      <c r="O1296" s="29">
        <v>0.05</v>
      </c>
      <c r="P1296" s="2" t="s">
        <v>1812</v>
      </c>
      <c r="Q1296" s="36">
        <v>1537.404</v>
      </c>
    </row>
    <row r="1297" spans="1:17" x14ac:dyDescent="0.3">
      <c r="A1297" s="2" t="s">
        <v>3104</v>
      </c>
      <c r="B1297" s="14">
        <v>45313</v>
      </c>
      <c r="C1297" s="2">
        <f>YEAR(Sales_Details2[[#This Row],[Order_Date]])</f>
        <v>2024</v>
      </c>
      <c r="D1297" s="2" t="s">
        <v>785</v>
      </c>
      <c r="E1297" s="2" t="str">
        <f>VLOOKUP(Sales_Details2[[#This Row],[Customer_ID]],Customer_Details[#All],4,0)</f>
        <v>Mid-Adult</v>
      </c>
      <c r="F1297" s="2" t="str">
        <f>VLOOKUP(Sales_Details2[[#This Row],[Customer_ID]],Customer_Details[#All],5,0)</f>
        <v>Male</v>
      </c>
      <c r="G1297" s="2" t="str">
        <f>VLOOKUP(Sales_Details2[[#This Row],[Customer_ID]],Customer_Details[#All],9,0)</f>
        <v>Platinum</v>
      </c>
      <c r="H1297" s="2" t="s">
        <v>1651</v>
      </c>
      <c r="I1297" s="2" t="str">
        <f>VLOOKUP(Sales_Details2[[#This Row],[Product_ID]],Product_details[[#All],[Product_ID]:[Cost]],3,0)</f>
        <v>Beauty</v>
      </c>
      <c r="J1297" s="2" t="str">
        <f>VLOOKUP(Sales_Details2[[#This Row],[Product_ID]],Product_details[[#All],[Product_ID]:[Cost]],4,0)</f>
        <v>Fragrance</v>
      </c>
      <c r="K1297" s="2" t="s">
        <v>1752</v>
      </c>
      <c r="L1297" s="2" t="str">
        <f>_xlfn.XLOOKUP(Sales_Details2[[#This Row],[Store_ID]],Table2[Store_ID],Table2[Region],"Region not found")</f>
        <v>South</v>
      </c>
      <c r="M1297" s="25">
        <v>3</v>
      </c>
      <c r="N1297" s="36">
        <v>543.49</v>
      </c>
      <c r="O1297" s="29">
        <v>0.05</v>
      </c>
      <c r="P1297" s="2" t="s">
        <v>1809</v>
      </c>
      <c r="Q1297" s="36">
        <v>1548.9465</v>
      </c>
    </row>
    <row r="1298" spans="1:17" x14ac:dyDescent="0.3">
      <c r="A1298" s="2" t="s">
        <v>3105</v>
      </c>
      <c r="B1298" s="14">
        <v>45221</v>
      </c>
      <c r="C1298" s="2">
        <f>YEAR(Sales_Details2[[#This Row],[Order_Date]])</f>
        <v>2023</v>
      </c>
      <c r="D1298" s="2" t="s">
        <v>1010</v>
      </c>
      <c r="E1298" s="2" t="str">
        <f>VLOOKUP(Sales_Details2[[#This Row],[Customer_ID]],Customer_Details[#All],4,0)</f>
        <v>Senior</v>
      </c>
      <c r="F1298" s="2" t="str">
        <f>VLOOKUP(Sales_Details2[[#This Row],[Customer_ID]],Customer_Details[#All],5,0)</f>
        <v>Male</v>
      </c>
      <c r="G1298" s="2" t="str">
        <f>VLOOKUP(Sales_Details2[[#This Row],[Customer_ID]],Customer_Details[#All],9,0)</f>
        <v>Bronze</v>
      </c>
      <c r="H1298" s="2" t="s">
        <v>1543</v>
      </c>
      <c r="I1298" s="2" t="str">
        <f>VLOOKUP(Sales_Details2[[#This Row],[Product_ID]],Product_details[[#All],[Product_ID]:[Cost]],3,0)</f>
        <v>Home</v>
      </c>
      <c r="J1298" s="2" t="str">
        <f>VLOOKUP(Sales_Details2[[#This Row],[Product_ID]],Product_details[[#All],[Product_ID]:[Cost]],4,0)</f>
        <v>Lighting</v>
      </c>
      <c r="K1298" s="2" t="s">
        <v>1759</v>
      </c>
      <c r="L1298" s="2" t="str">
        <f>_xlfn.XLOOKUP(Sales_Details2[[#This Row],[Store_ID]],Table2[Store_ID],Table2[Region],"Region not found")</f>
        <v>East</v>
      </c>
      <c r="M1298" s="25">
        <v>4</v>
      </c>
      <c r="N1298" s="36">
        <v>547.21</v>
      </c>
      <c r="O1298" s="29">
        <v>0.1</v>
      </c>
      <c r="P1298" s="2" t="s">
        <v>1812</v>
      </c>
      <c r="Q1298" s="36">
        <v>1969.9559999999999</v>
      </c>
    </row>
    <row r="1299" spans="1:17" x14ac:dyDescent="0.3">
      <c r="A1299" s="2" t="s">
        <v>3106</v>
      </c>
      <c r="B1299" s="14">
        <v>45619</v>
      </c>
      <c r="C1299" s="2">
        <f>YEAR(Sales_Details2[[#This Row],[Order_Date]])</f>
        <v>2024</v>
      </c>
      <c r="D1299" s="2" t="s">
        <v>767</v>
      </c>
      <c r="E1299" s="2" t="str">
        <f>VLOOKUP(Sales_Details2[[#This Row],[Customer_ID]],Customer_Details[#All],4,0)</f>
        <v>Mid-Adult</v>
      </c>
      <c r="F1299" s="2" t="str">
        <f>VLOOKUP(Sales_Details2[[#This Row],[Customer_ID]],Customer_Details[#All],5,0)</f>
        <v>Male</v>
      </c>
      <c r="G1299" s="2" t="str">
        <f>VLOOKUP(Sales_Details2[[#This Row],[Customer_ID]],Customer_Details[#All],9,0)</f>
        <v>Platinum</v>
      </c>
      <c r="H1299" s="2" t="s">
        <v>1661</v>
      </c>
      <c r="I1299" s="2" t="str">
        <f>VLOOKUP(Sales_Details2[[#This Row],[Product_ID]],Product_details[[#All],[Product_ID]:[Cost]],3,0)</f>
        <v>Sports</v>
      </c>
      <c r="J1299" s="2" t="str">
        <f>VLOOKUP(Sales_Details2[[#This Row],[Product_ID]],Product_details[[#All],[Product_ID]:[Cost]],4,0)</f>
        <v>Fitness</v>
      </c>
      <c r="K1299" s="2" t="s">
        <v>1740</v>
      </c>
      <c r="L1299" s="2" t="str">
        <f>_xlfn.XLOOKUP(Sales_Details2[[#This Row],[Store_ID]],Table2[Store_ID],Table2[Region],"Region not found")</f>
        <v>North</v>
      </c>
      <c r="M1299" s="25">
        <v>2</v>
      </c>
      <c r="N1299" s="36">
        <v>892.46</v>
      </c>
      <c r="O1299" s="29">
        <v>7.0000000000000007E-2</v>
      </c>
      <c r="P1299" s="2" t="s">
        <v>1809</v>
      </c>
      <c r="Q1299" s="36">
        <v>1659.9756</v>
      </c>
    </row>
    <row r="1300" spans="1:17" x14ac:dyDescent="0.3">
      <c r="A1300" s="2" t="s">
        <v>3107</v>
      </c>
      <c r="B1300" s="14">
        <v>45286</v>
      </c>
      <c r="C1300" s="2">
        <f>YEAR(Sales_Details2[[#This Row],[Order_Date]])</f>
        <v>2023</v>
      </c>
      <c r="D1300" s="2" t="s">
        <v>1195</v>
      </c>
      <c r="E1300" s="2" t="str">
        <f>VLOOKUP(Sales_Details2[[#This Row],[Customer_ID]],Customer_Details[#All],4,0)</f>
        <v>Adult</v>
      </c>
      <c r="F1300" s="2" t="str">
        <f>VLOOKUP(Sales_Details2[[#This Row],[Customer_ID]],Customer_Details[#All],5,0)</f>
        <v>Female</v>
      </c>
      <c r="G1300" s="2" t="str">
        <f>VLOOKUP(Sales_Details2[[#This Row],[Customer_ID]],Customer_Details[#All],9,0)</f>
        <v>Silver</v>
      </c>
      <c r="H1300" s="2" t="s">
        <v>1583</v>
      </c>
      <c r="I1300" s="2" t="str">
        <f>VLOOKUP(Sales_Details2[[#This Row],[Product_ID]],Product_details[[#All],[Product_ID]:[Cost]],3,0)</f>
        <v>Electronics</v>
      </c>
      <c r="J1300" s="2" t="str">
        <f>VLOOKUP(Sales_Details2[[#This Row],[Product_ID]],Product_details[[#All],[Product_ID]:[Cost]],4,0)</f>
        <v>Audio</v>
      </c>
      <c r="K1300" s="2" t="s">
        <v>1765</v>
      </c>
      <c r="L1300" s="2" t="str">
        <f>_xlfn.XLOOKUP(Sales_Details2[[#This Row],[Store_ID]],Table2[Store_ID],Table2[Region],"Region not found")</f>
        <v>West</v>
      </c>
      <c r="M1300" s="25">
        <v>2</v>
      </c>
      <c r="N1300" s="36">
        <v>853.41</v>
      </c>
      <c r="O1300" s="29">
        <v>0.25</v>
      </c>
      <c r="P1300" s="2" t="s">
        <v>1807</v>
      </c>
      <c r="Q1300" s="36">
        <v>1280.115</v>
      </c>
    </row>
    <row r="1301" spans="1:17" x14ac:dyDescent="0.3">
      <c r="A1301" s="2" t="s">
        <v>3108</v>
      </c>
      <c r="B1301" s="14">
        <v>45451</v>
      </c>
      <c r="C1301" s="2">
        <f>YEAR(Sales_Details2[[#This Row],[Order_Date]])</f>
        <v>2024</v>
      </c>
      <c r="D1301" s="2" t="s">
        <v>382</v>
      </c>
      <c r="E1301" s="2" t="str">
        <f>VLOOKUP(Sales_Details2[[#This Row],[Customer_ID]],Customer_Details[#All],4,0)</f>
        <v>Mid-Adult</v>
      </c>
      <c r="F1301" s="2" t="str">
        <f>VLOOKUP(Sales_Details2[[#This Row],[Customer_ID]],Customer_Details[#All],5,0)</f>
        <v>Female</v>
      </c>
      <c r="G1301" s="2" t="str">
        <f>VLOOKUP(Sales_Details2[[#This Row],[Customer_ID]],Customer_Details[#All],9,0)</f>
        <v>Gold</v>
      </c>
      <c r="H1301" s="2" t="s">
        <v>1695</v>
      </c>
      <c r="I1301" s="2" t="str">
        <f>VLOOKUP(Sales_Details2[[#This Row],[Product_ID]],Product_details[[#All],[Product_ID]:[Cost]],3,0)</f>
        <v>Sports</v>
      </c>
      <c r="J1301" s="2" t="str">
        <f>VLOOKUP(Sales_Details2[[#This Row],[Product_ID]],Product_details[[#All],[Product_ID]:[Cost]],4,0)</f>
        <v>Fitness</v>
      </c>
      <c r="K1301" s="2" t="s">
        <v>1762</v>
      </c>
      <c r="L1301" s="2" t="str">
        <f>_xlfn.XLOOKUP(Sales_Details2[[#This Row],[Store_ID]],Table2[Store_ID],Table2[Region],"Region not found")</f>
        <v>South</v>
      </c>
      <c r="M1301" s="25">
        <v>1</v>
      </c>
      <c r="N1301" s="36">
        <v>162.13999999999999</v>
      </c>
      <c r="O1301" s="29">
        <v>7.0000000000000007E-2</v>
      </c>
      <c r="P1301" s="2" t="s">
        <v>1809</v>
      </c>
      <c r="Q1301" s="36">
        <v>150.7902</v>
      </c>
    </row>
    <row r="1302" spans="1:17" x14ac:dyDescent="0.3">
      <c r="A1302" s="2" t="s">
        <v>3109</v>
      </c>
      <c r="B1302" s="14">
        <v>45478</v>
      </c>
      <c r="C1302" s="2">
        <f>YEAR(Sales_Details2[[#This Row],[Order_Date]])</f>
        <v>2024</v>
      </c>
      <c r="D1302" s="2" t="s">
        <v>491</v>
      </c>
      <c r="E1302" s="2" t="str">
        <f>VLOOKUP(Sales_Details2[[#This Row],[Customer_ID]],Customer_Details[#All],4,0)</f>
        <v>Mid-Adult</v>
      </c>
      <c r="F1302" s="2" t="str">
        <f>VLOOKUP(Sales_Details2[[#This Row],[Customer_ID]],Customer_Details[#All],5,0)</f>
        <v>Female</v>
      </c>
      <c r="G1302" s="2" t="str">
        <f>VLOOKUP(Sales_Details2[[#This Row],[Customer_ID]],Customer_Details[#All],9,0)</f>
        <v>Platinum</v>
      </c>
      <c r="H1302" s="2" t="s">
        <v>1723</v>
      </c>
      <c r="I1302" s="2" t="str">
        <f>VLOOKUP(Sales_Details2[[#This Row],[Product_ID]],Product_details[[#All],[Product_ID]:[Cost]],3,0)</f>
        <v>Clothing</v>
      </c>
      <c r="J1302" s="2" t="str">
        <f>VLOOKUP(Sales_Details2[[#This Row],[Product_ID]],Product_details[[#All],[Product_ID]:[Cost]],4,0)</f>
        <v>Outerwear</v>
      </c>
      <c r="K1302" s="2" t="s">
        <v>1787</v>
      </c>
      <c r="L1302" s="2" t="str">
        <f>_xlfn.XLOOKUP(Sales_Details2[[#This Row],[Store_ID]],Table2[Store_ID],Table2[Region],"Region not found")</f>
        <v>West</v>
      </c>
      <c r="M1302" s="25">
        <v>1</v>
      </c>
      <c r="N1302" s="36">
        <v>893.14</v>
      </c>
      <c r="O1302" s="29">
        <v>0.09</v>
      </c>
      <c r="P1302" s="2" t="s">
        <v>1807</v>
      </c>
      <c r="Q1302" s="36">
        <v>812.75739999999996</v>
      </c>
    </row>
    <row r="1303" spans="1:17" x14ac:dyDescent="0.3">
      <c r="A1303" s="2" t="s">
        <v>3110</v>
      </c>
      <c r="B1303" s="14">
        <v>45528</v>
      </c>
      <c r="C1303" s="2">
        <f>YEAR(Sales_Details2[[#This Row],[Order_Date]])</f>
        <v>2024</v>
      </c>
      <c r="D1303" s="2" t="s">
        <v>361</v>
      </c>
      <c r="E1303" s="2" t="str">
        <f>VLOOKUP(Sales_Details2[[#This Row],[Customer_ID]],Customer_Details[#All],4,0)</f>
        <v>Adult</v>
      </c>
      <c r="F1303" s="2" t="str">
        <f>VLOOKUP(Sales_Details2[[#This Row],[Customer_ID]],Customer_Details[#All],5,0)</f>
        <v>Male</v>
      </c>
      <c r="G1303" s="2" t="str">
        <f>VLOOKUP(Sales_Details2[[#This Row],[Customer_ID]],Customer_Details[#All],9,0)</f>
        <v>Bronze</v>
      </c>
      <c r="H1303" s="2" t="s">
        <v>1599</v>
      </c>
      <c r="I1303" s="2" t="str">
        <f>VLOOKUP(Sales_Details2[[#This Row],[Product_ID]],Product_details[[#All],[Product_ID]:[Cost]],3,0)</f>
        <v>Electronics</v>
      </c>
      <c r="J1303" s="2" t="str">
        <f>VLOOKUP(Sales_Details2[[#This Row],[Product_ID]],Product_details[[#All],[Product_ID]:[Cost]],4,0)</f>
        <v>Computer</v>
      </c>
      <c r="K1303" s="2" t="s">
        <v>1765</v>
      </c>
      <c r="L1303" s="2" t="str">
        <f>_xlfn.XLOOKUP(Sales_Details2[[#This Row],[Store_ID]],Table2[Store_ID],Table2[Region],"Region not found")</f>
        <v>West</v>
      </c>
      <c r="M1303" s="25">
        <v>4</v>
      </c>
      <c r="N1303" s="36">
        <v>349.07</v>
      </c>
      <c r="O1303" s="29">
        <v>0.28000000000000003</v>
      </c>
      <c r="P1303" s="2" t="s">
        <v>1807</v>
      </c>
      <c r="Q1303" s="36">
        <v>1005.3216</v>
      </c>
    </row>
    <row r="1304" spans="1:17" x14ac:dyDescent="0.3">
      <c r="A1304" s="2" t="s">
        <v>3111</v>
      </c>
      <c r="B1304" s="14">
        <v>45418</v>
      </c>
      <c r="C1304" s="2">
        <f>YEAR(Sales_Details2[[#This Row],[Order_Date]])</f>
        <v>2024</v>
      </c>
      <c r="D1304" s="2" t="s">
        <v>891</v>
      </c>
      <c r="E1304" s="2" t="str">
        <f>VLOOKUP(Sales_Details2[[#This Row],[Customer_ID]],Customer_Details[#All],4,0)</f>
        <v>Senior</v>
      </c>
      <c r="F1304" s="2" t="str">
        <f>VLOOKUP(Sales_Details2[[#This Row],[Customer_ID]],Customer_Details[#All],5,0)</f>
        <v>Female</v>
      </c>
      <c r="G1304" s="2" t="str">
        <f>VLOOKUP(Sales_Details2[[#This Row],[Customer_ID]],Customer_Details[#All],9,0)</f>
        <v>Silver</v>
      </c>
      <c r="H1304" s="2" t="s">
        <v>1693</v>
      </c>
      <c r="I1304" s="2" t="str">
        <f>VLOOKUP(Sales_Details2[[#This Row],[Product_ID]],Product_details[[#All],[Product_ID]:[Cost]],3,0)</f>
        <v>Sports</v>
      </c>
      <c r="J1304" s="2" t="str">
        <f>VLOOKUP(Sales_Details2[[#This Row],[Product_ID]],Product_details[[#All],[Product_ID]:[Cost]],4,0)</f>
        <v>Equipment</v>
      </c>
      <c r="K1304" s="2" t="s">
        <v>1780</v>
      </c>
      <c r="L1304" s="2" t="str">
        <f>_xlfn.XLOOKUP(Sales_Details2[[#This Row],[Store_ID]],Table2[Store_ID],Table2[Region],"Region not found")</f>
        <v>East</v>
      </c>
      <c r="M1304" s="25">
        <v>1</v>
      </c>
      <c r="N1304" s="36">
        <v>747.9</v>
      </c>
      <c r="O1304" s="29">
        <v>0.21</v>
      </c>
      <c r="P1304" s="2" t="s">
        <v>1812</v>
      </c>
      <c r="Q1304" s="36">
        <v>590.84100000000001</v>
      </c>
    </row>
    <row r="1305" spans="1:17" x14ac:dyDescent="0.3">
      <c r="A1305" s="2" t="s">
        <v>3112</v>
      </c>
      <c r="B1305" s="14">
        <v>45478</v>
      </c>
      <c r="C1305" s="2">
        <f>YEAR(Sales_Details2[[#This Row],[Order_Date]])</f>
        <v>2024</v>
      </c>
      <c r="D1305" s="2" t="s">
        <v>127</v>
      </c>
      <c r="E1305" s="2" t="str">
        <f>VLOOKUP(Sales_Details2[[#This Row],[Customer_ID]],Customer_Details[#All],4,0)</f>
        <v>Mid-Adult</v>
      </c>
      <c r="F1305" s="2" t="str">
        <f>VLOOKUP(Sales_Details2[[#This Row],[Customer_ID]],Customer_Details[#All],5,0)</f>
        <v>Male</v>
      </c>
      <c r="G1305" s="2" t="str">
        <f>VLOOKUP(Sales_Details2[[#This Row],[Customer_ID]],Customer_Details[#All],9,0)</f>
        <v>Silver</v>
      </c>
      <c r="H1305" s="2" t="s">
        <v>1693</v>
      </c>
      <c r="I1305" s="2" t="str">
        <f>VLOOKUP(Sales_Details2[[#This Row],[Product_ID]],Product_details[[#All],[Product_ID]:[Cost]],3,0)</f>
        <v>Sports</v>
      </c>
      <c r="J1305" s="2" t="str">
        <f>VLOOKUP(Sales_Details2[[#This Row],[Product_ID]],Product_details[[#All],[Product_ID]:[Cost]],4,0)</f>
        <v>Equipment</v>
      </c>
      <c r="K1305" s="2" t="s">
        <v>1759</v>
      </c>
      <c r="L1305" s="2" t="str">
        <f>_xlfn.XLOOKUP(Sales_Details2[[#This Row],[Store_ID]],Table2[Store_ID],Table2[Region],"Region not found")</f>
        <v>East</v>
      </c>
      <c r="M1305" s="25">
        <v>3</v>
      </c>
      <c r="N1305" s="36">
        <v>438.92</v>
      </c>
      <c r="O1305" s="29">
        <v>0.21</v>
      </c>
      <c r="P1305" s="2" t="s">
        <v>1807</v>
      </c>
      <c r="Q1305" s="36">
        <v>1040.2403999999999</v>
      </c>
    </row>
    <row r="1306" spans="1:17" x14ac:dyDescent="0.3">
      <c r="A1306" s="2" t="s">
        <v>3113</v>
      </c>
      <c r="B1306" s="14">
        <v>45232</v>
      </c>
      <c r="C1306" s="2">
        <f>YEAR(Sales_Details2[[#This Row],[Order_Date]])</f>
        <v>2023</v>
      </c>
      <c r="D1306" s="2" t="s">
        <v>420</v>
      </c>
      <c r="E1306" s="2" t="str">
        <f>VLOOKUP(Sales_Details2[[#This Row],[Customer_ID]],Customer_Details[#All],4,0)</f>
        <v>Mid-Adult</v>
      </c>
      <c r="F1306" s="2" t="str">
        <f>VLOOKUP(Sales_Details2[[#This Row],[Customer_ID]],Customer_Details[#All],5,0)</f>
        <v>Male</v>
      </c>
      <c r="G1306" s="2" t="str">
        <f>VLOOKUP(Sales_Details2[[#This Row],[Customer_ID]],Customer_Details[#All],9,0)</f>
        <v>Silver</v>
      </c>
      <c r="H1306" s="2" t="s">
        <v>1685</v>
      </c>
      <c r="I1306" s="2" t="str">
        <f>VLOOKUP(Sales_Details2[[#This Row],[Product_ID]],Product_details[[#All],[Product_ID]:[Cost]],3,0)</f>
        <v>Electronics</v>
      </c>
      <c r="J1306" s="2" t="str">
        <f>VLOOKUP(Sales_Details2[[#This Row],[Product_ID]],Product_details[[#All],[Product_ID]:[Cost]],4,0)</f>
        <v>Appliances</v>
      </c>
      <c r="K1306" s="2" t="s">
        <v>1752</v>
      </c>
      <c r="L1306" s="2" t="str">
        <f>_xlfn.XLOOKUP(Sales_Details2[[#This Row],[Store_ID]],Table2[Store_ID],Table2[Region],"Region not found")</f>
        <v>South</v>
      </c>
      <c r="M1306" s="25">
        <v>4</v>
      </c>
      <c r="N1306" s="36">
        <v>665.38</v>
      </c>
      <c r="O1306" s="29">
        <v>0.18</v>
      </c>
      <c r="P1306" s="2" t="s">
        <v>1807</v>
      </c>
      <c r="Q1306" s="36">
        <v>2182.4463999999998</v>
      </c>
    </row>
    <row r="1307" spans="1:17" x14ac:dyDescent="0.3">
      <c r="A1307" s="2" t="s">
        <v>3114</v>
      </c>
      <c r="B1307" s="14">
        <v>45616</v>
      </c>
      <c r="C1307" s="2">
        <f>YEAR(Sales_Details2[[#This Row],[Order_Date]])</f>
        <v>2024</v>
      </c>
      <c r="D1307" s="2" t="s">
        <v>23</v>
      </c>
      <c r="E1307" s="2" t="str">
        <f>VLOOKUP(Sales_Details2[[#This Row],[Customer_ID]],Customer_Details[#All],4,0)</f>
        <v>Senior</v>
      </c>
      <c r="F1307" s="2" t="str">
        <f>VLOOKUP(Sales_Details2[[#This Row],[Customer_ID]],Customer_Details[#All],5,0)</f>
        <v>Female</v>
      </c>
      <c r="G1307" s="2" t="str">
        <f>VLOOKUP(Sales_Details2[[#This Row],[Customer_ID]],Customer_Details[#All],9,0)</f>
        <v>Bronze</v>
      </c>
      <c r="H1307" s="2" t="s">
        <v>1651</v>
      </c>
      <c r="I1307" s="2" t="str">
        <f>VLOOKUP(Sales_Details2[[#This Row],[Product_ID]],Product_details[[#All],[Product_ID]:[Cost]],3,0)</f>
        <v>Beauty</v>
      </c>
      <c r="J1307" s="2" t="str">
        <f>VLOOKUP(Sales_Details2[[#This Row],[Product_ID]],Product_details[[#All],[Product_ID]:[Cost]],4,0)</f>
        <v>Fragrance</v>
      </c>
      <c r="K1307" s="2" t="s">
        <v>1793</v>
      </c>
      <c r="L1307" s="2" t="str">
        <f>_xlfn.XLOOKUP(Sales_Details2[[#This Row],[Store_ID]],Table2[Store_ID],Table2[Region],"Region not found")</f>
        <v>East</v>
      </c>
      <c r="M1307" s="25">
        <v>1</v>
      </c>
      <c r="N1307" s="36">
        <v>146.49</v>
      </c>
      <c r="O1307" s="29">
        <v>0.28000000000000003</v>
      </c>
      <c r="P1307" s="2" t="s">
        <v>1807</v>
      </c>
      <c r="Q1307" s="36">
        <v>105.47280000000001</v>
      </c>
    </row>
    <row r="1308" spans="1:17" x14ac:dyDescent="0.3">
      <c r="A1308" s="2" t="s">
        <v>3115</v>
      </c>
      <c r="B1308" s="14">
        <v>45774</v>
      </c>
      <c r="C1308" s="2">
        <f>YEAR(Sales_Details2[[#This Row],[Order_Date]])</f>
        <v>2025</v>
      </c>
      <c r="D1308" s="2" t="s">
        <v>467</v>
      </c>
      <c r="E1308" s="2" t="str">
        <f>VLOOKUP(Sales_Details2[[#This Row],[Customer_ID]],Customer_Details[#All],4,0)</f>
        <v>Mid-Adult</v>
      </c>
      <c r="F1308" s="2" t="str">
        <f>VLOOKUP(Sales_Details2[[#This Row],[Customer_ID]],Customer_Details[#All],5,0)</f>
        <v>Male</v>
      </c>
      <c r="G1308" s="2" t="str">
        <f>VLOOKUP(Sales_Details2[[#This Row],[Customer_ID]],Customer_Details[#All],9,0)</f>
        <v>Bronze</v>
      </c>
      <c r="H1308" s="2" t="s">
        <v>1607</v>
      </c>
      <c r="I1308" s="2" t="str">
        <f>VLOOKUP(Sales_Details2[[#This Row],[Product_ID]],Product_details[[#All],[Product_ID]:[Cost]],3,0)</f>
        <v>Sports</v>
      </c>
      <c r="J1308" s="2" t="str">
        <f>VLOOKUP(Sales_Details2[[#This Row],[Product_ID]],Product_details[[#All],[Product_ID]:[Cost]],4,0)</f>
        <v>Outdoor</v>
      </c>
      <c r="K1308" s="2" t="s">
        <v>1784</v>
      </c>
      <c r="L1308" s="2" t="str">
        <f>_xlfn.XLOOKUP(Sales_Details2[[#This Row],[Store_ID]],Table2[Store_ID],Table2[Region],"Region not found")</f>
        <v>North</v>
      </c>
      <c r="M1308" s="25">
        <v>2</v>
      </c>
      <c r="N1308" s="36">
        <v>235.39</v>
      </c>
      <c r="O1308" s="29">
        <v>0.27</v>
      </c>
      <c r="P1308" s="2" t="s">
        <v>1812</v>
      </c>
      <c r="Q1308" s="36">
        <v>343.6694</v>
      </c>
    </row>
    <row r="1309" spans="1:17" x14ac:dyDescent="0.3">
      <c r="A1309" s="2" t="s">
        <v>3116</v>
      </c>
      <c r="B1309" s="14">
        <v>45651</v>
      </c>
      <c r="C1309" s="2">
        <f>YEAR(Sales_Details2[[#This Row],[Order_Date]])</f>
        <v>2024</v>
      </c>
      <c r="D1309" s="2" t="s">
        <v>118</v>
      </c>
      <c r="E1309" s="2" t="str">
        <f>VLOOKUP(Sales_Details2[[#This Row],[Customer_ID]],Customer_Details[#All],4,0)</f>
        <v>Adult</v>
      </c>
      <c r="F1309" s="2" t="str">
        <f>VLOOKUP(Sales_Details2[[#This Row],[Customer_ID]],Customer_Details[#All],5,0)</f>
        <v>Female</v>
      </c>
      <c r="G1309" s="2" t="str">
        <f>VLOOKUP(Sales_Details2[[#This Row],[Customer_ID]],Customer_Details[#All],9,0)</f>
        <v>Platinum</v>
      </c>
      <c r="H1309" s="2" t="s">
        <v>1653</v>
      </c>
      <c r="I1309" s="2" t="str">
        <f>VLOOKUP(Sales_Details2[[#This Row],[Product_ID]],Product_details[[#All],[Product_ID]:[Cost]],3,0)</f>
        <v>Sports</v>
      </c>
      <c r="J1309" s="2" t="str">
        <f>VLOOKUP(Sales_Details2[[#This Row],[Product_ID]],Product_details[[#All],[Product_ID]:[Cost]],4,0)</f>
        <v>Equipment</v>
      </c>
      <c r="K1309" s="2" t="s">
        <v>1756</v>
      </c>
      <c r="L1309" s="2" t="str">
        <f>_xlfn.XLOOKUP(Sales_Details2[[#This Row],[Store_ID]],Table2[Store_ID],Table2[Region],"Region not found")</f>
        <v>North</v>
      </c>
      <c r="M1309" s="25">
        <v>3</v>
      </c>
      <c r="N1309" s="36">
        <v>38.07</v>
      </c>
      <c r="O1309" s="29">
        <v>0.09</v>
      </c>
      <c r="P1309" s="2" t="s">
        <v>1809</v>
      </c>
      <c r="Q1309" s="36">
        <v>103.9311</v>
      </c>
    </row>
    <row r="1310" spans="1:17" x14ac:dyDescent="0.3">
      <c r="A1310" s="2" t="s">
        <v>3117</v>
      </c>
      <c r="B1310" s="14">
        <v>45902</v>
      </c>
      <c r="C1310" s="2">
        <f>YEAR(Sales_Details2[[#This Row],[Order_Date]])</f>
        <v>2025</v>
      </c>
      <c r="D1310" s="2" t="s">
        <v>1240</v>
      </c>
      <c r="E1310" s="2" t="str">
        <f>VLOOKUP(Sales_Details2[[#This Row],[Customer_ID]],Customer_Details[#All],4,0)</f>
        <v>Mid-Adult</v>
      </c>
      <c r="F1310" s="2" t="str">
        <f>VLOOKUP(Sales_Details2[[#This Row],[Customer_ID]],Customer_Details[#All],5,0)</f>
        <v>Male</v>
      </c>
      <c r="G1310" s="2" t="str">
        <f>VLOOKUP(Sales_Details2[[#This Row],[Customer_ID]],Customer_Details[#All],9,0)</f>
        <v>Bronze</v>
      </c>
      <c r="H1310" s="2" t="s">
        <v>1599</v>
      </c>
      <c r="I1310" s="2" t="str">
        <f>VLOOKUP(Sales_Details2[[#This Row],[Product_ID]],Product_details[[#All],[Product_ID]:[Cost]],3,0)</f>
        <v>Electronics</v>
      </c>
      <c r="J1310" s="2" t="str">
        <f>VLOOKUP(Sales_Details2[[#This Row],[Product_ID]],Product_details[[#All],[Product_ID]:[Cost]],4,0)</f>
        <v>Computer</v>
      </c>
      <c r="K1310" s="2" t="s">
        <v>1752</v>
      </c>
      <c r="L1310" s="2" t="str">
        <f>_xlfn.XLOOKUP(Sales_Details2[[#This Row],[Store_ID]],Table2[Store_ID],Table2[Region],"Region not found")</f>
        <v>South</v>
      </c>
      <c r="M1310" s="25">
        <v>2</v>
      </c>
      <c r="N1310" s="36">
        <v>511.7</v>
      </c>
      <c r="O1310" s="29">
        <v>0.12</v>
      </c>
      <c r="P1310" s="2" t="s">
        <v>1812</v>
      </c>
      <c r="Q1310" s="36">
        <v>900.59199999999998</v>
      </c>
    </row>
    <row r="1311" spans="1:17" x14ac:dyDescent="0.3">
      <c r="A1311" s="2" t="s">
        <v>3118</v>
      </c>
      <c r="B1311" s="14">
        <v>45401</v>
      </c>
      <c r="C1311" s="2">
        <f>YEAR(Sales_Details2[[#This Row],[Order_Date]])</f>
        <v>2024</v>
      </c>
      <c r="D1311" s="2" t="s">
        <v>327</v>
      </c>
      <c r="E1311" s="2" t="str">
        <f>VLOOKUP(Sales_Details2[[#This Row],[Customer_ID]],Customer_Details[#All],4,0)</f>
        <v>Mid-Adult</v>
      </c>
      <c r="F1311" s="2" t="str">
        <f>VLOOKUP(Sales_Details2[[#This Row],[Customer_ID]],Customer_Details[#All],5,0)</f>
        <v>Female</v>
      </c>
      <c r="G1311" s="2" t="str">
        <f>VLOOKUP(Sales_Details2[[#This Row],[Customer_ID]],Customer_Details[#All],9,0)</f>
        <v>Platinum</v>
      </c>
      <c r="H1311" s="2" t="s">
        <v>1681</v>
      </c>
      <c r="I1311" s="2" t="str">
        <f>VLOOKUP(Sales_Details2[[#This Row],[Product_ID]],Product_details[[#All],[Product_ID]:[Cost]],3,0)</f>
        <v>Clothing</v>
      </c>
      <c r="J1311" s="2" t="str">
        <f>VLOOKUP(Sales_Details2[[#This Row],[Product_ID]],Product_details[[#All],[Product_ID]:[Cost]],4,0)</f>
        <v>Footwear</v>
      </c>
      <c r="K1311" s="2" t="s">
        <v>1765</v>
      </c>
      <c r="L1311" s="2" t="str">
        <f>_xlfn.XLOOKUP(Sales_Details2[[#This Row],[Store_ID]],Table2[Store_ID],Table2[Region],"Region not found")</f>
        <v>West</v>
      </c>
      <c r="M1311" s="25">
        <v>4</v>
      </c>
      <c r="N1311" s="36">
        <v>488.72</v>
      </c>
      <c r="O1311" s="29">
        <v>0.23</v>
      </c>
      <c r="P1311" s="2" t="s">
        <v>1809</v>
      </c>
      <c r="Q1311" s="36">
        <v>1505.2575999999999</v>
      </c>
    </row>
    <row r="1312" spans="1:17" x14ac:dyDescent="0.3">
      <c r="A1312" s="2" t="s">
        <v>3119</v>
      </c>
      <c r="B1312" s="14">
        <v>45717</v>
      </c>
      <c r="C1312" s="2">
        <f>YEAR(Sales_Details2[[#This Row],[Order_Date]])</f>
        <v>2025</v>
      </c>
      <c r="D1312" s="2" t="s">
        <v>1207</v>
      </c>
      <c r="E1312" s="2" t="str">
        <f>VLOOKUP(Sales_Details2[[#This Row],[Customer_ID]],Customer_Details[#All],4,0)</f>
        <v>Mid-Adult</v>
      </c>
      <c r="F1312" s="2" t="str">
        <f>VLOOKUP(Sales_Details2[[#This Row],[Customer_ID]],Customer_Details[#All],5,0)</f>
        <v>Female</v>
      </c>
      <c r="G1312" s="2" t="str">
        <f>VLOOKUP(Sales_Details2[[#This Row],[Customer_ID]],Customer_Details[#All],9,0)</f>
        <v>Bronze</v>
      </c>
      <c r="H1312" s="2" t="s">
        <v>1631</v>
      </c>
      <c r="I1312" s="2" t="str">
        <f>VLOOKUP(Sales_Details2[[#This Row],[Product_ID]],Product_details[[#All],[Product_ID]:[Cost]],3,0)</f>
        <v>Sports</v>
      </c>
      <c r="J1312" s="2" t="str">
        <f>VLOOKUP(Sales_Details2[[#This Row],[Product_ID]],Product_details[[#All],[Product_ID]:[Cost]],4,0)</f>
        <v>Fitness</v>
      </c>
      <c r="K1312" s="2" t="s">
        <v>1777</v>
      </c>
      <c r="L1312" s="2" t="str">
        <f>_xlfn.XLOOKUP(Sales_Details2[[#This Row],[Store_ID]],Table2[Store_ID],Table2[Region],"Region not found")</f>
        <v>North</v>
      </c>
      <c r="M1312" s="25">
        <v>2</v>
      </c>
      <c r="N1312" s="36">
        <v>520.45000000000005</v>
      </c>
      <c r="O1312" s="29">
        <v>0.11</v>
      </c>
      <c r="P1312" s="2" t="s">
        <v>1812</v>
      </c>
      <c r="Q1312" s="36">
        <v>926.40100000000007</v>
      </c>
    </row>
    <row r="1313" spans="1:17" x14ac:dyDescent="0.3">
      <c r="A1313" s="2" t="s">
        <v>3120</v>
      </c>
      <c r="B1313" s="14">
        <v>45376</v>
      </c>
      <c r="C1313" s="2">
        <f>YEAR(Sales_Details2[[#This Row],[Order_Date]])</f>
        <v>2024</v>
      </c>
      <c r="D1313" s="2" t="s">
        <v>1324</v>
      </c>
      <c r="E1313" s="2" t="str">
        <f>VLOOKUP(Sales_Details2[[#This Row],[Customer_ID]],Customer_Details[#All],4,0)</f>
        <v>Mid-Adult</v>
      </c>
      <c r="F1313" s="2" t="str">
        <f>VLOOKUP(Sales_Details2[[#This Row],[Customer_ID]],Customer_Details[#All],5,0)</f>
        <v>Male</v>
      </c>
      <c r="G1313" s="2" t="str">
        <f>VLOOKUP(Sales_Details2[[#This Row],[Customer_ID]],Customer_Details[#All],9,0)</f>
        <v>Bronze</v>
      </c>
      <c r="H1313" s="2" t="s">
        <v>1627</v>
      </c>
      <c r="I1313" s="2" t="str">
        <f>VLOOKUP(Sales_Details2[[#This Row],[Product_ID]],Product_details[[#All],[Product_ID]:[Cost]],3,0)</f>
        <v>Electronics</v>
      </c>
      <c r="J1313" s="2" t="str">
        <f>VLOOKUP(Sales_Details2[[#This Row],[Product_ID]],Product_details[[#All],[Product_ID]:[Cost]],4,0)</f>
        <v>Accessories</v>
      </c>
      <c r="K1313" s="2" t="s">
        <v>1756</v>
      </c>
      <c r="L1313" s="2" t="str">
        <f>_xlfn.XLOOKUP(Sales_Details2[[#This Row],[Store_ID]],Table2[Store_ID],Table2[Region],"Region not found")</f>
        <v>North</v>
      </c>
      <c r="M1313" s="25">
        <v>1</v>
      </c>
      <c r="N1313" s="36">
        <v>340.9</v>
      </c>
      <c r="O1313" s="29">
        <v>0.28999999999999998</v>
      </c>
      <c r="P1313" s="2" t="s">
        <v>1807</v>
      </c>
      <c r="Q1313" s="36">
        <v>242.03899999999999</v>
      </c>
    </row>
    <row r="1314" spans="1:17" x14ac:dyDescent="0.3">
      <c r="A1314" s="2" t="s">
        <v>3121</v>
      </c>
      <c r="B1314" s="14">
        <v>45576</v>
      </c>
      <c r="C1314" s="2">
        <f>YEAR(Sales_Details2[[#This Row],[Order_Date]])</f>
        <v>2024</v>
      </c>
      <c r="D1314" s="2" t="s">
        <v>1075</v>
      </c>
      <c r="E1314" s="2" t="str">
        <f>VLOOKUP(Sales_Details2[[#This Row],[Customer_ID]],Customer_Details[#All],4,0)</f>
        <v>Senior</v>
      </c>
      <c r="F1314" s="2" t="str">
        <f>VLOOKUP(Sales_Details2[[#This Row],[Customer_ID]],Customer_Details[#All],5,0)</f>
        <v>Female</v>
      </c>
      <c r="G1314" s="2" t="str">
        <f>VLOOKUP(Sales_Details2[[#This Row],[Customer_ID]],Customer_Details[#All],9,0)</f>
        <v>Platinum</v>
      </c>
      <c r="H1314" s="2" t="s">
        <v>1593</v>
      </c>
      <c r="I1314" s="2" t="str">
        <f>VLOOKUP(Sales_Details2[[#This Row],[Product_ID]],Product_details[[#All],[Product_ID]:[Cost]],3,0)</f>
        <v>Sports</v>
      </c>
      <c r="J1314" s="2" t="str">
        <f>VLOOKUP(Sales_Details2[[#This Row],[Product_ID]],Product_details[[#All],[Product_ID]:[Cost]],4,0)</f>
        <v>Team Sports</v>
      </c>
      <c r="K1314" s="2" t="s">
        <v>1765</v>
      </c>
      <c r="L1314" s="2" t="str">
        <f>_xlfn.XLOOKUP(Sales_Details2[[#This Row],[Store_ID]],Table2[Store_ID],Table2[Region],"Region not found")</f>
        <v>West</v>
      </c>
      <c r="M1314" s="25">
        <v>3</v>
      </c>
      <c r="N1314" s="36">
        <v>653.59</v>
      </c>
      <c r="O1314" s="29">
        <v>0.17</v>
      </c>
      <c r="P1314" s="2" t="s">
        <v>1812</v>
      </c>
      <c r="Q1314" s="36">
        <v>1627.4391000000001</v>
      </c>
    </row>
    <row r="1315" spans="1:17" x14ac:dyDescent="0.3">
      <c r="A1315" s="2" t="s">
        <v>3122</v>
      </c>
      <c r="B1315" s="14">
        <v>45906</v>
      </c>
      <c r="C1315" s="2">
        <f>YEAR(Sales_Details2[[#This Row],[Order_Date]])</f>
        <v>2025</v>
      </c>
      <c r="D1315" s="2" t="s">
        <v>93</v>
      </c>
      <c r="E1315" s="2" t="str">
        <f>VLOOKUP(Sales_Details2[[#This Row],[Customer_ID]],Customer_Details[#All],4,0)</f>
        <v>Mid-Adult</v>
      </c>
      <c r="F1315" s="2" t="str">
        <f>VLOOKUP(Sales_Details2[[#This Row],[Customer_ID]],Customer_Details[#All],5,0)</f>
        <v>Female</v>
      </c>
      <c r="G1315" s="2" t="str">
        <f>VLOOKUP(Sales_Details2[[#This Row],[Customer_ID]],Customer_Details[#All],9,0)</f>
        <v>Gold</v>
      </c>
      <c r="H1315" s="2" t="s">
        <v>1583</v>
      </c>
      <c r="I1315" s="2" t="str">
        <f>VLOOKUP(Sales_Details2[[#This Row],[Product_ID]],Product_details[[#All],[Product_ID]:[Cost]],3,0)</f>
        <v>Electronics</v>
      </c>
      <c r="J1315" s="2" t="str">
        <f>VLOOKUP(Sales_Details2[[#This Row],[Product_ID]],Product_details[[#All],[Product_ID]:[Cost]],4,0)</f>
        <v>Audio</v>
      </c>
      <c r="K1315" s="2" t="s">
        <v>1793</v>
      </c>
      <c r="L1315" s="2" t="str">
        <f>_xlfn.XLOOKUP(Sales_Details2[[#This Row],[Store_ID]],Table2[Store_ID],Table2[Region],"Region not found")</f>
        <v>East</v>
      </c>
      <c r="M1315" s="25">
        <v>1</v>
      </c>
      <c r="N1315" s="36">
        <v>179.77</v>
      </c>
      <c r="O1315" s="29">
        <v>0.23</v>
      </c>
      <c r="P1315" s="2" t="s">
        <v>1812</v>
      </c>
      <c r="Q1315" s="36">
        <v>138.4229</v>
      </c>
    </row>
    <row r="1316" spans="1:17" x14ac:dyDescent="0.3">
      <c r="A1316" s="2" t="s">
        <v>3123</v>
      </c>
      <c r="B1316" s="14">
        <v>45523</v>
      </c>
      <c r="C1316" s="2">
        <f>YEAR(Sales_Details2[[#This Row],[Order_Date]])</f>
        <v>2024</v>
      </c>
      <c r="D1316" s="2" t="s">
        <v>44</v>
      </c>
      <c r="E1316" s="2" t="str">
        <f>VLOOKUP(Sales_Details2[[#This Row],[Customer_ID]],Customer_Details[#All],4,0)</f>
        <v>Senior</v>
      </c>
      <c r="F1316" s="2" t="str">
        <f>VLOOKUP(Sales_Details2[[#This Row],[Customer_ID]],Customer_Details[#All],5,0)</f>
        <v>Female</v>
      </c>
      <c r="G1316" s="2" t="str">
        <f>VLOOKUP(Sales_Details2[[#This Row],[Customer_ID]],Customer_Details[#All],9,0)</f>
        <v>Gold</v>
      </c>
      <c r="H1316" s="2" t="s">
        <v>1526</v>
      </c>
      <c r="I1316" s="2" t="str">
        <f>VLOOKUP(Sales_Details2[[#This Row],[Product_ID]],Product_details[[#All],[Product_ID]:[Cost]],3,0)</f>
        <v>Electronics</v>
      </c>
      <c r="J1316" s="2" t="str">
        <f>VLOOKUP(Sales_Details2[[#This Row],[Product_ID]],Product_details[[#All],[Product_ID]:[Cost]],4,0)</f>
        <v>Computer</v>
      </c>
      <c r="K1316" s="2" t="s">
        <v>1769</v>
      </c>
      <c r="L1316" s="2" t="str">
        <f>_xlfn.XLOOKUP(Sales_Details2[[#This Row],[Store_ID]],Table2[Store_ID],Table2[Region],"Region not found")</f>
        <v>South</v>
      </c>
      <c r="M1316" s="25">
        <v>2</v>
      </c>
      <c r="N1316" s="36">
        <v>943.8</v>
      </c>
      <c r="O1316" s="29">
        <v>0.06</v>
      </c>
      <c r="P1316" s="2" t="s">
        <v>1807</v>
      </c>
      <c r="Q1316" s="36">
        <v>1774.3440000000001</v>
      </c>
    </row>
    <row r="1317" spans="1:17" x14ac:dyDescent="0.3">
      <c r="A1317" s="2" t="s">
        <v>3124</v>
      </c>
      <c r="B1317" s="14">
        <v>45234</v>
      </c>
      <c r="C1317" s="2">
        <f>YEAR(Sales_Details2[[#This Row],[Order_Date]])</f>
        <v>2023</v>
      </c>
      <c r="D1317" s="2" t="s">
        <v>1258</v>
      </c>
      <c r="E1317" s="2" t="str">
        <f>VLOOKUP(Sales_Details2[[#This Row],[Customer_ID]],Customer_Details[#All],4,0)</f>
        <v>Senior</v>
      </c>
      <c r="F1317" s="2" t="str">
        <f>VLOOKUP(Sales_Details2[[#This Row],[Customer_ID]],Customer_Details[#All],5,0)</f>
        <v>Male</v>
      </c>
      <c r="G1317" s="2" t="str">
        <f>VLOOKUP(Sales_Details2[[#This Row],[Customer_ID]],Customer_Details[#All],9,0)</f>
        <v>Gold</v>
      </c>
      <c r="H1317" s="2" t="s">
        <v>1673</v>
      </c>
      <c r="I1317" s="2" t="str">
        <f>VLOOKUP(Sales_Details2[[#This Row],[Product_ID]],Product_details[[#All],[Product_ID]:[Cost]],3,0)</f>
        <v>Beauty</v>
      </c>
      <c r="J1317" s="2" t="str">
        <f>VLOOKUP(Sales_Details2[[#This Row],[Product_ID]],Product_details[[#All],[Product_ID]:[Cost]],4,0)</f>
        <v>Haircare</v>
      </c>
      <c r="K1317" s="2" t="s">
        <v>1784</v>
      </c>
      <c r="L1317" s="2" t="str">
        <f>_xlfn.XLOOKUP(Sales_Details2[[#This Row],[Store_ID]],Table2[Store_ID],Table2[Region],"Region not found")</f>
        <v>North</v>
      </c>
      <c r="M1317" s="25">
        <v>2</v>
      </c>
      <c r="N1317" s="36">
        <v>985</v>
      </c>
      <c r="O1317" s="29">
        <v>0.25</v>
      </c>
      <c r="P1317" s="2" t="s">
        <v>1807</v>
      </c>
      <c r="Q1317" s="36">
        <v>1477.5</v>
      </c>
    </row>
    <row r="1318" spans="1:17" x14ac:dyDescent="0.3">
      <c r="A1318" s="2" t="s">
        <v>3125</v>
      </c>
      <c r="B1318" s="14">
        <v>45405</v>
      </c>
      <c r="C1318" s="2">
        <f>YEAR(Sales_Details2[[#This Row],[Order_Date]])</f>
        <v>2024</v>
      </c>
      <c r="D1318" s="2" t="s">
        <v>1475</v>
      </c>
      <c r="E1318" s="2" t="str">
        <f>VLOOKUP(Sales_Details2[[#This Row],[Customer_ID]],Customer_Details[#All],4,0)</f>
        <v>Mid-Adult</v>
      </c>
      <c r="F1318" s="2" t="str">
        <f>VLOOKUP(Sales_Details2[[#This Row],[Customer_ID]],Customer_Details[#All],5,0)</f>
        <v>Female</v>
      </c>
      <c r="G1318" s="2" t="str">
        <f>VLOOKUP(Sales_Details2[[#This Row],[Customer_ID]],Customer_Details[#All],9,0)</f>
        <v>Bronze</v>
      </c>
      <c r="H1318" s="2" t="s">
        <v>1707</v>
      </c>
      <c r="I1318" s="2" t="str">
        <f>VLOOKUP(Sales_Details2[[#This Row],[Product_ID]],Product_details[[#All],[Product_ID]:[Cost]],3,0)</f>
        <v>Sports</v>
      </c>
      <c r="J1318" s="2" t="str">
        <f>VLOOKUP(Sales_Details2[[#This Row],[Product_ID]],Product_details[[#All],[Product_ID]:[Cost]],4,0)</f>
        <v>Accessories</v>
      </c>
      <c r="K1318" s="2" t="s">
        <v>1772</v>
      </c>
      <c r="L1318" s="2" t="str">
        <f>_xlfn.XLOOKUP(Sales_Details2[[#This Row],[Store_ID]],Table2[Store_ID],Table2[Region],"Region not found")</f>
        <v>East</v>
      </c>
      <c r="M1318" s="25">
        <v>4</v>
      </c>
      <c r="N1318" s="36">
        <v>216.81</v>
      </c>
      <c r="O1318" s="29">
        <v>0.28999999999999998</v>
      </c>
      <c r="P1318" s="2" t="s">
        <v>1807</v>
      </c>
      <c r="Q1318" s="36">
        <v>615.74040000000002</v>
      </c>
    </row>
    <row r="1319" spans="1:17" x14ac:dyDescent="0.3">
      <c r="A1319" s="2" t="s">
        <v>3126</v>
      </c>
      <c r="B1319" s="14">
        <v>45223</v>
      </c>
      <c r="C1319" s="2">
        <f>YEAR(Sales_Details2[[#This Row],[Order_Date]])</f>
        <v>2023</v>
      </c>
      <c r="D1319" s="2" t="s">
        <v>403</v>
      </c>
      <c r="E1319" s="2" t="str">
        <f>VLOOKUP(Sales_Details2[[#This Row],[Customer_ID]],Customer_Details[#All],4,0)</f>
        <v>Adult</v>
      </c>
      <c r="F1319" s="2" t="str">
        <f>VLOOKUP(Sales_Details2[[#This Row],[Customer_ID]],Customer_Details[#All],5,0)</f>
        <v>Female</v>
      </c>
      <c r="G1319" s="2" t="str">
        <f>VLOOKUP(Sales_Details2[[#This Row],[Customer_ID]],Customer_Details[#All],9,0)</f>
        <v>Platinum</v>
      </c>
      <c r="H1319" s="2" t="s">
        <v>1659</v>
      </c>
      <c r="I1319" s="2" t="str">
        <f>VLOOKUP(Sales_Details2[[#This Row],[Product_ID]],Product_details[[#All],[Product_ID]:[Cost]],3,0)</f>
        <v>Beauty</v>
      </c>
      <c r="J1319" s="2" t="str">
        <f>VLOOKUP(Sales_Details2[[#This Row],[Product_ID]],Product_details[[#All],[Product_ID]:[Cost]],4,0)</f>
        <v>Makeup</v>
      </c>
      <c r="K1319" s="2" t="s">
        <v>1744</v>
      </c>
      <c r="L1319" s="2" t="str">
        <f>_xlfn.XLOOKUP(Sales_Details2[[#This Row],[Store_ID]],Table2[Store_ID],Table2[Region],"Region not found")</f>
        <v>South</v>
      </c>
      <c r="M1319" s="25">
        <v>4</v>
      </c>
      <c r="N1319" s="36">
        <v>950.21</v>
      </c>
      <c r="O1319" s="29">
        <v>0.27</v>
      </c>
      <c r="P1319" s="2" t="s">
        <v>1812</v>
      </c>
      <c r="Q1319" s="36">
        <v>2774.6131999999998</v>
      </c>
    </row>
    <row r="1320" spans="1:17" x14ac:dyDescent="0.3">
      <c r="A1320" s="2" t="s">
        <v>3127</v>
      </c>
      <c r="B1320" s="14">
        <v>45838</v>
      </c>
      <c r="C1320" s="2">
        <f>YEAR(Sales_Details2[[#This Row],[Order_Date]])</f>
        <v>2025</v>
      </c>
      <c r="D1320" s="2" t="s">
        <v>811</v>
      </c>
      <c r="E1320" s="2" t="str">
        <f>VLOOKUP(Sales_Details2[[#This Row],[Customer_ID]],Customer_Details[#All],4,0)</f>
        <v>Senior</v>
      </c>
      <c r="F1320" s="2" t="str">
        <f>VLOOKUP(Sales_Details2[[#This Row],[Customer_ID]],Customer_Details[#All],5,0)</f>
        <v>Male</v>
      </c>
      <c r="G1320" s="2" t="str">
        <f>VLOOKUP(Sales_Details2[[#This Row],[Customer_ID]],Customer_Details[#All],9,0)</f>
        <v>Platinum</v>
      </c>
      <c r="H1320" s="2" t="s">
        <v>1627</v>
      </c>
      <c r="I1320" s="2" t="str">
        <f>VLOOKUP(Sales_Details2[[#This Row],[Product_ID]],Product_details[[#All],[Product_ID]:[Cost]],3,0)</f>
        <v>Electronics</v>
      </c>
      <c r="J1320" s="2" t="str">
        <f>VLOOKUP(Sales_Details2[[#This Row],[Product_ID]],Product_details[[#All],[Product_ID]:[Cost]],4,0)</f>
        <v>Accessories</v>
      </c>
      <c r="K1320" s="2" t="s">
        <v>1762</v>
      </c>
      <c r="L1320" s="2" t="str">
        <f>_xlfn.XLOOKUP(Sales_Details2[[#This Row],[Store_ID]],Table2[Store_ID],Table2[Region],"Region not found")</f>
        <v>South</v>
      </c>
      <c r="M1320" s="25">
        <v>2</v>
      </c>
      <c r="N1320" s="36">
        <v>271.39999999999998</v>
      </c>
      <c r="O1320" s="29">
        <v>0.17</v>
      </c>
      <c r="P1320" s="2" t="s">
        <v>1809</v>
      </c>
      <c r="Q1320" s="36">
        <v>450.52399999999989</v>
      </c>
    </row>
    <row r="1321" spans="1:17" x14ac:dyDescent="0.3">
      <c r="A1321" s="2" t="s">
        <v>3128</v>
      </c>
      <c r="B1321" s="14">
        <v>45883</v>
      </c>
      <c r="C1321" s="2">
        <f>YEAR(Sales_Details2[[#This Row],[Order_Date]])</f>
        <v>2025</v>
      </c>
      <c r="D1321" s="2" t="s">
        <v>554</v>
      </c>
      <c r="E1321" s="2" t="str">
        <f>VLOOKUP(Sales_Details2[[#This Row],[Customer_ID]],Customer_Details[#All],4,0)</f>
        <v>Mid-Adult</v>
      </c>
      <c r="F1321" s="2" t="str">
        <f>VLOOKUP(Sales_Details2[[#This Row],[Customer_ID]],Customer_Details[#All],5,0)</f>
        <v>Female</v>
      </c>
      <c r="G1321" s="2" t="str">
        <f>VLOOKUP(Sales_Details2[[#This Row],[Customer_ID]],Customer_Details[#All],9,0)</f>
        <v>Platinum</v>
      </c>
      <c r="H1321" s="2" t="s">
        <v>1609</v>
      </c>
      <c r="I1321" s="2" t="str">
        <f>VLOOKUP(Sales_Details2[[#This Row],[Product_ID]],Product_details[[#All],[Product_ID]:[Cost]],3,0)</f>
        <v>Electronics</v>
      </c>
      <c r="J1321" s="2" t="str">
        <f>VLOOKUP(Sales_Details2[[#This Row],[Product_ID]],Product_details[[#All],[Product_ID]:[Cost]],4,0)</f>
        <v>Mobile</v>
      </c>
      <c r="K1321" s="2" t="s">
        <v>1765</v>
      </c>
      <c r="L1321" s="2" t="str">
        <f>_xlfn.XLOOKUP(Sales_Details2[[#This Row],[Store_ID]],Table2[Store_ID],Table2[Region],"Region not found")</f>
        <v>West</v>
      </c>
      <c r="M1321" s="25">
        <v>4</v>
      </c>
      <c r="N1321" s="36">
        <v>708.19</v>
      </c>
      <c r="O1321" s="29">
        <v>0.1</v>
      </c>
      <c r="P1321" s="2" t="s">
        <v>1809</v>
      </c>
      <c r="Q1321" s="36">
        <v>2549.4839999999999</v>
      </c>
    </row>
    <row r="1322" spans="1:17" x14ac:dyDescent="0.3">
      <c r="A1322" s="2" t="s">
        <v>3129</v>
      </c>
      <c r="B1322" s="14">
        <v>45788</v>
      </c>
      <c r="C1322" s="2">
        <f>YEAR(Sales_Details2[[#This Row],[Order_Date]])</f>
        <v>2025</v>
      </c>
      <c r="D1322" s="2" t="s">
        <v>1358</v>
      </c>
      <c r="E1322" s="2" t="str">
        <f>VLOOKUP(Sales_Details2[[#This Row],[Customer_ID]],Customer_Details[#All],4,0)</f>
        <v>Adult</v>
      </c>
      <c r="F1322" s="2" t="str">
        <f>VLOOKUP(Sales_Details2[[#This Row],[Customer_ID]],Customer_Details[#All],5,0)</f>
        <v>Male</v>
      </c>
      <c r="G1322" s="2" t="str">
        <f>VLOOKUP(Sales_Details2[[#This Row],[Customer_ID]],Customer_Details[#All],9,0)</f>
        <v>Gold</v>
      </c>
      <c r="H1322" s="2" t="s">
        <v>1639</v>
      </c>
      <c r="I1322" s="2" t="str">
        <f>VLOOKUP(Sales_Details2[[#This Row],[Product_ID]],Product_details[[#All],[Product_ID]:[Cost]],3,0)</f>
        <v>Sports</v>
      </c>
      <c r="J1322" s="2" t="str">
        <f>VLOOKUP(Sales_Details2[[#This Row],[Product_ID]],Product_details[[#All],[Product_ID]:[Cost]],4,0)</f>
        <v>Accessories</v>
      </c>
      <c r="K1322" s="2" t="s">
        <v>1749</v>
      </c>
      <c r="L1322" s="2" t="str">
        <f>_xlfn.XLOOKUP(Sales_Details2[[#This Row],[Store_ID]],Table2[Store_ID],Table2[Region],"Region not found")</f>
        <v>North</v>
      </c>
      <c r="M1322" s="25">
        <v>3</v>
      </c>
      <c r="N1322" s="36">
        <v>477.05</v>
      </c>
      <c r="O1322" s="29">
        <v>0.05</v>
      </c>
      <c r="P1322" s="2" t="s">
        <v>1809</v>
      </c>
      <c r="Q1322" s="36">
        <v>1359.5925</v>
      </c>
    </row>
    <row r="1323" spans="1:17" x14ac:dyDescent="0.3">
      <c r="A1323" s="2" t="s">
        <v>3130</v>
      </c>
      <c r="B1323" s="14">
        <v>45383</v>
      </c>
      <c r="C1323" s="2">
        <f>YEAR(Sales_Details2[[#This Row],[Order_Date]])</f>
        <v>2024</v>
      </c>
      <c r="D1323" s="2" t="s">
        <v>959</v>
      </c>
      <c r="E1323" s="2" t="str">
        <f>VLOOKUP(Sales_Details2[[#This Row],[Customer_ID]],Customer_Details[#All],4,0)</f>
        <v>Senior</v>
      </c>
      <c r="F1323" s="2" t="str">
        <f>VLOOKUP(Sales_Details2[[#This Row],[Customer_ID]],Customer_Details[#All],5,0)</f>
        <v>Female</v>
      </c>
      <c r="G1323" s="2" t="str">
        <f>VLOOKUP(Sales_Details2[[#This Row],[Customer_ID]],Customer_Details[#All],9,0)</f>
        <v>Bronze</v>
      </c>
      <c r="H1323" s="2" t="s">
        <v>1679</v>
      </c>
      <c r="I1323" s="2" t="str">
        <f>VLOOKUP(Sales_Details2[[#This Row],[Product_ID]],Product_details[[#All],[Product_ID]:[Cost]],3,0)</f>
        <v>Electronics</v>
      </c>
      <c r="J1323" s="2" t="str">
        <f>VLOOKUP(Sales_Details2[[#This Row],[Product_ID]],Product_details[[#All],[Product_ID]:[Cost]],4,0)</f>
        <v>Audio</v>
      </c>
      <c r="K1323" s="2" t="s">
        <v>1769</v>
      </c>
      <c r="L1323" s="2" t="str">
        <f>_xlfn.XLOOKUP(Sales_Details2[[#This Row],[Store_ID]],Table2[Store_ID],Table2[Region],"Region not found")</f>
        <v>South</v>
      </c>
      <c r="M1323" s="25">
        <v>3</v>
      </c>
      <c r="N1323" s="36">
        <v>627.29</v>
      </c>
      <c r="O1323" s="29">
        <v>0.27</v>
      </c>
      <c r="P1323" s="2" t="s">
        <v>1812</v>
      </c>
      <c r="Q1323" s="36">
        <v>1373.7651000000001</v>
      </c>
    </row>
    <row r="1324" spans="1:17" x14ac:dyDescent="0.3">
      <c r="A1324" s="2" t="s">
        <v>3131</v>
      </c>
      <c r="B1324" s="14">
        <v>45335</v>
      </c>
      <c r="C1324" s="2">
        <f>YEAR(Sales_Details2[[#This Row],[Order_Date]])</f>
        <v>2024</v>
      </c>
      <c r="D1324" s="2" t="s">
        <v>951</v>
      </c>
      <c r="E1324" s="2" t="str">
        <f>VLOOKUP(Sales_Details2[[#This Row],[Customer_ID]],Customer_Details[#All],4,0)</f>
        <v>Mid-Adult</v>
      </c>
      <c r="F1324" s="2" t="str">
        <f>VLOOKUP(Sales_Details2[[#This Row],[Customer_ID]],Customer_Details[#All],5,0)</f>
        <v>Male</v>
      </c>
      <c r="G1324" s="2" t="str">
        <f>VLOOKUP(Sales_Details2[[#This Row],[Customer_ID]],Customer_Details[#All],9,0)</f>
        <v>Silver</v>
      </c>
      <c r="H1324" s="2" t="s">
        <v>1719</v>
      </c>
      <c r="I1324" s="2" t="str">
        <f>VLOOKUP(Sales_Details2[[#This Row],[Product_ID]],Product_details[[#All],[Product_ID]:[Cost]],3,0)</f>
        <v>Beauty</v>
      </c>
      <c r="J1324" s="2" t="str">
        <f>VLOOKUP(Sales_Details2[[#This Row],[Product_ID]],Product_details[[#All],[Product_ID]:[Cost]],4,0)</f>
        <v>Skincare</v>
      </c>
      <c r="K1324" s="2" t="s">
        <v>1775</v>
      </c>
      <c r="L1324" s="2" t="str">
        <f>_xlfn.XLOOKUP(Sales_Details2[[#This Row],[Store_ID]],Table2[Store_ID],Table2[Region],"Region not found")</f>
        <v>South</v>
      </c>
      <c r="M1324" s="25">
        <v>3</v>
      </c>
      <c r="N1324" s="36">
        <v>206.84</v>
      </c>
      <c r="O1324" s="29">
        <v>0.19</v>
      </c>
      <c r="P1324" s="2" t="s">
        <v>1809</v>
      </c>
      <c r="Q1324" s="36">
        <v>502.62119999999999</v>
      </c>
    </row>
    <row r="1325" spans="1:17" x14ac:dyDescent="0.3">
      <c r="A1325" s="2" t="s">
        <v>3132</v>
      </c>
      <c r="B1325" s="14">
        <v>45304</v>
      </c>
      <c r="C1325" s="2">
        <f>YEAR(Sales_Details2[[#This Row],[Order_Date]])</f>
        <v>2024</v>
      </c>
      <c r="D1325" s="2" t="s">
        <v>797</v>
      </c>
      <c r="E1325" s="2" t="str">
        <f>VLOOKUP(Sales_Details2[[#This Row],[Customer_ID]],Customer_Details[#All],4,0)</f>
        <v>Senior</v>
      </c>
      <c r="F1325" s="2" t="str">
        <f>VLOOKUP(Sales_Details2[[#This Row],[Customer_ID]],Customer_Details[#All],5,0)</f>
        <v>Male</v>
      </c>
      <c r="G1325" s="2" t="str">
        <f>VLOOKUP(Sales_Details2[[#This Row],[Customer_ID]],Customer_Details[#All],9,0)</f>
        <v>Silver</v>
      </c>
      <c r="H1325" s="2" t="s">
        <v>1591</v>
      </c>
      <c r="I1325" s="2" t="str">
        <f>VLOOKUP(Sales_Details2[[#This Row],[Product_ID]],Product_details[[#All],[Product_ID]:[Cost]],3,0)</f>
        <v>Home</v>
      </c>
      <c r="J1325" s="2" t="str">
        <f>VLOOKUP(Sales_Details2[[#This Row],[Product_ID]],Product_details[[#All],[Product_ID]:[Cost]],4,0)</f>
        <v>Kitchen</v>
      </c>
      <c r="K1325" s="2" t="s">
        <v>1740</v>
      </c>
      <c r="L1325" s="2" t="str">
        <f>_xlfn.XLOOKUP(Sales_Details2[[#This Row],[Store_ID]],Table2[Store_ID],Table2[Region],"Region not found")</f>
        <v>North</v>
      </c>
      <c r="M1325" s="25">
        <v>4</v>
      </c>
      <c r="N1325" s="36">
        <v>629.04999999999995</v>
      </c>
      <c r="O1325" s="29">
        <v>0.26</v>
      </c>
      <c r="P1325" s="2" t="s">
        <v>1807</v>
      </c>
      <c r="Q1325" s="36">
        <v>1861.9880000000001</v>
      </c>
    </row>
    <row r="1326" spans="1:17" x14ac:dyDescent="0.3">
      <c r="A1326" s="2" t="s">
        <v>3133</v>
      </c>
      <c r="B1326" s="14">
        <v>45543</v>
      </c>
      <c r="C1326" s="2">
        <f>YEAR(Sales_Details2[[#This Row],[Order_Date]])</f>
        <v>2024</v>
      </c>
      <c r="D1326" s="2" t="s">
        <v>1341</v>
      </c>
      <c r="E1326" s="2" t="str">
        <f>VLOOKUP(Sales_Details2[[#This Row],[Customer_ID]],Customer_Details[#All],4,0)</f>
        <v>Senior</v>
      </c>
      <c r="F1326" s="2" t="str">
        <f>VLOOKUP(Sales_Details2[[#This Row],[Customer_ID]],Customer_Details[#All],5,0)</f>
        <v>Female</v>
      </c>
      <c r="G1326" s="2" t="str">
        <f>VLOOKUP(Sales_Details2[[#This Row],[Customer_ID]],Customer_Details[#All],9,0)</f>
        <v>Platinum</v>
      </c>
      <c r="H1326" s="2" t="s">
        <v>1679</v>
      </c>
      <c r="I1326" s="2" t="str">
        <f>VLOOKUP(Sales_Details2[[#This Row],[Product_ID]],Product_details[[#All],[Product_ID]:[Cost]],3,0)</f>
        <v>Electronics</v>
      </c>
      <c r="J1326" s="2" t="str">
        <f>VLOOKUP(Sales_Details2[[#This Row],[Product_ID]],Product_details[[#All],[Product_ID]:[Cost]],4,0)</f>
        <v>Audio</v>
      </c>
      <c r="K1326" s="2" t="s">
        <v>1790</v>
      </c>
      <c r="L1326" s="2" t="str">
        <f>_xlfn.XLOOKUP(Sales_Details2[[#This Row],[Store_ID]],Table2[Store_ID],Table2[Region],"Region not found")</f>
        <v>North</v>
      </c>
      <c r="M1326" s="25">
        <v>4</v>
      </c>
      <c r="N1326" s="36">
        <v>529.04</v>
      </c>
      <c r="O1326" s="29">
        <v>0.1</v>
      </c>
      <c r="P1326" s="2" t="s">
        <v>1809</v>
      </c>
      <c r="Q1326" s="36">
        <v>1904.5440000000001</v>
      </c>
    </row>
    <row r="1327" spans="1:17" x14ac:dyDescent="0.3">
      <c r="A1327" s="2" t="s">
        <v>3134</v>
      </c>
      <c r="B1327" s="14">
        <v>45326</v>
      </c>
      <c r="C1327" s="2">
        <f>YEAR(Sales_Details2[[#This Row],[Order_Date]])</f>
        <v>2024</v>
      </c>
      <c r="D1327" s="2" t="s">
        <v>1083</v>
      </c>
      <c r="E1327" s="2" t="str">
        <f>VLOOKUP(Sales_Details2[[#This Row],[Customer_ID]],Customer_Details[#All],4,0)</f>
        <v>Mid-Adult</v>
      </c>
      <c r="F1327" s="2" t="str">
        <f>VLOOKUP(Sales_Details2[[#This Row],[Customer_ID]],Customer_Details[#All],5,0)</f>
        <v>Male</v>
      </c>
      <c r="G1327" s="2" t="str">
        <f>VLOOKUP(Sales_Details2[[#This Row],[Customer_ID]],Customer_Details[#All],9,0)</f>
        <v>Bronze</v>
      </c>
      <c r="H1327" s="2" t="s">
        <v>1591</v>
      </c>
      <c r="I1327" s="2" t="str">
        <f>VLOOKUP(Sales_Details2[[#This Row],[Product_ID]],Product_details[[#All],[Product_ID]:[Cost]],3,0)</f>
        <v>Home</v>
      </c>
      <c r="J1327" s="2" t="str">
        <f>VLOOKUP(Sales_Details2[[#This Row],[Product_ID]],Product_details[[#All],[Product_ID]:[Cost]],4,0)</f>
        <v>Kitchen</v>
      </c>
      <c r="K1327" s="2" t="s">
        <v>1790</v>
      </c>
      <c r="L1327" s="2" t="str">
        <f>_xlfn.XLOOKUP(Sales_Details2[[#This Row],[Store_ID]],Table2[Store_ID],Table2[Region],"Region not found")</f>
        <v>North</v>
      </c>
      <c r="M1327" s="25">
        <v>1</v>
      </c>
      <c r="N1327" s="36">
        <v>350.67</v>
      </c>
      <c r="O1327" s="29">
        <v>0.22</v>
      </c>
      <c r="P1327" s="2" t="s">
        <v>1809</v>
      </c>
      <c r="Q1327" s="36">
        <v>273.52260000000001</v>
      </c>
    </row>
    <row r="1328" spans="1:17" x14ac:dyDescent="0.3">
      <c r="A1328" s="2" t="s">
        <v>3135</v>
      </c>
      <c r="B1328" s="14">
        <v>45498</v>
      </c>
      <c r="C1328" s="2">
        <f>YEAR(Sales_Details2[[#This Row],[Order_Date]])</f>
        <v>2024</v>
      </c>
      <c r="D1328" s="2" t="s">
        <v>1147</v>
      </c>
      <c r="E1328" s="2" t="str">
        <f>VLOOKUP(Sales_Details2[[#This Row],[Customer_ID]],Customer_Details[#All],4,0)</f>
        <v>Adult</v>
      </c>
      <c r="F1328" s="2" t="str">
        <f>VLOOKUP(Sales_Details2[[#This Row],[Customer_ID]],Customer_Details[#All],5,0)</f>
        <v>Female</v>
      </c>
      <c r="G1328" s="2" t="str">
        <f>VLOOKUP(Sales_Details2[[#This Row],[Customer_ID]],Customer_Details[#All],9,0)</f>
        <v>Platinum</v>
      </c>
      <c r="H1328" s="2" t="s">
        <v>1721</v>
      </c>
      <c r="I1328" s="2" t="str">
        <f>VLOOKUP(Sales_Details2[[#This Row],[Product_ID]],Product_details[[#All],[Product_ID]:[Cost]],3,0)</f>
        <v>Sports</v>
      </c>
      <c r="J1328" s="2" t="str">
        <f>VLOOKUP(Sales_Details2[[#This Row],[Product_ID]],Product_details[[#All],[Product_ID]:[Cost]],4,0)</f>
        <v>Accessories</v>
      </c>
      <c r="K1328" s="2" t="s">
        <v>1740</v>
      </c>
      <c r="L1328" s="2" t="str">
        <f>_xlfn.XLOOKUP(Sales_Details2[[#This Row],[Store_ID]],Table2[Store_ID],Table2[Region],"Region not found")</f>
        <v>North</v>
      </c>
      <c r="M1328" s="25">
        <v>1</v>
      </c>
      <c r="N1328" s="36">
        <v>128.93</v>
      </c>
      <c r="O1328" s="29">
        <v>0.26</v>
      </c>
      <c r="P1328" s="2" t="s">
        <v>1807</v>
      </c>
      <c r="Q1328" s="36">
        <v>95.408200000000008</v>
      </c>
    </row>
    <row r="1329" spans="1:17" x14ac:dyDescent="0.3">
      <c r="A1329" s="2" t="s">
        <v>3136</v>
      </c>
      <c r="B1329" s="14">
        <v>45544</v>
      </c>
      <c r="C1329" s="2">
        <f>YEAR(Sales_Details2[[#This Row],[Order_Date]])</f>
        <v>2024</v>
      </c>
      <c r="D1329" s="2" t="s">
        <v>485</v>
      </c>
      <c r="E1329" s="2" t="str">
        <f>VLOOKUP(Sales_Details2[[#This Row],[Customer_ID]],Customer_Details[#All],4,0)</f>
        <v>Mid-Adult</v>
      </c>
      <c r="F1329" s="2" t="str">
        <f>VLOOKUP(Sales_Details2[[#This Row],[Customer_ID]],Customer_Details[#All],5,0)</f>
        <v>Male</v>
      </c>
      <c r="G1329" s="2" t="str">
        <f>VLOOKUP(Sales_Details2[[#This Row],[Customer_ID]],Customer_Details[#All],9,0)</f>
        <v>Platinum</v>
      </c>
      <c r="H1329" s="2" t="s">
        <v>1703</v>
      </c>
      <c r="I1329" s="2" t="str">
        <f>VLOOKUP(Sales_Details2[[#This Row],[Product_ID]],Product_details[[#All],[Product_ID]:[Cost]],3,0)</f>
        <v>Home</v>
      </c>
      <c r="J1329" s="2" t="str">
        <f>VLOOKUP(Sales_Details2[[#This Row],[Product_ID]],Product_details[[#All],[Product_ID]:[Cost]],4,0)</f>
        <v>Kitchen</v>
      </c>
      <c r="K1329" s="2" t="s">
        <v>1784</v>
      </c>
      <c r="L1329" s="2" t="str">
        <f>_xlfn.XLOOKUP(Sales_Details2[[#This Row],[Store_ID]],Table2[Store_ID],Table2[Region],"Region not found")</f>
        <v>North</v>
      </c>
      <c r="M1329" s="25">
        <v>2</v>
      </c>
      <c r="N1329" s="36">
        <v>384.92</v>
      </c>
      <c r="O1329" s="29">
        <v>0.09</v>
      </c>
      <c r="P1329" s="2" t="s">
        <v>1807</v>
      </c>
      <c r="Q1329" s="36">
        <v>700.5544000000001</v>
      </c>
    </row>
    <row r="1330" spans="1:17" x14ac:dyDescent="0.3">
      <c r="A1330" s="2" t="s">
        <v>3137</v>
      </c>
      <c r="B1330" s="14">
        <v>45268</v>
      </c>
      <c r="C1330" s="2">
        <f>YEAR(Sales_Details2[[#This Row],[Order_Date]])</f>
        <v>2023</v>
      </c>
      <c r="D1330" s="2" t="s">
        <v>1039</v>
      </c>
      <c r="E1330" s="2" t="str">
        <f>VLOOKUP(Sales_Details2[[#This Row],[Customer_ID]],Customer_Details[#All],4,0)</f>
        <v>Mid-Adult</v>
      </c>
      <c r="F1330" s="2" t="str">
        <f>VLOOKUP(Sales_Details2[[#This Row],[Customer_ID]],Customer_Details[#All],5,0)</f>
        <v>Female</v>
      </c>
      <c r="G1330" s="2" t="str">
        <f>VLOOKUP(Sales_Details2[[#This Row],[Customer_ID]],Customer_Details[#All],9,0)</f>
        <v>Silver</v>
      </c>
      <c r="H1330" s="2" t="s">
        <v>1538</v>
      </c>
      <c r="I1330" s="2" t="str">
        <f>VLOOKUP(Sales_Details2[[#This Row],[Product_ID]],Product_details[[#All],[Product_ID]:[Cost]],3,0)</f>
        <v>Clothing</v>
      </c>
      <c r="J1330" s="2" t="str">
        <f>VLOOKUP(Sales_Details2[[#This Row],[Product_ID]],Product_details[[#All],[Product_ID]:[Cost]],4,0)</f>
        <v>Accessories</v>
      </c>
      <c r="K1330" s="2" t="s">
        <v>1765</v>
      </c>
      <c r="L1330" s="2" t="str">
        <f>_xlfn.XLOOKUP(Sales_Details2[[#This Row],[Store_ID]],Table2[Store_ID],Table2[Region],"Region not found")</f>
        <v>West</v>
      </c>
      <c r="M1330" s="25">
        <v>3</v>
      </c>
      <c r="N1330" s="36">
        <v>120.77</v>
      </c>
      <c r="O1330" s="29">
        <v>0.28999999999999998</v>
      </c>
      <c r="P1330" s="2" t="s">
        <v>1809</v>
      </c>
      <c r="Q1330" s="36">
        <v>257.24009999999998</v>
      </c>
    </row>
    <row r="1331" spans="1:17" x14ac:dyDescent="0.3">
      <c r="A1331" s="2" t="s">
        <v>3138</v>
      </c>
      <c r="B1331" s="14">
        <v>45824</v>
      </c>
      <c r="C1331" s="2">
        <f>YEAR(Sales_Details2[[#This Row],[Order_Date]])</f>
        <v>2025</v>
      </c>
      <c r="D1331" s="2" t="s">
        <v>713</v>
      </c>
      <c r="E1331" s="2" t="str">
        <f>VLOOKUP(Sales_Details2[[#This Row],[Customer_ID]],Customer_Details[#All],4,0)</f>
        <v>Mid-Adult</v>
      </c>
      <c r="F1331" s="2" t="str">
        <f>VLOOKUP(Sales_Details2[[#This Row],[Customer_ID]],Customer_Details[#All],5,0)</f>
        <v>Male</v>
      </c>
      <c r="G1331" s="2" t="str">
        <f>VLOOKUP(Sales_Details2[[#This Row],[Customer_ID]],Customer_Details[#All],9,0)</f>
        <v>Platinum</v>
      </c>
      <c r="H1331" s="2" t="s">
        <v>1683</v>
      </c>
      <c r="I1331" s="2" t="str">
        <f>VLOOKUP(Sales_Details2[[#This Row],[Product_ID]],Product_details[[#All],[Product_ID]:[Cost]],3,0)</f>
        <v>Electronics</v>
      </c>
      <c r="J1331" s="2" t="str">
        <f>VLOOKUP(Sales_Details2[[#This Row],[Product_ID]],Product_details[[#All],[Product_ID]:[Cost]],4,0)</f>
        <v>Computer</v>
      </c>
      <c r="K1331" s="2" t="s">
        <v>1790</v>
      </c>
      <c r="L1331" s="2" t="str">
        <f>_xlfn.XLOOKUP(Sales_Details2[[#This Row],[Store_ID]],Table2[Store_ID],Table2[Region],"Region not found")</f>
        <v>North</v>
      </c>
      <c r="M1331" s="25">
        <v>4</v>
      </c>
      <c r="N1331" s="36">
        <v>661.39</v>
      </c>
      <c r="O1331" s="29">
        <v>7.0000000000000007E-2</v>
      </c>
      <c r="P1331" s="2" t="s">
        <v>1807</v>
      </c>
      <c r="Q1331" s="36">
        <v>2460.3708000000001</v>
      </c>
    </row>
    <row r="1332" spans="1:17" x14ac:dyDescent="0.3">
      <c r="A1332" s="2" t="s">
        <v>3139</v>
      </c>
      <c r="B1332" s="14">
        <v>45261</v>
      </c>
      <c r="C1332" s="2">
        <f>YEAR(Sales_Details2[[#This Row],[Order_Date]])</f>
        <v>2023</v>
      </c>
      <c r="D1332" s="2" t="s">
        <v>1373</v>
      </c>
      <c r="E1332" s="2" t="str">
        <f>VLOOKUP(Sales_Details2[[#This Row],[Customer_ID]],Customer_Details[#All],4,0)</f>
        <v>Adult</v>
      </c>
      <c r="F1332" s="2" t="str">
        <f>VLOOKUP(Sales_Details2[[#This Row],[Customer_ID]],Customer_Details[#All],5,0)</f>
        <v>Male</v>
      </c>
      <c r="G1332" s="2" t="str">
        <f>VLOOKUP(Sales_Details2[[#This Row],[Customer_ID]],Customer_Details[#All],9,0)</f>
        <v>Bronze</v>
      </c>
      <c r="H1332" s="2" t="s">
        <v>1655</v>
      </c>
      <c r="I1332" s="2" t="str">
        <f>VLOOKUP(Sales_Details2[[#This Row],[Product_ID]],Product_details[[#All],[Product_ID]:[Cost]],3,0)</f>
        <v>Electronics</v>
      </c>
      <c r="J1332" s="2" t="str">
        <f>VLOOKUP(Sales_Details2[[#This Row],[Product_ID]],Product_details[[#All],[Product_ID]:[Cost]],4,0)</f>
        <v>Computer</v>
      </c>
      <c r="K1332" s="2" t="s">
        <v>1744</v>
      </c>
      <c r="L1332" s="2" t="str">
        <f>_xlfn.XLOOKUP(Sales_Details2[[#This Row],[Store_ID]],Table2[Store_ID],Table2[Region],"Region not found")</f>
        <v>South</v>
      </c>
      <c r="M1332" s="25">
        <v>1</v>
      </c>
      <c r="N1332" s="36">
        <v>195.24</v>
      </c>
      <c r="O1332" s="29">
        <v>0.27</v>
      </c>
      <c r="P1332" s="2" t="s">
        <v>1809</v>
      </c>
      <c r="Q1332" s="36">
        <v>142.52520000000001</v>
      </c>
    </row>
    <row r="1333" spans="1:17" x14ac:dyDescent="0.3">
      <c r="A1333" s="2" t="s">
        <v>3140</v>
      </c>
      <c r="B1333" s="14">
        <v>45233</v>
      </c>
      <c r="C1333" s="2">
        <f>YEAR(Sales_Details2[[#This Row],[Order_Date]])</f>
        <v>2023</v>
      </c>
      <c r="D1333" s="2" t="s">
        <v>27</v>
      </c>
      <c r="E1333" s="2" t="str">
        <f>VLOOKUP(Sales_Details2[[#This Row],[Customer_ID]],Customer_Details[#All],4,0)</f>
        <v>Senior</v>
      </c>
      <c r="F1333" s="2" t="str">
        <f>VLOOKUP(Sales_Details2[[#This Row],[Customer_ID]],Customer_Details[#All],5,0)</f>
        <v>Female</v>
      </c>
      <c r="G1333" s="2" t="str">
        <f>VLOOKUP(Sales_Details2[[#This Row],[Customer_ID]],Customer_Details[#All],9,0)</f>
        <v>Silver</v>
      </c>
      <c r="H1333" s="2" t="s">
        <v>1715</v>
      </c>
      <c r="I1333" s="2" t="str">
        <f>VLOOKUP(Sales_Details2[[#This Row],[Product_ID]],Product_details[[#All],[Product_ID]:[Cost]],3,0)</f>
        <v>Home</v>
      </c>
      <c r="J1333" s="2" t="str">
        <f>VLOOKUP(Sales_Details2[[#This Row],[Product_ID]],Product_details[[#All],[Product_ID]:[Cost]],4,0)</f>
        <v>Appliances</v>
      </c>
      <c r="K1333" s="2" t="s">
        <v>1793</v>
      </c>
      <c r="L1333" s="2" t="str">
        <f>_xlfn.XLOOKUP(Sales_Details2[[#This Row],[Store_ID]],Table2[Store_ID],Table2[Region],"Region not found")</f>
        <v>East</v>
      </c>
      <c r="M1333" s="25">
        <v>2</v>
      </c>
      <c r="N1333" s="36">
        <v>177.4</v>
      </c>
      <c r="O1333" s="29">
        <v>0.19</v>
      </c>
      <c r="P1333" s="2" t="s">
        <v>1809</v>
      </c>
      <c r="Q1333" s="36">
        <v>287.38799999999998</v>
      </c>
    </row>
    <row r="1334" spans="1:17" x14ac:dyDescent="0.3">
      <c r="A1334" s="2" t="s">
        <v>3141</v>
      </c>
      <c r="B1334" s="14">
        <v>45673</v>
      </c>
      <c r="C1334" s="2">
        <f>YEAR(Sales_Details2[[#This Row],[Order_Date]])</f>
        <v>2025</v>
      </c>
      <c r="D1334" s="2" t="s">
        <v>211</v>
      </c>
      <c r="E1334" s="2" t="str">
        <f>VLOOKUP(Sales_Details2[[#This Row],[Customer_ID]],Customer_Details[#All],4,0)</f>
        <v>Mid-Adult</v>
      </c>
      <c r="F1334" s="2" t="str">
        <f>VLOOKUP(Sales_Details2[[#This Row],[Customer_ID]],Customer_Details[#All],5,0)</f>
        <v>Female</v>
      </c>
      <c r="G1334" s="2" t="str">
        <f>VLOOKUP(Sales_Details2[[#This Row],[Customer_ID]],Customer_Details[#All],9,0)</f>
        <v>Platinum</v>
      </c>
      <c r="H1334" s="2" t="s">
        <v>1727</v>
      </c>
      <c r="I1334" s="2" t="str">
        <f>VLOOKUP(Sales_Details2[[#This Row],[Product_ID]],Product_details[[#All],[Product_ID]:[Cost]],3,0)</f>
        <v>Electronics</v>
      </c>
      <c r="J1334" s="2" t="str">
        <f>VLOOKUP(Sales_Details2[[#This Row],[Product_ID]],Product_details[[#All],[Product_ID]:[Cost]],4,0)</f>
        <v>Audio</v>
      </c>
      <c r="K1334" s="2" t="s">
        <v>1775</v>
      </c>
      <c r="L1334" s="2" t="str">
        <f>_xlfn.XLOOKUP(Sales_Details2[[#This Row],[Store_ID]],Table2[Store_ID],Table2[Region],"Region not found")</f>
        <v>South</v>
      </c>
      <c r="M1334" s="25">
        <v>4</v>
      </c>
      <c r="N1334" s="36">
        <v>862.67</v>
      </c>
      <c r="O1334" s="29">
        <v>0.2</v>
      </c>
      <c r="P1334" s="2" t="s">
        <v>1809</v>
      </c>
      <c r="Q1334" s="36">
        <v>2760.5439999999999</v>
      </c>
    </row>
    <row r="1335" spans="1:17" x14ac:dyDescent="0.3">
      <c r="A1335" s="2" t="s">
        <v>3142</v>
      </c>
      <c r="B1335" s="14">
        <v>45565</v>
      </c>
      <c r="C1335" s="2">
        <f>YEAR(Sales_Details2[[#This Row],[Order_Date]])</f>
        <v>2024</v>
      </c>
      <c r="D1335" s="2" t="s">
        <v>1358</v>
      </c>
      <c r="E1335" s="2" t="str">
        <f>VLOOKUP(Sales_Details2[[#This Row],[Customer_ID]],Customer_Details[#All],4,0)</f>
        <v>Adult</v>
      </c>
      <c r="F1335" s="2" t="str">
        <f>VLOOKUP(Sales_Details2[[#This Row],[Customer_ID]],Customer_Details[#All],5,0)</f>
        <v>Male</v>
      </c>
      <c r="G1335" s="2" t="str">
        <f>VLOOKUP(Sales_Details2[[#This Row],[Customer_ID]],Customer_Details[#All],9,0)</f>
        <v>Gold</v>
      </c>
      <c r="H1335" s="2" t="s">
        <v>1565</v>
      </c>
      <c r="I1335" s="2" t="str">
        <f>VLOOKUP(Sales_Details2[[#This Row],[Product_ID]],Product_details[[#All],[Product_ID]:[Cost]],3,0)</f>
        <v>Sports</v>
      </c>
      <c r="J1335" s="2" t="str">
        <f>VLOOKUP(Sales_Details2[[#This Row],[Product_ID]],Product_details[[#All],[Product_ID]:[Cost]],4,0)</f>
        <v>Accessories</v>
      </c>
      <c r="K1335" s="2" t="s">
        <v>1759</v>
      </c>
      <c r="L1335" s="2" t="str">
        <f>_xlfn.XLOOKUP(Sales_Details2[[#This Row],[Store_ID]],Table2[Store_ID],Table2[Region],"Region not found")</f>
        <v>East</v>
      </c>
      <c r="M1335" s="25">
        <v>1</v>
      </c>
      <c r="N1335" s="36">
        <v>55.04</v>
      </c>
      <c r="O1335" s="29">
        <v>0.01</v>
      </c>
      <c r="P1335" s="2" t="s">
        <v>1812</v>
      </c>
      <c r="Q1335" s="36">
        <v>54.489600000000003</v>
      </c>
    </row>
    <row r="1336" spans="1:17" x14ac:dyDescent="0.3">
      <c r="A1336" s="2" t="s">
        <v>3143</v>
      </c>
      <c r="B1336" s="14">
        <v>45646</v>
      </c>
      <c r="C1336" s="2">
        <f>YEAR(Sales_Details2[[#This Row],[Order_Date]])</f>
        <v>2024</v>
      </c>
      <c r="D1336" s="2" t="s">
        <v>185</v>
      </c>
      <c r="E1336" s="2" t="str">
        <f>VLOOKUP(Sales_Details2[[#This Row],[Customer_ID]],Customer_Details[#All],4,0)</f>
        <v>Mid-Adult</v>
      </c>
      <c r="F1336" s="2" t="str">
        <f>VLOOKUP(Sales_Details2[[#This Row],[Customer_ID]],Customer_Details[#All],5,0)</f>
        <v>Female</v>
      </c>
      <c r="G1336" s="2" t="str">
        <f>VLOOKUP(Sales_Details2[[#This Row],[Customer_ID]],Customer_Details[#All],9,0)</f>
        <v>Gold</v>
      </c>
      <c r="H1336" s="2" t="s">
        <v>1621</v>
      </c>
      <c r="I1336" s="2" t="str">
        <f>VLOOKUP(Sales_Details2[[#This Row],[Product_ID]],Product_details[[#All],[Product_ID]:[Cost]],3,0)</f>
        <v>Sports</v>
      </c>
      <c r="J1336" s="2" t="str">
        <f>VLOOKUP(Sales_Details2[[#This Row],[Product_ID]],Product_details[[#All],[Product_ID]:[Cost]],4,0)</f>
        <v>Team Sports</v>
      </c>
      <c r="K1336" s="2" t="s">
        <v>1735</v>
      </c>
      <c r="L1336" s="2" t="str">
        <f>_xlfn.XLOOKUP(Sales_Details2[[#This Row],[Store_ID]],Table2[Store_ID],Table2[Region],"Region not found")</f>
        <v>East</v>
      </c>
      <c r="M1336" s="25">
        <v>2</v>
      </c>
      <c r="N1336" s="36">
        <v>905.47</v>
      </c>
      <c r="O1336" s="29">
        <v>0.2</v>
      </c>
      <c r="P1336" s="2" t="s">
        <v>1812</v>
      </c>
      <c r="Q1336" s="36">
        <v>1448.752</v>
      </c>
    </row>
    <row r="1337" spans="1:17" x14ac:dyDescent="0.3">
      <c r="A1337" s="2" t="s">
        <v>3144</v>
      </c>
      <c r="B1337" s="14">
        <v>45539</v>
      </c>
      <c r="C1337" s="2">
        <f>YEAR(Sales_Details2[[#This Row],[Order_Date]])</f>
        <v>2024</v>
      </c>
      <c r="D1337" s="2" t="s">
        <v>1406</v>
      </c>
      <c r="E1337" s="2" t="str">
        <f>VLOOKUP(Sales_Details2[[#This Row],[Customer_ID]],Customer_Details[#All],4,0)</f>
        <v>Senior</v>
      </c>
      <c r="F1337" s="2" t="str">
        <f>VLOOKUP(Sales_Details2[[#This Row],[Customer_ID]],Customer_Details[#All],5,0)</f>
        <v>Female</v>
      </c>
      <c r="G1337" s="2" t="str">
        <f>VLOOKUP(Sales_Details2[[#This Row],[Customer_ID]],Customer_Details[#All],9,0)</f>
        <v>Silver</v>
      </c>
      <c r="H1337" s="2" t="s">
        <v>1657</v>
      </c>
      <c r="I1337" s="2" t="str">
        <f>VLOOKUP(Sales_Details2[[#This Row],[Product_ID]],Product_details[[#All],[Product_ID]:[Cost]],3,0)</f>
        <v>Beauty</v>
      </c>
      <c r="J1337" s="2" t="str">
        <f>VLOOKUP(Sales_Details2[[#This Row],[Product_ID]],Product_details[[#All],[Product_ID]:[Cost]],4,0)</f>
        <v>Skincare</v>
      </c>
      <c r="K1337" s="2" t="s">
        <v>1780</v>
      </c>
      <c r="L1337" s="2" t="str">
        <f>_xlfn.XLOOKUP(Sales_Details2[[#This Row],[Store_ID]],Table2[Store_ID],Table2[Region],"Region not found")</f>
        <v>East</v>
      </c>
      <c r="M1337" s="25">
        <v>3</v>
      </c>
      <c r="N1337" s="36">
        <v>217.13</v>
      </c>
      <c r="O1337" s="29">
        <v>0.28000000000000003</v>
      </c>
      <c r="P1337" s="2" t="s">
        <v>1807</v>
      </c>
      <c r="Q1337" s="36">
        <v>469.00080000000003</v>
      </c>
    </row>
    <row r="1338" spans="1:17" x14ac:dyDescent="0.3">
      <c r="A1338" s="2" t="s">
        <v>3145</v>
      </c>
      <c r="B1338" s="14">
        <v>45936</v>
      </c>
      <c r="C1338" s="2">
        <f>YEAR(Sales_Details2[[#This Row],[Order_Date]])</f>
        <v>2025</v>
      </c>
      <c r="D1338" s="2" t="s">
        <v>1201</v>
      </c>
      <c r="E1338" s="2" t="str">
        <f>VLOOKUP(Sales_Details2[[#This Row],[Customer_ID]],Customer_Details[#All],4,0)</f>
        <v>Mid-Adult</v>
      </c>
      <c r="F1338" s="2" t="str">
        <f>VLOOKUP(Sales_Details2[[#This Row],[Customer_ID]],Customer_Details[#All],5,0)</f>
        <v>Male</v>
      </c>
      <c r="G1338" s="2" t="str">
        <f>VLOOKUP(Sales_Details2[[#This Row],[Customer_ID]],Customer_Details[#All],9,0)</f>
        <v>Platinum</v>
      </c>
      <c r="H1338" s="2" t="s">
        <v>1681</v>
      </c>
      <c r="I1338" s="2" t="str">
        <f>VLOOKUP(Sales_Details2[[#This Row],[Product_ID]],Product_details[[#All],[Product_ID]:[Cost]],3,0)</f>
        <v>Clothing</v>
      </c>
      <c r="J1338" s="2" t="str">
        <f>VLOOKUP(Sales_Details2[[#This Row],[Product_ID]],Product_details[[#All],[Product_ID]:[Cost]],4,0)</f>
        <v>Footwear</v>
      </c>
      <c r="K1338" s="2" t="s">
        <v>1735</v>
      </c>
      <c r="L1338" s="2" t="str">
        <f>_xlfn.XLOOKUP(Sales_Details2[[#This Row],[Store_ID]],Table2[Store_ID],Table2[Region],"Region not found")</f>
        <v>East</v>
      </c>
      <c r="M1338" s="25">
        <v>3</v>
      </c>
      <c r="N1338" s="36">
        <v>580.45000000000005</v>
      </c>
      <c r="O1338" s="29">
        <v>0</v>
      </c>
      <c r="P1338" s="2" t="s">
        <v>1809</v>
      </c>
      <c r="Q1338" s="36">
        <v>1741.35</v>
      </c>
    </row>
    <row r="1339" spans="1:17" x14ac:dyDescent="0.3">
      <c r="A1339" s="2" t="s">
        <v>3146</v>
      </c>
      <c r="B1339" s="14">
        <v>45854</v>
      </c>
      <c r="C1339" s="2">
        <f>YEAR(Sales_Details2[[#This Row],[Order_Date]])</f>
        <v>2025</v>
      </c>
      <c r="D1339" s="2" t="s">
        <v>361</v>
      </c>
      <c r="E1339" s="2" t="str">
        <f>VLOOKUP(Sales_Details2[[#This Row],[Customer_ID]],Customer_Details[#All],4,0)</f>
        <v>Adult</v>
      </c>
      <c r="F1339" s="2" t="str">
        <f>VLOOKUP(Sales_Details2[[#This Row],[Customer_ID]],Customer_Details[#All],5,0)</f>
        <v>Male</v>
      </c>
      <c r="G1339" s="2" t="str">
        <f>VLOOKUP(Sales_Details2[[#This Row],[Customer_ID]],Customer_Details[#All],9,0)</f>
        <v>Bronze</v>
      </c>
      <c r="H1339" s="2" t="s">
        <v>1536</v>
      </c>
      <c r="I1339" s="2" t="str">
        <f>VLOOKUP(Sales_Details2[[#This Row],[Product_ID]],Product_details[[#All],[Product_ID]:[Cost]],3,0)</f>
        <v>Clothing</v>
      </c>
      <c r="J1339" s="2" t="str">
        <f>VLOOKUP(Sales_Details2[[#This Row],[Product_ID]],Product_details[[#All],[Product_ID]:[Cost]],4,0)</f>
        <v>Bottoms</v>
      </c>
      <c r="K1339" s="2" t="s">
        <v>1790</v>
      </c>
      <c r="L1339" s="2" t="str">
        <f>_xlfn.XLOOKUP(Sales_Details2[[#This Row],[Store_ID]],Table2[Store_ID],Table2[Region],"Region not found")</f>
        <v>North</v>
      </c>
      <c r="M1339" s="25">
        <v>2</v>
      </c>
      <c r="N1339" s="36">
        <v>892.88</v>
      </c>
      <c r="O1339" s="29">
        <v>0.17</v>
      </c>
      <c r="P1339" s="2" t="s">
        <v>1809</v>
      </c>
      <c r="Q1339" s="36">
        <v>1482.1808000000001</v>
      </c>
    </row>
    <row r="1340" spans="1:17" x14ac:dyDescent="0.3">
      <c r="A1340" s="2" t="s">
        <v>3147</v>
      </c>
      <c r="B1340" s="14">
        <v>45936</v>
      </c>
      <c r="C1340" s="2">
        <f>YEAR(Sales_Details2[[#This Row],[Order_Date]])</f>
        <v>2025</v>
      </c>
      <c r="D1340" s="2" t="s">
        <v>324</v>
      </c>
      <c r="E1340" s="2" t="str">
        <f>VLOOKUP(Sales_Details2[[#This Row],[Customer_ID]],Customer_Details[#All],4,0)</f>
        <v>Adult</v>
      </c>
      <c r="F1340" s="2" t="str">
        <f>VLOOKUP(Sales_Details2[[#This Row],[Customer_ID]],Customer_Details[#All],5,0)</f>
        <v>Female</v>
      </c>
      <c r="G1340" s="2" t="str">
        <f>VLOOKUP(Sales_Details2[[#This Row],[Customer_ID]],Customer_Details[#All],9,0)</f>
        <v>Silver</v>
      </c>
      <c r="H1340" s="2" t="s">
        <v>1611</v>
      </c>
      <c r="I1340" s="2" t="str">
        <f>VLOOKUP(Sales_Details2[[#This Row],[Product_ID]],Product_details[[#All],[Product_ID]:[Cost]],3,0)</f>
        <v>Electronics</v>
      </c>
      <c r="J1340" s="2" t="str">
        <f>VLOOKUP(Sales_Details2[[#This Row],[Product_ID]],Product_details[[#All],[Product_ID]:[Cost]],4,0)</f>
        <v>Audio</v>
      </c>
      <c r="K1340" s="2" t="s">
        <v>1793</v>
      </c>
      <c r="L1340" s="2" t="str">
        <f>_xlfn.XLOOKUP(Sales_Details2[[#This Row],[Store_ID]],Table2[Store_ID],Table2[Region],"Region not found")</f>
        <v>East</v>
      </c>
      <c r="M1340" s="25">
        <v>2</v>
      </c>
      <c r="N1340" s="36">
        <v>356.28</v>
      </c>
      <c r="O1340" s="29">
        <v>0.11</v>
      </c>
      <c r="P1340" s="2" t="s">
        <v>1812</v>
      </c>
      <c r="Q1340" s="36">
        <v>634.17840000000001</v>
      </c>
    </row>
    <row r="1341" spans="1:17" x14ac:dyDescent="0.3">
      <c r="A1341" s="2" t="s">
        <v>3148</v>
      </c>
      <c r="B1341" s="14">
        <v>45921</v>
      </c>
      <c r="C1341" s="2">
        <f>YEAR(Sales_Details2[[#This Row],[Order_Date]])</f>
        <v>2025</v>
      </c>
      <c r="D1341" s="2" t="s">
        <v>1186</v>
      </c>
      <c r="E1341" s="2" t="str">
        <f>VLOOKUP(Sales_Details2[[#This Row],[Customer_ID]],Customer_Details[#All],4,0)</f>
        <v>Senior</v>
      </c>
      <c r="F1341" s="2" t="str">
        <f>VLOOKUP(Sales_Details2[[#This Row],[Customer_ID]],Customer_Details[#All],5,0)</f>
        <v>Female</v>
      </c>
      <c r="G1341" s="2" t="str">
        <f>VLOOKUP(Sales_Details2[[#This Row],[Customer_ID]],Customer_Details[#All],9,0)</f>
        <v>Bronze</v>
      </c>
      <c r="H1341" s="2" t="s">
        <v>1691</v>
      </c>
      <c r="I1341" s="2" t="str">
        <f>VLOOKUP(Sales_Details2[[#This Row],[Product_ID]],Product_details[[#All],[Product_ID]:[Cost]],3,0)</f>
        <v>Home</v>
      </c>
      <c r="J1341" s="2" t="str">
        <f>VLOOKUP(Sales_Details2[[#This Row],[Product_ID]],Product_details[[#All],[Product_ID]:[Cost]],4,0)</f>
        <v>Kitchen</v>
      </c>
      <c r="K1341" s="2" t="s">
        <v>1744</v>
      </c>
      <c r="L1341" s="2" t="str">
        <f>_xlfn.XLOOKUP(Sales_Details2[[#This Row],[Store_ID]],Table2[Store_ID],Table2[Region],"Region not found")</f>
        <v>South</v>
      </c>
      <c r="M1341" s="25">
        <v>4</v>
      </c>
      <c r="N1341" s="36">
        <v>806.99</v>
      </c>
      <c r="O1341" s="29">
        <v>0.06</v>
      </c>
      <c r="P1341" s="2" t="s">
        <v>1807</v>
      </c>
      <c r="Q1341" s="36">
        <v>3034.2824000000001</v>
      </c>
    </row>
    <row r="1342" spans="1:17" x14ac:dyDescent="0.3">
      <c r="A1342" s="2" t="s">
        <v>3149</v>
      </c>
      <c r="B1342" s="14">
        <v>45855</v>
      </c>
      <c r="C1342" s="2">
        <f>YEAR(Sales_Details2[[#This Row],[Order_Date]])</f>
        <v>2025</v>
      </c>
      <c r="D1342" s="2" t="s">
        <v>1344</v>
      </c>
      <c r="E1342" s="2" t="str">
        <f>VLOOKUP(Sales_Details2[[#This Row],[Customer_ID]],Customer_Details[#All],4,0)</f>
        <v>Senior</v>
      </c>
      <c r="F1342" s="2" t="str">
        <f>VLOOKUP(Sales_Details2[[#This Row],[Customer_ID]],Customer_Details[#All],5,0)</f>
        <v>Male</v>
      </c>
      <c r="G1342" s="2" t="str">
        <f>VLOOKUP(Sales_Details2[[#This Row],[Customer_ID]],Customer_Details[#All],9,0)</f>
        <v>Silver</v>
      </c>
      <c r="H1342" s="2" t="s">
        <v>1571</v>
      </c>
      <c r="I1342" s="2" t="str">
        <f>VLOOKUP(Sales_Details2[[#This Row],[Product_ID]],Product_details[[#All],[Product_ID]:[Cost]],3,0)</f>
        <v>Sports</v>
      </c>
      <c r="J1342" s="2" t="str">
        <f>VLOOKUP(Sales_Details2[[#This Row],[Product_ID]],Product_details[[#All],[Product_ID]:[Cost]],4,0)</f>
        <v>Accessories</v>
      </c>
      <c r="K1342" s="2" t="s">
        <v>1740</v>
      </c>
      <c r="L1342" s="2" t="str">
        <f>_xlfn.XLOOKUP(Sales_Details2[[#This Row],[Store_ID]],Table2[Store_ID],Table2[Region],"Region not found")</f>
        <v>North</v>
      </c>
      <c r="M1342" s="25">
        <v>3</v>
      </c>
      <c r="N1342" s="36">
        <v>684.22</v>
      </c>
      <c r="O1342" s="29">
        <v>0.09</v>
      </c>
      <c r="P1342" s="2" t="s">
        <v>1807</v>
      </c>
      <c r="Q1342" s="36">
        <v>1867.9205999999999</v>
      </c>
    </row>
    <row r="1343" spans="1:17" x14ac:dyDescent="0.3">
      <c r="A1343" s="2" t="s">
        <v>3150</v>
      </c>
      <c r="B1343" s="14">
        <v>45837</v>
      </c>
      <c r="C1343" s="2">
        <f>YEAR(Sales_Details2[[#This Row],[Order_Date]])</f>
        <v>2025</v>
      </c>
      <c r="D1343" s="2" t="s">
        <v>1355</v>
      </c>
      <c r="E1343" s="2" t="str">
        <f>VLOOKUP(Sales_Details2[[#This Row],[Customer_ID]],Customer_Details[#All],4,0)</f>
        <v>Senior</v>
      </c>
      <c r="F1343" s="2" t="str">
        <f>VLOOKUP(Sales_Details2[[#This Row],[Customer_ID]],Customer_Details[#All],5,0)</f>
        <v>Male</v>
      </c>
      <c r="G1343" s="2" t="str">
        <f>VLOOKUP(Sales_Details2[[#This Row],[Customer_ID]],Customer_Details[#All],9,0)</f>
        <v>Silver</v>
      </c>
      <c r="H1343" s="2" t="s">
        <v>1717</v>
      </c>
      <c r="I1343" s="2" t="str">
        <f>VLOOKUP(Sales_Details2[[#This Row],[Product_ID]],Product_details[[#All],[Product_ID]:[Cost]],3,0)</f>
        <v>Electronics</v>
      </c>
      <c r="J1343" s="2" t="str">
        <f>VLOOKUP(Sales_Details2[[#This Row],[Product_ID]],Product_details[[#All],[Product_ID]:[Cost]],4,0)</f>
        <v>Computer</v>
      </c>
      <c r="K1343" s="2" t="s">
        <v>1762</v>
      </c>
      <c r="L1343" s="2" t="str">
        <f>_xlfn.XLOOKUP(Sales_Details2[[#This Row],[Store_ID]],Table2[Store_ID],Table2[Region],"Region not found")</f>
        <v>South</v>
      </c>
      <c r="M1343" s="25">
        <v>4</v>
      </c>
      <c r="N1343" s="36">
        <v>763.34</v>
      </c>
      <c r="O1343" s="29">
        <v>7.0000000000000007E-2</v>
      </c>
      <c r="P1343" s="2" t="s">
        <v>1809</v>
      </c>
      <c r="Q1343" s="36">
        <v>2839.6248000000001</v>
      </c>
    </row>
    <row r="1344" spans="1:17" x14ac:dyDescent="0.3">
      <c r="A1344" s="2" t="s">
        <v>3151</v>
      </c>
      <c r="B1344" s="14">
        <v>45738</v>
      </c>
      <c r="C1344" s="2">
        <f>YEAR(Sales_Details2[[#This Row],[Order_Date]])</f>
        <v>2025</v>
      </c>
      <c r="D1344" s="2" t="s">
        <v>1118</v>
      </c>
      <c r="E1344" s="2" t="str">
        <f>VLOOKUP(Sales_Details2[[#This Row],[Customer_ID]],Customer_Details[#All],4,0)</f>
        <v>Senior</v>
      </c>
      <c r="F1344" s="2" t="str">
        <f>VLOOKUP(Sales_Details2[[#This Row],[Customer_ID]],Customer_Details[#All],5,0)</f>
        <v>Male</v>
      </c>
      <c r="G1344" s="2" t="str">
        <f>VLOOKUP(Sales_Details2[[#This Row],[Customer_ID]],Customer_Details[#All],9,0)</f>
        <v>Platinum</v>
      </c>
      <c r="H1344" s="2" t="s">
        <v>1631</v>
      </c>
      <c r="I1344" s="2" t="str">
        <f>VLOOKUP(Sales_Details2[[#This Row],[Product_ID]],Product_details[[#All],[Product_ID]:[Cost]],3,0)</f>
        <v>Sports</v>
      </c>
      <c r="J1344" s="2" t="str">
        <f>VLOOKUP(Sales_Details2[[#This Row],[Product_ID]],Product_details[[#All],[Product_ID]:[Cost]],4,0)</f>
        <v>Fitness</v>
      </c>
      <c r="K1344" s="2" t="s">
        <v>1749</v>
      </c>
      <c r="L1344" s="2" t="str">
        <f>_xlfn.XLOOKUP(Sales_Details2[[#This Row],[Store_ID]],Table2[Store_ID],Table2[Region],"Region not found")</f>
        <v>North</v>
      </c>
      <c r="M1344" s="25">
        <v>3</v>
      </c>
      <c r="N1344" s="36">
        <v>721.94</v>
      </c>
      <c r="O1344" s="29">
        <v>0.26</v>
      </c>
      <c r="P1344" s="2" t="s">
        <v>1807</v>
      </c>
      <c r="Q1344" s="36">
        <v>1602.7067999999999</v>
      </c>
    </row>
    <row r="1345" spans="1:17" x14ac:dyDescent="0.3">
      <c r="A1345" s="2" t="s">
        <v>3152</v>
      </c>
      <c r="B1345" s="14">
        <v>45323</v>
      </c>
      <c r="C1345" s="2">
        <f>YEAR(Sales_Details2[[#This Row],[Order_Date]])</f>
        <v>2024</v>
      </c>
      <c r="D1345" s="2" t="s">
        <v>1249</v>
      </c>
      <c r="E1345" s="2" t="str">
        <f>VLOOKUP(Sales_Details2[[#This Row],[Customer_ID]],Customer_Details[#All],4,0)</f>
        <v>Adult</v>
      </c>
      <c r="F1345" s="2" t="str">
        <f>VLOOKUP(Sales_Details2[[#This Row],[Customer_ID]],Customer_Details[#All],5,0)</f>
        <v>Female</v>
      </c>
      <c r="G1345" s="2" t="str">
        <f>VLOOKUP(Sales_Details2[[#This Row],[Customer_ID]],Customer_Details[#All],9,0)</f>
        <v>Gold</v>
      </c>
      <c r="H1345" s="2" t="s">
        <v>1725</v>
      </c>
      <c r="I1345" s="2" t="str">
        <f>VLOOKUP(Sales_Details2[[#This Row],[Product_ID]],Product_details[[#All],[Product_ID]:[Cost]],3,0)</f>
        <v>Sports</v>
      </c>
      <c r="J1345" s="2" t="str">
        <f>VLOOKUP(Sales_Details2[[#This Row],[Product_ID]],Product_details[[#All],[Product_ID]:[Cost]],4,0)</f>
        <v>Team Sports</v>
      </c>
      <c r="K1345" s="2" t="s">
        <v>1740</v>
      </c>
      <c r="L1345" s="2" t="str">
        <f>_xlfn.XLOOKUP(Sales_Details2[[#This Row],[Store_ID]],Table2[Store_ID],Table2[Region],"Region not found")</f>
        <v>North</v>
      </c>
      <c r="M1345" s="25">
        <v>3</v>
      </c>
      <c r="N1345" s="36">
        <v>760.38</v>
      </c>
      <c r="O1345" s="29">
        <v>0</v>
      </c>
      <c r="P1345" s="2" t="s">
        <v>1812</v>
      </c>
      <c r="Q1345" s="36">
        <v>2281.14</v>
      </c>
    </row>
    <row r="1346" spans="1:17" x14ac:dyDescent="0.3">
      <c r="A1346" s="2" t="s">
        <v>3153</v>
      </c>
      <c r="B1346" s="14">
        <v>45362</v>
      </c>
      <c r="C1346" s="2">
        <f>YEAR(Sales_Details2[[#This Row],[Order_Date]])</f>
        <v>2024</v>
      </c>
      <c r="D1346" s="2" t="s">
        <v>933</v>
      </c>
      <c r="E1346" s="2" t="str">
        <f>VLOOKUP(Sales_Details2[[#This Row],[Customer_ID]],Customer_Details[#All],4,0)</f>
        <v>Senior</v>
      </c>
      <c r="F1346" s="2" t="str">
        <f>VLOOKUP(Sales_Details2[[#This Row],[Customer_ID]],Customer_Details[#All],5,0)</f>
        <v>Male</v>
      </c>
      <c r="G1346" s="2" t="str">
        <f>VLOOKUP(Sales_Details2[[#This Row],[Customer_ID]],Customer_Details[#All],9,0)</f>
        <v>Platinum</v>
      </c>
      <c r="H1346" s="2" t="s">
        <v>1725</v>
      </c>
      <c r="I1346" s="2" t="str">
        <f>VLOOKUP(Sales_Details2[[#This Row],[Product_ID]],Product_details[[#All],[Product_ID]:[Cost]],3,0)</f>
        <v>Sports</v>
      </c>
      <c r="J1346" s="2" t="str">
        <f>VLOOKUP(Sales_Details2[[#This Row],[Product_ID]],Product_details[[#All],[Product_ID]:[Cost]],4,0)</f>
        <v>Team Sports</v>
      </c>
      <c r="K1346" s="2" t="s">
        <v>1759</v>
      </c>
      <c r="L1346" s="2" t="str">
        <f>_xlfn.XLOOKUP(Sales_Details2[[#This Row],[Store_ID]],Table2[Store_ID],Table2[Region],"Region not found")</f>
        <v>East</v>
      </c>
      <c r="M1346" s="25">
        <v>3</v>
      </c>
      <c r="N1346" s="36">
        <v>612.53</v>
      </c>
      <c r="O1346" s="29">
        <v>0.21</v>
      </c>
      <c r="P1346" s="2" t="s">
        <v>1812</v>
      </c>
      <c r="Q1346" s="36">
        <v>1451.6960999999999</v>
      </c>
    </row>
    <row r="1347" spans="1:17" x14ac:dyDescent="0.3">
      <c r="A1347" s="2" t="s">
        <v>3154</v>
      </c>
      <c r="B1347" s="14">
        <v>45544</v>
      </c>
      <c r="C1347" s="2">
        <f>YEAR(Sales_Details2[[#This Row],[Order_Date]])</f>
        <v>2024</v>
      </c>
      <c r="D1347" s="2" t="s">
        <v>159</v>
      </c>
      <c r="E1347" s="2" t="str">
        <f>VLOOKUP(Sales_Details2[[#This Row],[Customer_ID]],Customer_Details[#All],4,0)</f>
        <v>Adult</v>
      </c>
      <c r="F1347" s="2" t="str">
        <f>VLOOKUP(Sales_Details2[[#This Row],[Customer_ID]],Customer_Details[#All],5,0)</f>
        <v>Male</v>
      </c>
      <c r="G1347" s="2" t="str">
        <f>VLOOKUP(Sales_Details2[[#This Row],[Customer_ID]],Customer_Details[#All],9,0)</f>
        <v>Platinum</v>
      </c>
      <c r="H1347" s="2" t="s">
        <v>1657</v>
      </c>
      <c r="I1347" s="2" t="str">
        <f>VLOOKUP(Sales_Details2[[#This Row],[Product_ID]],Product_details[[#All],[Product_ID]:[Cost]],3,0)</f>
        <v>Beauty</v>
      </c>
      <c r="J1347" s="2" t="str">
        <f>VLOOKUP(Sales_Details2[[#This Row],[Product_ID]],Product_details[[#All],[Product_ID]:[Cost]],4,0)</f>
        <v>Skincare</v>
      </c>
      <c r="K1347" s="2" t="s">
        <v>1787</v>
      </c>
      <c r="L1347" s="2" t="str">
        <f>_xlfn.XLOOKUP(Sales_Details2[[#This Row],[Store_ID]],Table2[Store_ID],Table2[Region],"Region not found")</f>
        <v>West</v>
      </c>
      <c r="M1347" s="25">
        <v>3</v>
      </c>
      <c r="N1347" s="36">
        <v>841.37</v>
      </c>
      <c r="O1347" s="29">
        <v>0.28999999999999998</v>
      </c>
      <c r="P1347" s="2" t="s">
        <v>1809</v>
      </c>
      <c r="Q1347" s="36">
        <v>1792.1180999999999</v>
      </c>
    </row>
    <row r="1348" spans="1:17" x14ac:dyDescent="0.3">
      <c r="A1348" s="2" t="s">
        <v>3155</v>
      </c>
      <c r="B1348" s="14">
        <v>45249</v>
      </c>
      <c r="C1348" s="2">
        <f>YEAR(Sales_Details2[[#This Row],[Order_Date]])</f>
        <v>2023</v>
      </c>
      <c r="D1348" s="2" t="s">
        <v>826</v>
      </c>
      <c r="E1348" s="2" t="str">
        <f>VLOOKUP(Sales_Details2[[#This Row],[Customer_ID]],Customer_Details[#All],4,0)</f>
        <v>Adult</v>
      </c>
      <c r="F1348" s="2" t="str">
        <f>VLOOKUP(Sales_Details2[[#This Row],[Customer_ID]],Customer_Details[#All],5,0)</f>
        <v>Female</v>
      </c>
      <c r="G1348" s="2" t="str">
        <f>VLOOKUP(Sales_Details2[[#This Row],[Customer_ID]],Customer_Details[#All],9,0)</f>
        <v>Silver</v>
      </c>
      <c r="H1348" s="2" t="s">
        <v>1627</v>
      </c>
      <c r="I1348" s="2" t="str">
        <f>VLOOKUP(Sales_Details2[[#This Row],[Product_ID]],Product_details[[#All],[Product_ID]:[Cost]],3,0)</f>
        <v>Electronics</v>
      </c>
      <c r="J1348" s="2" t="str">
        <f>VLOOKUP(Sales_Details2[[#This Row],[Product_ID]],Product_details[[#All],[Product_ID]:[Cost]],4,0)</f>
        <v>Accessories</v>
      </c>
      <c r="K1348" s="2" t="s">
        <v>1769</v>
      </c>
      <c r="L1348" s="2" t="str">
        <f>_xlfn.XLOOKUP(Sales_Details2[[#This Row],[Store_ID]],Table2[Store_ID],Table2[Region],"Region not found")</f>
        <v>South</v>
      </c>
      <c r="M1348" s="25">
        <v>2</v>
      </c>
      <c r="N1348" s="36">
        <v>636.51</v>
      </c>
      <c r="O1348" s="29">
        <v>0.25</v>
      </c>
      <c r="P1348" s="2" t="s">
        <v>1807</v>
      </c>
      <c r="Q1348" s="36">
        <v>954.76499999999999</v>
      </c>
    </row>
    <row r="1349" spans="1:17" x14ac:dyDescent="0.3">
      <c r="A1349" s="2" t="s">
        <v>3156</v>
      </c>
      <c r="B1349" s="14">
        <v>45659</v>
      </c>
      <c r="C1349" s="2">
        <f>YEAR(Sales_Details2[[#This Row],[Order_Date]])</f>
        <v>2025</v>
      </c>
      <c r="D1349" s="2" t="s">
        <v>324</v>
      </c>
      <c r="E1349" s="2" t="str">
        <f>VLOOKUP(Sales_Details2[[#This Row],[Customer_ID]],Customer_Details[#All],4,0)</f>
        <v>Adult</v>
      </c>
      <c r="F1349" s="2" t="str">
        <f>VLOOKUP(Sales_Details2[[#This Row],[Customer_ID]],Customer_Details[#All],5,0)</f>
        <v>Female</v>
      </c>
      <c r="G1349" s="2" t="str">
        <f>VLOOKUP(Sales_Details2[[#This Row],[Customer_ID]],Customer_Details[#All],9,0)</f>
        <v>Silver</v>
      </c>
      <c r="H1349" s="2" t="s">
        <v>1621</v>
      </c>
      <c r="I1349" s="2" t="str">
        <f>VLOOKUP(Sales_Details2[[#This Row],[Product_ID]],Product_details[[#All],[Product_ID]:[Cost]],3,0)</f>
        <v>Sports</v>
      </c>
      <c r="J1349" s="2" t="str">
        <f>VLOOKUP(Sales_Details2[[#This Row],[Product_ID]],Product_details[[#All],[Product_ID]:[Cost]],4,0)</f>
        <v>Team Sports</v>
      </c>
      <c r="K1349" s="2" t="s">
        <v>1765</v>
      </c>
      <c r="L1349" s="2" t="str">
        <f>_xlfn.XLOOKUP(Sales_Details2[[#This Row],[Store_ID]],Table2[Store_ID],Table2[Region],"Region not found")</f>
        <v>West</v>
      </c>
      <c r="M1349" s="25">
        <v>2</v>
      </c>
      <c r="N1349" s="36">
        <v>732.37</v>
      </c>
      <c r="O1349" s="29">
        <v>0.22</v>
      </c>
      <c r="P1349" s="2" t="s">
        <v>1812</v>
      </c>
      <c r="Q1349" s="36">
        <v>1142.4972</v>
      </c>
    </row>
    <row r="1350" spans="1:17" x14ac:dyDescent="0.3">
      <c r="A1350" s="2" t="s">
        <v>3157</v>
      </c>
      <c r="B1350" s="14">
        <v>45927</v>
      </c>
      <c r="C1350" s="2">
        <f>YEAR(Sales_Details2[[#This Row],[Order_Date]])</f>
        <v>2025</v>
      </c>
      <c r="D1350" s="2" t="s">
        <v>542</v>
      </c>
      <c r="E1350" s="2" t="str">
        <f>VLOOKUP(Sales_Details2[[#This Row],[Customer_ID]],Customer_Details[#All],4,0)</f>
        <v>Mid-Adult</v>
      </c>
      <c r="F1350" s="2" t="str">
        <f>VLOOKUP(Sales_Details2[[#This Row],[Customer_ID]],Customer_Details[#All],5,0)</f>
        <v>Female</v>
      </c>
      <c r="G1350" s="2" t="str">
        <f>VLOOKUP(Sales_Details2[[#This Row],[Customer_ID]],Customer_Details[#All],9,0)</f>
        <v>Silver</v>
      </c>
      <c r="H1350" s="2" t="s">
        <v>1639</v>
      </c>
      <c r="I1350" s="2" t="str">
        <f>VLOOKUP(Sales_Details2[[#This Row],[Product_ID]],Product_details[[#All],[Product_ID]:[Cost]],3,0)</f>
        <v>Sports</v>
      </c>
      <c r="J1350" s="2" t="str">
        <f>VLOOKUP(Sales_Details2[[#This Row],[Product_ID]],Product_details[[#All],[Product_ID]:[Cost]],4,0)</f>
        <v>Accessories</v>
      </c>
      <c r="K1350" s="2" t="s">
        <v>1787</v>
      </c>
      <c r="L1350" s="2" t="str">
        <f>_xlfn.XLOOKUP(Sales_Details2[[#This Row],[Store_ID]],Table2[Store_ID],Table2[Region],"Region not found")</f>
        <v>West</v>
      </c>
      <c r="M1350" s="25">
        <v>3</v>
      </c>
      <c r="N1350" s="36">
        <v>183.44</v>
      </c>
      <c r="O1350" s="29">
        <v>0.28000000000000003</v>
      </c>
      <c r="P1350" s="2" t="s">
        <v>1812</v>
      </c>
      <c r="Q1350" s="36">
        <v>396.23039999999992</v>
      </c>
    </row>
    <row r="1351" spans="1:17" x14ac:dyDescent="0.3">
      <c r="A1351" s="2" t="s">
        <v>3158</v>
      </c>
      <c r="B1351" s="14">
        <v>45373</v>
      </c>
      <c r="C1351" s="2">
        <f>YEAR(Sales_Details2[[#This Row],[Order_Date]])</f>
        <v>2024</v>
      </c>
      <c r="D1351" s="2" t="s">
        <v>238</v>
      </c>
      <c r="E1351" s="2" t="str">
        <f>VLOOKUP(Sales_Details2[[#This Row],[Customer_ID]],Customer_Details[#All],4,0)</f>
        <v>Adult</v>
      </c>
      <c r="F1351" s="2" t="str">
        <f>VLOOKUP(Sales_Details2[[#This Row],[Customer_ID]],Customer_Details[#All],5,0)</f>
        <v>Female</v>
      </c>
      <c r="G1351" s="2" t="str">
        <f>VLOOKUP(Sales_Details2[[#This Row],[Customer_ID]],Customer_Details[#All],9,0)</f>
        <v>Silver</v>
      </c>
      <c r="H1351" s="2" t="s">
        <v>1553</v>
      </c>
      <c r="I1351" s="2" t="str">
        <f>VLOOKUP(Sales_Details2[[#This Row],[Product_ID]],Product_details[[#All],[Product_ID]:[Cost]],3,0)</f>
        <v>Electronics</v>
      </c>
      <c r="J1351" s="2" t="str">
        <f>VLOOKUP(Sales_Details2[[#This Row],[Product_ID]],Product_details[[#All],[Product_ID]:[Cost]],4,0)</f>
        <v>Accessories</v>
      </c>
      <c r="K1351" s="2" t="s">
        <v>1780</v>
      </c>
      <c r="L1351" s="2" t="str">
        <f>_xlfn.XLOOKUP(Sales_Details2[[#This Row],[Store_ID]],Table2[Store_ID],Table2[Region],"Region not found")</f>
        <v>East</v>
      </c>
      <c r="M1351" s="25">
        <v>4</v>
      </c>
      <c r="N1351" s="36">
        <v>898.58</v>
      </c>
      <c r="O1351" s="29">
        <v>0.16</v>
      </c>
      <c r="P1351" s="2" t="s">
        <v>1809</v>
      </c>
      <c r="Q1351" s="36">
        <v>3019.2287999999999</v>
      </c>
    </row>
    <row r="1352" spans="1:17" x14ac:dyDescent="0.3">
      <c r="A1352" s="2" t="s">
        <v>3159</v>
      </c>
      <c r="B1352" s="14">
        <v>45529</v>
      </c>
      <c r="C1352" s="2">
        <f>YEAR(Sales_Details2[[#This Row],[Order_Date]])</f>
        <v>2024</v>
      </c>
      <c r="D1352" s="2" t="s">
        <v>1204</v>
      </c>
      <c r="E1352" s="2" t="str">
        <f>VLOOKUP(Sales_Details2[[#This Row],[Customer_ID]],Customer_Details[#All],4,0)</f>
        <v>Senior</v>
      </c>
      <c r="F1352" s="2" t="str">
        <f>VLOOKUP(Sales_Details2[[#This Row],[Customer_ID]],Customer_Details[#All],5,0)</f>
        <v>Male</v>
      </c>
      <c r="G1352" s="2" t="str">
        <f>VLOOKUP(Sales_Details2[[#This Row],[Customer_ID]],Customer_Details[#All],9,0)</f>
        <v>Silver</v>
      </c>
      <c r="H1352" s="2" t="s">
        <v>1577</v>
      </c>
      <c r="I1352" s="2" t="str">
        <f>VLOOKUP(Sales_Details2[[#This Row],[Product_ID]],Product_details[[#All],[Product_ID]:[Cost]],3,0)</f>
        <v>Clothing</v>
      </c>
      <c r="J1352" s="2" t="str">
        <f>VLOOKUP(Sales_Details2[[#This Row],[Product_ID]],Product_details[[#All],[Product_ID]:[Cost]],4,0)</f>
        <v>Tops</v>
      </c>
      <c r="K1352" s="2" t="s">
        <v>1744</v>
      </c>
      <c r="L1352" s="2" t="str">
        <f>_xlfn.XLOOKUP(Sales_Details2[[#This Row],[Store_ID]],Table2[Store_ID],Table2[Region],"Region not found")</f>
        <v>South</v>
      </c>
      <c r="M1352" s="25">
        <v>3</v>
      </c>
      <c r="N1352" s="36">
        <v>152.41</v>
      </c>
      <c r="O1352" s="29">
        <v>0.25</v>
      </c>
      <c r="P1352" s="2" t="s">
        <v>1807</v>
      </c>
      <c r="Q1352" s="36">
        <v>342.92250000000001</v>
      </c>
    </row>
    <row r="1353" spans="1:17" x14ac:dyDescent="0.3">
      <c r="A1353" s="2" t="s">
        <v>3160</v>
      </c>
      <c r="B1353" s="14">
        <v>45872</v>
      </c>
      <c r="C1353" s="2">
        <f>YEAR(Sales_Details2[[#This Row],[Order_Date]])</f>
        <v>2025</v>
      </c>
      <c r="D1353" s="2" t="s">
        <v>716</v>
      </c>
      <c r="E1353" s="2" t="str">
        <f>VLOOKUP(Sales_Details2[[#This Row],[Customer_ID]],Customer_Details[#All],4,0)</f>
        <v>Mid-Adult</v>
      </c>
      <c r="F1353" s="2" t="str">
        <f>VLOOKUP(Sales_Details2[[#This Row],[Customer_ID]],Customer_Details[#All],5,0)</f>
        <v>Male</v>
      </c>
      <c r="G1353" s="2" t="str">
        <f>VLOOKUP(Sales_Details2[[#This Row],[Customer_ID]],Customer_Details[#All],9,0)</f>
        <v>Platinum</v>
      </c>
      <c r="H1353" s="2" t="s">
        <v>1715</v>
      </c>
      <c r="I1353" s="2" t="str">
        <f>VLOOKUP(Sales_Details2[[#This Row],[Product_ID]],Product_details[[#All],[Product_ID]:[Cost]],3,0)</f>
        <v>Home</v>
      </c>
      <c r="J1353" s="2" t="str">
        <f>VLOOKUP(Sales_Details2[[#This Row],[Product_ID]],Product_details[[#All],[Product_ID]:[Cost]],4,0)</f>
        <v>Appliances</v>
      </c>
      <c r="K1353" s="2" t="s">
        <v>1782</v>
      </c>
      <c r="L1353" s="2" t="str">
        <f>_xlfn.XLOOKUP(Sales_Details2[[#This Row],[Store_ID]],Table2[Store_ID],Table2[Region],"Region not found")</f>
        <v>South</v>
      </c>
      <c r="M1353" s="25">
        <v>3</v>
      </c>
      <c r="N1353" s="36">
        <v>972.58</v>
      </c>
      <c r="O1353" s="29">
        <v>0.28000000000000003</v>
      </c>
      <c r="P1353" s="2" t="s">
        <v>1812</v>
      </c>
      <c r="Q1353" s="36">
        <v>2100.7728000000002</v>
      </c>
    </row>
    <row r="1354" spans="1:17" x14ac:dyDescent="0.3">
      <c r="A1354" s="2" t="s">
        <v>3161</v>
      </c>
      <c r="B1354" s="14">
        <v>45267</v>
      </c>
      <c r="C1354" s="2">
        <f>YEAR(Sales_Details2[[#This Row],[Order_Date]])</f>
        <v>2023</v>
      </c>
      <c r="D1354" s="2" t="s">
        <v>1421</v>
      </c>
      <c r="E1354" s="2" t="str">
        <f>VLOOKUP(Sales_Details2[[#This Row],[Customer_ID]],Customer_Details[#All],4,0)</f>
        <v>Adult</v>
      </c>
      <c r="F1354" s="2" t="str">
        <f>VLOOKUP(Sales_Details2[[#This Row],[Customer_ID]],Customer_Details[#All],5,0)</f>
        <v>Male</v>
      </c>
      <c r="G1354" s="2" t="str">
        <f>VLOOKUP(Sales_Details2[[#This Row],[Customer_ID]],Customer_Details[#All],9,0)</f>
        <v>Silver</v>
      </c>
      <c r="H1354" s="2" t="s">
        <v>1669</v>
      </c>
      <c r="I1354" s="2" t="str">
        <f>VLOOKUP(Sales_Details2[[#This Row],[Product_ID]],Product_details[[#All],[Product_ID]:[Cost]],3,0)</f>
        <v>Clothing</v>
      </c>
      <c r="J1354" s="2" t="str">
        <f>VLOOKUP(Sales_Details2[[#This Row],[Product_ID]],Product_details[[#All],[Product_ID]:[Cost]],4,0)</f>
        <v>Bottoms</v>
      </c>
      <c r="K1354" s="2" t="s">
        <v>1775</v>
      </c>
      <c r="L1354" s="2" t="str">
        <f>_xlfn.XLOOKUP(Sales_Details2[[#This Row],[Store_ID]],Table2[Store_ID],Table2[Region],"Region not found")</f>
        <v>South</v>
      </c>
      <c r="M1354" s="25">
        <v>4</v>
      </c>
      <c r="N1354" s="36">
        <v>136.4</v>
      </c>
      <c r="O1354" s="29">
        <v>0.04</v>
      </c>
      <c r="P1354" s="2" t="s">
        <v>1812</v>
      </c>
      <c r="Q1354" s="36">
        <v>523.77599999999995</v>
      </c>
    </row>
    <row r="1355" spans="1:17" x14ac:dyDescent="0.3">
      <c r="A1355" s="2" t="s">
        <v>3162</v>
      </c>
      <c r="B1355" s="14">
        <v>45894</v>
      </c>
      <c r="C1355" s="2">
        <f>YEAR(Sales_Details2[[#This Row],[Order_Date]])</f>
        <v>2025</v>
      </c>
      <c r="D1355" s="2" t="s">
        <v>1232</v>
      </c>
      <c r="E1355" s="2" t="str">
        <f>VLOOKUP(Sales_Details2[[#This Row],[Customer_ID]],Customer_Details[#All],4,0)</f>
        <v>Senior</v>
      </c>
      <c r="F1355" s="2" t="str">
        <f>VLOOKUP(Sales_Details2[[#This Row],[Customer_ID]],Customer_Details[#All],5,0)</f>
        <v>Female</v>
      </c>
      <c r="G1355" s="2" t="str">
        <f>VLOOKUP(Sales_Details2[[#This Row],[Customer_ID]],Customer_Details[#All],9,0)</f>
        <v>Platinum</v>
      </c>
      <c r="H1355" s="2" t="s">
        <v>1719</v>
      </c>
      <c r="I1355" s="2" t="str">
        <f>VLOOKUP(Sales_Details2[[#This Row],[Product_ID]],Product_details[[#All],[Product_ID]:[Cost]],3,0)</f>
        <v>Beauty</v>
      </c>
      <c r="J1355" s="2" t="str">
        <f>VLOOKUP(Sales_Details2[[#This Row],[Product_ID]],Product_details[[#All],[Product_ID]:[Cost]],4,0)</f>
        <v>Skincare</v>
      </c>
      <c r="K1355" s="2" t="s">
        <v>1784</v>
      </c>
      <c r="L1355" s="2" t="str">
        <f>_xlfn.XLOOKUP(Sales_Details2[[#This Row],[Store_ID]],Table2[Store_ID],Table2[Region],"Region not found")</f>
        <v>North</v>
      </c>
      <c r="M1355" s="25">
        <v>1</v>
      </c>
      <c r="N1355" s="36">
        <v>509.63</v>
      </c>
      <c r="O1355" s="29">
        <v>0.27</v>
      </c>
      <c r="P1355" s="2" t="s">
        <v>1812</v>
      </c>
      <c r="Q1355" s="36">
        <v>372.0299</v>
      </c>
    </row>
    <row r="1356" spans="1:17" x14ac:dyDescent="0.3">
      <c r="A1356" s="2" t="s">
        <v>3163</v>
      </c>
      <c r="B1356" s="14">
        <v>45331</v>
      </c>
      <c r="C1356" s="2">
        <f>YEAR(Sales_Details2[[#This Row],[Order_Date]])</f>
        <v>2024</v>
      </c>
      <c r="D1356" s="2" t="s">
        <v>23</v>
      </c>
      <c r="E1356" s="2" t="str">
        <f>VLOOKUP(Sales_Details2[[#This Row],[Customer_ID]],Customer_Details[#All],4,0)</f>
        <v>Senior</v>
      </c>
      <c r="F1356" s="2" t="str">
        <f>VLOOKUP(Sales_Details2[[#This Row],[Customer_ID]],Customer_Details[#All],5,0)</f>
        <v>Female</v>
      </c>
      <c r="G1356" s="2" t="str">
        <f>VLOOKUP(Sales_Details2[[#This Row],[Customer_ID]],Customer_Details[#All],9,0)</f>
        <v>Bronze</v>
      </c>
      <c r="H1356" s="2" t="s">
        <v>1725</v>
      </c>
      <c r="I1356" s="2" t="str">
        <f>VLOOKUP(Sales_Details2[[#This Row],[Product_ID]],Product_details[[#All],[Product_ID]:[Cost]],3,0)</f>
        <v>Sports</v>
      </c>
      <c r="J1356" s="2" t="str">
        <f>VLOOKUP(Sales_Details2[[#This Row],[Product_ID]],Product_details[[#All],[Product_ID]:[Cost]],4,0)</f>
        <v>Team Sports</v>
      </c>
      <c r="K1356" s="2" t="s">
        <v>1749</v>
      </c>
      <c r="L1356" s="2" t="str">
        <f>_xlfn.XLOOKUP(Sales_Details2[[#This Row],[Store_ID]],Table2[Store_ID],Table2[Region],"Region not found")</f>
        <v>North</v>
      </c>
      <c r="M1356" s="25">
        <v>4</v>
      </c>
      <c r="N1356" s="36">
        <v>360.28</v>
      </c>
      <c r="O1356" s="29">
        <v>0.09</v>
      </c>
      <c r="P1356" s="2" t="s">
        <v>1812</v>
      </c>
      <c r="Q1356" s="36">
        <v>1311.4192</v>
      </c>
    </row>
    <row r="1357" spans="1:17" x14ac:dyDescent="0.3">
      <c r="A1357" s="2" t="s">
        <v>3164</v>
      </c>
      <c r="B1357" s="14">
        <v>45910</v>
      </c>
      <c r="C1357" s="2">
        <f>YEAR(Sales_Details2[[#This Row],[Order_Date]])</f>
        <v>2025</v>
      </c>
      <c r="D1357" s="2" t="s">
        <v>289</v>
      </c>
      <c r="E1357" s="2" t="str">
        <f>VLOOKUP(Sales_Details2[[#This Row],[Customer_ID]],Customer_Details[#All],4,0)</f>
        <v>Senior</v>
      </c>
      <c r="F1357" s="2" t="str">
        <f>VLOOKUP(Sales_Details2[[#This Row],[Customer_ID]],Customer_Details[#All],5,0)</f>
        <v>Female</v>
      </c>
      <c r="G1357" s="2" t="str">
        <f>VLOOKUP(Sales_Details2[[#This Row],[Customer_ID]],Customer_Details[#All],9,0)</f>
        <v>Bronze</v>
      </c>
      <c r="H1357" s="2" t="s">
        <v>1709</v>
      </c>
      <c r="I1357" s="2" t="str">
        <f>VLOOKUP(Sales_Details2[[#This Row],[Product_ID]],Product_details[[#All],[Product_ID]:[Cost]],3,0)</f>
        <v>Beauty</v>
      </c>
      <c r="J1357" s="2" t="str">
        <f>VLOOKUP(Sales_Details2[[#This Row],[Product_ID]],Product_details[[#All],[Product_ID]:[Cost]],4,0)</f>
        <v>Makeup</v>
      </c>
      <c r="K1357" s="2" t="s">
        <v>1784</v>
      </c>
      <c r="L1357" s="2" t="str">
        <f>_xlfn.XLOOKUP(Sales_Details2[[#This Row],[Store_ID]],Table2[Store_ID],Table2[Region],"Region not found")</f>
        <v>North</v>
      </c>
      <c r="M1357" s="25">
        <v>3</v>
      </c>
      <c r="N1357" s="36">
        <v>882.05</v>
      </c>
      <c r="O1357" s="29">
        <v>0.06</v>
      </c>
      <c r="P1357" s="2" t="s">
        <v>1809</v>
      </c>
      <c r="Q1357" s="36">
        <v>2487.3809999999989</v>
      </c>
    </row>
    <row r="1358" spans="1:17" x14ac:dyDescent="0.3">
      <c r="A1358" s="2" t="s">
        <v>3165</v>
      </c>
      <c r="B1358" s="14">
        <v>45564</v>
      </c>
      <c r="C1358" s="2">
        <f>YEAR(Sales_Details2[[#This Row],[Order_Date]])</f>
        <v>2024</v>
      </c>
      <c r="D1358" s="2" t="s">
        <v>634</v>
      </c>
      <c r="E1358" s="2" t="str">
        <f>VLOOKUP(Sales_Details2[[#This Row],[Customer_ID]],Customer_Details[#All],4,0)</f>
        <v>Senior</v>
      </c>
      <c r="F1358" s="2" t="str">
        <f>VLOOKUP(Sales_Details2[[#This Row],[Customer_ID]],Customer_Details[#All],5,0)</f>
        <v>Male</v>
      </c>
      <c r="G1358" s="2" t="str">
        <f>VLOOKUP(Sales_Details2[[#This Row],[Customer_ID]],Customer_Details[#All],9,0)</f>
        <v>Silver</v>
      </c>
      <c r="H1358" s="2" t="s">
        <v>1689</v>
      </c>
      <c r="I1358" s="2" t="str">
        <f>VLOOKUP(Sales_Details2[[#This Row],[Product_ID]],Product_details[[#All],[Product_ID]:[Cost]],3,0)</f>
        <v>Home</v>
      </c>
      <c r="J1358" s="2" t="str">
        <f>VLOOKUP(Sales_Details2[[#This Row],[Product_ID]],Product_details[[#All],[Product_ID]:[Cost]],4,0)</f>
        <v>Lighting</v>
      </c>
      <c r="K1358" s="2" t="s">
        <v>1765</v>
      </c>
      <c r="L1358" s="2" t="str">
        <f>_xlfn.XLOOKUP(Sales_Details2[[#This Row],[Store_ID]],Table2[Store_ID],Table2[Region],"Region not found")</f>
        <v>West</v>
      </c>
      <c r="M1358" s="25">
        <v>3</v>
      </c>
      <c r="N1358" s="36">
        <v>141.54</v>
      </c>
      <c r="O1358" s="29">
        <v>0.12</v>
      </c>
      <c r="P1358" s="2" t="s">
        <v>1809</v>
      </c>
      <c r="Q1358" s="36">
        <v>373.66559999999998</v>
      </c>
    </row>
    <row r="1359" spans="1:17" x14ac:dyDescent="0.3">
      <c r="A1359" s="2" t="s">
        <v>3166</v>
      </c>
      <c r="B1359" s="14">
        <v>45461</v>
      </c>
      <c r="C1359" s="2">
        <f>YEAR(Sales_Details2[[#This Row],[Order_Date]])</f>
        <v>2024</v>
      </c>
      <c r="D1359" s="2" t="s">
        <v>167</v>
      </c>
      <c r="E1359" s="2" t="str">
        <f>VLOOKUP(Sales_Details2[[#This Row],[Customer_ID]],Customer_Details[#All],4,0)</f>
        <v>Mid-Adult</v>
      </c>
      <c r="F1359" s="2" t="str">
        <f>VLOOKUP(Sales_Details2[[#This Row],[Customer_ID]],Customer_Details[#All],5,0)</f>
        <v>Male</v>
      </c>
      <c r="G1359" s="2" t="str">
        <f>VLOOKUP(Sales_Details2[[#This Row],[Customer_ID]],Customer_Details[#All],9,0)</f>
        <v>Gold</v>
      </c>
      <c r="H1359" s="2" t="s">
        <v>1561</v>
      </c>
      <c r="I1359" s="2" t="str">
        <f>VLOOKUP(Sales_Details2[[#This Row],[Product_ID]],Product_details[[#All],[Product_ID]:[Cost]],3,0)</f>
        <v>Electronics</v>
      </c>
      <c r="J1359" s="2" t="str">
        <f>VLOOKUP(Sales_Details2[[#This Row],[Product_ID]],Product_details[[#All],[Product_ID]:[Cost]],4,0)</f>
        <v>Appliances</v>
      </c>
      <c r="K1359" s="2" t="s">
        <v>1752</v>
      </c>
      <c r="L1359" s="2" t="str">
        <f>_xlfn.XLOOKUP(Sales_Details2[[#This Row],[Store_ID]],Table2[Store_ID],Table2[Region],"Region not found")</f>
        <v>South</v>
      </c>
      <c r="M1359" s="25">
        <v>3</v>
      </c>
      <c r="N1359" s="36">
        <v>83.5</v>
      </c>
      <c r="O1359" s="29">
        <v>0.23</v>
      </c>
      <c r="P1359" s="2" t="s">
        <v>1812</v>
      </c>
      <c r="Q1359" s="36">
        <v>192.88499999999999</v>
      </c>
    </row>
    <row r="1360" spans="1:17" x14ac:dyDescent="0.3">
      <c r="A1360" s="2" t="s">
        <v>3167</v>
      </c>
      <c r="B1360" s="14">
        <v>45258</v>
      </c>
      <c r="C1360" s="2">
        <f>YEAR(Sales_Details2[[#This Row],[Order_Date]])</f>
        <v>2023</v>
      </c>
      <c r="D1360" s="2" t="s">
        <v>420</v>
      </c>
      <c r="E1360" s="2" t="str">
        <f>VLOOKUP(Sales_Details2[[#This Row],[Customer_ID]],Customer_Details[#All],4,0)</f>
        <v>Mid-Adult</v>
      </c>
      <c r="F1360" s="2" t="str">
        <f>VLOOKUP(Sales_Details2[[#This Row],[Customer_ID]],Customer_Details[#All],5,0)</f>
        <v>Male</v>
      </c>
      <c r="G1360" s="2" t="str">
        <f>VLOOKUP(Sales_Details2[[#This Row],[Customer_ID]],Customer_Details[#All],9,0)</f>
        <v>Silver</v>
      </c>
      <c r="H1360" s="2" t="s">
        <v>1559</v>
      </c>
      <c r="I1360" s="2" t="str">
        <f>VLOOKUP(Sales_Details2[[#This Row],[Product_ID]],Product_details[[#All],[Product_ID]:[Cost]],3,0)</f>
        <v>Home</v>
      </c>
      <c r="J1360" s="2" t="str">
        <f>VLOOKUP(Sales_Details2[[#This Row],[Product_ID]],Product_details[[#All],[Product_ID]:[Cost]],4,0)</f>
        <v>Decor</v>
      </c>
      <c r="K1360" s="2" t="s">
        <v>1759</v>
      </c>
      <c r="L1360" s="2" t="str">
        <f>_xlfn.XLOOKUP(Sales_Details2[[#This Row],[Store_ID]],Table2[Store_ID],Table2[Region],"Region not found")</f>
        <v>East</v>
      </c>
      <c r="M1360" s="25">
        <v>2</v>
      </c>
      <c r="N1360" s="36">
        <v>629.73</v>
      </c>
      <c r="O1360" s="29">
        <v>7.0000000000000007E-2</v>
      </c>
      <c r="P1360" s="2" t="s">
        <v>1809</v>
      </c>
      <c r="Q1360" s="36">
        <v>1171.2978000000001</v>
      </c>
    </row>
    <row r="1361" spans="1:17" x14ac:dyDescent="0.3">
      <c r="A1361" s="2" t="s">
        <v>3168</v>
      </c>
      <c r="B1361" s="14">
        <v>45228</v>
      </c>
      <c r="C1361" s="2">
        <f>YEAR(Sales_Details2[[#This Row],[Order_Date]])</f>
        <v>2023</v>
      </c>
      <c r="D1361" s="2" t="s">
        <v>59</v>
      </c>
      <c r="E1361" s="2" t="str">
        <f>VLOOKUP(Sales_Details2[[#This Row],[Customer_ID]],Customer_Details[#All],4,0)</f>
        <v>Senior</v>
      </c>
      <c r="F1361" s="2" t="str">
        <f>VLOOKUP(Sales_Details2[[#This Row],[Customer_ID]],Customer_Details[#All],5,0)</f>
        <v>Female</v>
      </c>
      <c r="G1361" s="2" t="str">
        <f>VLOOKUP(Sales_Details2[[#This Row],[Customer_ID]],Customer_Details[#All],9,0)</f>
        <v>Platinum</v>
      </c>
      <c r="H1361" s="2" t="s">
        <v>1597</v>
      </c>
      <c r="I1361" s="2" t="str">
        <f>VLOOKUP(Sales_Details2[[#This Row],[Product_ID]],Product_details[[#All],[Product_ID]:[Cost]],3,0)</f>
        <v>Home</v>
      </c>
      <c r="J1361" s="2" t="str">
        <f>VLOOKUP(Sales_Details2[[#This Row],[Product_ID]],Product_details[[#All],[Product_ID]:[Cost]],4,0)</f>
        <v>Decor</v>
      </c>
      <c r="K1361" s="2" t="s">
        <v>1759</v>
      </c>
      <c r="L1361" s="2" t="str">
        <f>_xlfn.XLOOKUP(Sales_Details2[[#This Row],[Store_ID]],Table2[Store_ID],Table2[Region],"Region not found")</f>
        <v>East</v>
      </c>
      <c r="M1361" s="25">
        <v>2</v>
      </c>
      <c r="N1361" s="36">
        <v>159.93</v>
      </c>
      <c r="O1361" s="29">
        <v>0.2</v>
      </c>
      <c r="P1361" s="2" t="s">
        <v>1812</v>
      </c>
      <c r="Q1361" s="36">
        <v>255.88800000000001</v>
      </c>
    </row>
    <row r="1362" spans="1:17" x14ac:dyDescent="0.3">
      <c r="A1362" s="2" t="s">
        <v>3169</v>
      </c>
      <c r="B1362" s="14">
        <v>45858</v>
      </c>
      <c r="C1362" s="2">
        <f>YEAR(Sales_Details2[[#This Row],[Order_Date]])</f>
        <v>2025</v>
      </c>
      <c r="D1362" s="2" t="s">
        <v>59</v>
      </c>
      <c r="E1362" s="2" t="str">
        <f>VLOOKUP(Sales_Details2[[#This Row],[Customer_ID]],Customer_Details[#All],4,0)</f>
        <v>Senior</v>
      </c>
      <c r="F1362" s="2" t="str">
        <f>VLOOKUP(Sales_Details2[[#This Row],[Customer_ID]],Customer_Details[#All],5,0)</f>
        <v>Female</v>
      </c>
      <c r="G1362" s="2" t="str">
        <f>VLOOKUP(Sales_Details2[[#This Row],[Customer_ID]],Customer_Details[#All],9,0)</f>
        <v>Platinum</v>
      </c>
      <c r="H1362" s="2" t="s">
        <v>1621</v>
      </c>
      <c r="I1362" s="2" t="str">
        <f>VLOOKUP(Sales_Details2[[#This Row],[Product_ID]],Product_details[[#All],[Product_ID]:[Cost]],3,0)</f>
        <v>Sports</v>
      </c>
      <c r="J1362" s="2" t="str">
        <f>VLOOKUP(Sales_Details2[[#This Row],[Product_ID]],Product_details[[#All],[Product_ID]:[Cost]],4,0)</f>
        <v>Team Sports</v>
      </c>
      <c r="K1362" s="2" t="s">
        <v>1793</v>
      </c>
      <c r="L1362" s="2" t="str">
        <f>_xlfn.XLOOKUP(Sales_Details2[[#This Row],[Store_ID]],Table2[Store_ID],Table2[Region],"Region not found")</f>
        <v>East</v>
      </c>
      <c r="M1362" s="25">
        <v>1</v>
      </c>
      <c r="N1362" s="36">
        <v>459.89</v>
      </c>
      <c r="O1362" s="29">
        <v>0.18</v>
      </c>
      <c r="P1362" s="2" t="s">
        <v>1812</v>
      </c>
      <c r="Q1362" s="36">
        <v>377.10980000000001</v>
      </c>
    </row>
    <row r="1363" spans="1:17" x14ac:dyDescent="0.3">
      <c r="A1363" s="2" t="s">
        <v>3170</v>
      </c>
      <c r="B1363" s="14">
        <v>45532</v>
      </c>
      <c r="C1363" s="2">
        <f>YEAR(Sales_Details2[[#This Row],[Order_Date]])</f>
        <v>2024</v>
      </c>
      <c r="D1363" s="2" t="s">
        <v>613</v>
      </c>
      <c r="E1363" s="2" t="str">
        <f>VLOOKUP(Sales_Details2[[#This Row],[Customer_ID]],Customer_Details[#All],4,0)</f>
        <v>Mid-Adult</v>
      </c>
      <c r="F1363" s="2" t="str">
        <f>VLOOKUP(Sales_Details2[[#This Row],[Customer_ID]],Customer_Details[#All],5,0)</f>
        <v>Male</v>
      </c>
      <c r="G1363" s="2" t="str">
        <f>VLOOKUP(Sales_Details2[[#This Row],[Customer_ID]],Customer_Details[#All],9,0)</f>
        <v>Silver</v>
      </c>
      <c r="H1363" s="2" t="s">
        <v>1597</v>
      </c>
      <c r="I1363" s="2" t="str">
        <f>VLOOKUP(Sales_Details2[[#This Row],[Product_ID]],Product_details[[#All],[Product_ID]:[Cost]],3,0)</f>
        <v>Home</v>
      </c>
      <c r="J1363" s="2" t="str">
        <f>VLOOKUP(Sales_Details2[[#This Row],[Product_ID]],Product_details[[#All],[Product_ID]:[Cost]],4,0)</f>
        <v>Decor</v>
      </c>
      <c r="K1363" s="2" t="s">
        <v>1796</v>
      </c>
      <c r="L1363" s="2" t="str">
        <f>_xlfn.XLOOKUP(Sales_Details2[[#This Row],[Store_ID]],Table2[Store_ID],Table2[Region],"Region not found")</f>
        <v>East</v>
      </c>
      <c r="M1363" s="25">
        <v>4</v>
      </c>
      <c r="N1363" s="36">
        <v>885.57</v>
      </c>
      <c r="O1363" s="29">
        <v>0.27</v>
      </c>
      <c r="P1363" s="2" t="s">
        <v>1807</v>
      </c>
      <c r="Q1363" s="36">
        <v>2585.8643999999999</v>
      </c>
    </row>
    <row r="1364" spans="1:17" x14ac:dyDescent="0.3">
      <c r="A1364" s="2" t="s">
        <v>3171</v>
      </c>
      <c r="B1364" s="14">
        <v>45454</v>
      </c>
      <c r="C1364" s="2">
        <f>YEAR(Sales_Details2[[#This Row],[Order_Date]])</f>
        <v>2024</v>
      </c>
      <c r="D1364" s="2" t="s">
        <v>1238</v>
      </c>
      <c r="E1364" s="2" t="str">
        <f>VLOOKUP(Sales_Details2[[#This Row],[Customer_ID]],Customer_Details[#All],4,0)</f>
        <v>Mid-Adult</v>
      </c>
      <c r="F1364" s="2" t="str">
        <f>VLOOKUP(Sales_Details2[[#This Row],[Customer_ID]],Customer_Details[#All],5,0)</f>
        <v>Male</v>
      </c>
      <c r="G1364" s="2" t="str">
        <f>VLOOKUP(Sales_Details2[[#This Row],[Customer_ID]],Customer_Details[#All],9,0)</f>
        <v>Bronze</v>
      </c>
      <c r="H1364" s="2" t="s">
        <v>1639</v>
      </c>
      <c r="I1364" s="2" t="str">
        <f>VLOOKUP(Sales_Details2[[#This Row],[Product_ID]],Product_details[[#All],[Product_ID]:[Cost]],3,0)</f>
        <v>Sports</v>
      </c>
      <c r="J1364" s="2" t="str">
        <f>VLOOKUP(Sales_Details2[[#This Row],[Product_ID]],Product_details[[#All],[Product_ID]:[Cost]],4,0)</f>
        <v>Accessories</v>
      </c>
      <c r="K1364" s="2" t="s">
        <v>1784</v>
      </c>
      <c r="L1364" s="2" t="str">
        <f>_xlfn.XLOOKUP(Sales_Details2[[#This Row],[Store_ID]],Table2[Store_ID],Table2[Region],"Region not found")</f>
        <v>North</v>
      </c>
      <c r="M1364" s="25">
        <v>3</v>
      </c>
      <c r="N1364" s="36">
        <v>789.05</v>
      </c>
      <c r="O1364" s="29">
        <v>0</v>
      </c>
      <c r="P1364" s="2" t="s">
        <v>1809</v>
      </c>
      <c r="Q1364" s="36">
        <v>2367.15</v>
      </c>
    </row>
    <row r="1365" spans="1:17" x14ac:dyDescent="0.3">
      <c r="A1365" s="2" t="s">
        <v>3172</v>
      </c>
      <c r="B1365" s="14">
        <v>45244</v>
      </c>
      <c r="C1365" s="2">
        <f>YEAR(Sales_Details2[[#This Row],[Order_Date]])</f>
        <v>2023</v>
      </c>
      <c r="D1365" s="2" t="s">
        <v>512</v>
      </c>
      <c r="E1365" s="2" t="str">
        <f>VLOOKUP(Sales_Details2[[#This Row],[Customer_ID]],Customer_Details[#All],4,0)</f>
        <v>Mid-Adult</v>
      </c>
      <c r="F1365" s="2" t="str">
        <f>VLOOKUP(Sales_Details2[[#This Row],[Customer_ID]],Customer_Details[#All],5,0)</f>
        <v>Female</v>
      </c>
      <c r="G1365" s="2" t="str">
        <f>VLOOKUP(Sales_Details2[[#This Row],[Customer_ID]],Customer_Details[#All],9,0)</f>
        <v>Gold</v>
      </c>
      <c r="H1365" s="2" t="s">
        <v>1663</v>
      </c>
      <c r="I1365" s="2" t="str">
        <f>VLOOKUP(Sales_Details2[[#This Row],[Product_ID]],Product_details[[#All],[Product_ID]:[Cost]],3,0)</f>
        <v>Beauty</v>
      </c>
      <c r="J1365" s="2" t="str">
        <f>VLOOKUP(Sales_Details2[[#This Row],[Product_ID]],Product_details[[#All],[Product_ID]:[Cost]],4,0)</f>
        <v>Haircare</v>
      </c>
      <c r="K1365" s="2" t="s">
        <v>1735</v>
      </c>
      <c r="L1365" s="2" t="str">
        <f>_xlfn.XLOOKUP(Sales_Details2[[#This Row],[Store_ID]],Table2[Store_ID],Table2[Region],"Region not found")</f>
        <v>East</v>
      </c>
      <c r="M1365" s="25">
        <v>1</v>
      </c>
      <c r="N1365" s="36">
        <v>570.52</v>
      </c>
      <c r="O1365" s="29">
        <v>0</v>
      </c>
      <c r="P1365" s="2" t="s">
        <v>1809</v>
      </c>
      <c r="Q1365" s="36">
        <v>570.52</v>
      </c>
    </row>
    <row r="1366" spans="1:17" x14ac:dyDescent="0.3">
      <c r="A1366" s="2" t="s">
        <v>3173</v>
      </c>
      <c r="B1366" s="14">
        <v>45322</v>
      </c>
      <c r="C1366" s="2">
        <f>YEAR(Sales_Details2[[#This Row],[Order_Date]])</f>
        <v>2024</v>
      </c>
      <c r="D1366" s="2" t="s">
        <v>586</v>
      </c>
      <c r="E1366" s="2" t="str">
        <f>VLOOKUP(Sales_Details2[[#This Row],[Customer_ID]],Customer_Details[#All],4,0)</f>
        <v>Mid-Adult</v>
      </c>
      <c r="F1366" s="2" t="str">
        <f>VLOOKUP(Sales_Details2[[#This Row],[Customer_ID]],Customer_Details[#All],5,0)</f>
        <v>Female</v>
      </c>
      <c r="G1366" s="2" t="str">
        <f>VLOOKUP(Sales_Details2[[#This Row],[Customer_ID]],Customer_Details[#All],9,0)</f>
        <v>Silver</v>
      </c>
      <c r="H1366" s="2" t="s">
        <v>1585</v>
      </c>
      <c r="I1366" s="2" t="str">
        <f>VLOOKUP(Sales_Details2[[#This Row],[Product_ID]],Product_details[[#All],[Product_ID]:[Cost]],3,0)</f>
        <v>Home</v>
      </c>
      <c r="J1366" s="2" t="str">
        <f>VLOOKUP(Sales_Details2[[#This Row],[Product_ID]],Product_details[[#All],[Product_ID]:[Cost]],4,0)</f>
        <v>Decor</v>
      </c>
      <c r="K1366" s="2" t="s">
        <v>1787</v>
      </c>
      <c r="L1366" s="2" t="str">
        <f>_xlfn.XLOOKUP(Sales_Details2[[#This Row],[Store_ID]],Table2[Store_ID],Table2[Region],"Region not found")</f>
        <v>West</v>
      </c>
      <c r="M1366" s="25">
        <v>4</v>
      </c>
      <c r="N1366" s="36">
        <v>310.79000000000002</v>
      </c>
      <c r="O1366" s="29">
        <v>0.22</v>
      </c>
      <c r="P1366" s="2" t="s">
        <v>1812</v>
      </c>
      <c r="Q1366" s="36">
        <v>969.66480000000013</v>
      </c>
    </row>
    <row r="1367" spans="1:17" x14ac:dyDescent="0.3">
      <c r="A1367" s="2" t="s">
        <v>3174</v>
      </c>
      <c r="B1367" s="14">
        <v>45757</v>
      </c>
      <c r="C1367" s="2">
        <f>YEAR(Sales_Details2[[#This Row],[Order_Date]])</f>
        <v>2025</v>
      </c>
      <c r="D1367" s="2" t="s">
        <v>211</v>
      </c>
      <c r="E1367" s="2" t="str">
        <f>VLOOKUP(Sales_Details2[[#This Row],[Customer_ID]],Customer_Details[#All],4,0)</f>
        <v>Mid-Adult</v>
      </c>
      <c r="F1367" s="2" t="str">
        <f>VLOOKUP(Sales_Details2[[#This Row],[Customer_ID]],Customer_Details[#All],5,0)</f>
        <v>Female</v>
      </c>
      <c r="G1367" s="2" t="str">
        <f>VLOOKUP(Sales_Details2[[#This Row],[Customer_ID]],Customer_Details[#All],9,0)</f>
        <v>Platinum</v>
      </c>
      <c r="H1367" s="2" t="s">
        <v>1667</v>
      </c>
      <c r="I1367" s="2" t="str">
        <f>VLOOKUP(Sales_Details2[[#This Row],[Product_ID]],Product_details[[#All],[Product_ID]:[Cost]],3,0)</f>
        <v>Home</v>
      </c>
      <c r="J1367" s="2" t="str">
        <f>VLOOKUP(Sales_Details2[[#This Row],[Product_ID]],Product_details[[#All],[Product_ID]:[Cost]],4,0)</f>
        <v>Furniture</v>
      </c>
      <c r="K1367" s="2" t="s">
        <v>1790</v>
      </c>
      <c r="L1367" s="2" t="str">
        <f>_xlfn.XLOOKUP(Sales_Details2[[#This Row],[Store_ID]],Table2[Store_ID],Table2[Region],"Region not found")</f>
        <v>North</v>
      </c>
      <c r="M1367" s="25">
        <v>4</v>
      </c>
      <c r="N1367" s="36">
        <v>255.67</v>
      </c>
      <c r="O1367" s="29">
        <v>0.17</v>
      </c>
      <c r="P1367" s="2" t="s">
        <v>1807</v>
      </c>
      <c r="Q1367" s="36">
        <v>848.82439999999997</v>
      </c>
    </row>
    <row r="1368" spans="1:17" x14ac:dyDescent="0.3">
      <c r="A1368" s="2" t="s">
        <v>3175</v>
      </c>
      <c r="B1368" s="14">
        <v>45397</v>
      </c>
      <c r="C1368" s="2">
        <f>YEAR(Sales_Details2[[#This Row],[Order_Date]])</f>
        <v>2024</v>
      </c>
      <c r="D1368" s="2" t="s">
        <v>439</v>
      </c>
      <c r="E1368" s="2" t="str">
        <f>VLOOKUP(Sales_Details2[[#This Row],[Customer_ID]],Customer_Details[#All],4,0)</f>
        <v>Mid-Adult</v>
      </c>
      <c r="F1368" s="2" t="str">
        <f>VLOOKUP(Sales_Details2[[#This Row],[Customer_ID]],Customer_Details[#All],5,0)</f>
        <v>Female</v>
      </c>
      <c r="G1368" s="2" t="str">
        <f>VLOOKUP(Sales_Details2[[#This Row],[Customer_ID]],Customer_Details[#All],9,0)</f>
        <v>Silver</v>
      </c>
      <c r="H1368" s="2" t="s">
        <v>1585</v>
      </c>
      <c r="I1368" s="2" t="str">
        <f>VLOOKUP(Sales_Details2[[#This Row],[Product_ID]],Product_details[[#All],[Product_ID]:[Cost]],3,0)</f>
        <v>Home</v>
      </c>
      <c r="J1368" s="2" t="str">
        <f>VLOOKUP(Sales_Details2[[#This Row],[Product_ID]],Product_details[[#All],[Product_ID]:[Cost]],4,0)</f>
        <v>Decor</v>
      </c>
      <c r="K1368" s="2" t="s">
        <v>1787</v>
      </c>
      <c r="L1368" s="2" t="str">
        <f>_xlfn.XLOOKUP(Sales_Details2[[#This Row],[Store_ID]],Table2[Store_ID],Table2[Region],"Region not found")</f>
        <v>West</v>
      </c>
      <c r="M1368" s="25">
        <v>2</v>
      </c>
      <c r="N1368" s="36">
        <v>270.66000000000003</v>
      </c>
      <c r="O1368" s="29">
        <v>0.1</v>
      </c>
      <c r="P1368" s="2" t="s">
        <v>1812</v>
      </c>
      <c r="Q1368" s="36">
        <v>487.18799999999999</v>
      </c>
    </row>
    <row r="1369" spans="1:17" x14ac:dyDescent="0.3">
      <c r="A1369" s="2" t="s">
        <v>3176</v>
      </c>
      <c r="B1369" s="14">
        <v>45914</v>
      </c>
      <c r="C1369" s="2">
        <f>YEAR(Sales_Details2[[#This Row],[Order_Date]])</f>
        <v>2025</v>
      </c>
      <c r="D1369" s="2" t="s">
        <v>936</v>
      </c>
      <c r="E1369" s="2" t="str">
        <f>VLOOKUP(Sales_Details2[[#This Row],[Customer_ID]],Customer_Details[#All],4,0)</f>
        <v>Mid-Adult</v>
      </c>
      <c r="F1369" s="2" t="str">
        <f>VLOOKUP(Sales_Details2[[#This Row],[Customer_ID]],Customer_Details[#All],5,0)</f>
        <v>Female</v>
      </c>
      <c r="G1369" s="2" t="str">
        <f>VLOOKUP(Sales_Details2[[#This Row],[Customer_ID]],Customer_Details[#All],9,0)</f>
        <v>Platinum</v>
      </c>
      <c r="H1369" s="2" t="s">
        <v>1577</v>
      </c>
      <c r="I1369" s="2" t="str">
        <f>VLOOKUP(Sales_Details2[[#This Row],[Product_ID]],Product_details[[#All],[Product_ID]:[Cost]],3,0)</f>
        <v>Clothing</v>
      </c>
      <c r="J1369" s="2" t="str">
        <f>VLOOKUP(Sales_Details2[[#This Row],[Product_ID]],Product_details[[#All],[Product_ID]:[Cost]],4,0)</f>
        <v>Tops</v>
      </c>
      <c r="K1369" s="2" t="s">
        <v>1790</v>
      </c>
      <c r="L1369" s="2" t="str">
        <f>_xlfn.XLOOKUP(Sales_Details2[[#This Row],[Store_ID]],Table2[Store_ID],Table2[Region],"Region not found")</f>
        <v>North</v>
      </c>
      <c r="M1369" s="25">
        <v>3</v>
      </c>
      <c r="N1369" s="36">
        <v>373.35</v>
      </c>
      <c r="O1369" s="29">
        <v>0.2</v>
      </c>
      <c r="P1369" s="2" t="s">
        <v>1812</v>
      </c>
      <c r="Q1369" s="36">
        <v>896.04000000000019</v>
      </c>
    </row>
    <row r="1370" spans="1:17" x14ac:dyDescent="0.3">
      <c r="A1370" s="2" t="s">
        <v>3177</v>
      </c>
      <c r="B1370" s="14">
        <v>45432</v>
      </c>
      <c r="C1370" s="2">
        <f>YEAR(Sales_Details2[[#This Row],[Order_Date]])</f>
        <v>2024</v>
      </c>
      <c r="D1370" s="2" t="s">
        <v>143</v>
      </c>
      <c r="E1370" s="2" t="str">
        <f>VLOOKUP(Sales_Details2[[#This Row],[Customer_ID]],Customer_Details[#All],4,0)</f>
        <v>Adult</v>
      </c>
      <c r="F1370" s="2" t="str">
        <f>VLOOKUP(Sales_Details2[[#This Row],[Customer_ID]],Customer_Details[#All],5,0)</f>
        <v>Female</v>
      </c>
      <c r="G1370" s="2" t="str">
        <f>VLOOKUP(Sales_Details2[[#This Row],[Customer_ID]],Customer_Details[#All],9,0)</f>
        <v>Gold</v>
      </c>
      <c r="H1370" s="2" t="s">
        <v>1649</v>
      </c>
      <c r="I1370" s="2" t="str">
        <f>VLOOKUP(Sales_Details2[[#This Row],[Product_ID]],Product_details[[#All],[Product_ID]:[Cost]],3,0)</f>
        <v>Beauty</v>
      </c>
      <c r="J1370" s="2" t="str">
        <f>VLOOKUP(Sales_Details2[[#This Row],[Product_ID]],Product_details[[#All],[Product_ID]:[Cost]],4,0)</f>
        <v>Haircare</v>
      </c>
      <c r="K1370" s="2" t="s">
        <v>1775</v>
      </c>
      <c r="L1370" s="2" t="str">
        <f>_xlfn.XLOOKUP(Sales_Details2[[#This Row],[Store_ID]],Table2[Store_ID],Table2[Region],"Region not found")</f>
        <v>South</v>
      </c>
      <c r="M1370" s="25">
        <v>2</v>
      </c>
      <c r="N1370" s="36">
        <v>23.58</v>
      </c>
      <c r="O1370" s="29">
        <v>0.02</v>
      </c>
      <c r="P1370" s="2" t="s">
        <v>1809</v>
      </c>
      <c r="Q1370" s="36">
        <v>46.216799999999999</v>
      </c>
    </row>
    <row r="1371" spans="1:17" x14ac:dyDescent="0.3">
      <c r="A1371" s="2" t="s">
        <v>3178</v>
      </c>
      <c r="B1371" s="14">
        <v>45798</v>
      </c>
      <c r="C1371" s="2">
        <f>YEAR(Sales_Details2[[#This Row],[Order_Date]])</f>
        <v>2025</v>
      </c>
      <c r="D1371" s="2" t="s">
        <v>32</v>
      </c>
      <c r="E1371" s="2" t="str">
        <f>VLOOKUP(Sales_Details2[[#This Row],[Customer_ID]],Customer_Details[#All],4,0)</f>
        <v>Adult</v>
      </c>
      <c r="F1371" s="2" t="str">
        <f>VLOOKUP(Sales_Details2[[#This Row],[Customer_ID]],Customer_Details[#All],5,0)</f>
        <v>Male</v>
      </c>
      <c r="G1371" s="2" t="str">
        <f>VLOOKUP(Sales_Details2[[#This Row],[Customer_ID]],Customer_Details[#All],9,0)</f>
        <v>Bronze</v>
      </c>
      <c r="H1371" s="2" t="s">
        <v>1601</v>
      </c>
      <c r="I1371" s="2" t="str">
        <f>VLOOKUP(Sales_Details2[[#This Row],[Product_ID]],Product_details[[#All],[Product_ID]:[Cost]],3,0)</f>
        <v>Home</v>
      </c>
      <c r="J1371" s="2" t="str">
        <f>VLOOKUP(Sales_Details2[[#This Row],[Product_ID]],Product_details[[#All],[Product_ID]:[Cost]],4,0)</f>
        <v>Lighting</v>
      </c>
      <c r="K1371" s="2" t="s">
        <v>1762</v>
      </c>
      <c r="L1371" s="2" t="str">
        <f>_xlfn.XLOOKUP(Sales_Details2[[#This Row],[Store_ID]],Table2[Store_ID],Table2[Region],"Region not found")</f>
        <v>South</v>
      </c>
      <c r="M1371" s="25">
        <v>4</v>
      </c>
      <c r="N1371" s="36">
        <v>185.67</v>
      </c>
      <c r="O1371" s="29">
        <v>0.21</v>
      </c>
      <c r="P1371" s="2" t="s">
        <v>1809</v>
      </c>
      <c r="Q1371" s="36">
        <v>586.71719999999993</v>
      </c>
    </row>
    <row r="1372" spans="1:17" x14ac:dyDescent="0.3">
      <c r="A1372" s="2" t="s">
        <v>3179</v>
      </c>
      <c r="B1372" s="14">
        <v>45396</v>
      </c>
      <c r="C1372" s="2">
        <f>YEAR(Sales_Details2[[#This Row],[Order_Date]])</f>
        <v>2024</v>
      </c>
      <c r="D1372" s="2" t="s">
        <v>412</v>
      </c>
      <c r="E1372" s="2" t="str">
        <f>VLOOKUP(Sales_Details2[[#This Row],[Customer_ID]],Customer_Details[#All],4,0)</f>
        <v>Mid-Adult</v>
      </c>
      <c r="F1372" s="2" t="str">
        <f>VLOOKUP(Sales_Details2[[#This Row],[Customer_ID]],Customer_Details[#All],5,0)</f>
        <v>Female</v>
      </c>
      <c r="G1372" s="2" t="str">
        <f>VLOOKUP(Sales_Details2[[#This Row],[Customer_ID]],Customer_Details[#All],9,0)</f>
        <v>Platinum</v>
      </c>
      <c r="H1372" s="2" t="s">
        <v>1567</v>
      </c>
      <c r="I1372" s="2" t="str">
        <f>VLOOKUP(Sales_Details2[[#This Row],[Product_ID]],Product_details[[#All],[Product_ID]:[Cost]],3,0)</f>
        <v>Clothing</v>
      </c>
      <c r="J1372" s="2" t="str">
        <f>VLOOKUP(Sales_Details2[[#This Row],[Product_ID]],Product_details[[#All],[Product_ID]:[Cost]],4,0)</f>
        <v>Bottoms</v>
      </c>
      <c r="K1372" s="2" t="s">
        <v>1780</v>
      </c>
      <c r="L1372" s="2" t="str">
        <f>_xlfn.XLOOKUP(Sales_Details2[[#This Row],[Store_ID]],Table2[Store_ID],Table2[Region],"Region not found")</f>
        <v>East</v>
      </c>
      <c r="M1372" s="25">
        <v>3</v>
      </c>
      <c r="N1372" s="36">
        <v>928.74</v>
      </c>
      <c r="O1372" s="29">
        <v>0.27</v>
      </c>
      <c r="P1372" s="2" t="s">
        <v>1809</v>
      </c>
      <c r="Q1372" s="36">
        <v>2033.9405999999999</v>
      </c>
    </row>
    <row r="1373" spans="1:17" x14ac:dyDescent="0.3">
      <c r="A1373" s="2" t="s">
        <v>3180</v>
      </c>
      <c r="B1373" s="14">
        <v>45235</v>
      </c>
      <c r="C1373" s="2">
        <f>YEAR(Sales_Details2[[#This Row],[Order_Date]])</f>
        <v>2023</v>
      </c>
      <c r="D1373" s="2" t="s">
        <v>121</v>
      </c>
      <c r="E1373" s="2" t="str">
        <f>VLOOKUP(Sales_Details2[[#This Row],[Customer_ID]],Customer_Details[#All],4,0)</f>
        <v>Senior</v>
      </c>
      <c r="F1373" s="2" t="str">
        <f>VLOOKUP(Sales_Details2[[#This Row],[Customer_ID]],Customer_Details[#All],5,0)</f>
        <v>Female</v>
      </c>
      <c r="G1373" s="2" t="str">
        <f>VLOOKUP(Sales_Details2[[#This Row],[Customer_ID]],Customer_Details[#All],9,0)</f>
        <v>Silver</v>
      </c>
      <c r="H1373" s="2" t="s">
        <v>1699</v>
      </c>
      <c r="I1373" s="2" t="str">
        <f>VLOOKUP(Sales_Details2[[#This Row],[Product_ID]],Product_details[[#All],[Product_ID]:[Cost]],3,0)</f>
        <v>Home</v>
      </c>
      <c r="J1373" s="2" t="str">
        <f>VLOOKUP(Sales_Details2[[#This Row],[Product_ID]],Product_details[[#All],[Product_ID]:[Cost]],4,0)</f>
        <v>Furniture</v>
      </c>
      <c r="K1373" s="2" t="s">
        <v>1756</v>
      </c>
      <c r="L1373" s="2" t="str">
        <f>_xlfn.XLOOKUP(Sales_Details2[[#This Row],[Store_ID]],Table2[Store_ID],Table2[Region],"Region not found")</f>
        <v>North</v>
      </c>
      <c r="M1373" s="25">
        <v>3</v>
      </c>
      <c r="N1373" s="36">
        <v>923.38</v>
      </c>
      <c r="O1373" s="29">
        <v>7.0000000000000007E-2</v>
      </c>
      <c r="P1373" s="2" t="s">
        <v>1812</v>
      </c>
      <c r="Q1373" s="36">
        <v>2576.2302</v>
      </c>
    </row>
    <row r="1374" spans="1:17" x14ac:dyDescent="0.3">
      <c r="A1374" s="2" t="s">
        <v>3181</v>
      </c>
      <c r="B1374" s="14">
        <v>45499</v>
      </c>
      <c r="C1374" s="2">
        <f>YEAR(Sales_Details2[[#This Row],[Order_Date]])</f>
        <v>2024</v>
      </c>
      <c r="D1374" s="2" t="s">
        <v>1409</v>
      </c>
      <c r="E1374" s="2" t="str">
        <f>VLOOKUP(Sales_Details2[[#This Row],[Customer_ID]],Customer_Details[#All],4,0)</f>
        <v>Mid-Adult</v>
      </c>
      <c r="F1374" s="2" t="str">
        <f>VLOOKUP(Sales_Details2[[#This Row],[Customer_ID]],Customer_Details[#All],5,0)</f>
        <v>Female</v>
      </c>
      <c r="G1374" s="2" t="str">
        <f>VLOOKUP(Sales_Details2[[#This Row],[Customer_ID]],Customer_Details[#All],9,0)</f>
        <v>Silver</v>
      </c>
      <c r="H1374" s="2" t="s">
        <v>1536</v>
      </c>
      <c r="I1374" s="2" t="str">
        <f>VLOOKUP(Sales_Details2[[#This Row],[Product_ID]],Product_details[[#All],[Product_ID]:[Cost]],3,0)</f>
        <v>Clothing</v>
      </c>
      <c r="J1374" s="2" t="str">
        <f>VLOOKUP(Sales_Details2[[#This Row],[Product_ID]],Product_details[[#All],[Product_ID]:[Cost]],4,0)</f>
        <v>Bottoms</v>
      </c>
      <c r="K1374" s="2" t="s">
        <v>1769</v>
      </c>
      <c r="L1374" s="2" t="str">
        <f>_xlfn.XLOOKUP(Sales_Details2[[#This Row],[Store_ID]],Table2[Store_ID],Table2[Region],"Region not found")</f>
        <v>South</v>
      </c>
      <c r="M1374" s="25">
        <v>2</v>
      </c>
      <c r="N1374" s="36">
        <v>409.26</v>
      </c>
      <c r="O1374" s="29">
        <v>0.1</v>
      </c>
      <c r="P1374" s="2" t="s">
        <v>1809</v>
      </c>
      <c r="Q1374" s="36">
        <v>736.66800000000001</v>
      </c>
    </row>
    <row r="1375" spans="1:17" x14ac:dyDescent="0.3">
      <c r="A1375" s="2" t="s">
        <v>3182</v>
      </c>
      <c r="B1375" s="14">
        <v>45272</v>
      </c>
      <c r="C1375" s="2">
        <f>YEAR(Sales_Details2[[#This Row],[Order_Date]])</f>
        <v>2023</v>
      </c>
      <c r="D1375" s="2" t="s">
        <v>805</v>
      </c>
      <c r="E1375" s="2" t="str">
        <f>VLOOKUP(Sales_Details2[[#This Row],[Customer_ID]],Customer_Details[#All],4,0)</f>
        <v>Mid-Adult</v>
      </c>
      <c r="F1375" s="2" t="str">
        <f>VLOOKUP(Sales_Details2[[#This Row],[Customer_ID]],Customer_Details[#All],5,0)</f>
        <v>Male</v>
      </c>
      <c r="G1375" s="2" t="str">
        <f>VLOOKUP(Sales_Details2[[#This Row],[Customer_ID]],Customer_Details[#All],9,0)</f>
        <v>Silver</v>
      </c>
      <c r="H1375" s="2" t="s">
        <v>1577</v>
      </c>
      <c r="I1375" s="2" t="str">
        <f>VLOOKUP(Sales_Details2[[#This Row],[Product_ID]],Product_details[[#All],[Product_ID]:[Cost]],3,0)</f>
        <v>Clothing</v>
      </c>
      <c r="J1375" s="2" t="str">
        <f>VLOOKUP(Sales_Details2[[#This Row],[Product_ID]],Product_details[[#All],[Product_ID]:[Cost]],4,0)</f>
        <v>Tops</v>
      </c>
      <c r="K1375" s="2" t="s">
        <v>1762</v>
      </c>
      <c r="L1375" s="2" t="str">
        <f>_xlfn.XLOOKUP(Sales_Details2[[#This Row],[Store_ID]],Table2[Store_ID],Table2[Region],"Region not found")</f>
        <v>South</v>
      </c>
      <c r="M1375" s="25">
        <v>2</v>
      </c>
      <c r="N1375" s="36">
        <v>608.46</v>
      </c>
      <c r="O1375" s="29">
        <v>0.16</v>
      </c>
      <c r="P1375" s="2" t="s">
        <v>1807</v>
      </c>
      <c r="Q1375" s="36">
        <v>1022.2128</v>
      </c>
    </row>
    <row r="1376" spans="1:17" x14ac:dyDescent="0.3">
      <c r="A1376" s="2" t="s">
        <v>3183</v>
      </c>
      <c r="B1376" s="14">
        <v>45785</v>
      </c>
      <c r="C1376" s="2">
        <f>YEAR(Sales_Details2[[#This Row],[Order_Date]])</f>
        <v>2025</v>
      </c>
      <c r="D1376" s="2" t="s">
        <v>684</v>
      </c>
      <c r="E1376" s="2" t="str">
        <f>VLOOKUP(Sales_Details2[[#This Row],[Customer_ID]],Customer_Details[#All],4,0)</f>
        <v>Senior</v>
      </c>
      <c r="F1376" s="2" t="str">
        <f>VLOOKUP(Sales_Details2[[#This Row],[Customer_ID]],Customer_Details[#All],5,0)</f>
        <v>Female</v>
      </c>
      <c r="G1376" s="2" t="str">
        <f>VLOOKUP(Sales_Details2[[#This Row],[Customer_ID]],Customer_Details[#All],9,0)</f>
        <v>Platinum</v>
      </c>
      <c r="H1376" s="2" t="s">
        <v>1615</v>
      </c>
      <c r="I1376" s="2" t="str">
        <f>VLOOKUP(Sales_Details2[[#This Row],[Product_ID]],Product_details[[#All],[Product_ID]:[Cost]],3,0)</f>
        <v>Electronics</v>
      </c>
      <c r="J1376" s="2" t="str">
        <f>VLOOKUP(Sales_Details2[[#This Row],[Product_ID]],Product_details[[#All],[Product_ID]:[Cost]],4,0)</f>
        <v>Accessories</v>
      </c>
      <c r="K1376" s="2" t="s">
        <v>1796</v>
      </c>
      <c r="L1376" s="2" t="str">
        <f>_xlfn.XLOOKUP(Sales_Details2[[#This Row],[Store_ID]],Table2[Store_ID],Table2[Region],"Region not found")</f>
        <v>East</v>
      </c>
      <c r="M1376" s="25">
        <v>4</v>
      </c>
      <c r="N1376" s="36">
        <v>150.47999999999999</v>
      </c>
      <c r="O1376" s="29">
        <v>0.09</v>
      </c>
      <c r="P1376" s="2" t="s">
        <v>1807</v>
      </c>
      <c r="Q1376" s="36">
        <v>547.74720000000002</v>
      </c>
    </row>
    <row r="1377" spans="1:17" x14ac:dyDescent="0.3">
      <c r="A1377" s="2" t="s">
        <v>3184</v>
      </c>
      <c r="B1377" s="14">
        <v>45534</v>
      </c>
      <c r="C1377" s="2">
        <f>YEAR(Sales_Details2[[#This Row],[Order_Date]])</f>
        <v>2024</v>
      </c>
      <c r="D1377" s="2" t="s">
        <v>779</v>
      </c>
      <c r="E1377" s="2" t="str">
        <f>VLOOKUP(Sales_Details2[[#This Row],[Customer_ID]],Customer_Details[#All],4,0)</f>
        <v>Senior</v>
      </c>
      <c r="F1377" s="2" t="str">
        <f>VLOOKUP(Sales_Details2[[#This Row],[Customer_ID]],Customer_Details[#All],5,0)</f>
        <v>Female</v>
      </c>
      <c r="G1377" s="2" t="str">
        <f>VLOOKUP(Sales_Details2[[#This Row],[Customer_ID]],Customer_Details[#All],9,0)</f>
        <v>Platinum</v>
      </c>
      <c r="H1377" s="2" t="s">
        <v>1667</v>
      </c>
      <c r="I1377" s="2" t="str">
        <f>VLOOKUP(Sales_Details2[[#This Row],[Product_ID]],Product_details[[#All],[Product_ID]:[Cost]],3,0)</f>
        <v>Home</v>
      </c>
      <c r="J1377" s="2" t="str">
        <f>VLOOKUP(Sales_Details2[[#This Row],[Product_ID]],Product_details[[#All],[Product_ID]:[Cost]],4,0)</f>
        <v>Furniture</v>
      </c>
      <c r="K1377" s="2" t="s">
        <v>1782</v>
      </c>
      <c r="L1377" s="2" t="str">
        <f>_xlfn.XLOOKUP(Sales_Details2[[#This Row],[Store_ID]],Table2[Store_ID],Table2[Region],"Region not found")</f>
        <v>South</v>
      </c>
      <c r="M1377" s="25">
        <v>4</v>
      </c>
      <c r="N1377" s="36">
        <v>207.41</v>
      </c>
      <c r="O1377" s="29">
        <v>0.02</v>
      </c>
      <c r="P1377" s="2" t="s">
        <v>1807</v>
      </c>
      <c r="Q1377" s="36">
        <v>813.04719999999998</v>
      </c>
    </row>
    <row r="1378" spans="1:17" x14ac:dyDescent="0.3">
      <c r="A1378" s="2" t="s">
        <v>3185</v>
      </c>
      <c r="B1378" s="14">
        <v>45803</v>
      </c>
      <c r="C1378" s="2">
        <f>YEAR(Sales_Details2[[#This Row],[Order_Date]])</f>
        <v>2025</v>
      </c>
      <c r="D1378" s="2" t="s">
        <v>565</v>
      </c>
      <c r="E1378" s="2" t="str">
        <f>VLOOKUP(Sales_Details2[[#This Row],[Customer_ID]],Customer_Details[#All],4,0)</f>
        <v>Mid-Adult</v>
      </c>
      <c r="F1378" s="2" t="str">
        <f>VLOOKUP(Sales_Details2[[#This Row],[Customer_ID]],Customer_Details[#All],5,0)</f>
        <v>Female</v>
      </c>
      <c r="G1378" s="2" t="str">
        <f>VLOOKUP(Sales_Details2[[#This Row],[Customer_ID]],Customer_Details[#All],9,0)</f>
        <v>Bronze</v>
      </c>
      <c r="H1378" s="2" t="s">
        <v>1553</v>
      </c>
      <c r="I1378" s="2" t="str">
        <f>VLOOKUP(Sales_Details2[[#This Row],[Product_ID]],Product_details[[#All],[Product_ID]:[Cost]],3,0)</f>
        <v>Electronics</v>
      </c>
      <c r="J1378" s="2" t="str">
        <f>VLOOKUP(Sales_Details2[[#This Row],[Product_ID]],Product_details[[#All],[Product_ID]:[Cost]],4,0)</f>
        <v>Accessories</v>
      </c>
      <c r="K1378" s="2" t="s">
        <v>1759</v>
      </c>
      <c r="L1378" s="2" t="str">
        <f>_xlfn.XLOOKUP(Sales_Details2[[#This Row],[Store_ID]],Table2[Store_ID],Table2[Region],"Region not found")</f>
        <v>East</v>
      </c>
      <c r="M1378" s="25">
        <v>1</v>
      </c>
      <c r="N1378" s="36">
        <v>56.59</v>
      </c>
      <c r="O1378" s="29">
        <v>0.15</v>
      </c>
      <c r="P1378" s="2" t="s">
        <v>1809</v>
      </c>
      <c r="Q1378" s="36">
        <v>48.101500000000001</v>
      </c>
    </row>
    <row r="1379" spans="1:17" x14ac:dyDescent="0.3">
      <c r="A1379" s="2" t="s">
        <v>3186</v>
      </c>
      <c r="B1379" s="14">
        <v>45667</v>
      </c>
      <c r="C1379" s="2">
        <f>YEAR(Sales_Details2[[#This Row],[Order_Date]])</f>
        <v>2025</v>
      </c>
      <c r="D1379" s="2" t="s">
        <v>1246</v>
      </c>
      <c r="E1379" s="2" t="str">
        <f>VLOOKUP(Sales_Details2[[#This Row],[Customer_ID]],Customer_Details[#All],4,0)</f>
        <v>Adult</v>
      </c>
      <c r="F1379" s="2" t="str">
        <f>VLOOKUP(Sales_Details2[[#This Row],[Customer_ID]],Customer_Details[#All],5,0)</f>
        <v>Female</v>
      </c>
      <c r="G1379" s="2" t="str">
        <f>VLOOKUP(Sales_Details2[[#This Row],[Customer_ID]],Customer_Details[#All],9,0)</f>
        <v>Gold</v>
      </c>
      <c r="H1379" s="2" t="s">
        <v>1609</v>
      </c>
      <c r="I1379" s="2" t="str">
        <f>VLOOKUP(Sales_Details2[[#This Row],[Product_ID]],Product_details[[#All],[Product_ID]:[Cost]],3,0)</f>
        <v>Electronics</v>
      </c>
      <c r="J1379" s="2" t="str">
        <f>VLOOKUP(Sales_Details2[[#This Row],[Product_ID]],Product_details[[#All],[Product_ID]:[Cost]],4,0)</f>
        <v>Mobile</v>
      </c>
      <c r="K1379" s="2" t="s">
        <v>1752</v>
      </c>
      <c r="L1379" s="2" t="str">
        <f>_xlfn.XLOOKUP(Sales_Details2[[#This Row],[Store_ID]],Table2[Store_ID],Table2[Region],"Region not found")</f>
        <v>South</v>
      </c>
      <c r="M1379" s="25">
        <v>4</v>
      </c>
      <c r="N1379" s="36">
        <v>995.4</v>
      </c>
      <c r="O1379" s="29">
        <v>0.27</v>
      </c>
      <c r="P1379" s="2" t="s">
        <v>1807</v>
      </c>
      <c r="Q1379" s="36">
        <v>2906.5680000000002</v>
      </c>
    </row>
    <row r="1380" spans="1:17" x14ac:dyDescent="0.3">
      <c r="A1380" s="2" t="s">
        <v>3187</v>
      </c>
      <c r="B1380" s="14">
        <v>45656</v>
      </c>
      <c r="C1380" s="2">
        <f>YEAR(Sales_Details2[[#This Row],[Order_Date]])</f>
        <v>2024</v>
      </c>
      <c r="D1380" s="2" t="s">
        <v>235</v>
      </c>
      <c r="E1380" s="2" t="str">
        <f>VLOOKUP(Sales_Details2[[#This Row],[Customer_ID]],Customer_Details[#All],4,0)</f>
        <v>Mid-Adult</v>
      </c>
      <c r="F1380" s="2" t="str">
        <f>VLOOKUP(Sales_Details2[[#This Row],[Customer_ID]],Customer_Details[#All],5,0)</f>
        <v>Male</v>
      </c>
      <c r="G1380" s="2" t="str">
        <f>VLOOKUP(Sales_Details2[[#This Row],[Customer_ID]],Customer_Details[#All],9,0)</f>
        <v>Gold</v>
      </c>
      <c r="H1380" s="2" t="s">
        <v>1625</v>
      </c>
      <c r="I1380" s="2" t="str">
        <f>VLOOKUP(Sales_Details2[[#This Row],[Product_ID]],Product_details[[#All],[Product_ID]:[Cost]],3,0)</f>
        <v>Beauty</v>
      </c>
      <c r="J1380" s="2" t="str">
        <f>VLOOKUP(Sales_Details2[[#This Row],[Product_ID]],Product_details[[#All],[Product_ID]:[Cost]],4,0)</f>
        <v>Makeup</v>
      </c>
      <c r="K1380" s="2" t="s">
        <v>1777</v>
      </c>
      <c r="L1380" s="2" t="str">
        <f>_xlfn.XLOOKUP(Sales_Details2[[#This Row],[Store_ID]],Table2[Store_ID],Table2[Region],"Region not found")</f>
        <v>North</v>
      </c>
      <c r="M1380" s="25">
        <v>2</v>
      </c>
      <c r="N1380" s="36">
        <v>591.33000000000004</v>
      </c>
      <c r="O1380" s="29">
        <v>0.24</v>
      </c>
      <c r="P1380" s="2" t="s">
        <v>1807</v>
      </c>
      <c r="Q1380" s="36">
        <v>898.8216000000001</v>
      </c>
    </row>
    <row r="1381" spans="1:17" x14ac:dyDescent="0.3">
      <c r="A1381" s="2" t="s">
        <v>3188</v>
      </c>
      <c r="B1381" s="14">
        <v>45869</v>
      </c>
      <c r="C1381" s="2">
        <f>YEAR(Sales_Details2[[#This Row],[Order_Date]])</f>
        <v>2025</v>
      </c>
      <c r="D1381" s="2" t="s">
        <v>1168</v>
      </c>
      <c r="E1381" s="2" t="str">
        <f>VLOOKUP(Sales_Details2[[#This Row],[Customer_ID]],Customer_Details[#All],4,0)</f>
        <v>Mid-Adult</v>
      </c>
      <c r="F1381" s="2" t="str">
        <f>VLOOKUP(Sales_Details2[[#This Row],[Customer_ID]],Customer_Details[#All],5,0)</f>
        <v>Female</v>
      </c>
      <c r="G1381" s="2" t="str">
        <f>VLOOKUP(Sales_Details2[[#This Row],[Customer_ID]],Customer_Details[#All],9,0)</f>
        <v>Bronze</v>
      </c>
      <c r="H1381" s="2" t="s">
        <v>1627</v>
      </c>
      <c r="I1381" s="2" t="str">
        <f>VLOOKUP(Sales_Details2[[#This Row],[Product_ID]],Product_details[[#All],[Product_ID]:[Cost]],3,0)</f>
        <v>Electronics</v>
      </c>
      <c r="J1381" s="2" t="str">
        <f>VLOOKUP(Sales_Details2[[#This Row],[Product_ID]],Product_details[[#All],[Product_ID]:[Cost]],4,0)</f>
        <v>Accessories</v>
      </c>
      <c r="K1381" s="2" t="s">
        <v>1790</v>
      </c>
      <c r="L1381" s="2" t="str">
        <f>_xlfn.XLOOKUP(Sales_Details2[[#This Row],[Store_ID]],Table2[Store_ID],Table2[Region],"Region not found")</f>
        <v>North</v>
      </c>
      <c r="M1381" s="25">
        <v>2</v>
      </c>
      <c r="N1381" s="36">
        <v>204.89</v>
      </c>
      <c r="O1381" s="29">
        <v>0.24</v>
      </c>
      <c r="P1381" s="2" t="s">
        <v>1807</v>
      </c>
      <c r="Q1381" s="36">
        <v>311.43279999999999</v>
      </c>
    </row>
    <row r="1382" spans="1:17" x14ac:dyDescent="0.3">
      <c r="A1382" s="2" t="s">
        <v>3189</v>
      </c>
      <c r="B1382" s="14">
        <v>45549</v>
      </c>
      <c r="C1382" s="2">
        <f>YEAR(Sales_Details2[[#This Row],[Order_Date]])</f>
        <v>2024</v>
      </c>
      <c r="D1382" s="2" t="s">
        <v>320</v>
      </c>
      <c r="E1382" s="2" t="str">
        <f>VLOOKUP(Sales_Details2[[#This Row],[Customer_ID]],Customer_Details[#All],4,0)</f>
        <v>Senior</v>
      </c>
      <c r="F1382" s="2" t="str">
        <f>VLOOKUP(Sales_Details2[[#This Row],[Customer_ID]],Customer_Details[#All],5,0)</f>
        <v>Female</v>
      </c>
      <c r="G1382" s="2" t="str">
        <f>VLOOKUP(Sales_Details2[[#This Row],[Customer_ID]],Customer_Details[#All],9,0)</f>
        <v>Platinum</v>
      </c>
      <c r="H1382" s="2" t="s">
        <v>1661</v>
      </c>
      <c r="I1382" s="2" t="str">
        <f>VLOOKUP(Sales_Details2[[#This Row],[Product_ID]],Product_details[[#All],[Product_ID]:[Cost]],3,0)</f>
        <v>Sports</v>
      </c>
      <c r="J1382" s="2" t="str">
        <f>VLOOKUP(Sales_Details2[[#This Row],[Product_ID]],Product_details[[#All],[Product_ID]:[Cost]],4,0)</f>
        <v>Fitness</v>
      </c>
      <c r="K1382" s="2" t="s">
        <v>1782</v>
      </c>
      <c r="L1382" s="2" t="str">
        <f>_xlfn.XLOOKUP(Sales_Details2[[#This Row],[Store_ID]],Table2[Store_ID],Table2[Region],"Region not found")</f>
        <v>South</v>
      </c>
      <c r="M1382" s="25">
        <v>2</v>
      </c>
      <c r="N1382" s="36">
        <v>546.41</v>
      </c>
      <c r="O1382" s="29">
        <v>0.08</v>
      </c>
      <c r="P1382" s="2" t="s">
        <v>1812</v>
      </c>
      <c r="Q1382" s="36">
        <v>1005.3944</v>
      </c>
    </row>
    <row r="1383" spans="1:17" x14ac:dyDescent="0.3">
      <c r="A1383" s="2" t="s">
        <v>3190</v>
      </c>
      <c r="B1383" s="14">
        <v>45409</v>
      </c>
      <c r="C1383" s="2">
        <f>YEAR(Sales_Details2[[#This Row],[Order_Date]])</f>
        <v>2024</v>
      </c>
      <c r="D1383" s="2" t="s">
        <v>208</v>
      </c>
      <c r="E1383" s="2" t="str">
        <f>VLOOKUP(Sales_Details2[[#This Row],[Customer_ID]],Customer_Details[#All],4,0)</f>
        <v>Mid-Adult</v>
      </c>
      <c r="F1383" s="2" t="str">
        <f>VLOOKUP(Sales_Details2[[#This Row],[Customer_ID]],Customer_Details[#All],5,0)</f>
        <v>Female</v>
      </c>
      <c r="G1383" s="2" t="str">
        <f>VLOOKUP(Sales_Details2[[#This Row],[Customer_ID]],Customer_Details[#All],9,0)</f>
        <v>Gold</v>
      </c>
      <c r="H1383" s="2" t="s">
        <v>1567</v>
      </c>
      <c r="I1383" s="2" t="str">
        <f>VLOOKUP(Sales_Details2[[#This Row],[Product_ID]],Product_details[[#All],[Product_ID]:[Cost]],3,0)</f>
        <v>Clothing</v>
      </c>
      <c r="J1383" s="2" t="str">
        <f>VLOOKUP(Sales_Details2[[#This Row],[Product_ID]],Product_details[[#All],[Product_ID]:[Cost]],4,0)</f>
        <v>Bottoms</v>
      </c>
      <c r="K1383" s="2" t="s">
        <v>1777</v>
      </c>
      <c r="L1383" s="2" t="str">
        <f>_xlfn.XLOOKUP(Sales_Details2[[#This Row],[Store_ID]],Table2[Store_ID],Table2[Region],"Region not found")</f>
        <v>North</v>
      </c>
      <c r="M1383" s="25">
        <v>4</v>
      </c>
      <c r="N1383" s="36">
        <v>455.49</v>
      </c>
      <c r="O1383" s="29">
        <v>0.17</v>
      </c>
      <c r="P1383" s="2" t="s">
        <v>1807</v>
      </c>
      <c r="Q1383" s="36">
        <v>1512.2267999999999</v>
      </c>
    </row>
    <row r="1384" spans="1:17" x14ac:dyDescent="0.3">
      <c r="A1384" s="2" t="s">
        <v>3191</v>
      </c>
      <c r="B1384" s="14">
        <v>45374</v>
      </c>
      <c r="C1384" s="2">
        <f>YEAR(Sales_Details2[[#This Row],[Order_Date]])</f>
        <v>2024</v>
      </c>
      <c r="D1384" s="2" t="s">
        <v>1295</v>
      </c>
      <c r="E1384" s="2" t="str">
        <f>VLOOKUP(Sales_Details2[[#This Row],[Customer_ID]],Customer_Details[#All],4,0)</f>
        <v>Mid-Adult</v>
      </c>
      <c r="F1384" s="2" t="str">
        <f>VLOOKUP(Sales_Details2[[#This Row],[Customer_ID]],Customer_Details[#All],5,0)</f>
        <v>Female</v>
      </c>
      <c r="G1384" s="2" t="str">
        <f>VLOOKUP(Sales_Details2[[#This Row],[Customer_ID]],Customer_Details[#All],9,0)</f>
        <v>Platinum</v>
      </c>
      <c r="H1384" s="2" t="s">
        <v>1551</v>
      </c>
      <c r="I1384" s="2" t="str">
        <f>VLOOKUP(Sales_Details2[[#This Row],[Product_ID]],Product_details[[#All],[Product_ID]:[Cost]],3,0)</f>
        <v>Home</v>
      </c>
      <c r="J1384" s="2" t="str">
        <f>VLOOKUP(Sales_Details2[[#This Row],[Product_ID]],Product_details[[#All],[Product_ID]:[Cost]],4,0)</f>
        <v>Kitchen</v>
      </c>
      <c r="K1384" s="2" t="s">
        <v>1787</v>
      </c>
      <c r="L1384" s="2" t="str">
        <f>_xlfn.XLOOKUP(Sales_Details2[[#This Row],[Store_ID]],Table2[Store_ID],Table2[Region],"Region not found")</f>
        <v>West</v>
      </c>
      <c r="M1384" s="25">
        <v>2</v>
      </c>
      <c r="N1384" s="36">
        <v>700.27</v>
      </c>
      <c r="O1384" s="29">
        <v>0.16</v>
      </c>
      <c r="P1384" s="2" t="s">
        <v>1807</v>
      </c>
      <c r="Q1384" s="36">
        <v>1176.4536000000001</v>
      </c>
    </row>
    <row r="1385" spans="1:17" x14ac:dyDescent="0.3">
      <c r="A1385" s="2" t="s">
        <v>3192</v>
      </c>
      <c r="B1385" s="14">
        <v>45282</v>
      </c>
      <c r="C1385" s="2">
        <f>YEAR(Sales_Details2[[#This Row],[Order_Date]])</f>
        <v>2023</v>
      </c>
      <c r="D1385" s="2" t="s">
        <v>1072</v>
      </c>
      <c r="E1385" s="2" t="str">
        <f>VLOOKUP(Sales_Details2[[#This Row],[Customer_ID]],Customer_Details[#All],4,0)</f>
        <v>Mid-Adult</v>
      </c>
      <c r="F1385" s="2" t="str">
        <f>VLOOKUP(Sales_Details2[[#This Row],[Customer_ID]],Customer_Details[#All],5,0)</f>
        <v>Male</v>
      </c>
      <c r="G1385" s="2" t="str">
        <f>VLOOKUP(Sales_Details2[[#This Row],[Customer_ID]],Customer_Details[#All],9,0)</f>
        <v>Bronze</v>
      </c>
      <c r="H1385" s="2" t="s">
        <v>1695</v>
      </c>
      <c r="I1385" s="2" t="str">
        <f>VLOOKUP(Sales_Details2[[#This Row],[Product_ID]],Product_details[[#All],[Product_ID]:[Cost]],3,0)</f>
        <v>Sports</v>
      </c>
      <c r="J1385" s="2" t="str">
        <f>VLOOKUP(Sales_Details2[[#This Row],[Product_ID]],Product_details[[#All],[Product_ID]:[Cost]],4,0)</f>
        <v>Fitness</v>
      </c>
      <c r="K1385" s="2" t="s">
        <v>1790</v>
      </c>
      <c r="L1385" s="2" t="str">
        <f>_xlfn.XLOOKUP(Sales_Details2[[#This Row],[Store_ID]],Table2[Store_ID],Table2[Region],"Region not found")</f>
        <v>North</v>
      </c>
      <c r="M1385" s="25">
        <v>2</v>
      </c>
      <c r="N1385" s="36">
        <v>160.21</v>
      </c>
      <c r="O1385" s="29">
        <v>0.09</v>
      </c>
      <c r="P1385" s="2" t="s">
        <v>1807</v>
      </c>
      <c r="Q1385" s="36">
        <v>291.5822</v>
      </c>
    </row>
    <row r="1386" spans="1:17" x14ac:dyDescent="0.3">
      <c r="A1386" s="2" t="s">
        <v>3193</v>
      </c>
      <c r="B1386" s="14">
        <v>45742</v>
      </c>
      <c r="C1386" s="2">
        <f>YEAR(Sales_Details2[[#This Row],[Order_Date]])</f>
        <v>2025</v>
      </c>
      <c r="D1386" s="2" t="s">
        <v>127</v>
      </c>
      <c r="E1386" s="2" t="str">
        <f>VLOOKUP(Sales_Details2[[#This Row],[Customer_ID]],Customer_Details[#All],4,0)</f>
        <v>Mid-Adult</v>
      </c>
      <c r="F1386" s="2" t="str">
        <f>VLOOKUP(Sales_Details2[[#This Row],[Customer_ID]],Customer_Details[#All],5,0)</f>
        <v>Male</v>
      </c>
      <c r="G1386" s="2" t="str">
        <f>VLOOKUP(Sales_Details2[[#This Row],[Customer_ID]],Customer_Details[#All],9,0)</f>
        <v>Silver</v>
      </c>
      <c r="H1386" s="2" t="s">
        <v>1625</v>
      </c>
      <c r="I1386" s="2" t="str">
        <f>VLOOKUP(Sales_Details2[[#This Row],[Product_ID]],Product_details[[#All],[Product_ID]:[Cost]],3,0)</f>
        <v>Beauty</v>
      </c>
      <c r="J1386" s="2" t="str">
        <f>VLOOKUP(Sales_Details2[[#This Row],[Product_ID]],Product_details[[#All],[Product_ID]:[Cost]],4,0)</f>
        <v>Makeup</v>
      </c>
      <c r="K1386" s="2" t="s">
        <v>1775</v>
      </c>
      <c r="L1386" s="2" t="str">
        <f>_xlfn.XLOOKUP(Sales_Details2[[#This Row],[Store_ID]],Table2[Store_ID],Table2[Region],"Region not found")</f>
        <v>South</v>
      </c>
      <c r="M1386" s="25">
        <v>1</v>
      </c>
      <c r="N1386" s="36">
        <v>713.63</v>
      </c>
      <c r="O1386" s="29">
        <v>0.28000000000000003</v>
      </c>
      <c r="P1386" s="2" t="s">
        <v>1812</v>
      </c>
      <c r="Q1386" s="36">
        <v>513.81359999999995</v>
      </c>
    </row>
    <row r="1387" spans="1:17" x14ac:dyDescent="0.3">
      <c r="A1387" s="2" t="s">
        <v>3194</v>
      </c>
      <c r="B1387" s="14">
        <v>45447</v>
      </c>
      <c r="C1387" s="2">
        <f>YEAR(Sales_Details2[[#This Row],[Order_Date]])</f>
        <v>2024</v>
      </c>
      <c r="D1387" s="2" t="s">
        <v>726</v>
      </c>
      <c r="E1387" s="2" t="str">
        <f>VLOOKUP(Sales_Details2[[#This Row],[Customer_ID]],Customer_Details[#All],4,0)</f>
        <v>Senior</v>
      </c>
      <c r="F1387" s="2" t="str">
        <f>VLOOKUP(Sales_Details2[[#This Row],[Customer_ID]],Customer_Details[#All],5,0)</f>
        <v>Female</v>
      </c>
      <c r="G1387" s="2" t="str">
        <f>VLOOKUP(Sales_Details2[[#This Row],[Customer_ID]],Customer_Details[#All],9,0)</f>
        <v>Gold</v>
      </c>
      <c r="H1387" s="2" t="s">
        <v>1717</v>
      </c>
      <c r="I1387" s="2" t="str">
        <f>VLOOKUP(Sales_Details2[[#This Row],[Product_ID]],Product_details[[#All],[Product_ID]:[Cost]],3,0)</f>
        <v>Electronics</v>
      </c>
      <c r="J1387" s="2" t="str">
        <f>VLOOKUP(Sales_Details2[[#This Row],[Product_ID]],Product_details[[#All],[Product_ID]:[Cost]],4,0)</f>
        <v>Computer</v>
      </c>
      <c r="K1387" s="2" t="s">
        <v>1762</v>
      </c>
      <c r="L1387" s="2" t="str">
        <f>_xlfn.XLOOKUP(Sales_Details2[[#This Row],[Store_ID]],Table2[Store_ID],Table2[Region],"Region not found")</f>
        <v>South</v>
      </c>
      <c r="M1387" s="25">
        <v>2</v>
      </c>
      <c r="N1387" s="36">
        <v>224.69</v>
      </c>
      <c r="O1387" s="29">
        <v>0.2</v>
      </c>
      <c r="P1387" s="2" t="s">
        <v>1812</v>
      </c>
      <c r="Q1387" s="36">
        <v>359.50400000000002</v>
      </c>
    </row>
    <row r="1388" spans="1:17" x14ac:dyDescent="0.3">
      <c r="A1388" s="2" t="s">
        <v>3195</v>
      </c>
      <c r="B1388" s="14">
        <v>45733</v>
      </c>
      <c r="C1388" s="2">
        <f>YEAR(Sales_Details2[[#This Row],[Order_Date]])</f>
        <v>2025</v>
      </c>
      <c r="D1388" s="2" t="s">
        <v>1384</v>
      </c>
      <c r="E1388" s="2" t="str">
        <f>VLOOKUP(Sales_Details2[[#This Row],[Customer_ID]],Customer_Details[#All],4,0)</f>
        <v>Senior</v>
      </c>
      <c r="F1388" s="2" t="str">
        <f>VLOOKUP(Sales_Details2[[#This Row],[Customer_ID]],Customer_Details[#All],5,0)</f>
        <v>Female</v>
      </c>
      <c r="G1388" s="2" t="str">
        <f>VLOOKUP(Sales_Details2[[#This Row],[Customer_ID]],Customer_Details[#All],9,0)</f>
        <v>Platinum</v>
      </c>
      <c r="H1388" s="2" t="s">
        <v>1571</v>
      </c>
      <c r="I1388" s="2" t="str">
        <f>VLOOKUP(Sales_Details2[[#This Row],[Product_ID]],Product_details[[#All],[Product_ID]:[Cost]],3,0)</f>
        <v>Sports</v>
      </c>
      <c r="J1388" s="2" t="str">
        <f>VLOOKUP(Sales_Details2[[#This Row],[Product_ID]],Product_details[[#All],[Product_ID]:[Cost]],4,0)</f>
        <v>Accessories</v>
      </c>
      <c r="K1388" s="2" t="s">
        <v>1782</v>
      </c>
      <c r="L1388" s="2" t="str">
        <f>_xlfn.XLOOKUP(Sales_Details2[[#This Row],[Store_ID]],Table2[Store_ID],Table2[Region],"Region not found")</f>
        <v>South</v>
      </c>
      <c r="M1388" s="25">
        <v>2</v>
      </c>
      <c r="N1388" s="36">
        <v>740.57</v>
      </c>
      <c r="O1388" s="29">
        <v>0.06</v>
      </c>
      <c r="P1388" s="2" t="s">
        <v>1807</v>
      </c>
      <c r="Q1388" s="36">
        <v>1392.2716</v>
      </c>
    </row>
    <row r="1389" spans="1:17" x14ac:dyDescent="0.3">
      <c r="A1389" s="2" t="s">
        <v>3196</v>
      </c>
      <c r="B1389" s="14">
        <v>45373</v>
      </c>
      <c r="C1389" s="2">
        <f>YEAR(Sales_Details2[[#This Row],[Order_Date]])</f>
        <v>2024</v>
      </c>
      <c r="D1389" s="2" t="s">
        <v>476</v>
      </c>
      <c r="E1389" s="2" t="str">
        <f>VLOOKUP(Sales_Details2[[#This Row],[Customer_ID]],Customer_Details[#All],4,0)</f>
        <v>Mid-Adult</v>
      </c>
      <c r="F1389" s="2" t="str">
        <f>VLOOKUP(Sales_Details2[[#This Row],[Customer_ID]],Customer_Details[#All],5,0)</f>
        <v>Male</v>
      </c>
      <c r="G1389" s="2" t="str">
        <f>VLOOKUP(Sales_Details2[[#This Row],[Customer_ID]],Customer_Details[#All],9,0)</f>
        <v>Bronze</v>
      </c>
      <c r="H1389" s="2" t="s">
        <v>1553</v>
      </c>
      <c r="I1389" s="2" t="str">
        <f>VLOOKUP(Sales_Details2[[#This Row],[Product_ID]],Product_details[[#All],[Product_ID]:[Cost]],3,0)</f>
        <v>Electronics</v>
      </c>
      <c r="J1389" s="2" t="str">
        <f>VLOOKUP(Sales_Details2[[#This Row],[Product_ID]],Product_details[[#All],[Product_ID]:[Cost]],4,0)</f>
        <v>Accessories</v>
      </c>
      <c r="K1389" s="2" t="s">
        <v>1749</v>
      </c>
      <c r="L1389" s="2" t="str">
        <f>_xlfn.XLOOKUP(Sales_Details2[[#This Row],[Store_ID]],Table2[Store_ID],Table2[Region],"Region not found")</f>
        <v>North</v>
      </c>
      <c r="M1389" s="25">
        <v>3</v>
      </c>
      <c r="N1389" s="36">
        <v>250.14</v>
      </c>
      <c r="O1389" s="29">
        <v>0.23</v>
      </c>
      <c r="P1389" s="2" t="s">
        <v>1809</v>
      </c>
      <c r="Q1389" s="36">
        <v>577.82339999999999</v>
      </c>
    </row>
    <row r="1390" spans="1:17" x14ac:dyDescent="0.3">
      <c r="A1390" s="2" t="s">
        <v>3197</v>
      </c>
      <c r="B1390" s="14">
        <v>45655</v>
      </c>
      <c r="C1390" s="2">
        <f>YEAR(Sales_Details2[[#This Row],[Order_Date]])</f>
        <v>2024</v>
      </c>
      <c r="D1390" s="2" t="s">
        <v>89</v>
      </c>
      <c r="E1390" s="2" t="str">
        <f>VLOOKUP(Sales_Details2[[#This Row],[Customer_ID]],Customer_Details[#All],4,0)</f>
        <v>Senior</v>
      </c>
      <c r="F1390" s="2" t="str">
        <f>VLOOKUP(Sales_Details2[[#This Row],[Customer_ID]],Customer_Details[#All],5,0)</f>
        <v>Male</v>
      </c>
      <c r="G1390" s="2" t="str">
        <f>VLOOKUP(Sales_Details2[[#This Row],[Customer_ID]],Customer_Details[#All],9,0)</f>
        <v>Silver</v>
      </c>
      <c r="H1390" s="2" t="s">
        <v>1727</v>
      </c>
      <c r="I1390" s="2" t="str">
        <f>VLOOKUP(Sales_Details2[[#This Row],[Product_ID]],Product_details[[#All],[Product_ID]:[Cost]],3,0)</f>
        <v>Electronics</v>
      </c>
      <c r="J1390" s="2" t="str">
        <f>VLOOKUP(Sales_Details2[[#This Row],[Product_ID]],Product_details[[#All],[Product_ID]:[Cost]],4,0)</f>
        <v>Audio</v>
      </c>
      <c r="K1390" s="2" t="s">
        <v>1796</v>
      </c>
      <c r="L1390" s="2" t="str">
        <f>_xlfn.XLOOKUP(Sales_Details2[[#This Row],[Store_ID]],Table2[Store_ID],Table2[Region],"Region not found")</f>
        <v>East</v>
      </c>
      <c r="M1390" s="25">
        <v>3</v>
      </c>
      <c r="N1390" s="36">
        <v>34.97</v>
      </c>
      <c r="O1390" s="29">
        <v>0.01</v>
      </c>
      <c r="P1390" s="2" t="s">
        <v>1807</v>
      </c>
      <c r="Q1390" s="36">
        <v>103.8609</v>
      </c>
    </row>
    <row r="1391" spans="1:17" x14ac:dyDescent="0.3">
      <c r="A1391" s="2" t="s">
        <v>3198</v>
      </c>
      <c r="B1391" s="14">
        <v>45868</v>
      </c>
      <c r="C1391" s="2">
        <f>YEAR(Sales_Details2[[#This Row],[Order_Date]])</f>
        <v>2025</v>
      </c>
      <c r="D1391" s="2" t="s">
        <v>951</v>
      </c>
      <c r="E1391" s="2" t="str">
        <f>VLOOKUP(Sales_Details2[[#This Row],[Customer_ID]],Customer_Details[#All],4,0)</f>
        <v>Mid-Adult</v>
      </c>
      <c r="F1391" s="2" t="str">
        <f>VLOOKUP(Sales_Details2[[#This Row],[Customer_ID]],Customer_Details[#All],5,0)</f>
        <v>Male</v>
      </c>
      <c r="G1391" s="2" t="str">
        <f>VLOOKUP(Sales_Details2[[#This Row],[Customer_ID]],Customer_Details[#All],9,0)</f>
        <v>Silver</v>
      </c>
      <c r="H1391" s="2" t="s">
        <v>1615</v>
      </c>
      <c r="I1391" s="2" t="str">
        <f>VLOOKUP(Sales_Details2[[#This Row],[Product_ID]],Product_details[[#All],[Product_ID]:[Cost]],3,0)</f>
        <v>Electronics</v>
      </c>
      <c r="J1391" s="2" t="str">
        <f>VLOOKUP(Sales_Details2[[#This Row],[Product_ID]],Product_details[[#All],[Product_ID]:[Cost]],4,0)</f>
        <v>Accessories</v>
      </c>
      <c r="K1391" s="2" t="s">
        <v>1787</v>
      </c>
      <c r="L1391" s="2" t="str">
        <f>_xlfn.XLOOKUP(Sales_Details2[[#This Row],[Store_ID]],Table2[Store_ID],Table2[Region],"Region not found")</f>
        <v>West</v>
      </c>
      <c r="M1391" s="25">
        <v>1</v>
      </c>
      <c r="N1391" s="36">
        <v>653.91</v>
      </c>
      <c r="O1391" s="29">
        <v>0.3</v>
      </c>
      <c r="P1391" s="2" t="s">
        <v>1809</v>
      </c>
      <c r="Q1391" s="36">
        <v>457.73700000000002</v>
      </c>
    </row>
    <row r="1392" spans="1:17" x14ac:dyDescent="0.3">
      <c r="A1392" s="2" t="s">
        <v>3199</v>
      </c>
      <c r="B1392" s="14">
        <v>45338</v>
      </c>
      <c r="C1392" s="2">
        <f>YEAR(Sales_Details2[[#This Row],[Order_Date]])</f>
        <v>2024</v>
      </c>
      <c r="D1392" s="2" t="s">
        <v>1123</v>
      </c>
      <c r="E1392" s="2" t="str">
        <f>VLOOKUP(Sales_Details2[[#This Row],[Customer_ID]],Customer_Details[#All],4,0)</f>
        <v>Adult</v>
      </c>
      <c r="F1392" s="2" t="str">
        <f>VLOOKUP(Sales_Details2[[#This Row],[Customer_ID]],Customer_Details[#All],5,0)</f>
        <v>Male</v>
      </c>
      <c r="G1392" s="2" t="str">
        <f>VLOOKUP(Sales_Details2[[#This Row],[Customer_ID]],Customer_Details[#All],9,0)</f>
        <v>Bronze</v>
      </c>
      <c r="H1392" s="2" t="s">
        <v>1663</v>
      </c>
      <c r="I1392" s="2" t="str">
        <f>VLOOKUP(Sales_Details2[[#This Row],[Product_ID]],Product_details[[#All],[Product_ID]:[Cost]],3,0)</f>
        <v>Beauty</v>
      </c>
      <c r="J1392" s="2" t="str">
        <f>VLOOKUP(Sales_Details2[[#This Row],[Product_ID]],Product_details[[#All],[Product_ID]:[Cost]],4,0)</f>
        <v>Haircare</v>
      </c>
      <c r="K1392" s="2" t="s">
        <v>1749</v>
      </c>
      <c r="L1392" s="2" t="str">
        <f>_xlfn.XLOOKUP(Sales_Details2[[#This Row],[Store_ID]],Table2[Store_ID],Table2[Region],"Region not found")</f>
        <v>North</v>
      </c>
      <c r="M1392" s="25">
        <v>1</v>
      </c>
      <c r="N1392" s="36">
        <v>997.87</v>
      </c>
      <c r="O1392" s="29">
        <v>0.24</v>
      </c>
      <c r="P1392" s="2" t="s">
        <v>1807</v>
      </c>
      <c r="Q1392" s="36">
        <v>758.38120000000004</v>
      </c>
    </row>
    <row r="1393" spans="1:17" x14ac:dyDescent="0.3">
      <c r="A1393" s="2" t="s">
        <v>3200</v>
      </c>
      <c r="B1393" s="14">
        <v>45349</v>
      </c>
      <c r="C1393" s="2">
        <f>YEAR(Sales_Details2[[#This Row],[Order_Date]])</f>
        <v>2024</v>
      </c>
      <c r="D1393" s="2" t="s">
        <v>672</v>
      </c>
      <c r="E1393" s="2" t="str">
        <f>VLOOKUP(Sales_Details2[[#This Row],[Customer_ID]],Customer_Details[#All],4,0)</f>
        <v>Senior</v>
      </c>
      <c r="F1393" s="2" t="str">
        <f>VLOOKUP(Sales_Details2[[#This Row],[Customer_ID]],Customer_Details[#All],5,0)</f>
        <v>Male</v>
      </c>
      <c r="G1393" s="2" t="str">
        <f>VLOOKUP(Sales_Details2[[#This Row],[Customer_ID]],Customer_Details[#All],9,0)</f>
        <v>Platinum</v>
      </c>
      <c r="H1393" s="2" t="s">
        <v>1709</v>
      </c>
      <c r="I1393" s="2" t="str">
        <f>VLOOKUP(Sales_Details2[[#This Row],[Product_ID]],Product_details[[#All],[Product_ID]:[Cost]],3,0)</f>
        <v>Beauty</v>
      </c>
      <c r="J1393" s="2" t="str">
        <f>VLOOKUP(Sales_Details2[[#This Row],[Product_ID]],Product_details[[#All],[Product_ID]:[Cost]],4,0)</f>
        <v>Makeup</v>
      </c>
      <c r="K1393" s="2" t="s">
        <v>1782</v>
      </c>
      <c r="L1393" s="2" t="str">
        <f>_xlfn.XLOOKUP(Sales_Details2[[#This Row],[Store_ID]],Table2[Store_ID],Table2[Region],"Region not found")</f>
        <v>South</v>
      </c>
      <c r="M1393" s="25">
        <v>1</v>
      </c>
      <c r="N1393" s="36">
        <v>174.27</v>
      </c>
      <c r="O1393" s="29">
        <v>0.27</v>
      </c>
      <c r="P1393" s="2" t="s">
        <v>1812</v>
      </c>
      <c r="Q1393" s="36">
        <v>127.2171</v>
      </c>
    </row>
    <row r="1394" spans="1:17" x14ac:dyDescent="0.3">
      <c r="A1394" s="2" t="s">
        <v>3201</v>
      </c>
      <c r="B1394" s="14">
        <v>45368</v>
      </c>
      <c r="C1394" s="2">
        <f>YEAR(Sales_Details2[[#This Row],[Order_Date]])</f>
        <v>2024</v>
      </c>
      <c r="D1394" s="2" t="s">
        <v>397</v>
      </c>
      <c r="E1394" s="2" t="str">
        <f>VLOOKUP(Sales_Details2[[#This Row],[Customer_ID]],Customer_Details[#All],4,0)</f>
        <v>Senior</v>
      </c>
      <c r="F1394" s="2" t="str">
        <f>VLOOKUP(Sales_Details2[[#This Row],[Customer_ID]],Customer_Details[#All],5,0)</f>
        <v>Female</v>
      </c>
      <c r="G1394" s="2" t="str">
        <f>VLOOKUP(Sales_Details2[[#This Row],[Customer_ID]],Customer_Details[#All],9,0)</f>
        <v>Platinum</v>
      </c>
      <c r="H1394" s="2" t="s">
        <v>1629</v>
      </c>
      <c r="I1394" s="2" t="str">
        <f>VLOOKUP(Sales_Details2[[#This Row],[Product_ID]],Product_details[[#All],[Product_ID]:[Cost]],3,0)</f>
        <v>Beauty</v>
      </c>
      <c r="J1394" s="2" t="str">
        <f>VLOOKUP(Sales_Details2[[#This Row],[Product_ID]],Product_details[[#All],[Product_ID]:[Cost]],4,0)</f>
        <v>Fragrance</v>
      </c>
      <c r="K1394" s="2" t="s">
        <v>1762</v>
      </c>
      <c r="L1394" s="2" t="str">
        <f>_xlfn.XLOOKUP(Sales_Details2[[#This Row],[Store_ID]],Table2[Store_ID],Table2[Region],"Region not found")</f>
        <v>South</v>
      </c>
      <c r="M1394" s="25">
        <v>3</v>
      </c>
      <c r="N1394" s="36">
        <v>847.44</v>
      </c>
      <c r="O1394" s="29">
        <v>0.17</v>
      </c>
      <c r="P1394" s="2" t="s">
        <v>1807</v>
      </c>
      <c r="Q1394" s="36">
        <v>2110.1255999999998</v>
      </c>
    </row>
    <row r="1395" spans="1:17" x14ac:dyDescent="0.3">
      <c r="A1395" s="2" t="s">
        <v>3202</v>
      </c>
      <c r="B1395" s="14">
        <v>45243</v>
      </c>
      <c r="C1395" s="2">
        <f>YEAR(Sales_Details2[[#This Row],[Order_Date]])</f>
        <v>2023</v>
      </c>
      <c r="D1395" s="2" t="s">
        <v>1312</v>
      </c>
      <c r="E1395" s="2" t="str">
        <f>VLOOKUP(Sales_Details2[[#This Row],[Customer_ID]],Customer_Details[#All],4,0)</f>
        <v>Adult</v>
      </c>
      <c r="F1395" s="2" t="str">
        <f>VLOOKUP(Sales_Details2[[#This Row],[Customer_ID]],Customer_Details[#All],5,0)</f>
        <v>Female</v>
      </c>
      <c r="G1395" s="2" t="str">
        <f>VLOOKUP(Sales_Details2[[#This Row],[Customer_ID]],Customer_Details[#All],9,0)</f>
        <v>Bronze</v>
      </c>
      <c r="H1395" s="2" t="s">
        <v>1532</v>
      </c>
      <c r="I1395" s="2" t="str">
        <f>VLOOKUP(Sales_Details2[[#This Row],[Product_ID]],Product_details[[#All],[Product_ID]:[Cost]],3,0)</f>
        <v>Clothing</v>
      </c>
      <c r="J1395" s="2" t="str">
        <f>VLOOKUP(Sales_Details2[[#This Row],[Product_ID]],Product_details[[#All],[Product_ID]:[Cost]],4,0)</f>
        <v>Outerwear</v>
      </c>
      <c r="K1395" s="2" t="s">
        <v>1744</v>
      </c>
      <c r="L1395" s="2" t="str">
        <f>_xlfn.XLOOKUP(Sales_Details2[[#This Row],[Store_ID]],Table2[Store_ID],Table2[Region],"Region not found")</f>
        <v>South</v>
      </c>
      <c r="M1395" s="25">
        <v>1</v>
      </c>
      <c r="N1395" s="36">
        <v>493.45</v>
      </c>
      <c r="O1395" s="29">
        <v>0.09</v>
      </c>
      <c r="P1395" s="2" t="s">
        <v>1807</v>
      </c>
      <c r="Q1395" s="36">
        <v>449.03949999999998</v>
      </c>
    </row>
    <row r="1396" spans="1:17" x14ac:dyDescent="0.3">
      <c r="A1396" s="2" t="s">
        <v>3203</v>
      </c>
      <c r="B1396" s="14">
        <v>45577</v>
      </c>
      <c r="C1396" s="2">
        <f>YEAR(Sales_Details2[[#This Row],[Order_Date]])</f>
        <v>2024</v>
      </c>
      <c r="D1396" s="2" t="s">
        <v>740</v>
      </c>
      <c r="E1396" s="2" t="str">
        <f>VLOOKUP(Sales_Details2[[#This Row],[Customer_ID]],Customer_Details[#All],4,0)</f>
        <v>Adult</v>
      </c>
      <c r="F1396" s="2" t="str">
        <f>VLOOKUP(Sales_Details2[[#This Row],[Customer_ID]],Customer_Details[#All],5,0)</f>
        <v>Female</v>
      </c>
      <c r="G1396" s="2" t="str">
        <f>VLOOKUP(Sales_Details2[[#This Row],[Customer_ID]],Customer_Details[#All],9,0)</f>
        <v>Platinum</v>
      </c>
      <c r="H1396" s="2" t="s">
        <v>1655</v>
      </c>
      <c r="I1396" s="2" t="str">
        <f>VLOOKUP(Sales_Details2[[#This Row],[Product_ID]],Product_details[[#All],[Product_ID]:[Cost]],3,0)</f>
        <v>Electronics</v>
      </c>
      <c r="J1396" s="2" t="str">
        <f>VLOOKUP(Sales_Details2[[#This Row],[Product_ID]],Product_details[[#All],[Product_ID]:[Cost]],4,0)</f>
        <v>Computer</v>
      </c>
      <c r="K1396" s="2" t="s">
        <v>1744</v>
      </c>
      <c r="L1396" s="2" t="str">
        <f>_xlfn.XLOOKUP(Sales_Details2[[#This Row],[Store_ID]],Table2[Store_ID],Table2[Region],"Region not found")</f>
        <v>South</v>
      </c>
      <c r="M1396" s="25">
        <v>4</v>
      </c>
      <c r="N1396" s="36">
        <v>111.66</v>
      </c>
      <c r="O1396" s="29">
        <v>0.14000000000000001</v>
      </c>
      <c r="P1396" s="2" t="s">
        <v>1807</v>
      </c>
      <c r="Q1396" s="36">
        <v>384.11040000000003</v>
      </c>
    </row>
    <row r="1397" spans="1:17" x14ac:dyDescent="0.3">
      <c r="A1397" s="2" t="s">
        <v>3204</v>
      </c>
      <c r="B1397" s="14">
        <v>45343</v>
      </c>
      <c r="C1397" s="2">
        <f>YEAR(Sales_Details2[[#This Row],[Order_Date]])</f>
        <v>2024</v>
      </c>
      <c r="D1397" s="2" t="s">
        <v>876</v>
      </c>
      <c r="E1397" s="2" t="str">
        <f>VLOOKUP(Sales_Details2[[#This Row],[Customer_ID]],Customer_Details[#All],4,0)</f>
        <v>Mid-Adult</v>
      </c>
      <c r="F1397" s="2" t="str">
        <f>VLOOKUP(Sales_Details2[[#This Row],[Customer_ID]],Customer_Details[#All],5,0)</f>
        <v>Female</v>
      </c>
      <c r="G1397" s="2" t="str">
        <f>VLOOKUP(Sales_Details2[[#This Row],[Customer_ID]],Customer_Details[#All],9,0)</f>
        <v>Platinum</v>
      </c>
      <c r="H1397" s="2" t="s">
        <v>1711</v>
      </c>
      <c r="I1397" s="2" t="str">
        <f>VLOOKUP(Sales_Details2[[#This Row],[Product_ID]],Product_details[[#All],[Product_ID]:[Cost]],3,0)</f>
        <v>Electronics</v>
      </c>
      <c r="J1397" s="2" t="str">
        <f>VLOOKUP(Sales_Details2[[#This Row],[Product_ID]],Product_details[[#All],[Product_ID]:[Cost]],4,0)</f>
        <v>Accessories</v>
      </c>
      <c r="K1397" s="2" t="s">
        <v>1775</v>
      </c>
      <c r="L1397" s="2" t="str">
        <f>_xlfn.XLOOKUP(Sales_Details2[[#This Row],[Store_ID]],Table2[Store_ID],Table2[Region],"Region not found")</f>
        <v>South</v>
      </c>
      <c r="M1397" s="25">
        <v>1</v>
      </c>
      <c r="N1397" s="36">
        <v>413.65</v>
      </c>
      <c r="O1397" s="29">
        <v>0.1</v>
      </c>
      <c r="P1397" s="2" t="s">
        <v>1812</v>
      </c>
      <c r="Q1397" s="36">
        <v>372.28500000000003</v>
      </c>
    </row>
    <row r="1398" spans="1:17" x14ac:dyDescent="0.3">
      <c r="A1398" s="2" t="s">
        <v>3205</v>
      </c>
      <c r="B1398" s="14">
        <v>45744</v>
      </c>
      <c r="C1398" s="2">
        <f>YEAR(Sales_Details2[[#This Row],[Order_Date]])</f>
        <v>2025</v>
      </c>
      <c r="D1398" s="2" t="s">
        <v>1448</v>
      </c>
      <c r="E1398" s="2" t="str">
        <f>VLOOKUP(Sales_Details2[[#This Row],[Customer_ID]],Customer_Details[#All],4,0)</f>
        <v>Adult</v>
      </c>
      <c r="F1398" s="2" t="str">
        <f>VLOOKUP(Sales_Details2[[#This Row],[Customer_ID]],Customer_Details[#All],5,0)</f>
        <v>Female</v>
      </c>
      <c r="G1398" s="2" t="str">
        <f>VLOOKUP(Sales_Details2[[#This Row],[Customer_ID]],Customer_Details[#All],9,0)</f>
        <v>Platinum</v>
      </c>
      <c r="H1398" s="2" t="s">
        <v>1709</v>
      </c>
      <c r="I1398" s="2" t="str">
        <f>VLOOKUP(Sales_Details2[[#This Row],[Product_ID]],Product_details[[#All],[Product_ID]:[Cost]],3,0)</f>
        <v>Beauty</v>
      </c>
      <c r="J1398" s="2" t="str">
        <f>VLOOKUP(Sales_Details2[[#This Row],[Product_ID]],Product_details[[#All],[Product_ID]:[Cost]],4,0)</f>
        <v>Makeup</v>
      </c>
      <c r="K1398" s="2" t="s">
        <v>1769</v>
      </c>
      <c r="L1398" s="2" t="str">
        <f>_xlfn.XLOOKUP(Sales_Details2[[#This Row],[Store_ID]],Table2[Store_ID],Table2[Region],"Region not found")</f>
        <v>South</v>
      </c>
      <c r="M1398" s="25">
        <v>1</v>
      </c>
      <c r="N1398" s="36">
        <v>317.14999999999998</v>
      </c>
      <c r="O1398" s="29">
        <v>0.24</v>
      </c>
      <c r="P1398" s="2" t="s">
        <v>1812</v>
      </c>
      <c r="Q1398" s="36">
        <v>241.03399999999999</v>
      </c>
    </row>
    <row r="1399" spans="1:17" x14ac:dyDescent="0.3">
      <c r="A1399" s="2" t="s">
        <v>3206</v>
      </c>
      <c r="B1399" s="14">
        <v>45873</v>
      </c>
      <c r="C1399" s="2">
        <f>YEAR(Sales_Details2[[#This Row],[Order_Date]])</f>
        <v>2025</v>
      </c>
      <c r="D1399" s="2" t="s">
        <v>1112</v>
      </c>
      <c r="E1399" s="2" t="str">
        <f>VLOOKUP(Sales_Details2[[#This Row],[Customer_ID]],Customer_Details[#All],4,0)</f>
        <v>Mid-Adult</v>
      </c>
      <c r="F1399" s="2" t="str">
        <f>VLOOKUP(Sales_Details2[[#This Row],[Customer_ID]],Customer_Details[#All],5,0)</f>
        <v>Male</v>
      </c>
      <c r="G1399" s="2" t="str">
        <f>VLOOKUP(Sales_Details2[[#This Row],[Customer_ID]],Customer_Details[#All],9,0)</f>
        <v>Silver</v>
      </c>
      <c r="H1399" s="2" t="s">
        <v>1707</v>
      </c>
      <c r="I1399" s="2" t="str">
        <f>VLOOKUP(Sales_Details2[[#This Row],[Product_ID]],Product_details[[#All],[Product_ID]:[Cost]],3,0)</f>
        <v>Sports</v>
      </c>
      <c r="J1399" s="2" t="str">
        <f>VLOOKUP(Sales_Details2[[#This Row],[Product_ID]],Product_details[[#All],[Product_ID]:[Cost]],4,0)</f>
        <v>Accessories</v>
      </c>
      <c r="K1399" s="2" t="s">
        <v>1740</v>
      </c>
      <c r="L1399" s="2" t="str">
        <f>_xlfn.XLOOKUP(Sales_Details2[[#This Row],[Store_ID]],Table2[Store_ID],Table2[Region],"Region not found")</f>
        <v>North</v>
      </c>
      <c r="M1399" s="25">
        <v>3</v>
      </c>
      <c r="N1399" s="36">
        <v>642.94000000000005</v>
      </c>
      <c r="O1399" s="29">
        <v>0.05</v>
      </c>
      <c r="P1399" s="2" t="s">
        <v>1812</v>
      </c>
      <c r="Q1399" s="36">
        <v>1832.3789999999999</v>
      </c>
    </row>
    <row r="1400" spans="1:17" x14ac:dyDescent="0.3">
      <c r="A1400" s="2" t="s">
        <v>3207</v>
      </c>
      <c r="B1400" s="14">
        <v>45601</v>
      </c>
      <c r="C1400" s="2">
        <f>YEAR(Sales_Details2[[#This Row],[Order_Date]])</f>
        <v>2024</v>
      </c>
      <c r="D1400" s="2" t="s">
        <v>450</v>
      </c>
      <c r="E1400" s="2" t="str">
        <f>VLOOKUP(Sales_Details2[[#This Row],[Customer_ID]],Customer_Details[#All],4,0)</f>
        <v>Senior</v>
      </c>
      <c r="F1400" s="2" t="str">
        <f>VLOOKUP(Sales_Details2[[#This Row],[Customer_ID]],Customer_Details[#All],5,0)</f>
        <v>Female</v>
      </c>
      <c r="G1400" s="2" t="str">
        <f>VLOOKUP(Sales_Details2[[#This Row],[Customer_ID]],Customer_Details[#All],9,0)</f>
        <v>Bronze</v>
      </c>
      <c r="H1400" s="2" t="s">
        <v>1645</v>
      </c>
      <c r="I1400" s="2" t="str">
        <f>VLOOKUP(Sales_Details2[[#This Row],[Product_ID]],Product_details[[#All],[Product_ID]:[Cost]],3,0)</f>
        <v>Sports</v>
      </c>
      <c r="J1400" s="2" t="str">
        <f>VLOOKUP(Sales_Details2[[#This Row],[Product_ID]],Product_details[[#All],[Product_ID]:[Cost]],4,0)</f>
        <v>Fitness</v>
      </c>
      <c r="K1400" s="2" t="s">
        <v>1772</v>
      </c>
      <c r="L1400" s="2" t="str">
        <f>_xlfn.XLOOKUP(Sales_Details2[[#This Row],[Store_ID]],Table2[Store_ID],Table2[Region],"Region not found")</f>
        <v>East</v>
      </c>
      <c r="M1400" s="25">
        <v>4</v>
      </c>
      <c r="N1400" s="36">
        <v>559.59</v>
      </c>
      <c r="O1400" s="29">
        <v>0.19</v>
      </c>
      <c r="P1400" s="2" t="s">
        <v>1812</v>
      </c>
      <c r="Q1400" s="36">
        <v>1813.0716</v>
      </c>
    </row>
    <row r="1401" spans="1:17" x14ac:dyDescent="0.3">
      <c r="A1401" s="2" t="s">
        <v>3208</v>
      </c>
      <c r="B1401" s="14">
        <v>45458</v>
      </c>
      <c r="C1401" s="2">
        <f>YEAR(Sales_Details2[[#This Row],[Order_Date]])</f>
        <v>2024</v>
      </c>
      <c r="D1401" s="2" t="s">
        <v>394</v>
      </c>
      <c r="E1401" s="2" t="str">
        <f>VLOOKUP(Sales_Details2[[#This Row],[Customer_ID]],Customer_Details[#All],4,0)</f>
        <v>Adult</v>
      </c>
      <c r="F1401" s="2" t="str">
        <f>VLOOKUP(Sales_Details2[[#This Row],[Customer_ID]],Customer_Details[#All],5,0)</f>
        <v>Male</v>
      </c>
      <c r="G1401" s="2" t="str">
        <f>VLOOKUP(Sales_Details2[[#This Row],[Customer_ID]],Customer_Details[#All],9,0)</f>
        <v>Bronze</v>
      </c>
      <c r="H1401" s="2" t="s">
        <v>1589</v>
      </c>
      <c r="I1401" s="2" t="str">
        <f>VLOOKUP(Sales_Details2[[#This Row],[Product_ID]],Product_details[[#All],[Product_ID]:[Cost]],3,0)</f>
        <v>Home</v>
      </c>
      <c r="J1401" s="2" t="str">
        <f>VLOOKUP(Sales_Details2[[#This Row],[Product_ID]],Product_details[[#All],[Product_ID]:[Cost]],4,0)</f>
        <v>Decor</v>
      </c>
      <c r="K1401" s="2" t="s">
        <v>1793</v>
      </c>
      <c r="L1401" s="2" t="str">
        <f>_xlfn.XLOOKUP(Sales_Details2[[#This Row],[Store_ID]],Table2[Store_ID],Table2[Region],"Region not found")</f>
        <v>East</v>
      </c>
      <c r="M1401" s="25">
        <v>1</v>
      </c>
      <c r="N1401" s="36">
        <v>758.54</v>
      </c>
      <c r="O1401" s="29">
        <v>0.28999999999999998</v>
      </c>
      <c r="P1401" s="2" t="s">
        <v>1809</v>
      </c>
      <c r="Q1401" s="36">
        <v>538.5634</v>
      </c>
    </row>
    <row r="1402" spans="1:17" x14ac:dyDescent="0.3">
      <c r="A1402" s="2" t="s">
        <v>3209</v>
      </c>
      <c r="B1402" s="14">
        <v>45649</v>
      </c>
      <c r="C1402" s="2">
        <f>YEAR(Sales_Details2[[#This Row],[Order_Date]])</f>
        <v>2024</v>
      </c>
      <c r="D1402" s="2" t="s">
        <v>1409</v>
      </c>
      <c r="E1402" s="2" t="str">
        <f>VLOOKUP(Sales_Details2[[#This Row],[Customer_ID]],Customer_Details[#All],4,0)</f>
        <v>Mid-Adult</v>
      </c>
      <c r="F1402" s="2" t="str">
        <f>VLOOKUP(Sales_Details2[[#This Row],[Customer_ID]],Customer_Details[#All],5,0)</f>
        <v>Female</v>
      </c>
      <c r="G1402" s="2" t="str">
        <f>VLOOKUP(Sales_Details2[[#This Row],[Customer_ID]],Customer_Details[#All],9,0)</f>
        <v>Silver</v>
      </c>
      <c r="H1402" s="2" t="s">
        <v>1691</v>
      </c>
      <c r="I1402" s="2" t="str">
        <f>VLOOKUP(Sales_Details2[[#This Row],[Product_ID]],Product_details[[#All],[Product_ID]:[Cost]],3,0)</f>
        <v>Home</v>
      </c>
      <c r="J1402" s="2" t="str">
        <f>VLOOKUP(Sales_Details2[[#This Row],[Product_ID]],Product_details[[#All],[Product_ID]:[Cost]],4,0)</f>
        <v>Kitchen</v>
      </c>
      <c r="K1402" s="2" t="s">
        <v>1784</v>
      </c>
      <c r="L1402" s="2" t="str">
        <f>_xlfn.XLOOKUP(Sales_Details2[[#This Row],[Store_ID]],Table2[Store_ID],Table2[Region],"Region not found")</f>
        <v>North</v>
      </c>
      <c r="M1402" s="25">
        <v>4</v>
      </c>
      <c r="N1402" s="36">
        <v>643.96</v>
      </c>
      <c r="O1402" s="29">
        <v>0.16</v>
      </c>
      <c r="P1402" s="2" t="s">
        <v>1809</v>
      </c>
      <c r="Q1402" s="36">
        <v>2163.7055999999998</v>
      </c>
    </row>
    <row r="1403" spans="1:17" x14ac:dyDescent="0.3">
      <c r="A1403" s="2" t="s">
        <v>3210</v>
      </c>
      <c r="B1403" s="14">
        <v>45653</v>
      </c>
      <c r="C1403" s="2">
        <f>YEAR(Sales_Details2[[#This Row],[Order_Date]])</f>
        <v>2024</v>
      </c>
      <c r="D1403" s="2" t="s">
        <v>773</v>
      </c>
      <c r="E1403" s="2" t="str">
        <f>VLOOKUP(Sales_Details2[[#This Row],[Customer_ID]],Customer_Details[#All],4,0)</f>
        <v>Senior</v>
      </c>
      <c r="F1403" s="2" t="str">
        <f>VLOOKUP(Sales_Details2[[#This Row],[Customer_ID]],Customer_Details[#All],5,0)</f>
        <v>Female</v>
      </c>
      <c r="G1403" s="2" t="str">
        <f>VLOOKUP(Sales_Details2[[#This Row],[Customer_ID]],Customer_Details[#All],9,0)</f>
        <v>Gold</v>
      </c>
      <c r="H1403" s="2" t="s">
        <v>1579</v>
      </c>
      <c r="I1403" s="2" t="str">
        <f>VLOOKUP(Sales_Details2[[#This Row],[Product_ID]],Product_details[[#All],[Product_ID]:[Cost]],3,0)</f>
        <v>Sports</v>
      </c>
      <c r="J1403" s="2" t="str">
        <f>VLOOKUP(Sales_Details2[[#This Row],[Product_ID]],Product_details[[#All],[Product_ID]:[Cost]],4,0)</f>
        <v>Outdoor</v>
      </c>
      <c r="K1403" s="2" t="s">
        <v>1769</v>
      </c>
      <c r="L1403" s="2" t="str">
        <f>_xlfn.XLOOKUP(Sales_Details2[[#This Row],[Store_ID]],Table2[Store_ID],Table2[Region],"Region not found")</f>
        <v>South</v>
      </c>
      <c r="M1403" s="25">
        <v>1</v>
      </c>
      <c r="N1403" s="36">
        <v>882.73</v>
      </c>
      <c r="O1403" s="29">
        <v>0.1</v>
      </c>
      <c r="P1403" s="2" t="s">
        <v>1807</v>
      </c>
      <c r="Q1403" s="36">
        <v>794.45699999999999</v>
      </c>
    </row>
    <row r="1404" spans="1:17" x14ac:dyDescent="0.3">
      <c r="A1404" s="2" t="s">
        <v>3211</v>
      </c>
      <c r="B1404" s="14">
        <v>45378</v>
      </c>
      <c r="C1404" s="2">
        <f>YEAR(Sales_Details2[[#This Row],[Order_Date]])</f>
        <v>2024</v>
      </c>
      <c r="D1404" s="2" t="s">
        <v>1012</v>
      </c>
      <c r="E1404" s="2" t="str">
        <f>VLOOKUP(Sales_Details2[[#This Row],[Customer_ID]],Customer_Details[#All],4,0)</f>
        <v>Senior</v>
      </c>
      <c r="F1404" s="2" t="str">
        <f>VLOOKUP(Sales_Details2[[#This Row],[Customer_ID]],Customer_Details[#All],5,0)</f>
        <v>Male</v>
      </c>
      <c r="G1404" s="2" t="str">
        <f>VLOOKUP(Sales_Details2[[#This Row],[Customer_ID]],Customer_Details[#All],9,0)</f>
        <v>Bronze</v>
      </c>
      <c r="H1404" s="2" t="s">
        <v>1713</v>
      </c>
      <c r="I1404" s="2" t="str">
        <f>VLOOKUP(Sales_Details2[[#This Row],[Product_ID]],Product_details[[#All],[Product_ID]:[Cost]],3,0)</f>
        <v>Clothing</v>
      </c>
      <c r="J1404" s="2" t="str">
        <f>VLOOKUP(Sales_Details2[[#This Row],[Product_ID]],Product_details[[#All],[Product_ID]:[Cost]],4,0)</f>
        <v>Footwear</v>
      </c>
      <c r="K1404" s="2" t="s">
        <v>1796</v>
      </c>
      <c r="L1404" s="2" t="str">
        <f>_xlfn.XLOOKUP(Sales_Details2[[#This Row],[Store_ID]],Table2[Store_ID],Table2[Region],"Region not found")</f>
        <v>East</v>
      </c>
      <c r="M1404" s="25">
        <v>2</v>
      </c>
      <c r="N1404" s="36">
        <v>600.03</v>
      </c>
      <c r="O1404" s="29">
        <v>0.26</v>
      </c>
      <c r="P1404" s="2" t="s">
        <v>1809</v>
      </c>
      <c r="Q1404" s="36">
        <v>888.0444</v>
      </c>
    </row>
    <row r="1405" spans="1:17" x14ac:dyDescent="0.3">
      <c r="A1405" s="2" t="s">
        <v>3212</v>
      </c>
      <c r="B1405" s="14">
        <v>45638</v>
      </c>
      <c r="C1405" s="2">
        <f>YEAR(Sales_Details2[[#This Row],[Order_Date]])</f>
        <v>2024</v>
      </c>
      <c r="D1405" s="2" t="s">
        <v>521</v>
      </c>
      <c r="E1405" s="2" t="str">
        <f>VLOOKUP(Sales_Details2[[#This Row],[Customer_ID]],Customer_Details[#All],4,0)</f>
        <v>Senior</v>
      </c>
      <c r="F1405" s="2" t="str">
        <f>VLOOKUP(Sales_Details2[[#This Row],[Customer_ID]],Customer_Details[#All],5,0)</f>
        <v>Male</v>
      </c>
      <c r="G1405" s="2" t="str">
        <f>VLOOKUP(Sales_Details2[[#This Row],[Customer_ID]],Customer_Details[#All],9,0)</f>
        <v>Platinum</v>
      </c>
      <c r="H1405" s="2" t="s">
        <v>1639</v>
      </c>
      <c r="I1405" s="2" t="str">
        <f>VLOOKUP(Sales_Details2[[#This Row],[Product_ID]],Product_details[[#All],[Product_ID]:[Cost]],3,0)</f>
        <v>Sports</v>
      </c>
      <c r="J1405" s="2" t="str">
        <f>VLOOKUP(Sales_Details2[[#This Row],[Product_ID]],Product_details[[#All],[Product_ID]:[Cost]],4,0)</f>
        <v>Accessories</v>
      </c>
      <c r="K1405" s="2" t="s">
        <v>1756</v>
      </c>
      <c r="L1405" s="2" t="str">
        <f>_xlfn.XLOOKUP(Sales_Details2[[#This Row],[Store_ID]],Table2[Store_ID],Table2[Region],"Region not found")</f>
        <v>North</v>
      </c>
      <c r="M1405" s="25">
        <v>2</v>
      </c>
      <c r="N1405" s="36">
        <v>628.83000000000004</v>
      </c>
      <c r="O1405" s="29">
        <v>7.0000000000000007E-2</v>
      </c>
      <c r="P1405" s="2" t="s">
        <v>1809</v>
      </c>
      <c r="Q1405" s="36">
        <v>1169.6238000000001</v>
      </c>
    </row>
    <row r="1406" spans="1:17" x14ac:dyDescent="0.3">
      <c r="A1406" s="2" t="s">
        <v>3213</v>
      </c>
      <c r="B1406" s="14">
        <v>45277</v>
      </c>
      <c r="C1406" s="2">
        <f>YEAR(Sales_Details2[[#This Row],[Order_Date]])</f>
        <v>2023</v>
      </c>
      <c r="D1406" s="2" t="s">
        <v>573</v>
      </c>
      <c r="E1406" s="2" t="str">
        <f>VLOOKUP(Sales_Details2[[#This Row],[Customer_ID]],Customer_Details[#All],4,0)</f>
        <v>Senior</v>
      </c>
      <c r="F1406" s="2" t="str">
        <f>VLOOKUP(Sales_Details2[[#This Row],[Customer_ID]],Customer_Details[#All],5,0)</f>
        <v>Male</v>
      </c>
      <c r="G1406" s="2" t="str">
        <f>VLOOKUP(Sales_Details2[[#This Row],[Customer_ID]],Customer_Details[#All],9,0)</f>
        <v>Platinum</v>
      </c>
      <c r="H1406" s="2" t="s">
        <v>1693</v>
      </c>
      <c r="I1406" s="2" t="str">
        <f>VLOOKUP(Sales_Details2[[#This Row],[Product_ID]],Product_details[[#All],[Product_ID]:[Cost]],3,0)</f>
        <v>Sports</v>
      </c>
      <c r="J1406" s="2" t="str">
        <f>VLOOKUP(Sales_Details2[[#This Row],[Product_ID]],Product_details[[#All],[Product_ID]:[Cost]],4,0)</f>
        <v>Equipment</v>
      </c>
      <c r="K1406" s="2" t="s">
        <v>1769</v>
      </c>
      <c r="L1406" s="2" t="str">
        <f>_xlfn.XLOOKUP(Sales_Details2[[#This Row],[Store_ID]],Table2[Store_ID],Table2[Region],"Region not found")</f>
        <v>South</v>
      </c>
      <c r="M1406" s="25">
        <v>3</v>
      </c>
      <c r="N1406" s="36">
        <v>113.87</v>
      </c>
      <c r="O1406" s="29">
        <v>0.21</v>
      </c>
      <c r="P1406" s="2" t="s">
        <v>1812</v>
      </c>
      <c r="Q1406" s="36">
        <v>269.87189999999998</v>
      </c>
    </row>
    <row r="1407" spans="1:17" x14ac:dyDescent="0.3">
      <c r="A1407" s="2" t="s">
        <v>3214</v>
      </c>
      <c r="B1407" s="14">
        <v>45351</v>
      </c>
      <c r="C1407" s="2">
        <f>YEAR(Sales_Details2[[#This Row],[Order_Date]])</f>
        <v>2024</v>
      </c>
      <c r="D1407" s="2" t="s">
        <v>1284</v>
      </c>
      <c r="E1407" s="2" t="str">
        <f>VLOOKUP(Sales_Details2[[#This Row],[Customer_ID]],Customer_Details[#All],4,0)</f>
        <v>Senior</v>
      </c>
      <c r="F1407" s="2" t="str">
        <f>VLOOKUP(Sales_Details2[[#This Row],[Customer_ID]],Customer_Details[#All],5,0)</f>
        <v>Female</v>
      </c>
      <c r="G1407" s="2" t="str">
        <f>VLOOKUP(Sales_Details2[[#This Row],[Customer_ID]],Customer_Details[#All],9,0)</f>
        <v>Silver</v>
      </c>
      <c r="H1407" s="2" t="s">
        <v>1675</v>
      </c>
      <c r="I1407" s="2" t="str">
        <f>VLOOKUP(Sales_Details2[[#This Row],[Product_ID]],Product_details[[#All],[Product_ID]:[Cost]],3,0)</f>
        <v>Sports</v>
      </c>
      <c r="J1407" s="2" t="str">
        <f>VLOOKUP(Sales_Details2[[#This Row],[Product_ID]],Product_details[[#All],[Product_ID]:[Cost]],4,0)</f>
        <v>Fitness</v>
      </c>
      <c r="K1407" s="2" t="s">
        <v>1762</v>
      </c>
      <c r="L1407" s="2" t="str">
        <f>_xlfn.XLOOKUP(Sales_Details2[[#This Row],[Store_ID]],Table2[Store_ID],Table2[Region],"Region not found")</f>
        <v>South</v>
      </c>
      <c r="M1407" s="25">
        <v>4</v>
      </c>
      <c r="N1407" s="36">
        <v>282.07</v>
      </c>
      <c r="O1407" s="29">
        <v>0.18</v>
      </c>
      <c r="P1407" s="2" t="s">
        <v>1809</v>
      </c>
      <c r="Q1407" s="36">
        <v>925.18960000000004</v>
      </c>
    </row>
    <row r="1408" spans="1:17" x14ac:dyDescent="0.3">
      <c r="A1408" s="2" t="s">
        <v>3215</v>
      </c>
      <c r="B1408" s="14">
        <v>45290</v>
      </c>
      <c r="C1408" s="2">
        <f>YEAR(Sales_Details2[[#This Row],[Order_Date]])</f>
        <v>2023</v>
      </c>
      <c r="D1408" s="2" t="s">
        <v>518</v>
      </c>
      <c r="E1408" s="2" t="str">
        <f>VLOOKUP(Sales_Details2[[#This Row],[Customer_ID]],Customer_Details[#All],4,0)</f>
        <v>Mid-Adult</v>
      </c>
      <c r="F1408" s="2" t="str">
        <f>VLOOKUP(Sales_Details2[[#This Row],[Customer_ID]],Customer_Details[#All],5,0)</f>
        <v>Male</v>
      </c>
      <c r="G1408" s="2" t="str">
        <f>VLOOKUP(Sales_Details2[[#This Row],[Customer_ID]],Customer_Details[#All],9,0)</f>
        <v>Bronze</v>
      </c>
      <c r="H1408" s="2" t="s">
        <v>1639</v>
      </c>
      <c r="I1408" s="2" t="str">
        <f>VLOOKUP(Sales_Details2[[#This Row],[Product_ID]],Product_details[[#All],[Product_ID]:[Cost]],3,0)</f>
        <v>Sports</v>
      </c>
      <c r="J1408" s="2" t="str">
        <f>VLOOKUP(Sales_Details2[[#This Row],[Product_ID]],Product_details[[#All],[Product_ID]:[Cost]],4,0)</f>
        <v>Accessories</v>
      </c>
      <c r="K1408" s="2" t="s">
        <v>1759</v>
      </c>
      <c r="L1408" s="2" t="str">
        <f>_xlfn.XLOOKUP(Sales_Details2[[#This Row],[Store_ID]],Table2[Store_ID],Table2[Region],"Region not found")</f>
        <v>East</v>
      </c>
      <c r="M1408" s="25">
        <v>3</v>
      </c>
      <c r="N1408" s="36">
        <v>676.77</v>
      </c>
      <c r="O1408" s="29">
        <v>0.17</v>
      </c>
      <c r="P1408" s="2" t="s">
        <v>1809</v>
      </c>
      <c r="Q1408" s="36">
        <v>1685.1573000000001</v>
      </c>
    </row>
    <row r="1409" spans="1:17" x14ac:dyDescent="0.3">
      <c r="A1409" s="2" t="s">
        <v>3216</v>
      </c>
      <c r="B1409" s="14">
        <v>45638</v>
      </c>
      <c r="C1409" s="2">
        <f>YEAR(Sales_Details2[[#This Row],[Order_Date]])</f>
        <v>2024</v>
      </c>
      <c r="D1409" s="2" t="s">
        <v>707</v>
      </c>
      <c r="E1409" s="2" t="str">
        <f>VLOOKUP(Sales_Details2[[#This Row],[Customer_ID]],Customer_Details[#All],4,0)</f>
        <v>Mid-Adult</v>
      </c>
      <c r="F1409" s="2" t="str">
        <f>VLOOKUP(Sales_Details2[[#This Row],[Customer_ID]],Customer_Details[#All],5,0)</f>
        <v>Female</v>
      </c>
      <c r="G1409" s="2" t="str">
        <f>VLOOKUP(Sales_Details2[[#This Row],[Customer_ID]],Customer_Details[#All],9,0)</f>
        <v>Bronze</v>
      </c>
      <c r="H1409" s="2" t="s">
        <v>1543</v>
      </c>
      <c r="I1409" s="2" t="str">
        <f>VLOOKUP(Sales_Details2[[#This Row],[Product_ID]],Product_details[[#All],[Product_ID]:[Cost]],3,0)</f>
        <v>Home</v>
      </c>
      <c r="J1409" s="2" t="str">
        <f>VLOOKUP(Sales_Details2[[#This Row],[Product_ID]],Product_details[[#All],[Product_ID]:[Cost]],4,0)</f>
        <v>Lighting</v>
      </c>
      <c r="K1409" s="2" t="s">
        <v>1787</v>
      </c>
      <c r="L1409" s="2" t="str">
        <f>_xlfn.XLOOKUP(Sales_Details2[[#This Row],[Store_ID]],Table2[Store_ID],Table2[Region],"Region not found")</f>
        <v>West</v>
      </c>
      <c r="M1409" s="25">
        <v>2</v>
      </c>
      <c r="N1409" s="36">
        <v>362.7</v>
      </c>
      <c r="O1409" s="29">
        <v>0.09</v>
      </c>
      <c r="P1409" s="2" t="s">
        <v>1807</v>
      </c>
      <c r="Q1409" s="36">
        <v>660.11400000000003</v>
      </c>
    </row>
    <row r="1410" spans="1:17" x14ac:dyDescent="0.3">
      <c r="A1410" s="2" t="s">
        <v>3217</v>
      </c>
      <c r="B1410" s="14">
        <v>45679</v>
      </c>
      <c r="C1410" s="2">
        <f>YEAR(Sales_Details2[[#This Row],[Order_Date]])</f>
        <v>2025</v>
      </c>
      <c r="D1410" s="2" t="s">
        <v>456</v>
      </c>
      <c r="E1410" s="2" t="str">
        <f>VLOOKUP(Sales_Details2[[#This Row],[Customer_ID]],Customer_Details[#All],4,0)</f>
        <v>Mid-Adult</v>
      </c>
      <c r="F1410" s="2" t="str">
        <f>VLOOKUP(Sales_Details2[[#This Row],[Customer_ID]],Customer_Details[#All],5,0)</f>
        <v>Female</v>
      </c>
      <c r="G1410" s="2" t="str">
        <f>VLOOKUP(Sales_Details2[[#This Row],[Customer_ID]],Customer_Details[#All],9,0)</f>
        <v>Platinum</v>
      </c>
      <c r="H1410" s="2" t="s">
        <v>1557</v>
      </c>
      <c r="I1410" s="2" t="str">
        <f>VLOOKUP(Sales_Details2[[#This Row],[Product_ID]],Product_details[[#All],[Product_ID]:[Cost]],3,0)</f>
        <v>Electronics</v>
      </c>
      <c r="J1410" s="2" t="str">
        <f>VLOOKUP(Sales_Details2[[#This Row],[Product_ID]],Product_details[[#All],[Product_ID]:[Cost]],4,0)</f>
        <v>Accessories</v>
      </c>
      <c r="K1410" s="2" t="s">
        <v>1744</v>
      </c>
      <c r="L1410" s="2" t="str">
        <f>_xlfn.XLOOKUP(Sales_Details2[[#This Row],[Store_ID]],Table2[Store_ID],Table2[Region],"Region not found")</f>
        <v>South</v>
      </c>
      <c r="M1410" s="25">
        <v>1</v>
      </c>
      <c r="N1410" s="36">
        <v>908.5</v>
      </c>
      <c r="O1410" s="29">
        <v>0.2</v>
      </c>
      <c r="P1410" s="2" t="s">
        <v>1812</v>
      </c>
      <c r="Q1410" s="36">
        <v>726.80000000000007</v>
      </c>
    </row>
    <row r="1411" spans="1:17" x14ac:dyDescent="0.3">
      <c r="A1411" s="2" t="s">
        <v>3218</v>
      </c>
      <c r="B1411" s="14">
        <v>45296</v>
      </c>
      <c r="C1411" s="2">
        <f>YEAR(Sales_Details2[[#This Row],[Order_Date]])</f>
        <v>2024</v>
      </c>
      <c r="D1411" s="2" t="s">
        <v>244</v>
      </c>
      <c r="E1411" s="2" t="str">
        <f>VLOOKUP(Sales_Details2[[#This Row],[Customer_ID]],Customer_Details[#All],4,0)</f>
        <v>Senior</v>
      </c>
      <c r="F1411" s="2" t="str">
        <f>VLOOKUP(Sales_Details2[[#This Row],[Customer_ID]],Customer_Details[#All],5,0)</f>
        <v>Male</v>
      </c>
      <c r="G1411" s="2" t="str">
        <f>VLOOKUP(Sales_Details2[[#This Row],[Customer_ID]],Customer_Details[#All],9,0)</f>
        <v>Silver</v>
      </c>
      <c r="H1411" s="2" t="s">
        <v>1581</v>
      </c>
      <c r="I1411" s="2" t="str">
        <f>VLOOKUP(Sales_Details2[[#This Row],[Product_ID]],Product_details[[#All],[Product_ID]:[Cost]],3,0)</f>
        <v>Clothing</v>
      </c>
      <c r="J1411" s="2" t="str">
        <f>VLOOKUP(Sales_Details2[[#This Row],[Product_ID]],Product_details[[#All],[Product_ID]:[Cost]],4,0)</f>
        <v>Accessories</v>
      </c>
      <c r="K1411" s="2" t="s">
        <v>1784</v>
      </c>
      <c r="L1411" s="2" t="str">
        <f>_xlfn.XLOOKUP(Sales_Details2[[#This Row],[Store_ID]],Table2[Store_ID],Table2[Region],"Region not found")</f>
        <v>North</v>
      </c>
      <c r="M1411" s="25">
        <v>2</v>
      </c>
      <c r="N1411" s="36">
        <v>795.37</v>
      </c>
      <c r="O1411" s="29">
        <v>0.2</v>
      </c>
      <c r="P1411" s="2" t="s">
        <v>1812</v>
      </c>
      <c r="Q1411" s="36">
        <v>1272.5920000000001</v>
      </c>
    </row>
    <row r="1412" spans="1:17" x14ac:dyDescent="0.3">
      <c r="A1412" s="2" t="s">
        <v>3219</v>
      </c>
      <c r="B1412" s="14">
        <v>45760</v>
      </c>
      <c r="C1412" s="2">
        <f>YEAR(Sales_Details2[[#This Row],[Order_Date]])</f>
        <v>2025</v>
      </c>
      <c r="D1412" s="2" t="s">
        <v>482</v>
      </c>
      <c r="E1412" s="2" t="str">
        <f>VLOOKUP(Sales_Details2[[#This Row],[Customer_ID]],Customer_Details[#All],4,0)</f>
        <v>Senior</v>
      </c>
      <c r="F1412" s="2" t="str">
        <f>VLOOKUP(Sales_Details2[[#This Row],[Customer_ID]],Customer_Details[#All],5,0)</f>
        <v>Female</v>
      </c>
      <c r="G1412" s="2" t="str">
        <f>VLOOKUP(Sales_Details2[[#This Row],[Customer_ID]],Customer_Details[#All],9,0)</f>
        <v>Bronze</v>
      </c>
      <c r="H1412" s="2" t="s">
        <v>1601</v>
      </c>
      <c r="I1412" s="2" t="str">
        <f>VLOOKUP(Sales_Details2[[#This Row],[Product_ID]],Product_details[[#All],[Product_ID]:[Cost]],3,0)</f>
        <v>Home</v>
      </c>
      <c r="J1412" s="2" t="str">
        <f>VLOOKUP(Sales_Details2[[#This Row],[Product_ID]],Product_details[[#All],[Product_ID]:[Cost]],4,0)</f>
        <v>Lighting</v>
      </c>
      <c r="K1412" s="2" t="s">
        <v>1752</v>
      </c>
      <c r="L1412" s="2" t="str">
        <f>_xlfn.XLOOKUP(Sales_Details2[[#This Row],[Store_ID]],Table2[Store_ID],Table2[Region],"Region not found")</f>
        <v>South</v>
      </c>
      <c r="M1412" s="25">
        <v>2</v>
      </c>
      <c r="N1412" s="36">
        <v>326.85000000000002</v>
      </c>
      <c r="O1412" s="29">
        <v>0.17</v>
      </c>
      <c r="P1412" s="2" t="s">
        <v>1812</v>
      </c>
      <c r="Q1412" s="36">
        <v>542.57100000000003</v>
      </c>
    </row>
    <row r="1413" spans="1:17" x14ac:dyDescent="0.3">
      <c r="A1413" s="2" t="s">
        <v>3220</v>
      </c>
      <c r="B1413" s="14">
        <v>45603</v>
      </c>
      <c r="C1413" s="2">
        <f>YEAR(Sales_Details2[[#This Row],[Order_Date]])</f>
        <v>2024</v>
      </c>
      <c r="D1413" s="2" t="s">
        <v>1086</v>
      </c>
      <c r="E1413" s="2" t="str">
        <f>VLOOKUP(Sales_Details2[[#This Row],[Customer_ID]],Customer_Details[#All],4,0)</f>
        <v>Adult</v>
      </c>
      <c r="F1413" s="2" t="str">
        <f>VLOOKUP(Sales_Details2[[#This Row],[Customer_ID]],Customer_Details[#All],5,0)</f>
        <v>Male</v>
      </c>
      <c r="G1413" s="2" t="str">
        <f>VLOOKUP(Sales_Details2[[#This Row],[Customer_ID]],Customer_Details[#All],9,0)</f>
        <v>Silver</v>
      </c>
      <c r="H1413" s="2" t="s">
        <v>1643</v>
      </c>
      <c r="I1413" s="2" t="str">
        <f>VLOOKUP(Sales_Details2[[#This Row],[Product_ID]],Product_details[[#All],[Product_ID]:[Cost]],3,0)</f>
        <v>Home</v>
      </c>
      <c r="J1413" s="2" t="str">
        <f>VLOOKUP(Sales_Details2[[#This Row],[Product_ID]],Product_details[[#All],[Product_ID]:[Cost]],4,0)</f>
        <v>Decor</v>
      </c>
      <c r="K1413" s="2" t="s">
        <v>1782</v>
      </c>
      <c r="L1413" s="2" t="str">
        <f>_xlfn.XLOOKUP(Sales_Details2[[#This Row],[Store_ID]],Table2[Store_ID],Table2[Region],"Region not found")</f>
        <v>South</v>
      </c>
      <c r="M1413" s="25">
        <v>3</v>
      </c>
      <c r="N1413" s="36">
        <v>169.43</v>
      </c>
      <c r="O1413" s="29">
        <v>0.19</v>
      </c>
      <c r="P1413" s="2" t="s">
        <v>1807</v>
      </c>
      <c r="Q1413" s="36">
        <v>411.71490000000011</v>
      </c>
    </row>
    <row r="1414" spans="1:17" x14ac:dyDescent="0.3">
      <c r="A1414" s="2" t="s">
        <v>3221</v>
      </c>
      <c r="B1414" s="14">
        <v>45413</v>
      </c>
      <c r="C1414" s="2">
        <f>YEAR(Sales_Details2[[#This Row],[Order_Date]])</f>
        <v>2024</v>
      </c>
      <c r="D1414" s="2" t="s">
        <v>539</v>
      </c>
      <c r="E1414" s="2" t="str">
        <f>VLOOKUP(Sales_Details2[[#This Row],[Customer_ID]],Customer_Details[#All],4,0)</f>
        <v>Adult</v>
      </c>
      <c r="F1414" s="2" t="str">
        <f>VLOOKUP(Sales_Details2[[#This Row],[Customer_ID]],Customer_Details[#All],5,0)</f>
        <v>Male</v>
      </c>
      <c r="G1414" s="2" t="str">
        <f>VLOOKUP(Sales_Details2[[#This Row],[Customer_ID]],Customer_Details[#All],9,0)</f>
        <v>Bronze</v>
      </c>
      <c r="H1414" s="2" t="s">
        <v>1697</v>
      </c>
      <c r="I1414" s="2" t="str">
        <f>VLOOKUP(Sales_Details2[[#This Row],[Product_ID]],Product_details[[#All],[Product_ID]:[Cost]],3,0)</f>
        <v>Beauty</v>
      </c>
      <c r="J1414" s="2" t="str">
        <f>VLOOKUP(Sales_Details2[[#This Row],[Product_ID]],Product_details[[#All],[Product_ID]:[Cost]],4,0)</f>
        <v>Skincare</v>
      </c>
      <c r="K1414" s="2" t="s">
        <v>1759</v>
      </c>
      <c r="L1414" s="2" t="str">
        <f>_xlfn.XLOOKUP(Sales_Details2[[#This Row],[Store_ID]],Table2[Store_ID],Table2[Region],"Region not found")</f>
        <v>East</v>
      </c>
      <c r="M1414" s="25">
        <v>1</v>
      </c>
      <c r="N1414" s="36">
        <v>254.47</v>
      </c>
      <c r="O1414" s="29">
        <v>0.1</v>
      </c>
      <c r="P1414" s="2" t="s">
        <v>1807</v>
      </c>
      <c r="Q1414" s="36">
        <v>229.023</v>
      </c>
    </row>
    <row r="1415" spans="1:17" x14ac:dyDescent="0.3">
      <c r="A1415" s="2" t="s">
        <v>3222</v>
      </c>
      <c r="B1415" s="14">
        <v>45506</v>
      </c>
      <c r="C1415" s="2">
        <f>YEAR(Sales_Details2[[#This Row],[Order_Date]])</f>
        <v>2024</v>
      </c>
      <c r="D1415" s="2" t="s">
        <v>1284</v>
      </c>
      <c r="E1415" s="2" t="str">
        <f>VLOOKUP(Sales_Details2[[#This Row],[Customer_ID]],Customer_Details[#All],4,0)</f>
        <v>Senior</v>
      </c>
      <c r="F1415" s="2" t="str">
        <f>VLOOKUP(Sales_Details2[[#This Row],[Customer_ID]],Customer_Details[#All],5,0)</f>
        <v>Female</v>
      </c>
      <c r="G1415" s="2" t="str">
        <f>VLOOKUP(Sales_Details2[[#This Row],[Customer_ID]],Customer_Details[#All],9,0)</f>
        <v>Silver</v>
      </c>
      <c r="H1415" s="2" t="s">
        <v>1581</v>
      </c>
      <c r="I1415" s="2" t="str">
        <f>VLOOKUP(Sales_Details2[[#This Row],[Product_ID]],Product_details[[#All],[Product_ID]:[Cost]],3,0)</f>
        <v>Clothing</v>
      </c>
      <c r="J1415" s="2" t="str">
        <f>VLOOKUP(Sales_Details2[[#This Row],[Product_ID]],Product_details[[#All],[Product_ID]:[Cost]],4,0)</f>
        <v>Accessories</v>
      </c>
      <c r="K1415" s="2" t="s">
        <v>1787</v>
      </c>
      <c r="L1415" s="2" t="str">
        <f>_xlfn.XLOOKUP(Sales_Details2[[#This Row],[Store_ID]],Table2[Store_ID],Table2[Region],"Region not found")</f>
        <v>West</v>
      </c>
      <c r="M1415" s="25">
        <v>4</v>
      </c>
      <c r="N1415" s="36">
        <v>627.73</v>
      </c>
      <c r="O1415" s="29">
        <v>0.11</v>
      </c>
      <c r="P1415" s="2" t="s">
        <v>1812</v>
      </c>
      <c r="Q1415" s="36">
        <v>2234.7188000000001</v>
      </c>
    </row>
    <row r="1416" spans="1:17" x14ac:dyDescent="0.3">
      <c r="A1416" s="2" t="s">
        <v>3223</v>
      </c>
      <c r="B1416" s="14">
        <v>45394</v>
      </c>
      <c r="C1416" s="2">
        <f>YEAR(Sales_Details2[[#This Row],[Order_Date]])</f>
        <v>2024</v>
      </c>
      <c r="D1416" s="2" t="s">
        <v>1147</v>
      </c>
      <c r="E1416" s="2" t="str">
        <f>VLOOKUP(Sales_Details2[[#This Row],[Customer_ID]],Customer_Details[#All],4,0)</f>
        <v>Adult</v>
      </c>
      <c r="F1416" s="2" t="str">
        <f>VLOOKUP(Sales_Details2[[#This Row],[Customer_ID]],Customer_Details[#All],5,0)</f>
        <v>Female</v>
      </c>
      <c r="G1416" s="2" t="str">
        <f>VLOOKUP(Sales_Details2[[#This Row],[Customer_ID]],Customer_Details[#All],9,0)</f>
        <v>Platinum</v>
      </c>
      <c r="H1416" s="2" t="s">
        <v>1593</v>
      </c>
      <c r="I1416" s="2" t="str">
        <f>VLOOKUP(Sales_Details2[[#This Row],[Product_ID]],Product_details[[#All],[Product_ID]:[Cost]],3,0)</f>
        <v>Sports</v>
      </c>
      <c r="J1416" s="2" t="str">
        <f>VLOOKUP(Sales_Details2[[#This Row],[Product_ID]],Product_details[[#All],[Product_ID]:[Cost]],4,0)</f>
        <v>Team Sports</v>
      </c>
      <c r="K1416" s="2" t="s">
        <v>1796</v>
      </c>
      <c r="L1416" s="2" t="str">
        <f>_xlfn.XLOOKUP(Sales_Details2[[#This Row],[Store_ID]],Table2[Store_ID],Table2[Region],"Region not found")</f>
        <v>East</v>
      </c>
      <c r="M1416" s="25">
        <v>4</v>
      </c>
      <c r="N1416" s="36">
        <v>327.25</v>
      </c>
      <c r="O1416" s="29">
        <v>0.13</v>
      </c>
      <c r="P1416" s="2" t="s">
        <v>1812</v>
      </c>
      <c r="Q1416" s="36">
        <v>1138.83</v>
      </c>
    </row>
    <row r="1417" spans="1:17" x14ac:dyDescent="0.3">
      <c r="A1417" s="2" t="s">
        <v>3224</v>
      </c>
      <c r="B1417" s="14">
        <v>45755</v>
      </c>
      <c r="C1417" s="2">
        <f>YEAR(Sales_Details2[[#This Row],[Order_Date]])</f>
        <v>2025</v>
      </c>
      <c r="D1417" s="2" t="s">
        <v>485</v>
      </c>
      <c r="E1417" s="2" t="str">
        <f>VLOOKUP(Sales_Details2[[#This Row],[Customer_ID]],Customer_Details[#All],4,0)</f>
        <v>Mid-Adult</v>
      </c>
      <c r="F1417" s="2" t="str">
        <f>VLOOKUP(Sales_Details2[[#This Row],[Customer_ID]],Customer_Details[#All],5,0)</f>
        <v>Male</v>
      </c>
      <c r="G1417" s="2" t="str">
        <f>VLOOKUP(Sales_Details2[[#This Row],[Customer_ID]],Customer_Details[#All],9,0)</f>
        <v>Platinum</v>
      </c>
      <c r="H1417" s="2" t="s">
        <v>1649</v>
      </c>
      <c r="I1417" s="2" t="str">
        <f>VLOOKUP(Sales_Details2[[#This Row],[Product_ID]],Product_details[[#All],[Product_ID]:[Cost]],3,0)</f>
        <v>Beauty</v>
      </c>
      <c r="J1417" s="2" t="str">
        <f>VLOOKUP(Sales_Details2[[#This Row],[Product_ID]],Product_details[[#All],[Product_ID]:[Cost]],4,0)</f>
        <v>Haircare</v>
      </c>
      <c r="K1417" s="2" t="s">
        <v>1775</v>
      </c>
      <c r="L1417" s="2" t="str">
        <f>_xlfn.XLOOKUP(Sales_Details2[[#This Row],[Store_ID]],Table2[Store_ID],Table2[Region],"Region not found")</f>
        <v>South</v>
      </c>
      <c r="M1417" s="25">
        <v>4</v>
      </c>
      <c r="N1417" s="36">
        <v>511.43</v>
      </c>
      <c r="O1417" s="29">
        <v>0.18</v>
      </c>
      <c r="P1417" s="2" t="s">
        <v>1812</v>
      </c>
      <c r="Q1417" s="36">
        <v>1677.4903999999999</v>
      </c>
    </row>
    <row r="1418" spans="1:17" x14ac:dyDescent="0.3">
      <c r="A1418" s="2" t="s">
        <v>3225</v>
      </c>
      <c r="B1418" s="14">
        <v>45473</v>
      </c>
      <c r="C1418" s="2">
        <f>YEAR(Sales_Details2[[#This Row],[Order_Date]])</f>
        <v>2024</v>
      </c>
      <c r="D1418" s="2" t="s">
        <v>545</v>
      </c>
      <c r="E1418" s="2" t="str">
        <f>VLOOKUP(Sales_Details2[[#This Row],[Customer_ID]],Customer_Details[#All],4,0)</f>
        <v>Mid-Adult</v>
      </c>
      <c r="F1418" s="2" t="str">
        <f>VLOOKUP(Sales_Details2[[#This Row],[Customer_ID]],Customer_Details[#All],5,0)</f>
        <v>Female</v>
      </c>
      <c r="G1418" s="2" t="str">
        <f>VLOOKUP(Sales_Details2[[#This Row],[Customer_ID]],Customer_Details[#All],9,0)</f>
        <v>Platinum</v>
      </c>
      <c r="H1418" s="2" t="s">
        <v>1657</v>
      </c>
      <c r="I1418" s="2" t="str">
        <f>VLOOKUP(Sales_Details2[[#This Row],[Product_ID]],Product_details[[#All],[Product_ID]:[Cost]],3,0)</f>
        <v>Beauty</v>
      </c>
      <c r="J1418" s="2" t="str">
        <f>VLOOKUP(Sales_Details2[[#This Row],[Product_ID]],Product_details[[#All],[Product_ID]:[Cost]],4,0)</f>
        <v>Skincare</v>
      </c>
      <c r="K1418" s="2" t="s">
        <v>1790</v>
      </c>
      <c r="L1418" s="2" t="str">
        <f>_xlfn.XLOOKUP(Sales_Details2[[#This Row],[Store_ID]],Table2[Store_ID],Table2[Region],"Region not found")</f>
        <v>North</v>
      </c>
      <c r="M1418" s="25">
        <v>4</v>
      </c>
      <c r="N1418" s="36">
        <v>194.67</v>
      </c>
      <c r="O1418" s="29">
        <v>0.23</v>
      </c>
      <c r="P1418" s="2" t="s">
        <v>1809</v>
      </c>
      <c r="Q1418" s="36">
        <v>599.58359999999993</v>
      </c>
    </row>
    <row r="1419" spans="1:17" x14ac:dyDescent="0.3">
      <c r="A1419" s="2" t="s">
        <v>3226</v>
      </c>
      <c r="B1419" s="14">
        <v>45304</v>
      </c>
      <c r="C1419" s="2">
        <f>YEAR(Sales_Details2[[#This Row],[Order_Date]])</f>
        <v>2024</v>
      </c>
      <c r="D1419" s="2" t="s">
        <v>218</v>
      </c>
      <c r="E1419" s="2" t="str">
        <f>VLOOKUP(Sales_Details2[[#This Row],[Customer_ID]],Customer_Details[#All],4,0)</f>
        <v>Senior</v>
      </c>
      <c r="F1419" s="2" t="str">
        <f>VLOOKUP(Sales_Details2[[#This Row],[Customer_ID]],Customer_Details[#All],5,0)</f>
        <v>Male</v>
      </c>
      <c r="G1419" s="2" t="str">
        <f>VLOOKUP(Sales_Details2[[#This Row],[Customer_ID]],Customer_Details[#All],9,0)</f>
        <v>Platinum</v>
      </c>
      <c r="H1419" s="2" t="s">
        <v>1577</v>
      </c>
      <c r="I1419" s="2" t="str">
        <f>VLOOKUP(Sales_Details2[[#This Row],[Product_ID]],Product_details[[#All],[Product_ID]:[Cost]],3,0)</f>
        <v>Clothing</v>
      </c>
      <c r="J1419" s="2" t="str">
        <f>VLOOKUP(Sales_Details2[[#This Row],[Product_ID]],Product_details[[#All],[Product_ID]:[Cost]],4,0)</f>
        <v>Tops</v>
      </c>
      <c r="K1419" s="2" t="s">
        <v>1740</v>
      </c>
      <c r="L1419" s="2" t="str">
        <f>_xlfn.XLOOKUP(Sales_Details2[[#This Row],[Store_ID]],Table2[Store_ID],Table2[Region],"Region not found")</f>
        <v>North</v>
      </c>
      <c r="M1419" s="25">
        <v>2</v>
      </c>
      <c r="N1419" s="36">
        <v>54.51</v>
      </c>
      <c r="O1419" s="29">
        <v>7.0000000000000007E-2</v>
      </c>
      <c r="P1419" s="2" t="s">
        <v>1807</v>
      </c>
      <c r="Q1419" s="36">
        <v>101.3886</v>
      </c>
    </row>
    <row r="1420" spans="1:17" x14ac:dyDescent="0.3">
      <c r="A1420" s="2" t="s">
        <v>3227</v>
      </c>
      <c r="B1420" s="14">
        <v>45557</v>
      </c>
      <c r="C1420" s="2">
        <f>YEAR(Sales_Details2[[#This Row],[Order_Date]])</f>
        <v>2024</v>
      </c>
      <c r="D1420" s="2" t="s">
        <v>275</v>
      </c>
      <c r="E1420" s="2" t="str">
        <f>VLOOKUP(Sales_Details2[[#This Row],[Customer_ID]],Customer_Details[#All],4,0)</f>
        <v>Mid-Adult</v>
      </c>
      <c r="F1420" s="2" t="str">
        <f>VLOOKUP(Sales_Details2[[#This Row],[Customer_ID]],Customer_Details[#All],5,0)</f>
        <v>Male</v>
      </c>
      <c r="G1420" s="2" t="str">
        <f>VLOOKUP(Sales_Details2[[#This Row],[Customer_ID]],Customer_Details[#All],9,0)</f>
        <v>Gold</v>
      </c>
      <c r="H1420" s="2" t="s">
        <v>1655</v>
      </c>
      <c r="I1420" s="2" t="str">
        <f>VLOOKUP(Sales_Details2[[#This Row],[Product_ID]],Product_details[[#All],[Product_ID]:[Cost]],3,0)</f>
        <v>Electronics</v>
      </c>
      <c r="J1420" s="2" t="str">
        <f>VLOOKUP(Sales_Details2[[#This Row],[Product_ID]],Product_details[[#All],[Product_ID]:[Cost]],4,0)</f>
        <v>Computer</v>
      </c>
      <c r="K1420" s="2" t="s">
        <v>1775</v>
      </c>
      <c r="L1420" s="2" t="str">
        <f>_xlfn.XLOOKUP(Sales_Details2[[#This Row],[Store_ID]],Table2[Store_ID],Table2[Region],"Region not found")</f>
        <v>South</v>
      </c>
      <c r="M1420" s="25">
        <v>4</v>
      </c>
      <c r="N1420" s="36">
        <v>964</v>
      </c>
      <c r="O1420" s="29">
        <v>0.14000000000000001</v>
      </c>
      <c r="P1420" s="2" t="s">
        <v>1809</v>
      </c>
      <c r="Q1420" s="36">
        <v>3316.16</v>
      </c>
    </row>
    <row r="1421" spans="1:17" x14ac:dyDescent="0.3">
      <c r="A1421" s="2" t="s">
        <v>3228</v>
      </c>
      <c r="B1421" s="14">
        <v>45527</v>
      </c>
      <c r="C1421" s="2">
        <f>YEAR(Sales_Details2[[#This Row],[Order_Date]])</f>
        <v>2024</v>
      </c>
      <c r="D1421" s="2" t="s">
        <v>156</v>
      </c>
      <c r="E1421" s="2" t="str">
        <f>VLOOKUP(Sales_Details2[[#This Row],[Customer_ID]],Customer_Details[#All],4,0)</f>
        <v>Mid-Adult</v>
      </c>
      <c r="F1421" s="2" t="str">
        <f>VLOOKUP(Sales_Details2[[#This Row],[Customer_ID]],Customer_Details[#All],5,0)</f>
        <v>Male</v>
      </c>
      <c r="G1421" s="2" t="str">
        <f>VLOOKUP(Sales_Details2[[#This Row],[Customer_ID]],Customer_Details[#All],9,0)</f>
        <v>Gold</v>
      </c>
      <c r="H1421" s="2" t="s">
        <v>1709</v>
      </c>
      <c r="I1421" s="2" t="str">
        <f>VLOOKUP(Sales_Details2[[#This Row],[Product_ID]],Product_details[[#All],[Product_ID]:[Cost]],3,0)</f>
        <v>Beauty</v>
      </c>
      <c r="J1421" s="2" t="str">
        <f>VLOOKUP(Sales_Details2[[#This Row],[Product_ID]],Product_details[[#All],[Product_ID]:[Cost]],4,0)</f>
        <v>Makeup</v>
      </c>
      <c r="K1421" s="2" t="s">
        <v>1752</v>
      </c>
      <c r="L1421" s="2" t="str">
        <f>_xlfn.XLOOKUP(Sales_Details2[[#This Row],[Store_ID]],Table2[Store_ID],Table2[Region],"Region not found")</f>
        <v>South</v>
      </c>
      <c r="M1421" s="25">
        <v>1</v>
      </c>
      <c r="N1421" s="36">
        <v>170.12</v>
      </c>
      <c r="O1421" s="29">
        <v>0.26</v>
      </c>
      <c r="P1421" s="2" t="s">
        <v>1809</v>
      </c>
      <c r="Q1421" s="36">
        <v>125.8888</v>
      </c>
    </row>
    <row r="1422" spans="1:17" x14ac:dyDescent="0.3">
      <c r="A1422" s="2" t="s">
        <v>3229</v>
      </c>
      <c r="B1422" s="14">
        <v>45875</v>
      </c>
      <c r="C1422" s="2">
        <f>YEAR(Sales_Details2[[#This Row],[Order_Date]])</f>
        <v>2025</v>
      </c>
      <c r="D1422" s="2" t="s">
        <v>506</v>
      </c>
      <c r="E1422" s="2" t="str">
        <f>VLOOKUP(Sales_Details2[[#This Row],[Customer_ID]],Customer_Details[#All],4,0)</f>
        <v>Mid-Adult</v>
      </c>
      <c r="F1422" s="2" t="str">
        <f>VLOOKUP(Sales_Details2[[#This Row],[Customer_ID]],Customer_Details[#All],5,0)</f>
        <v>Female</v>
      </c>
      <c r="G1422" s="2" t="str">
        <f>VLOOKUP(Sales_Details2[[#This Row],[Customer_ID]],Customer_Details[#All],9,0)</f>
        <v>Platinum</v>
      </c>
      <c r="H1422" s="2" t="s">
        <v>1637</v>
      </c>
      <c r="I1422" s="2" t="str">
        <f>VLOOKUP(Sales_Details2[[#This Row],[Product_ID]],Product_details[[#All],[Product_ID]:[Cost]],3,0)</f>
        <v>Clothing</v>
      </c>
      <c r="J1422" s="2" t="str">
        <f>VLOOKUP(Sales_Details2[[#This Row],[Product_ID]],Product_details[[#All],[Product_ID]:[Cost]],4,0)</f>
        <v>Bottoms</v>
      </c>
      <c r="K1422" s="2" t="s">
        <v>1796</v>
      </c>
      <c r="L1422" s="2" t="str">
        <f>_xlfn.XLOOKUP(Sales_Details2[[#This Row],[Store_ID]],Table2[Store_ID],Table2[Region],"Region not found")</f>
        <v>East</v>
      </c>
      <c r="M1422" s="25">
        <v>2</v>
      </c>
      <c r="N1422" s="36">
        <v>664.5</v>
      </c>
      <c r="O1422" s="29">
        <v>0.23</v>
      </c>
      <c r="P1422" s="2" t="s">
        <v>1807</v>
      </c>
      <c r="Q1422" s="36">
        <v>1023.33</v>
      </c>
    </row>
    <row r="1423" spans="1:17" x14ac:dyDescent="0.3">
      <c r="A1423" s="2" t="s">
        <v>3230</v>
      </c>
      <c r="B1423" s="14">
        <v>45936</v>
      </c>
      <c r="C1423" s="2">
        <f>YEAR(Sales_Details2[[#This Row],[Order_Date]])</f>
        <v>2025</v>
      </c>
      <c r="D1423" s="2" t="s">
        <v>1147</v>
      </c>
      <c r="E1423" s="2" t="str">
        <f>VLOOKUP(Sales_Details2[[#This Row],[Customer_ID]],Customer_Details[#All],4,0)</f>
        <v>Adult</v>
      </c>
      <c r="F1423" s="2" t="str">
        <f>VLOOKUP(Sales_Details2[[#This Row],[Customer_ID]],Customer_Details[#All],5,0)</f>
        <v>Female</v>
      </c>
      <c r="G1423" s="2" t="str">
        <f>VLOOKUP(Sales_Details2[[#This Row],[Customer_ID]],Customer_Details[#All],9,0)</f>
        <v>Platinum</v>
      </c>
      <c r="H1423" s="2" t="s">
        <v>1621</v>
      </c>
      <c r="I1423" s="2" t="str">
        <f>VLOOKUP(Sales_Details2[[#This Row],[Product_ID]],Product_details[[#All],[Product_ID]:[Cost]],3,0)</f>
        <v>Sports</v>
      </c>
      <c r="J1423" s="2" t="str">
        <f>VLOOKUP(Sales_Details2[[#This Row],[Product_ID]],Product_details[[#All],[Product_ID]:[Cost]],4,0)</f>
        <v>Team Sports</v>
      </c>
      <c r="K1423" s="2" t="s">
        <v>1772</v>
      </c>
      <c r="L1423" s="2" t="str">
        <f>_xlfn.XLOOKUP(Sales_Details2[[#This Row],[Store_ID]],Table2[Store_ID],Table2[Region],"Region not found")</f>
        <v>East</v>
      </c>
      <c r="M1423" s="25">
        <v>4</v>
      </c>
      <c r="N1423" s="36">
        <v>557.51</v>
      </c>
      <c r="O1423" s="29">
        <v>0.11</v>
      </c>
      <c r="P1423" s="2" t="s">
        <v>1807</v>
      </c>
      <c r="Q1423" s="36">
        <v>1984.7356</v>
      </c>
    </row>
    <row r="1424" spans="1:17" x14ac:dyDescent="0.3">
      <c r="A1424" s="2" t="s">
        <v>3231</v>
      </c>
      <c r="B1424" s="14">
        <v>45807</v>
      </c>
      <c r="C1424" s="2">
        <f>YEAR(Sales_Details2[[#This Row],[Order_Date]])</f>
        <v>2025</v>
      </c>
      <c r="D1424" s="2" t="s">
        <v>1225</v>
      </c>
      <c r="E1424" s="2" t="str">
        <f>VLOOKUP(Sales_Details2[[#This Row],[Customer_ID]],Customer_Details[#All],4,0)</f>
        <v>Senior</v>
      </c>
      <c r="F1424" s="2" t="str">
        <f>VLOOKUP(Sales_Details2[[#This Row],[Customer_ID]],Customer_Details[#All],5,0)</f>
        <v>Female</v>
      </c>
      <c r="G1424" s="2" t="str">
        <f>VLOOKUP(Sales_Details2[[#This Row],[Customer_ID]],Customer_Details[#All],9,0)</f>
        <v>Platinum</v>
      </c>
      <c r="H1424" s="2" t="s">
        <v>1711</v>
      </c>
      <c r="I1424" s="2" t="str">
        <f>VLOOKUP(Sales_Details2[[#This Row],[Product_ID]],Product_details[[#All],[Product_ID]:[Cost]],3,0)</f>
        <v>Electronics</v>
      </c>
      <c r="J1424" s="2" t="str">
        <f>VLOOKUP(Sales_Details2[[#This Row],[Product_ID]],Product_details[[#All],[Product_ID]:[Cost]],4,0)</f>
        <v>Accessories</v>
      </c>
      <c r="K1424" s="2" t="s">
        <v>1740</v>
      </c>
      <c r="L1424" s="2" t="str">
        <f>_xlfn.XLOOKUP(Sales_Details2[[#This Row],[Store_ID]],Table2[Store_ID],Table2[Region],"Region not found")</f>
        <v>North</v>
      </c>
      <c r="M1424" s="25">
        <v>2</v>
      </c>
      <c r="N1424" s="36">
        <v>410</v>
      </c>
      <c r="O1424" s="29">
        <v>0.13</v>
      </c>
      <c r="P1424" s="2" t="s">
        <v>1812</v>
      </c>
      <c r="Q1424" s="36">
        <v>713.4</v>
      </c>
    </row>
    <row r="1425" spans="1:17" x14ac:dyDescent="0.3">
      <c r="A1425" s="2" t="s">
        <v>3232</v>
      </c>
      <c r="B1425" s="14">
        <v>45473</v>
      </c>
      <c r="C1425" s="2">
        <f>YEAR(Sales_Details2[[#This Row],[Order_Date]])</f>
        <v>2024</v>
      </c>
      <c r="D1425" s="2" t="s">
        <v>956</v>
      </c>
      <c r="E1425" s="2" t="str">
        <f>VLOOKUP(Sales_Details2[[#This Row],[Customer_ID]],Customer_Details[#All],4,0)</f>
        <v>Mid-Adult</v>
      </c>
      <c r="F1425" s="2" t="str">
        <f>VLOOKUP(Sales_Details2[[#This Row],[Customer_ID]],Customer_Details[#All],5,0)</f>
        <v>Male</v>
      </c>
      <c r="G1425" s="2" t="str">
        <f>VLOOKUP(Sales_Details2[[#This Row],[Customer_ID]],Customer_Details[#All],9,0)</f>
        <v>Platinum</v>
      </c>
      <c r="H1425" s="2" t="s">
        <v>1697</v>
      </c>
      <c r="I1425" s="2" t="str">
        <f>VLOOKUP(Sales_Details2[[#This Row],[Product_ID]],Product_details[[#All],[Product_ID]:[Cost]],3,0)</f>
        <v>Beauty</v>
      </c>
      <c r="J1425" s="2" t="str">
        <f>VLOOKUP(Sales_Details2[[#This Row],[Product_ID]],Product_details[[#All],[Product_ID]:[Cost]],4,0)</f>
        <v>Skincare</v>
      </c>
      <c r="K1425" s="2" t="s">
        <v>1756</v>
      </c>
      <c r="L1425" s="2" t="str">
        <f>_xlfn.XLOOKUP(Sales_Details2[[#This Row],[Store_ID]],Table2[Store_ID],Table2[Region],"Region not found")</f>
        <v>North</v>
      </c>
      <c r="M1425" s="25">
        <v>2</v>
      </c>
      <c r="N1425" s="36">
        <v>879.93</v>
      </c>
      <c r="O1425" s="29">
        <v>0.28999999999999998</v>
      </c>
      <c r="P1425" s="2" t="s">
        <v>1812</v>
      </c>
      <c r="Q1425" s="36">
        <v>1249.5006000000001</v>
      </c>
    </row>
    <row r="1426" spans="1:17" x14ac:dyDescent="0.3">
      <c r="A1426" s="2" t="s">
        <v>3233</v>
      </c>
      <c r="B1426" s="14">
        <v>45664</v>
      </c>
      <c r="C1426" s="2">
        <f>YEAR(Sales_Details2[[#This Row],[Order_Date]])</f>
        <v>2025</v>
      </c>
      <c r="D1426" s="2" t="s">
        <v>40</v>
      </c>
      <c r="E1426" s="2" t="str">
        <f>VLOOKUP(Sales_Details2[[#This Row],[Customer_ID]],Customer_Details[#All],4,0)</f>
        <v>Adult</v>
      </c>
      <c r="F1426" s="2" t="str">
        <f>VLOOKUP(Sales_Details2[[#This Row],[Customer_ID]],Customer_Details[#All],5,0)</f>
        <v>Female</v>
      </c>
      <c r="G1426" s="2" t="str">
        <f>VLOOKUP(Sales_Details2[[#This Row],[Customer_ID]],Customer_Details[#All],9,0)</f>
        <v>Bronze</v>
      </c>
      <c r="H1426" s="2" t="s">
        <v>1557</v>
      </c>
      <c r="I1426" s="2" t="str">
        <f>VLOOKUP(Sales_Details2[[#This Row],[Product_ID]],Product_details[[#All],[Product_ID]:[Cost]],3,0)</f>
        <v>Electronics</v>
      </c>
      <c r="J1426" s="2" t="str">
        <f>VLOOKUP(Sales_Details2[[#This Row],[Product_ID]],Product_details[[#All],[Product_ID]:[Cost]],4,0)</f>
        <v>Accessories</v>
      </c>
      <c r="K1426" s="2" t="s">
        <v>1793</v>
      </c>
      <c r="L1426" s="2" t="str">
        <f>_xlfn.XLOOKUP(Sales_Details2[[#This Row],[Store_ID]],Table2[Store_ID],Table2[Region],"Region not found")</f>
        <v>East</v>
      </c>
      <c r="M1426" s="25">
        <v>1</v>
      </c>
      <c r="N1426" s="36">
        <v>350.58</v>
      </c>
      <c r="O1426" s="29">
        <v>0.03</v>
      </c>
      <c r="P1426" s="2" t="s">
        <v>1812</v>
      </c>
      <c r="Q1426" s="36">
        <v>340.06259999999997</v>
      </c>
    </row>
    <row r="1427" spans="1:17" x14ac:dyDescent="0.3">
      <c r="A1427" s="2" t="s">
        <v>3234</v>
      </c>
      <c r="B1427" s="14">
        <v>45633</v>
      </c>
      <c r="C1427" s="2">
        <f>YEAR(Sales_Details2[[#This Row],[Order_Date]])</f>
        <v>2024</v>
      </c>
      <c r="D1427" s="2" t="s">
        <v>1086</v>
      </c>
      <c r="E1427" s="2" t="str">
        <f>VLOOKUP(Sales_Details2[[#This Row],[Customer_ID]],Customer_Details[#All],4,0)</f>
        <v>Adult</v>
      </c>
      <c r="F1427" s="2" t="str">
        <f>VLOOKUP(Sales_Details2[[#This Row],[Customer_ID]],Customer_Details[#All],5,0)</f>
        <v>Male</v>
      </c>
      <c r="G1427" s="2" t="str">
        <f>VLOOKUP(Sales_Details2[[#This Row],[Customer_ID]],Customer_Details[#All],9,0)</f>
        <v>Silver</v>
      </c>
      <c r="H1427" s="2" t="s">
        <v>1647</v>
      </c>
      <c r="I1427" s="2" t="str">
        <f>VLOOKUP(Sales_Details2[[#This Row],[Product_ID]],Product_details[[#All],[Product_ID]:[Cost]],3,0)</f>
        <v>Clothing</v>
      </c>
      <c r="J1427" s="2" t="str">
        <f>VLOOKUP(Sales_Details2[[#This Row],[Product_ID]],Product_details[[#All],[Product_ID]:[Cost]],4,0)</f>
        <v>Accessories</v>
      </c>
      <c r="K1427" s="2" t="s">
        <v>1749</v>
      </c>
      <c r="L1427" s="2" t="str">
        <f>_xlfn.XLOOKUP(Sales_Details2[[#This Row],[Store_ID]],Table2[Store_ID],Table2[Region],"Region not found")</f>
        <v>North</v>
      </c>
      <c r="M1427" s="25">
        <v>4</v>
      </c>
      <c r="N1427" s="36">
        <v>348.58</v>
      </c>
      <c r="O1427" s="29">
        <v>0.16</v>
      </c>
      <c r="P1427" s="2" t="s">
        <v>1807</v>
      </c>
      <c r="Q1427" s="36">
        <v>1171.2288000000001</v>
      </c>
    </row>
    <row r="1428" spans="1:17" x14ac:dyDescent="0.3">
      <c r="A1428" s="2" t="s">
        <v>3235</v>
      </c>
      <c r="B1428" s="14">
        <v>45548</v>
      </c>
      <c r="C1428" s="2">
        <f>YEAR(Sales_Details2[[#This Row],[Order_Date]])</f>
        <v>2024</v>
      </c>
      <c r="D1428" s="2" t="s">
        <v>1401</v>
      </c>
      <c r="E1428" s="2" t="str">
        <f>VLOOKUP(Sales_Details2[[#This Row],[Customer_ID]],Customer_Details[#All],4,0)</f>
        <v>Adult</v>
      </c>
      <c r="F1428" s="2" t="str">
        <f>VLOOKUP(Sales_Details2[[#This Row],[Customer_ID]],Customer_Details[#All],5,0)</f>
        <v>Female</v>
      </c>
      <c r="G1428" s="2" t="str">
        <f>VLOOKUP(Sales_Details2[[#This Row],[Customer_ID]],Customer_Details[#All],9,0)</f>
        <v>Gold</v>
      </c>
      <c r="H1428" s="2" t="s">
        <v>1581</v>
      </c>
      <c r="I1428" s="2" t="str">
        <f>VLOOKUP(Sales_Details2[[#This Row],[Product_ID]],Product_details[[#All],[Product_ID]:[Cost]],3,0)</f>
        <v>Clothing</v>
      </c>
      <c r="J1428" s="2" t="str">
        <f>VLOOKUP(Sales_Details2[[#This Row],[Product_ID]],Product_details[[#All],[Product_ID]:[Cost]],4,0)</f>
        <v>Accessories</v>
      </c>
      <c r="K1428" s="2" t="s">
        <v>1749</v>
      </c>
      <c r="L1428" s="2" t="str">
        <f>_xlfn.XLOOKUP(Sales_Details2[[#This Row],[Store_ID]],Table2[Store_ID],Table2[Region],"Region not found")</f>
        <v>North</v>
      </c>
      <c r="M1428" s="25">
        <v>3</v>
      </c>
      <c r="N1428" s="36">
        <v>247.66</v>
      </c>
      <c r="O1428" s="29">
        <v>0.02</v>
      </c>
      <c r="P1428" s="2" t="s">
        <v>1812</v>
      </c>
      <c r="Q1428" s="36">
        <v>728.12040000000002</v>
      </c>
    </row>
    <row r="1429" spans="1:17" x14ac:dyDescent="0.3">
      <c r="A1429" s="2" t="s">
        <v>3236</v>
      </c>
      <c r="B1429" s="14">
        <v>45244</v>
      </c>
      <c r="C1429" s="2">
        <f>YEAR(Sales_Details2[[#This Row],[Order_Date]])</f>
        <v>2023</v>
      </c>
      <c r="D1429" s="2" t="s">
        <v>1198</v>
      </c>
      <c r="E1429" s="2" t="str">
        <f>VLOOKUP(Sales_Details2[[#This Row],[Customer_ID]],Customer_Details[#All],4,0)</f>
        <v>Senior</v>
      </c>
      <c r="F1429" s="2" t="str">
        <f>VLOOKUP(Sales_Details2[[#This Row],[Customer_ID]],Customer_Details[#All],5,0)</f>
        <v>Male</v>
      </c>
      <c r="G1429" s="2" t="str">
        <f>VLOOKUP(Sales_Details2[[#This Row],[Customer_ID]],Customer_Details[#All],9,0)</f>
        <v>Platinum</v>
      </c>
      <c r="H1429" s="2" t="s">
        <v>1609</v>
      </c>
      <c r="I1429" s="2" t="str">
        <f>VLOOKUP(Sales_Details2[[#This Row],[Product_ID]],Product_details[[#All],[Product_ID]:[Cost]],3,0)</f>
        <v>Electronics</v>
      </c>
      <c r="J1429" s="2" t="str">
        <f>VLOOKUP(Sales_Details2[[#This Row],[Product_ID]],Product_details[[#All],[Product_ID]:[Cost]],4,0)</f>
        <v>Mobile</v>
      </c>
      <c r="K1429" s="2" t="s">
        <v>1784</v>
      </c>
      <c r="L1429" s="2" t="str">
        <f>_xlfn.XLOOKUP(Sales_Details2[[#This Row],[Store_ID]],Table2[Store_ID],Table2[Region],"Region not found")</f>
        <v>North</v>
      </c>
      <c r="M1429" s="25">
        <v>3</v>
      </c>
      <c r="N1429" s="36">
        <v>836.27</v>
      </c>
      <c r="O1429" s="29">
        <v>0.16</v>
      </c>
      <c r="P1429" s="2" t="s">
        <v>1807</v>
      </c>
      <c r="Q1429" s="36">
        <v>2107.4004</v>
      </c>
    </row>
    <row r="1430" spans="1:17" x14ac:dyDescent="0.3">
      <c r="A1430" s="2" t="s">
        <v>3237</v>
      </c>
      <c r="B1430" s="14">
        <v>45753</v>
      </c>
      <c r="C1430" s="2">
        <f>YEAR(Sales_Details2[[#This Row],[Order_Date]])</f>
        <v>2025</v>
      </c>
      <c r="D1430" s="2" t="s">
        <v>634</v>
      </c>
      <c r="E1430" s="2" t="str">
        <f>VLOOKUP(Sales_Details2[[#This Row],[Customer_ID]],Customer_Details[#All],4,0)</f>
        <v>Senior</v>
      </c>
      <c r="F1430" s="2" t="str">
        <f>VLOOKUP(Sales_Details2[[#This Row],[Customer_ID]],Customer_Details[#All],5,0)</f>
        <v>Male</v>
      </c>
      <c r="G1430" s="2" t="str">
        <f>VLOOKUP(Sales_Details2[[#This Row],[Customer_ID]],Customer_Details[#All],9,0)</f>
        <v>Silver</v>
      </c>
      <c r="H1430" s="2" t="s">
        <v>1559</v>
      </c>
      <c r="I1430" s="2" t="str">
        <f>VLOOKUP(Sales_Details2[[#This Row],[Product_ID]],Product_details[[#All],[Product_ID]:[Cost]],3,0)</f>
        <v>Home</v>
      </c>
      <c r="J1430" s="2" t="str">
        <f>VLOOKUP(Sales_Details2[[#This Row],[Product_ID]],Product_details[[#All],[Product_ID]:[Cost]],4,0)</f>
        <v>Decor</v>
      </c>
      <c r="K1430" s="2" t="s">
        <v>1772</v>
      </c>
      <c r="L1430" s="2" t="str">
        <f>_xlfn.XLOOKUP(Sales_Details2[[#This Row],[Store_ID]],Table2[Store_ID],Table2[Region],"Region not found")</f>
        <v>East</v>
      </c>
      <c r="M1430" s="25">
        <v>3</v>
      </c>
      <c r="N1430" s="36">
        <v>696.74</v>
      </c>
      <c r="O1430" s="29">
        <v>0.13</v>
      </c>
      <c r="P1430" s="2" t="s">
        <v>1812</v>
      </c>
      <c r="Q1430" s="36">
        <v>1818.4914000000001</v>
      </c>
    </row>
    <row r="1431" spans="1:17" x14ac:dyDescent="0.3">
      <c r="A1431" s="2" t="s">
        <v>3238</v>
      </c>
      <c r="B1431" s="14">
        <v>45804</v>
      </c>
      <c r="C1431" s="2">
        <f>YEAR(Sales_Details2[[#This Row],[Order_Date]])</f>
        <v>2025</v>
      </c>
      <c r="D1431" s="2" t="s">
        <v>779</v>
      </c>
      <c r="E1431" s="2" t="str">
        <f>VLOOKUP(Sales_Details2[[#This Row],[Customer_ID]],Customer_Details[#All],4,0)</f>
        <v>Senior</v>
      </c>
      <c r="F1431" s="2" t="str">
        <f>VLOOKUP(Sales_Details2[[#This Row],[Customer_ID]],Customer_Details[#All],5,0)</f>
        <v>Female</v>
      </c>
      <c r="G1431" s="2" t="str">
        <f>VLOOKUP(Sales_Details2[[#This Row],[Customer_ID]],Customer_Details[#All],9,0)</f>
        <v>Platinum</v>
      </c>
      <c r="H1431" s="2" t="s">
        <v>1719</v>
      </c>
      <c r="I1431" s="2" t="str">
        <f>VLOOKUP(Sales_Details2[[#This Row],[Product_ID]],Product_details[[#All],[Product_ID]:[Cost]],3,0)</f>
        <v>Beauty</v>
      </c>
      <c r="J1431" s="2" t="str">
        <f>VLOOKUP(Sales_Details2[[#This Row],[Product_ID]],Product_details[[#All],[Product_ID]:[Cost]],4,0)</f>
        <v>Skincare</v>
      </c>
      <c r="K1431" s="2" t="s">
        <v>1780</v>
      </c>
      <c r="L1431" s="2" t="str">
        <f>_xlfn.XLOOKUP(Sales_Details2[[#This Row],[Store_ID]],Table2[Store_ID],Table2[Region],"Region not found")</f>
        <v>East</v>
      </c>
      <c r="M1431" s="25">
        <v>2</v>
      </c>
      <c r="N1431" s="36">
        <v>822.59</v>
      </c>
      <c r="O1431" s="29">
        <v>0.22</v>
      </c>
      <c r="P1431" s="2" t="s">
        <v>1809</v>
      </c>
      <c r="Q1431" s="36">
        <v>1283.2403999999999</v>
      </c>
    </row>
    <row r="1432" spans="1:17" x14ac:dyDescent="0.3">
      <c r="A1432" s="2" t="s">
        <v>3239</v>
      </c>
      <c r="B1432" s="14">
        <v>45263</v>
      </c>
      <c r="C1432" s="2">
        <f>YEAR(Sales_Details2[[#This Row],[Order_Date]])</f>
        <v>2023</v>
      </c>
      <c r="D1432" s="2" t="s">
        <v>713</v>
      </c>
      <c r="E1432" s="2" t="str">
        <f>VLOOKUP(Sales_Details2[[#This Row],[Customer_ID]],Customer_Details[#All],4,0)</f>
        <v>Mid-Adult</v>
      </c>
      <c r="F1432" s="2" t="str">
        <f>VLOOKUP(Sales_Details2[[#This Row],[Customer_ID]],Customer_Details[#All],5,0)</f>
        <v>Male</v>
      </c>
      <c r="G1432" s="2" t="str">
        <f>VLOOKUP(Sales_Details2[[#This Row],[Customer_ID]],Customer_Details[#All],9,0)</f>
        <v>Platinum</v>
      </c>
      <c r="H1432" s="2" t="s">
        <v>1689</v>
      </c>
      <c r="I1432" s="2" t="str">
        <f>VLOOKUP(Sales_Details2[[#This Row],[Product_ID]],Product_details[[#All],[Product_ID]:[Cost]],3,0)</f>
        <v>Home</v>
      </c>
      <c r="J1432" s="2" t="str">
        <f>VLOOKUP(Sales_Details2[[#This Row],[Product_ID]],Product_details[[#All],[Product_ID]:[Cost]],4,0)</f>
        <v>Lighting</v>
      </c>
      <c r="K1432" s="2" t="s">
        <v>1744</v>
      </c>
      <c r="L1432" s="2" t="str">
        <f>_xlfn.XLOOKUP(Sales_Details2[[#This Row],[Store_ID]],Table2[Store_ID],Table2[Region],"Region not found")</f>
        <v>South</v>
      </c>
      <c r="M1432" s="25">
        <v>1</v>
      </c>
      <c r="N1432" s="36">
        <v>462.23</v>
      </c>
      <c r="O1432" s="29">
        <v>0.3</v>
      </c>
      <c r="P1432" s="2" t="s">
        <v>1809</v>
      </c>
      <c r="Q1432" s="36">
        <v>323.56099999999998</v>
      </c>
    </row>
    <row r="1433" spans="1:17" x14ac:dyDescent="0.3">
      <c r="A1433" s="2" t="s">
        <v>3240</v>
      </c>
      <c r="B1433" s="14">
        <v>45906</v>
      </c>
      <c r="C1433" s="2">
        <f>YEAR(Sales_Details2[[#This Row],[Order_Date]])</f>
        <v>2025</v>
      </c>
      <c r="D1433" s="2" t="s">
        <v>1367</v>
      </c>
      <c r="E1433" s="2" t="str">
        <f>VLOOKUP(Sales_Details2[[#This Row],[Customer_ID]],Customer_Details[#All],4,0)</f>
        <v>Mid-Adult</v>
      </c>
      <c r="F1433" s="2" t="str">
        <f>VLOOKUP(Sales_Details2[[#This Row],[Customer_ID]],Customer_Details[#All],5,0)</f>
        <v>Male</v>
      </c>
      <c r="G1433" s="2" t="str">
        <f>VLOOKUP(Sales_Details2[[#This Row],[Customer_ID]],Customer_Details[#All],9,0)</f>
        <v>Gold</v>
      </c>
      <c r="H1433" s="2" t="s">
        <v>1615</v>
      </c>
      <c r="I1433" s="2" t="str">
        <f>VLOOKUP(Sales_Details2[[#This Row],[Product_ID]],Product_details[[#All],[Product_ID]:[Cost]],3,0)</f>
        <v>Electronics</v>
      </c>
      <c r="J1433" s="2" t="str">
        <f>VLOOKUP(Sales_Details2[[#This Row],[Product_ID]],Product_details[[#All],[Product_ID]:[Cost]],4,0)</f>
        <v>Accessories</v>
      </c>
      <c r="K1433" s="2" t="s">
        <v>1790</v>
      </c>
      <c r="L1433" s="2" t="str">
        <f>_xlfn.XLOOKUP(Sales_Details2[[#This Row],[Store_ID]],Table2[Store_ID],Table2[Region],"Region not found")</f>
        <v>North</v>
      </c>
      <c r="M1433" s="25">
        <v>1</v>
      </c>
      <c r="N1433" s="36">
        <v>361.09</v>
      </c>
      <c r="O1433" s="29">
        <v>0.06</v>
      </c>
      <c r="P1433" s="2" t="s">
        <v>1809</v>
      </c>
      <c r="Q1433" s="36">
        <v>339.42459999999988</v>
      </c>
    </row>
    <row r="1434" spans="1:17" x14ac:dyDescent="0.3">
      <c r="A1434" s="2" t="s">
        <v>3241</v>
      </c>
      <c r="B1434" s="14">
        <v>45243</v>
      </c>
      <c r="C1434" s="2">
        <f>YEAR(Sales_Details2[[#This Row],[Order_Date]])</f>
        <v>2023</v>
      </c>
      <c r="D1434" s="2" t="s">
        <v>1183</v>
      </c>
      <c r="E1434" s="2" t="str">
        <f>VLOOKUP(Sales_Details2[[#This Row],[Customer_ID]],Customer_Details[#All],4,0)</f>
        <v>Adult</v>
      </c>
      <c r="F1434" s="2" t="str">
        <f>VLOOKUP(Sales_Details2[[#This Row],[Customer_ID]],Customer_Details[#All],5,0)</f>
        <v>Female</v>
      </c>
      <c r="G1434" s="2" t="str">
        <f>VLOOKUP(Sales_Details2[[#This Row],[Customer_ID]],Customer_Details[#All],9,0)</f>
        <v>Silver</v>
      </c>
      <c r="H1434" s="2" t="s">
        <v>1677</v>
      </c>
      <c r="I1434" s="2" t="str">
        <f>VLOOKUP(Sales_Details2[[#This Row],[Product_ID]],Product_details[[#All],[Product_ID]:[Cost]],3,0)</f>
        <v>Sports</v>
      </c>
      <c r="J1434" s="2" t="str">
        <f>VLOOKUP(Sales_Details2[[#This Row],[Product_ID]],Product_details[[#All],[Product_ID]:[Cost]],4,0)</f>
        <v>Team Sports</v>
      </c>
      <c r="K1434" s="2" t="s">
        <v>1796</v>
      </c>
      <c r="L1434" s="2" t="str">
        <f>_xlfn.XLOOKUP(Sales_Details2[[#This Row],[Store_ID]],Table2[Store_ID],Table2[Region],"Region not found")</f>
        <v>East</v>
      </c>
      <c r="M1434" s="25">
        <v>3</v>
      </c>
      <c r="N1434" s="36">
        <v>59.37</v>
      </c>
      <c r="O1434" s="29">
        <v>0.03</v>
      </c>
      <c r="P1434" s="2" t="s">
        <v>1809</v>
      </c>
      <c r="Q1434" s="36">
        <v>172.76669999999999</v>
      </c>
    </row>
    <row r="1435" spans="1:17" x14ac:dyDescent="0.3">
      <c r="A1435" s="2" t="s">
        <v>3242</v>
      </c>
      <c r="B1435" s="14">
        <v>45686</v>
      </c>
      <c r="C1435" s="2">
        <f>YEAR(Sales_Details2[[#This Row],[Order_Date]])</f>
        <v>2025</v>
      </c>
      <c r="D1435" s="2" t="s">
        <v>143</v>
      </c>
      <c r="E1435" s="2" t="str">
        <f>VLOOKUP(Sales_Details2[[#This Row],[Customer_ID]],Customer_Details[#All],4,0)</f>
        <v>Adult</v>
      </c>
      <c r="F1435" s="2" t="str">
        <f>VLOOKUP(Sales_Details2[[#This Row],[Customer_ID]],Customer_Details[#All],5,0)</f>
        <v>Female</v>
      </c>
      <c r="G1435" s="2" t="str">
        <f>VLOOKUP(Sales_Details2[[#This Row],[Customer_ID]],Customer_Details[#All],9,0)</f>
        <v>Gold</v>
      </c>
      <c r="H1435" s="2" t="s">
        <v>1611</v>
      </c>
      <c r="I1435" s="2" t="str">
        <f>VLOOKUP(Sales_Details2[[#This Row],[Product_ID]],Product_details[[#All],[Product_ID]:[Cost]],3,0)</f>
        <v>Electronics</v>
      </c>
      <c r="J1435" s="2" t="str">
        <f>VLOOKUP(Sales_Details2[[#This Row],[Product_ID]],Product_details[[#All],[Product_ID]:[Cost]],4,0)</f>
        <v>Audio</v>
      </c>
      <c r="K1435" s="2" t="s">
        <v>1740</v>
      </c>
      <c r="L1435" s="2" t="str">
        <f>_xlfn.XLOOKUP(Sales_Details2[[#This Row],[Store_ID]],Table2[Store_ID],Table2[Region],"Region not found")</f>
        <v>North</v>
      </c>
      <c r="M1435" s="25">
        <v>3</v>
      </c>
      <c r="N1435" s="36">
        <v>765.21</v>
      </c>
      <c r="O1435" s="29">
        <v>0.14000000000000001</v>
      </c>
      <c r="P1435" s="2" t="s">
        <v>1812</v>
      </c>
      <c r="Q1435" s="36">
        <v>1974.2418</v>
      </c>
    </row>
    <row r="1436" spans="1:17" x14ac:dyDescent="0.3">
      <c r="A1436" s="2" t="s">
        <v>3243</v>
      </c>
      <c r="B1436" s="14">
        <v>45472</v>
      </c>
      <c r="C1436" s="2">
        <f>YEAR(Sales_Details2[[#This Row],[Order_Date]])</f>
        <v>2024</v>
      </c>
      <c r="D1436" s="2" t="s">
        <v>773</v>
      </c>
      <c r="E1436" s="2" t="str">
        <f>VLOOKUP(Sales_Details2[[#This Row],[Customer_ID]],Customer_Details[#All],4,0)</f>
        <v>Senior</v>
      </c>
      <c r="F1436" s="2" t="str">
        <f>VLOOKUP(Sales_Details2[[#This Row],[Customer_ID]],Customer_Details[#All],5,0)</f>
        <v>Female</v>
      </c>
      <c r="G1436" s="2" t="str">
        <f>VLOOKUP(Sales_Details2[[#This Row],[Customer_ID]],Customer_Details[#All],9,0)</f>
        <v>Gold</v>
      </c>
      <c r="H1436" s="2" t="s">
        <v>1595</v>
      </c>
      <c r="I1436" s="2" t="str">
        <f>VLOOKUP(Sales_Details2[[#This Row],[Product_ID]],Product_details[[#All],[Product_ID]:[Cost]],3,0)</f>
        <v>Beauty</v>
      </c>
      <c r="J1436" s="2" t="str">
        <f>VLOOKUP(Sales_Details2[[#This Row],[Product_ID]],Product_details[[#All],[Product_ID]:[Cost]],4,0)</f>
        <v>Skincare</v>
      </c>
      <c r="K1436" s="2" t="s">
        <v>1777</v>
      </c>
      <c r="L1436" s="2" t="str">
        <f>_xlfn.XLOOKUP(Sales_Details2[[#This Row],[Store_ID]],Table2[Store_ID],Table2[Region],"Region not found")</f>
        <v>North</v>
      </c>
      <c r="M1436" s="25">
        <v>4</v>
      </c>
      <c r="N1436" s="36">
        <v>303.56</v>
      </c>
      <c r="O1436" s="29">
        <v>0.2</v>
      </c>
      <c r="P1436" s="2" t="s">
        <v>1812</v>
      </c>
      <c r="Q1436" s="36">
        <v>971.39200000000005</v>
      </c>
    </row>
    <row r="1437" spans="1:17" x14ac:dyDescent="0.3">
      <c r="A1437" s="2" t="s">
        <v>3244</v>
      </c>
      <c r="B1437" s="14">
        <v>45779</v>
      </c>
      <c r="C1437" s="2">
        <f>YEAR(Sales_Details2[[#This Row],[Order_Date]])</f>
        <v>2025</v>
      </c>
      <c r="D1437" s="2" t="s">
        <v>1355</v>
      </c>
      <c r="E1437" s="2" t="str">
        <f>VLOOKUP(Sales_Details2[[#This Row],[Customer_ID]],Customer_Details[#All],4,0)</f>
        <v>Senior</v>
      </c>
      <c r="F1437" s="2" t="str">
        <f>VLOOKUP(Sales_Details2[[#This Row],[Customer_ID]],Customer_Details[#All],5,0)</f>
        <v>Male</v>
      </c>
      <c r="G1437" s="2" t="str">
        <f>VLOOKUP(Sales_Details2[[#This Row],[Customer_ID]],Customer_Details[#All],9,0)</f>
        <v>Silver</v>
      </c>
      <c r="H1437" s="2" t="s">
        <v>1585</v>
      </c>
      <c r="I1437" s="2" t="str">
        <f>VLOOKUP(Sales_Details2[[#This Row],[Product_ID]],Product_details[[#All],[Product_ID]:[Cost]],3,0)</f>
        <v>Home</v>
      </c>
      <c r="J1437" s="2" t="str">
        <f>VLOOKUP(Sales_Details2[[#This Row],[Product_ID]],Product_details[[#All],[Product_ID]:[Cost]],4,0)</f>
        <v>Decor</v>
      </c>
      <c r="K1437" s="2" t="s">
        <v>1735</v>
      </c>
      <c r="L1437" s="2" t="str">
        <f>_xlfn.XLOOKUP(Sales_Details2[[#This Row],[Store_ID]],Table2[Store_ID],Table2[Region],"Region not found")</f>
        <v>East</v>
      </c>
      <c r="M1437" s="25">
        <v>1</v>
      </c>
      <c r="N1437" s="36">
        <v>640.92999999999995</v>
      </c>
      <c r="O1437" s="29">
        <v>0.19</v>
      </c>
      <c r="P1437" s="2" t="s">
        <v>1809</v>
      </c>
      <c r="Q1437" s="36">
        <v>519.15329999999994</v>
      </c>
    </row>
    <row r="1438" spans="1:17" x14ac:dyDescent="0.3">
      <c r="A1438" s="2" t="s">
        <v>3245</v>
      </c>
      <c r="B1438" s="14">
        <v>45830</v>
      </c>
      <c r="C1438" s="2">
        <f>YEAR(Sales_Details2[[#This Row],[Order_Date]])</f>
        <v>2025</v>
      </c>
      <c r="D1438" s="2" t="s">
        <v>570</v>
      </c>
      <c r="E1438" s="2" t="str">
        <f>VLOOKUP(Sales_Details2[[#This Row],[Customer_ID]],Customer_Details[#All],4,0)</f>
        <v>Adult</v>
      </c>
      <c r="F1438" s="2" t="str">
        <f>VLOOKUP(Sales_Details2[[#This Row],[Customer_ID]],Customer_Details[#All],5,0)</f>
        <v>Female</v>
      </c>
      <c r="G1438" s="2" t="str">
        <f>VLOOKUP(Sales_Details2[[#This Row],[Customer_ID]],Customer_Details[#All],9,0)</f>
        <v>Gold</v>
      </c>
      <c r="H1438" s="2" t="s">
        <v>1703</v>
      </c>
      <c r="I1438" s="2" t="str">
        <f>VLOOKUP(Sales_Details2[[#This Row],[Product_ID]],Product_details[[#All],[Product_ID]:[Cost]],3,0)</f>
        <v>Home</v>
      </c>
      <c r="J1438" s="2" t="str">
        <f>VLOOKUP(Sales_Details2[[#This Row],[Product_ID]],Product_details[[#All],[Product_ID]:[Cost]],4,0)</f>
        <v>Kitchen</v>
      </c>
      <c r="K1438" s="2" t="s">
        <v>1772</v>
      </c>
      <c r="L1438" s="2" t="str">
        <f>_xlfn.XLOOKUP(Sales_Details2[[#This Row],[Store_ID]],Table2[Store_ID],Table2[Region],"Region not found")</f>
        <v>East</v>
      </c>
      <c r="M1438" s="25">
        <v>2</v>
      </c>
      <c r="N1438" s="36">
        <v>611.25</v>
      </c>
      <c r="O1438" s="29">
        <v>0.22</v>
      </c>
      <c r="P1438" s="2" t="s">
        <v>1807</v>
      </c>
      <c r="Q1438" s="36">
        <v>953.55000000000007</v>
      </c>
    </row>
    <row r="1439" spans="1:17" x14ac:dyDescent="0.3">
      <c r="A1439" s="2" t="s">
        <v>3246</v>
      </c>
      <c r="B1439" s="14">
        <v>45756</v>
      </c>
      <c r="C1439" s="2">
        <f>YEAR(Sales_Details2[[#This Row],[Order_Date]])</f>
        <v>2025</v>
      </c>
      <c r="D1439" s="2" t="s">
        <v>1406</v>
      </c>
      <c r="E1439" s="2" t="str">
        <f>VLOOKUP(Sales_Details2[[#This Row],[Customer_ID]],Customer_Details[#All],4,0)</f>
        <v>Senior</v>
      </c>
      <c r="F1439" s="2" t="str">
        <f>VLOOKUP(Sales_Details2[[#This Row],[Customer_ID]],Customer_Details[#All],5,0)</f>
        <v>Female</v>
      </c>
      <c r="G1439" s="2" t="str">
        <f>VLOOKUP(Sales_Details2[[#This Row],[Customer_ID]],Customer_Details[#All],9,0)</f>
        <v>Silver</v>
      </c>
      <c r="H1439" s="2" t="s">
        <v>1663</v>
      </c>
      <c r="I1439" s="2" t="str">
        <f>VLOOKUP(Sales_Details2[[#This Row],[Product_ID]],Product_details[[#All],[Product_ID]:[Cost]],3,0)</f>
        <v>Beauty</v>
      </c>
      <c r="J1439" s="2" t="str">
        <f>VLOOKUP(Sales_Details2[[#This Row],[Product_ID]],Product_details[[#All],[Product_ID]:[Cost]],4,0)</f>
        <v>Haircare</v>
      </c>
      <c r="K1439" s="2" t="s">
        <v>1740</v>
      </c>
      <c r="L1439" s="2" t="str">
        <f>_xlfn.XLOOKUP(Sales_Details2[[#This Row],[Store_ID]],Table2[Store_ID],Table2[Region],"Region not found")</f>
        <v>North</v>
      </c>
      <c r="M1439" s="25">
        <v>1</v>
      </c>
      <c r="N1439" s="36">
        <v>209.93</v>
      </c>
      <c r="O1439" s="29">
        <v>0.21</v>
      </c>
      <c r="P1439" s="2" t="s">
        <v>1807</v>
      </c>
      <c r="Q1439" s="36">
        <v>165.84469999999999</v>
      </c>
    </row>
    <row r="1440" spans="1:17" x14ac:dyDescent="0.3">
      <c r="A1440" s="2" t="s">
        <v>3247</v>
      </c>
      <c r="B1440" s="14">
        <v>45847</v>
      </c>
      <c r="C1440" s="2">
        <f>YEAR(Sales_Details2[[#This Row],[Order_Date]])</f>
        <v>2025</v>
      </c>
      <c r="D1440" s="2" t="s">
        <v>382</v>
      </c>
      <c r="E1440" s="2" t="str">
        <f>VLOOKUP(Sales_Details2[[#This Row],[Customer_ID]],Customer_Details[#All],4,0)</f>
        <v>Mid-Adult</v>
      </c>
      <c r="F1440" s="2" t="str">
        <f>VLOOKUP(Sales_Details2[[#This Row],[Customer_ID]],Customer_Details[#All],5,0)</f>
        <v>Female</v>
      </c>
      <c r="G1440" s="2" t="str">
        <f>VLOOKUP(Sales_Details2[[#This Row],[Customer_ID]],Customer_Details[#All],9,0)</f>
        <v>Gold</v>
      </c>
      <c r="H1440" s="2" t="s">
        <v>1729</v>
      </c>
      <c r="I1440" s="2" t="str">
        <f>VLOOKUP(Sales_Details2[[#This Row],[Product_ID]],Product_details[[#All],[Product_ID]:[Cost]],3,0)</f>
        <v>Home</v>
      </c>
      <c r="J1440" s="2" t="str">
        <f>VLOOKUP(Sales_Details2[[#This Row],[Product_ID]],Product_details[[#All],[Product_ID]:[Cost]],4,0)</f>
        <v>Kitchen</v>
      </c>
      <c r="K1440" s="2" t="s">
        <v>1772</v>
      </c>
      <c r="L1440" s="2" t="str">
        <f>_xlfn.XLOOKUP(Sales_Details2[[#This Row],[Store_ID]],Table2[Store_ID],Table2[Region],"Region not found")</f>
        <v>East</v>
      </c>
      <c r="M1440" s="25">
        <v>3</v>
      </c>
      <c r="N1440" s="36">
        <v>130.38999999999999</v>
      </c>
      <c r="O1440" s="29">
        <v>0.24</v>
      </c>
      <c r="P1440" s="2" t="s">
        <v>1809</v>
      </c>
      <c r="Q1440" s="36">
        <v>297.28919999999999</v>
      </c>
    </row>
    <row r="1441" spans="1:17" x14ac:dyDescent="0.3">
      <c r="A1441" s="2" t="s">
        <v>3248</v>
      </c>
      <c r="B1441" s="14">
        <v>45322</v>
      </c>
      <c r="C1441" s="2">
        <f>YEAR(Sales_Details2[[#This Row],[Order_Date]])</f>
        <v>2024</v>
      </c>
      <c r="D1441" s="2" t="s">
        <v>914</v>
      </c>
      <c r="E1441" s="2" t="str">
        <f>VLOOKUP(Sales_Details2[[#This Row],[Customer_ID]],Customer_Details[#All],4,0)</f>
        <v>Mid-Adult</v>
      </c>
      <c r="F1441" s="2" t="str">
        <f>VLOOKUP(Sales_Details2[[#This Row],[Customer_ID]],Customer_Details[#All],5,0)</f>
        <v>Female</v>
      </c>
      <c r="G1441" s="2" t="str">
        <f>VLOOKUP(Sales_Details2[[#This Row],[Customer_ID]],Customer_Details[#All],9,0)</f>
        <v>Bronze</v>
      </c>
      <c r="H1441" s="2" t="s">
        <v>1717</v>
      </c>
      <c r="I1441" s="2" t="str">
        <f>VLOOKUP(Sales_Details2[[#This Row],[Product_ID]],Product_details[[#All],[Product_ID]:[Cost]],3,0)</f>
        <v>Electronics</v>
      </c>
      <c r="J1441" s="2" t="str">
        <f>VLOOKUP(Sales_Details2[[#This Row],[Product_ID]],Product_details[[#All],[Product_ID]:[Cost]],4,0)</f>
        <v>Computer</v>
      </c>
      <c r="K1441" s="2" t="s">
        <v>1762</v>
      </c>
      <c r="L1441" s="2" t="str">
        <f>_xlfn.XLOOKUP(Sales_Details2[[#This Row],[Store_ID]],Table2[Store_ID],Table2[Region],"Region not found")</f>
        <v>South</v>
      </c>
      <c r="M1441" s="25">
        <v>2</v>
      </c>
      <c r="N1441" s="36">
        <v>846.18</v>
      </c>
      <c r="O1441" s="29">
        <v>0.1</v>
      </c>
      <c r="P1441" s="2" t="s">
        <v>1812</v>
      </c>
      <c r="Q1441" s="36">
        <v>1523.124</v>
      </c>
    </row>
    <row r="1442" spans="1:17" x14ac:dyDescent="0.3">
      <c r="A1442" s="2" t="s">
        <v>3249</v>
      </c>
      <c r="B1442" s="14">
        <v>45829</v>
      </c>
      <c r="C1442" s="2">
        <f>YEAR(Sales_Details2[[#This Row],[Order_Date]])</f>
        <v>2025</v>
      </c>
      <c r="D1442" s="2" t="s">
        <v>1097</v>
      </c>
      <c r="E1442" s="2" t="str">
        <f>VLOOKUP(Sales_Details2[[#This Row],[Customer_ID]],Customer_Details[#All],4,0)</f>
        <v>Mid-Adult</v>
      </c>
      <c r="F1442" s="2" t="str">
        <f>VLOOKUP(Sales_Details2[[#This Row],[Customer_ID]],Customer_Details[#All],5,0)</f>
        <v>Male</v>
      </c>
      <c r="G1442" s="2" t="str">
        <f>VLOOKUP(Sales_Details2[[#This Row],[Customer_ID]],Customer_Details[#All],9,0)</f>
        <v>Silver</v>
      </c>
      <c r="H1442" s="2" t="s">
        <v>1671</v>
      </c>
      <c r="I1442" s="2" t="str">
        <f>VLOOKUP(Sales_Details2[[#This Row],[Product_ID]],Product_details[[#All],[Product_ID]:[Cost]],3,0)</f>
        <v>Home</v>
      </c>
      <c r="J1442" s="2" t="str">
        <f>VLOOKUP(Sales_Details2[[#This Row],[Product_ID]],Product_details[[#All],[Product_ID]:[Cost]],4,0)</f>
        <v>Storage</v>
      </c>
      <c r="K1442" s="2" t="s">
        <v>1782</v>
      </c>
      <c r="L1442" s="2" t="str">
        <f>_xlfn.XLOOKUP(Sales_Details2[[#This Row],[Store_ID]],Table2[Store_ID],Table2[Region],"Region not found")</f>
        <v>South</v>
      </c>
      <c r="M1442" s="25">
        <v>2</v>
      </c>
      <c r="N1442" s="36">
        <v>424.53</v>
      </c>
      <c r="O1442" s="29">
        <v>0.14000000000000001</v>
      </c>
      <c r="P1442" s="2" t="s">
        <v>1812</v>
      </c>
      <c r="Q1442" s="36">
        <v>730.19159999999999</v>
      </c>
    </row>
    <row r="1443" spans="1:17" x14ac:dyDescent="0.3">
      <c r="A1443" s="2" t="s">
        <v>3250</v>
      </c>
      <c r="B1443" s="14">
        <v>45539</v>
      </c>
      <c r="C1443" s="2">
        <f>YEAR(Sales_Details2[[#This Row],[Order_Date]])</f>
        <v>2024</v>
      </c>
      <c r="D1443" s="2" t="s">
        <v>817</v>
      </c>
      <c r="E1443" s="2" t="str">
        <f>VLOOKUP(Sales_Details2[[#This Row],[Customer_ID]],Customer_Details[#All],4,0)</f>
        <v>Adult</v>
      </c>
      <c r="F1443" s="2" t="str">
        <f>VLOOKUP(Sales_Details2[[#This Row],[Customer_ID]],Customer_Details[#All],5,0)</f>
        <v>Female</v>
      </c>
      <c r="G1443" s="2" t="str">
        <f>VLOOKUP(Sales_Details2[[#This Row],[Customer_ID]],Customer_Details[#All],9,0)</f>
        <v>Platinum</v>
      </c>
      <c r="H1443" s="2" t="s">
        <v>1707</v>
      </c>
      <c r="I1443" s="2" t="str">
        <f>VLOOKUP(Sales_Details2[[#This Row],[Product_ID]],Product_details[[#All],[Product_ID]:[Cost]],3,0)</f>
        <v>Sports</v>
      </c>
      <c r="J1443" s="2" t="str">
        <f>VLOOKUP(Sales_Details2[[#This Row],[Product_ID]],Product_details[[#All],[Product_ID]:[Cost]],4,0)</f>
        <v>Accessories</v>
      </c>
      <c r="K1443" s="2" t="s">
        <v>1782</v>
      </c>
      <c r="L1443" s="2" t="str">
        <f>_xlfn.XLOOKUP(Sales_Details2[[#This Row],[Store_ID]],Table2[Store_ID],Table2[Region],"Region not found")</f>
        <v>South</v>
      </c>
      <c r="M1443" s="25">
        <v>4</v>
      </c>
      <c r="N1443" s="36">
        <v>450.42</v>
      </c>
      <c r="O1443" s="29">
        <v>0.08</v>
      </c>
      <c r="P1443" s="2" t="s">
        <v>1812</v>
      </c>
      <c r="Q1443" s="36">
        <v>1657.5455999999999</v>
      </c>
    </row>
    <row r="1444" spans="1:17" x14ac:dyDescent="0.3">
      <c r="A1444" s="2" t="s">
        <v>3251</v>
      </c>
      <c r="B1444" s="14">
        <v>45893</v>
      </c>
      <c r="C1444" s="2">
        <f>YEAR(Sales_Details2[[#This Row],[Order_Date]])</f>
        <v>2025</v>
      </c>
      <c r="D1444" s="2" t="s">
        <v>518</v>
      </c>
      <c r="E1444" s="2" t="str">
        <f>VLOOKUP(Sales_Details2[[#This Row],[Customer_ID]],Customer_Details[#All],4,0)</f>
        <v>Mid-Adult</v>
      </c>
      <c r="F1444" s="2" t="str">
        <f>VLOOKUP(Sales_Details2[[#This Row],[Customer_ID]],Customer_Details[#All],5,0)</f>
        <v>Male</v>
      </c>
      <c r="G1444" s="2" t="str">
        <f>VLOOKUP(Sales_Details2[[#This Row],[Customer_ID]],Customer_Details[#All],9,0)</f>
        <v>Bronze</v>
      </c>
      <c r="H1444" s="2" t="s">
        <v>1583</v>
      </c>
      <c r="I1444" s="2" t="str">
        <f>VLOOKUP(Sales_Details2[[#This Row],[Product_ID]],Product_details[[#All],[Product_ID]:[Cost]],3,0)</f>
        <v>Electronics</v>
      </c>
      <c r="J1444" s="2" t="str">
        <f>VLOOKUP(Sales_Details2[[#This Row],[Product_ID]],Product_details[[#All],[Product_ID]:[Cost]],4,0)</f>
        <v>Audio</v>
      </c>
      <c r="K1444" s="2" t="s">
        <v>1769</v>
      </c>
      <c r="L1444" s="2" t="str">
        <f>_xlfn.XLOOKUP(Sales_Details2[[#This Row],[Store_ID]],Table2[Store_ID],Table2[Region],"Region not found")</f>
        <v>South</v>
      </c>
      <c r="M1444" s="25">
        <v>4</v>
      </c>
      <c r="N1444" s="36">
        <v>896.91</v>
      </c>
      <c r="O1444" s="29">
        <v>0.1</v>
      </c>
      <c r="P1444" s="2" t="s">
        <v>1807</v>
      </c>
      <c r="Q1444" s="36">
        <v>3228.8760000000002</v>
      </c>
    </row>
    <row r="1445" spans="1:17" x14ac:dyDescent="0.3">
      <c r="A1445" s="2" t="s">
        <v>3252</v>
      </c>
      <c r="B1445" s="14">
        <v>45814</v>
      </c>
      <c r="C1445" s="2">
        <f>YEAR(Sales_Details2[[#This Row],[Order_Date]])</f>
        <v>2025</v>
      </c>
      <c r="D1445" s="2" t="s">
        <v>1475</v>
      </c>
      <c r="E1445" s="2" t="str">
        <f>VLOOKUP(Sales_Details2[[#This Row],[Customer_ID]],Customer_Details[#All],4,0)</f>
        <v>Mid-Adult</v>
      </c>
      <c r="F1445" s="2" t="str">
        <f>VLOOKUP(Sales_Details2[[#This Row],[Customer_ID]],Customer_Details[#All],5,0)</f>
        <v>Female</v>
      </c>
      <c r="G1445" s="2" t="str">
        <f>VLOOKUP(Sales_Details2[[#This Row],[Customer_ID]],Customer_Details[#All],9,0)</f>
        <v>Bronze</v>
      </c>
      <c r="H1445" s="2" t="s">
        <v>1725</v>
      </c>
      <c r="I1445" s="2" t="str">
        <f>VLOOKUP(Sales_Details2[[#This Row],[Product_ID]],Product_details[[#All],[Product_ID]:[Cost]],3,0)</f>
        <v>Sports</v>
      </c>
      <c r="J1445" s="2" t="str">
        <f>VLOOKUP(Sales_Details2[[#This Row],[Product_ID]],Product_details[[#All],[Product_ID]:[Cost]],4,0)</f>
        <v>Team Sports</v>
      </c>
      <c r="K1445" s="2" t="s">
        <v>1772</v>
      </c>
      <c r="L1445" s="2" t="str">
        <f>_xlfn.XLOOKUP(Sales_Details2[[#This Row],[Store_ID]],Table2[Store_ID],Table2[Region],"Region not found")</f>
        <v>East</v>
      </c>
      <c r="M1445" s="25">
        <v>3</v>
      </c>
      <c r="N1445" s="36">
        <v>679.38</v>
      </c>
      <c r="O1445" s="29">
        <v>0.3</v>
      </c>
      <c r="P1445" s="2" t="s">
        <v>1812</v>
      </c>
      <c r="Q1445" s="36">
        <v>1426.6980000000001</v>
      </c>
    </row>
    <row r="1446" spans="1:17" x14ac:dyDescent="0.3">
      <c r="A1446" s="2" t="s">
        <v>3253</v>
      </c>
      <c r="B1446" s="14">
        <v>45571</v>
      </c>
      <c r="C1446" s="2">
        <f>YEAR(Sales_Details2[[#This Row],[Order_Date]])</f>
        <v>2024</v>
      </c>
      <c r="D1446" s="2" t="s">
        <v>75</v>
      </c>
      <c r="E1446" s="2" t="str">
        <f>VLOOKUP(Sales_Details2[[#This Row],[Customer_ID]],Customer_Details[#All],4,0)</f>
        <v>Adult</v>
      </c>
      <c r="F1446" s="2" t="str">
        <f>VLOOKUP(Sales_Details2[[#This Row],[Customer_ID]],Customer_Details[#All],5,0)</f>
        <v>Female</v>
      </c>
      <c r="G1446" s="2" t="str">
        <f>VLOOKUP(Sales_Details2[[#This Row],[Customer_ID]],Customer_Details[#All],9,0)</f>
        <v>Bronze</v>
      </c>
      <c r="H1446" s="2" t="s">
        <v>1691</v>
      </c>
      <c r="I1446" s="2" t="str">
        <f>VLOOKUP(Sales_Details2[[#This Row],[Product_ID]],Product_details[[#All],[Product_ID]:[Cost]],3,0)</f>
        <v>Home</v>
      </c>
      <c r="J1446" s="2" t="str">
        <f>VLOOKUP(Sales_Details2[[#This Row],[Product_ID]],Product_details[[#All],[Product_ID]:[Cost]],4,0)</f>
        <v>Kitchen</v>
      </c>
      <c r="K1446" s="2" t="s">
        <v>1787</v>
      </c>
      <c r="L1446" s="2" t="str">
        <f>_xlfn.XLOOKUP(Sales_Details2[[#This Row],[Store_ID]],Table2[Store_ID],Table2[Region],"Region not found")</f>
        <v>West</v>
      </c>
      <c r="M1446" s="25">
        <v>3</v>
      </c>
      <c r="N1446" s="36">
        <v>483.63</v>
      </c>
      <c r="O1446" s="29">
        <v>0</v>
      </c>
      <c r="P1446" s="2" t="s">
        <v>1807</v>
      </c>
      <c r="Q1446" s="36">
        <v>1450.89</v>
      </c>
    </row>
    <row r="1447" spans="1:17" x14ac:dyDescent="0.3">
      <c r="A1447" s="2" t="s">
        <v>3254</v>
      </c>
      <c r="B1447" s="14">
        <v>45542</v>
      </c>
      <c r="C1447" s="2">
        <f>YEAR(Sales_Details2[[#This Row],[Order_Date]])</f>
        <v>2024</v>
      </c>
      <c r="D1447" s="2" t="s">
        <v>124</v>
      </c>
      <c r="E1447" s="2" t="str">
        <f>VLOOKUP(Sales_Details2[[#This Row],[Customer_ID]],Customer_Details[#All],4,0)</f>
        <v>Senior</v>
      </c>
      <c r="F1447" s="2" t="str">
        <f>VLOOKUP(Sales_Details2[[#This Row],[Customer_ID]],Customer_Details[#All],5,0)</f>
        <v>Female</v>
      </c>
      <c r="G1447" s="2" t="str">
        <f>VLOOKUP(Sales_Details2[[#This Row],[Customer_ID]],Customer_Details[#All],9,0)</f>
        <v>Bronze</v>
      </c>
      <c r="H1447" s="2" t="s">
        <v>1609</v>
      </c>
      <c r="I1447" s="2" t="str">
        <f>VLOOKUP(Sales_Details2[[#This Row],[Product_ID]],Product_details[[#All],[Product_ID]:[Cost]],3,0)</f>
        <v>Electronics</v>
      </c>
      <c r="J1447" s="2" t="str">
        <f>VLOOKUP(Sales_Details2[[#This Row],[Product_ID]],Product_details[[#All],[Product_ID]:[Cost]],4,0)</f>
        <v>Mobile</v>
      </c>
      <c r="K1447" s="2" t="s">
        <v>1735</v>
      </c>
      <c r="L1447" s="2" t="str">
        <f>_xlfn.XLOOKUP(Sales_Details2[[#This Row],[Store_ID]],Table2[Store_ID],Table2[Region],"Region not found")</f>
        <v>East</v>
      </c>
      <c r="M1447" s="25">
        <v>3</v>
      </c>
      <c r="N1447" s="36">
        <v>158.27000000000001</v>
      </c>
      <c r="O1447" s="29">
        <v>0.24</v>
      </c>
      <c r="P1447" s="2" t="s">
        <v>1812</v>
      </c>
      <c r="Q1447" s="36">
        <v>360.85559999999998</v>
      </c>
    </row>
    <row r="1448" spans="1:17" x14ac:dyDescent="0.3">
      <c r="A1448" s="2" t="s">
        <v>3255</v>
      </c>
      <c r="B1448" s="14">
        <v>45758</v>
      </c>
      <c r="C1448" s="2">
        <f>YEAR(Sales_Details2[[#This Row],[Order_Date]])</f>
        <v>2025</v>
      </c>
      <c r="D1448" s="2" t="s">
        <v>397</v>
      </c>
      <c r="E1448" s="2" t="str">
        <f>VLOOKUP(Sales_Details2[[#This Row],[Customer_ID]],Customer_Details[#All],4,0)</f>
        <v>Senior</v>
      </c>
      <c r="F1448" s="2" t="str">
        <f>VLOOKUP(Sales_Details2[[#This Row],[Customer_ID]],Customer_Details[#All],5,0)</f>
        <v>Female</v>
      </c>
      <c r="G1448" s="2" t="str">
        <f>VLOOKUP(Sales_Details2[[#This Row],[Customer_ID]],Customer_Details[#All],9,0)</f>
        <v>Platinum</v>
      </c>
      <c r="H1448" s="2" t="s">
        <v>1532</v>
      </c>
      <c r="I1448" s="2" t="str">
        <f>VLOOKUP(Sales_Details2[[#This Row],[Product_ID]],Product_details[[#All],[Product_ID]:[Cost]],3,0)</f>
        <v>Clothing</v>
      </c>
      <c r="J1448" s="2" t="str">
        <f>VLOOKUP(Sales_Details2[[#This Row],[Product_ID]],Product_details[[#All],[Product_ID]:[Cost]],4,0)</f>
        <v>Outerwear</v>
      </c>
      <c r="K1448" s="2" t="s">
        <v>1784</v>
      </c>
      <c r="L1448" s="2" t="str">
        <f>_xlfn.XLOOKUP(Sales_Details2[[#This Row],[Store_ID]],Table2[Store_ID],Table2[Region],"Region not found")</f>
        <v>North</v>
      </c>
      <c r="M1448" s="25">
        <v>4</v>
      </c>
      <c r="N1448" s="36">
        <v>601.5</v>
      </c>
      <c r="O1448" s="29">
        <v>0.18</v>
      </c>
      <c r="P1448" s="2" t="s">
        <v>1807</v>
      </c>
      <c r="Q1448" s="36">
        <v>1972.92</v>
      </c>
    </row>
    <row r="1449" spans="1:17" x14ac:dyDescent="0.3">
      <c r="A1449" s="2" t="s">
        <v>3256</v>
      </c>
      <c r="B1449" s="14">
        <v>45709</v>
      </c>
      <c r="C1449" s="2">
        <f>YEAR(Sales_Details2[[#This Row],[Order_Date]])</f>
        <v>2025</v>
      </c>
      <c r="D1449" s="2" t="s">
        <v>252</v>
      </c>
      <c r="E1449" s="2" t="str">
        <f>VLOOKUP(Sales_Details2[[#This Row],[Customer_ID]],Customer_Details[#All],4,0)</f>
        <v>Adult</v>
      </c>
      <c r="F1449" s="2" t="str">
        <f>VLOOKUP(Sales_Details2[[#This Row],[Customer_ID]],Customer_Details[#All],5,0)</f>
        <v>Female</v>
      </c>
      <c r="G1449" s="2" t="str">
        <f>VLOOKUP(Sales_Details2[[#This Row],[Customer_ID]],Customer_Details[#All],9,0)</f>
        <v>Platinum</v>
      </c>
      <c r="H1449" s="2" t="s">
        <v>1593</v>
      </c>
      <c r="I1449" s="2" t="str">
        <f>VLOOKUP(Sales_Details2[[#This Row],[Product_ID]],Product_details[[#All],[Product_ID]:[Cost]],3,0)</f>
        <v>Sports</v>
      </c>
      <c r="J1449" s="2" t="str">
        <f>VLOOKUP(Sales_Details2[[#This Row],[Product_ID]],Product_details[[#All],[Product_ID]:[Cost]],4,0)</f>
        <v>Team Sports</v>
      </c>
      <c r="K1449" s="2" t="s">
        <v>1793</v>
      </c>
      <c r="L1449" s="2" t="str">
        <f>_xlfn.XLOOKUP(Sales_Details2[[#This Row],[Store_ID]],Table2[Store_ID],Table2[Region],"Region not found")</f>
        <v>East</v>
      </c>
      <c r="M1449" s="25">
        <v>2</v>
      </c>
      <c r="N1449" s="36">
        <v>46.39</v>
      </c>
      <c r="O1449" s="29">
        <v>7.0000000000000007E-2</v>
      </c>
      <c r="P1449" s="2" t="s">
        <v>1807</v>
      </c>
      <c r="Q1449" s="36">
        <v>86.285399999999996</v>
      </c>
    </row>
    <row r="1450" spans="1:17" x14ac:dyDescent="0.3">
      <c r="A1450" s="2" t="s">
        <v>3257</v>
      </c>
      <c r="B1450" s="14">
        <v>45587</v>
      </c>
      <c r="C1450" s="2">
        <f>YEAR(Sales_Details2[[#This Row],[Order_Date]])</f>
        <v>2024</v>
      </c>
      <c r="D1450" s="2" t="s">
        <v>409</v>
      </c>
      <c r="E1450" s="2" t="str">
        <f>VLOOKUP(Sales_Details2[[#This Row],[Customer_ID]],Customer_Details[#All],4,0)</f>
        <v>Mid-Adult</v>
      </c>
      <c r="F1450" s="2" t="str">
        <f>VLOOKUP(Sales_Details2[[#This Row],[Customer_ID]],Customer_Details[#All],5,0)</f>
        <v>Male</v>
      </c>
      <c r="G1450" s="2" t="str">
        <f>VLOOKUP(Sales_Details2[[#This Row],[Customer_ID]],Customer_Details[#All],9,0)</f>
        <v>Bronze</v>
      </c>
      <c r="H1450" s="2" t="s">
        <v>1695</v>
      </c>
      <c r="I1450" s="2" t="str">
        <f>VLOOKUP(Sales_Details2[[#This Row],[Product_ID]],Product_details[[#All],[Product_ID]:[Cost]],3,0)</f>
        <v>Sports</v>
      </c>
      <c r="J1450" s="2" t="str">
        <f>VLOOKUP(Sales_Details2[[#This Row],[Product_ID]],Product_details[[#All],[Product_ID]:[Cost]],4,0)</f>
        <v>Fitness</v>
      </c>
      <c r="K1450" s="2" t="s">
        <v>1765</v>
      </c>
      <c r="L1450" s="2" t="str">
        <f>_xlfn.XLOOKUP(Sales_Details2[[#This Row],[Store_ID]],Table2[Store_ID],Table2[Region],"Region not found")</f>
        <v>West</v>
      </c>
      <c r="M1450" s="25">
        <v>4</v>
      </c>
      <c r="N1450" s="36">
        <v>892.28</v>
      </c>
      <c r="O1450" s="29">
        <v>0.23</v>
      </c>
      <c r="P1450" s="2" t="s">
        <v>1807</v>
      </c>
      <c r="Q1450" s="36">
        <v>2748.2224000000001</v>
      </c>
    </row>
    <row r="1451" spans="1:17" x14ac:dyDescent="0.3">
      <c r="A1451" s="2" t="s">
        <v>3258</v>
      </c>
      <c r="B1451" s="14">
        <v>45494</v>
      </c>
      <c r="C1451" s="2">
        <f>YEAR(Sales_Details2[[#This Row],[Order_Date]])</f>
        <v>2024</v>
      </c>
      <c r="D1451" s="2" t="s">
        <v>710</v>
      </c>
      <c r="E1451" s="2" t="str">
        <f>VLOOKUP(Sales_Details2[[#This Row],[Customer_ID]],Customer_Details[#All],4,0)</f>
        <v>Mid-Adult</v>
      </c>
      <c r="F1451" s="2" t="str">
        <f>VLOOKUP(Sales_Details2[[#This Row],[Customer_ID]],Customer_Details[#All],5,0)</f>
        <v>Male</v>
      </c>
      <c r="G1451" s="2" t="str">
        <f>VLOOKUP(Sales_Details2[[#This Row],[Customer_ID]],Customer_Details[#All],9,0)</f>
        <v>Platinum</v>
      </c>
      <c r="H1451" s="2" t="s">
        <v>1551</v>
      </c>
      <c r="I1451" s="2" t="str">
        <f>VLOOKUP(Sales_Details2[[#This Row],[Product_ID]],Product_details[[#All],[Product_ID]:[Cost]],3,0)</f>
        <v>Home</v>
      </c>
      <c r="J1451" s="2" t="str">
        <f>VLOOKUP(Sales_Details2[[#This Row],[Product_ID]],Product_details[[#All],[Product_ID]:[Cost]],4,0)</f>
        <v>Kitchen</v>
      </c>
      <c r="K1451" s="2" t="s">
        <v>1762</v>
      </c>
      <c r="L1451" s="2" t="str">
        <f>_xlfn.XLOOKUP(Sales_Details2[[#This Row],[Store_ID]],Table2[Store_ID],Table2[Region],"Region not found")</f>
        <v>South</v>
      </c>
      <c r="M1451" s="25">
        <v>2</v>
      </c>
      <c r="N1451" s="36">
        <v>164.23</v>
      </c>
      <c r="O1451" s="29">
        <v>0.17</v>
      </c>
      <c r="P1451" s="2" t="s">
        <v>1807</v>
      </c>
      <c r="Q1451" s="36">
        <v>272.62180000000001</v>
      </c>
    </row>
    <row r="1452" spans="1:17" x14ac:dyDescent="0.3">
      <c r="A1452" s="2" t="s">
        <v>3259</v>
      </c>
      <c r="B1452" s="14">
        <v>45305</v>
      </c>
      <c r="C1452" s="2">
        <f>YEAR(Sales_Details2[[#This Row],[Order_Date]])</f>
        <v>2024</v>
      </c>
      <c r="D1452" s="2" t="s">
        <v>1381</v>
      </c>
      <c r="E1452" s="2" t="str">
        <f>VLOOKUP(Sales_Details2[[#This Row],[Customer_ID]],Customer_Details[#All],4,0)</f>
        <v>Senior</v>
      </c>
      <c r="F1452" s="2" t="str">
        <f>VLOOKUP(Sales_Details2[[#This Row],[Customer_ID]],Customer_Details[#All],5,0)</f>
        <v>Female</v>
      </c>
      <c r="G1452" s="2" t="str">
        <f>VLOOKUP(Sales_Details2[[#This Row],[Customer_ID]],Customer_Details[#All],9,0)</f>
        <v>Bronze</v>
      </c>
      <c r="H1452" s="2" t="s">
        <v>1548</v>
      </c>
      <c r="I1452" s="2" t="str">
        <f>VLOOKUP(Sales_Details2[[#This Row],[Product_ID]],Product_details[[#All],[Product_ID]:[Cost]],3,0)</f>
        <v>Sports</v>
      </c>
      <c r="J1452" s="2" t="str">
        <f>VLOOKUP(Sales_Details2[[#This Row],[Product_ID]],Product_details[[#All],[Product_ID]:[Cost]],4,0)</f>
        <v>Fitness</v>
      </c>
      <c r="K1452" s="2" t="s">
        <v>1762</v>
      </c>
      <c r="L1452" s="2" t="str">
        <f>_xlfn.XLOOKUP(Sales_Details2[[#This Row],[Store_ID]],Table2[Store_ID],Table2[Region],"Region not found")</f>
        <v>South</v>
      </c>
      <c r="M1452" s="25">
        <v>1</v>
      </c>
      <c r="N1452" s="36">
        <v>484.23</v>
      </c>
      <c r="O1452" s="29">
        <v>0.12</v>
      </c>
      <c r="P1452" s="2" t="s">
        <v>1812</v>
      </c>
      <c r="Q1452" s="36">
        <v>426.12240000000003</v>
      </c>
    </row>
    <row r="1453" spans="1:17" x14ac:dyDescent="0.3">
      <c r="A1453" s="2" t="s">
        <v>3260</v>
      </c>
      <c r="B1453" s="14">
        <v>45383</v>
      </c>
      <c r="C1453" s="2">
        <f>YEAR(Sales_Details2[[#This Row],[Order_Date]])</f>
        <v>2024</v>
      </c>
      <c r="D1453" s="2" t="s">
        <v>32</v>
      </c>
      <c r="E1453" s="2" t="str">
        <f>VLOOKUP(Sales_Details2[[#This Row],[Customer_ID]],Customer_Details[#All],4,0)</f>
        <v>Adult</v>
      </c>
      <c r="F1453" s="2" t="str">
        <f>VLOOKUP(Sales_Details2[[#This Row],[Customer_ID]],Customer_Details[#All],5,0)</f>
        <v>Male</v>
      </c>
      <c r="G1453" s="2" t="str">
        <f>VLOOKUP(Sales_Details2[[#This Row],[Customer_ID]],Customer_Details[#All],9,0)</f>
        <v>Bronze</v>
      </c>
      <c r="H1453" s="2" t="s">
        <v>1601</v>
      </c>
      <c r="I1453" s="2" t="str">
        <f>VLOOKUP(Sales_Details2[[#This Row],[Product_ID]],Product_details[[#All],[Product_ID]:[Cost]],3,0)</f>
        <v>Home</v>
      </c>
      <c r="J1453" s="2" t="str">
        <f>VLOOKUP(Sales_Details2[[#This Row],[Product_ID]],Product_details[[#All],[Product_ID]:[Cost]],4,0)</f>
        <v>Lighting</v>
      </c>
      <c r="K1453" s="2" t="s">
        <v>1793</v>
      </c>
      <c r="L1453" s="2" t="str">
        <f>_xlfn.XLOOKUP(Sales_Details2[[#This Row],[Store_ID]],Table2[Store_ID],Table2[Region],"Region not found")</f>
        <v>East</v>
      </c>
      <c r="M1453" s="25">
        <v>3</v>
      </c>
      <c r="N1453" s="36">
        <v>341.51</v>
      </c>
      <c r="O1453" s="29">
        <v>0.22</v>
      </c>
      <c r="P1453" s="2" t="s">
        <v>1812</v>
      </c>
      <c r="Q1453" s="36">
        <v>799.13340000000005</v>
      </c>
    </row>
    <row r="1454" spans="1:17" x14ac:dyDescent="0.3">
      <c r="A1454" s="2" t="s">
        <v>3261</v>
      </c>
      <c r="B1454" s="14">
        <v>45788</v>
      </c>
      <c r="C1454" s="2">
        <f>YEAR(Sales_Details2[[#This Row],[Order_Date]])</f>
        <v>2025</v>
      </c>
      <c r="D1454" s="2" t="s">
        <v>379</v>
      </c>
      <c r="E1454" s="2" t="str">
        <f>VLOOKUP(Sales_Details2[[#This Row],[Customer_ID]],Customer_Details[#All],4,0)</f>
        <v>Adult</v>
      </c>
      <c r="F1454" s="2" t="str">
        <f>VLOOKUP(Sales_Details2[[#This Row],[Customer_ID]],Customer_Details[#All],5,0)</f>
        <v>Male</v>
      </c>
      <c r="G1454" s="2" t="str">
        <f>VLOOKUP(Sales_Details2[[#This Row],[Customer_ID]],Customer_Details[#All],9,0)</f>
        <v>Silver</v>
      </c>
      <c r="H1454" s="2" t="s">
        <v>1727</v>
      </c>
      <c r="I1454" s="2" t="str">
        <f>VLOOKUP(Sales_Details2[[#This Row],[Product_ID]],Product_details[[#All],[Product_ID]:[Cost]],3,0)</f>
        <v>Electronics</v>
      </c>
      <c r="J1454" s="2" t="str">
        <f>VLOOKUP(Sales_Details2[[#This Row],[Product_ID]],Product_details[[#All],[Product_ID]:[Cost]],4,0)</f>
        <v>Audio</v>
      </c>
      <c r="K1454" s="2" t="s">
        <v>1780</v>
      </c>
      <c r="L1454" s="2" t="str">
        <f>_xlfn.XLOOKUP(Sales_Details2[[#This Row],[Store_ID]],Table2[Store_ID],Table2[Region],"Region not found")</f>
        <v>East</v>
      </c>
      <c r="M1454" s="25">
        <v>3</v>
      </c>
      <c r="N1454" s="36">
        <v>758.87</v>
      </c>
      <c r="O1454" s="29">
        <v>0.11</v>
      </c>
      <c r="P1454" s="2" t="s">
        <v>1809</v>
      </c>
      <c r="Q1454" s="36">
        <v>2026.1829</v>
      </c>
    </row>
    <row r="1455" spans="1:17" x14ac:dyDescent="0.3">
      <c r="A1455" s="2" t="s">
        <v>3262</v>
      </c>
      <c r="B1455" s="14">
        <v>45855</v>
      </c>
      <c r="C1455" s="2">
        <f>YEAR(Sales_Details2[[#This Row],[Order_Date]])</f>
        <v>2025</v>
      </c>
      <c r="D1455" s="2" t="s">
        <v>1433</v>
      </c>
      <c r="E1455" s="2" t="str">
        <f>VLOOKUP(Sales_Details2[[#This Row],[Customer_ID]],Customer_Details[#All],4,0)</f>
        <v>Adult</v>
      </c>
      <c r="F1455" s="2" t="str">
        <f>VLOOKUP(Sales_Details2[[#This Row],[Customer_ID]],Customer_Details[#All],5,0)</f>
        <v>Female</v>
      </c>
      <c r="G1455" s="2" t="str">
        <f>VLOOKUP(Sales_Details2[[#This Row],[Customer_ID]],Customer_Details[#All],9,0)</f>
        <v>Gold</v>
      </c>
      <c r="H1455" s="2" t="s">
        <v>1643</v>
      </c>
      <c r="I1455" s="2" t="str">
        <f>VLOOKUP(Sales_Details2[[#This Row],[Product_ID]],Product_details[[#All],[Product_ID]:[Cost]],3,0)</f>
        <v>Home</v>
      </c>
      <c r="J1455" s="2" t="str">
        <f>VLOOKUP(Sales_Details2[[#This Row],[Product_ID]],Product_details[[#All],[Product_ID]:[Cost]],4,0)</f>
        <v>Decor</v>
      </c>
      <c r="K1455" s="2" t="s">
        <v>1777</v>
      </c>
      <c r="L1455" s="2" t="str">
        <f>_xlfn.XLOOKUP(Sales_Details2[[#This Row],[Store_ID]],Table2[Store_ID],Table2[Region],"Region not found")</f>
        <v>North</v>
      </c>
      <c r="M1455" s="25">
        <v>3</v>
      </c>
      <c r="N1455" s="36">
        <v>560.52</v>
      </c>
      <c r="O1455" s="29">
        <v>0.17</v>
      </c>
      <c r="P1455" s="2" t="s">
        <v>1807</v>
      </c>
      <c r="Q1455" s="36">
        <v>1395.6948</v>
      </c>
    </row>
    <row r="1456" spans="1:17" x14ac:dyDescent="0.3">
      <c r="A1456" s="2" t="s">
        <v>3263</v>
      </c>
      <c r="B1456" s="14">
        <v>45533</v>
      </c>
      <c r="C1456" s="2">
        <f>YEAR(Sales_Details2[[#This Row],[Order_Date]])</f>
        <v>2024</v>
      </c>
      <c r="D1456" s="2" t="s">
        <v>1089</v>
      </c>
      <c r="E1456" s="2" t="str">
        <f>VLOOKUP(Sales_Details2[[#This Row],[Customer_ID]],Customer_Details[#All],4,0)</f>
        <v>Adult</v>
      </c>
      <c r="F1456" s="2" t="str">
        <f>VLOOKUP(Sales_Details2[[#This Row],[Customer_ID]],Customer_Details[#All],5,0)</f>
        <v>Female</v>
      </c>
      <c r="G1456" s="2" t="str">
        <f>VLOOKUP(Sales_Details2[[#This Row],[Customer_ID]],Customer_Details[#All],9,0)</f>
        <v>Bronze</v>
      </c>
      <c r="H1456" s="2" t="s">
        <v>1723</v>
      </c>
      <c r="I1456" s="2" t="str">
        <f>VLOOKUP(Sales_Details2[[#This Row],[Product_ID]],Product_details[[#All],[Product_ID]:[Cost]],3,0)</f>
        <v>Clothing</v>
      </c>
      <c r="J1456" s="2" t="str">
        <f>VLOOKUP(Sales_Details2[[#This Row],[Product_ID]],Product_details[[#All],[Product_ID]:[Cost]],4,0)</f>
        <v>Outerwear</v>
      </c>
      <c r="K1456" s="2" t="s">
        <v>1790</v>
      </c>
      <c r="L1456" s="2" t="str">
        <f>_xlfn.XLOOKUP(Sales_Details2[[#This Row],[Store_ID]],Table2[Store_ID],Table2[Region],"Region not found")</f>
        <v>North</v>
      </c>
      <c r="M1456" s="25">
        <v>2</v>
      </c>
      <c r="N1456" s="36">
        <v>977.18</v>
      </c>
      <c r="O1456" s="29">
        <v>0.19</v>
      </c>
      <c r="P1456" s="2" t="s">
        <v>1807</v>
      </c>
      <c r="Q1456" s="36">
        <v>1583.0316</v>
      </c>
    </row>
    <row r="1457" spans="1:17" x14ac:dyDescent="0.3">
      <c r="A1457" s="2" t="s">
        <v>3264</v>
      </c>
      <c r="B1457" s="14">
        <v>45763</v>
      </c>
      <c r="C1457" s="2">
        <f>YEAR(Sales_Details2[[#This Row],[Order_Date]])</f>
        <v>2025</v>
      </c>
      <c r="D1457" s="2" t="s">
        <v>752</v>
      </c>
      <c r="E1457" s="2" t="str">
        <f>VLOOKUP(Sales_Details2[[#This Row],[Customer_ID]],Customer_Details[#All],4,0)</f>
        <v>Mid-Adult</v>
      </c>
      <c r="F1457" s="2" t="str">
        <f>VLOOKUP(Sales_Details2[[#This Row],[Customer_ID]],Customer_Details[#All],5,0)</f>
        <v>Female</v>
      </c>
      <c r="G1457" s="2" t="str">
        <f>VLOOKUP(Sales_Details2[[#This Row],[Customer_ID]],Customer_Details[#All],9,0)</f>
        <v>Bronze</v>
      </c>
      <c r="H1457" s="2" t="s">
        <v>1563</v>
      </c>
      <c r="I1457" s="2" t="str">
        <f>VLOOKUP(Sales_Details2[[#This Row],[Product_ID]],Product_details[[#All],[Product_ID]:[Cost]],3,0)</f>
        <v>Beauty</v>
      </c>
      <c r="J1457" s="2" t="str">
        <f>VLOOKUP(Sales_Details2[[#This Row],[Product_ID]],Product_details[[#All],[Product_ID]:[Cost]],4,0)</f>
        <v>Grooming</v>
      </c>
      <c r="K1457" s="2" t="s">
        <v>1782</v>
      </c>
      <c r="L1457" s="2" t="str">
        <f>_xlfn.XLOOKUP(Sales_Details2[[#This Row],[Store_ID]],Table2[Store_ID],Table2[Region],"Region not found")</f>
        <v>South</v>
      </c>
      <c r="M1457" s="25">
        <v>4</v>
      </c>
      <c r="N1457" s="36">
        <v>761.35</v>
      </c>
      <c r="O1457" s="29">
        <v>0.08</v>
      </c>
      <c r="P1457" s="2" t="s">
        <v>1807</v>
      </c>
      <c r="Q1457" s="36">
        <v>2801.768</v>
      </c>
    </row>
    <row r="1458" spans="1:17" x14ac:dyDescent="0.3">
      <c r="A1458" s="2" t="s">
        <v>3265</v>
      </c>
      <c r="B1458" s="14">
        <v>45900</v>
      </c>
      <c r="C1458" s="2">
        <f>YEAR(Sales_Details2[[#This Row],[Order_Date]])</f>
        <v>2025</v>
      </c>
      <c r="D1458" s="2" t="s">
        <v>586</v>
      </c>
      <c r="E1458" s="2" t="str">
        <f>VLOOKUP(Sales_Details2[[#This Row],[Customer_ID]],Customer_Details[#All],4,0)</f>
        <v>Mid-Adult</v>
      </c>
      <c r="F1458" s="2" t="str">
        <f>VLOOKUP(Sales_Details2[[#This Row],[Customer_ID]],Customer_Details[#All],5,0)</f>
        <v>Female</v>
      </c>
      <c r="G1458" s="2" t="str">
        <f>VLOOKUP(Sales_Details2[[#This Row],[Customer_ID]],Customer_Details[#All],9,0)</f>
        <v>Silver</v>
      </c>
      <c r="H1458" s="2" t="s">
        <v>1665</v>
      </c>
      <c r="I1458" s="2" t="str">
        <f>VLOOKUP(Sales_Details2[[#This Row],[Product_ID]],Product_details[[#All],[Product_ID]:[Cost]],3,0)</f>
        <v>Electronics</v>
      </c>
      <c r="J1458" s="2" t="str">
        <f>VLOOKUP(Sales_Details2[[#This Row],[Product_ID]],Product_details[[#All],[Product_ID]:[Cost]],4,0)</f>
        <v>Accessories</v>
      </c>
      <c r="K1458" s="2" t="s">
        <v>1793</v>
      </c>
      <c r="L1458" s="2" t="str">
        <f>_xlfn.XLOOKUP(Sales_Details2[[#This Row],[Store_ID]],Table2[Store_ID],Table2[Region],"Region not found")</f>
        <v>East</v>
      </c>
      <c r="M1458" s="25">
        <v>2</v>
      </c>
      <c r="N1458" s="36">
        <v>947.56</v>
      </c>
      <c r="O1458" s="29">
        <v>0.02</v>
      </c>
      <c r="P1458" s="2" t="s">
        <v>1812</v>
      </c>
      <c r="Q1458" s="36">
        <v>1857.2175999999999</v>
      </c>
    </row>
    <row r="1459" spans="1:17" x14ac:dyDescent="0.3">
      <c r="A1459" s="2" t="s">
        <v>3266</v>
      </c>
      <c r="B1459" s="14">
        <v>45943</v>
      </c>
      <c r="C1459" s="2">
        <f>YEAR(Sales_Details2[[#This Row],[Order_Date]])</f>
        <v>2025</v>
      </c>
      <c r="D1459" s="2" t="s">
        <v>758</v>
      </c>
      <c r="E1459" s="2" t="str">
        <f>VLOOKUP(Sales_Details2[[#This Row],[Customer_ID]],Customer_Details[#All],4,0)</f>
        <v>Mid-Adult</v>
      </c>
      <c r="F1459" s="2" t="str">
        <f>VLOOKUP(Sales_Details2[[#This Row],[Customer_ID]],Customer_Details[#All],5,0)</f>
        <v>Male</v>
      </c>
      <c r="G1459" s="2" t="str">
        <f>VLOOKUP(Sales_Details2[[#This Row],[Customer_ID]],Customer_Details[#All],9,0)</f>
        <v>Platinum</v>
      </c>
      <c r="H1459" s="2" t="s">
        <v>1617</v>
      </c>
      <c r="I1459" s="2" t="str">
        <f>VLOOKUP(Sales_Details2[[#This Row],[Product_ID]],Product_details[[#All],[Product_ID]:[Cost]],3,0)</f>
        <v>Electronics</v>
      </c>
      <c r="J1459" s="2" t="str">
        <f>VLOOKUP(Sales_Details2[[#This Row],[Product_ID]],Product_details[[#All],[Product_ID]:[Cost]],4,0)</f>
        <v>Computer</v>
      </c>
      <c r="K1459" s="2" t="s">
        <v>1793</v>
      </c>
      <c r="L1459" s="2" t="str">
        <f>_xlfn.XLOOKUP(Sales_Details2[[#This Row],[Store_ID]],Table2[Store_ID],Table2[Region],"Region not found")</f>
        <v>East</v>
      </c>
      <c r="M1459" s="25">
        <v>4</v>
      </c>
      <c r="N1459" s="36">
        <v>975.47</v>
      </c>
      <c r="O1459" s="29">
        <v>0.04</v>
      </c>
      <c r="P1459" s="2" t="s">
        <v>1807</v>
      </c>
      <c r="Q1459" s="36">
        <v>3745.8047999999999</v>
      </c>
    </row>
    <row r="1460" spans="1:17" x14ac:dyDescent="0.3">
      <c r="A1460" s="2" t="s">
        <v>3267</v>
      </c>
      <c r="B1460" s="14">
        <v>45448</v>
      </c>
      <c r="C1460" s="2">
        <f>YEAR(Sales_Details2[[#This Row],[Order_Date]])</f>
        <v>2024</v>
      </c>
      <c r="D1460" s="2" t="s">
        <v>1453</v>
      </c>
      <c r="E1460" s="2" t="str">
        <f>VLOOKUP(Sales_Details2[[#This Row],[Customer_ID]],Customer_Details[#All],4,0)</f>
        <v>Mid-Adult</v>
      </c>
      <c r="F1460" s="2" t="str">
        <f>VLOOKUP(Sales_Details2[[#This Row],[Customer_ID]],Customer_Details[#All],5,0)</f>
        <v>Female</v>
      </c>
      <c r="G1460" s="2" t="str">
        <f>VLOOKUP(Sales_Details2[[#This Row],[Customer_ID]],Customer_Details[#All],9,0)</f>
        <v>Platinum</v>
      </c>
      <c r="H1460" s="2" t="s">
        <v>1557</v>
      </c>
      <c r="I1460" s="2" t="str">
        <f>VLOOKUP(Sales_Details2[[#This Row],[Product_ID]],Product_details[[#All],[Product_ID]:[Cost]],3,0)</f>
        <v>Electronics</v>
      </c>
      <c r="J1460" s="2" t="str">
        <f>VLOOKUP(Sales_Details2[[#This Row],[Product_ID]],Product_details[[#All],[Product_ID]:[Cost]],4,0)</f>
        <v>Accessories</v>
      </c>
      <c r="K1460" s="2" t="s">
        <v>1769</v>
      </c>
      <c r="L1460" s="2" t="str">
        <f>_xlfn.XLOOKUP(Sales_Details2[[#This Row],[Store_ID]],Table2[Store_ID],Table2[Region],"Region not found")</f>
        <v>South</v>
      </c>
      <c r="M1460" s="25">
        <v>3</v>
      </c>
      <c r="N1460" s="36">
        <v>769.06</v>
      </c>
      <c r="O1460" s="29">
        <v>0.23</v>
      </c>
      <c r="P1460" s="2" t="s">
        <v>1812</v>
      </c>
      <c r="Q1460" s="36">
        <v>1776.5286000000001</v>
      </c>
    </row>
    <row r="1461" spans="1:17" x14ac:dyDescent="0.3">
      <c r="A1461" s="2" t="s">
        <v>3268</v>
      </c>
      <c r="B1461" s="14">
        <v>45929</v>
      </c>
      <c r="C1461" s="2">
        <f>YEAR(Sales_Details2[[#This Row],[Order_Date]])</f>
        <v>2025</v>
      </c>
      <c r="D1461" s="2" t="s">
        <v>1478</v>
      </c>
      <c r="E1461" s="2" t="str">
        <f>VLOOKUP(Sales_Details2[[#This Row],[Customer_ID]],Customer_Details[#All],4,0)</f>
        <v>Adult</v>
      </c>
      <c r="F1461" s="2" t="str">
        <f>VLOOKUP(Sales_Details2[[#This Row],[Customer_ID]],Customer_Details[#All],5,0)</f>
        <v>Female</v>
      </c>
      <c r="G1461" s="2" t="str">
        <f>VLOOKUP(Sales_Details2[[#This Row],[Customer_ID]],Customer_Details[#All],9,0)</f>
        <v>Bronze</v>
      </c>
      <c r="H1461" s="2" t="s">
        <v>1609</v>
      </c>
      <c r="I1461" s="2" t="str">
        <f>VLOOKUP(Sales_Details2[[#This Row],[Product_ID]],Product_details[[#All],[Product_ID]:[Cost]],3,0)</f>
        <v>Electronics</v>
      </c>
      <c r="J1461" s="2" t="str">
        <f>VLOOKUP(Sales_Details2[[#This Row],[Product_ID]],Product_details[[#All],[Product_ID]:[Cost]],4,0)</f>
        <v>Mobile</v>
      </c>
      <c r="K1461" s="2" t="s">
        <v>1744</v>
      </c>
      <c r="L1461" s="2" t="str">
        <f>_xlfn.XLOOKUP(Sales_Details2[[#This Row],[Store_ID]],Table2[Store_ID],Table2[Region],"Region not found")</f>
        <v>South</v>
      </c>
      <c r="M1461" s="25">
        <v>3</v>
      </c>
      <c r="N1461" s="36">
        <v>824.75</v>
      </c>
      <c r="O1461" s="29">
        <v>0.23</v>
      </c>
      <c r="P1461" s="2" t="s">
        <v>1807</v>
      </c>
      <c r="Q1461" s="36">
        <v>1905.1724999999999</v>
      </c>
    </row>
    <row r="1462" spans="1:17" x14ac:dyDescent="0.3">
      <c r="A1462" s="2" t="s">
        <v>3269</v>
      </c>
      <c r="B1462" s="14">
        <v>45478</v>
      </c>
      <c r="C1462" s="2">
        <f>YEAR(Sales_Details2[[#This Row],[Order_Date]])</f>
        <v>2024</v>
      </c>
      <c r="D1462" s="2" t="s">
        <v>1235</v>
      </c>
      <c r="E1462" s="2" t="str">
        <f>VLOOKUP(Sales_Details2[[#This Row],[Customer_ID]],Customer_Details[#All],4,0)</f>
        <v>Senior</v>
      </c>
      <c r="F1462" s="2" t="str">
        <f>VLOOKUP(Sales_Details2[[#This Row],[Customer_ID]],Customer_Details[#All],5,0)</f>
        <v>Female</v>
      </c>
      <c r="G1462" s="2" t="str">
        <f>VLOOKUP(Sales_Details2[[#This Row],[Customer_ID]],Customer_Details[#All],9,0)</f>
        <v>Platinum</v>
      </c>
      <c r="H1462" s="2" t="s">
        <v>1667</v>
      </c>
      <c r="I1462" s="2" t="str">
        <f>VLOOKUP(Sales_Details2[[#This Row],[Product_ID]],Product_details[[#All],[Product_ID]:[Cost]],3,0)</f>
        <v>Home</v>
      </c>
      <c r="J1462" s="2" t="str">
        <f>VLOOKUP(Sales_Details2[[#This Row],[Product_ID]],Product_details[[#All],[Product_ID]:[Cost]],4,0)</f>
        <v>Furniture</v>
      </c>
      <c r="K1462" s="2" t="s">
        <v>1752</v>
      </c>
      <c r="L1462" s="2" t="str">
        <f>_xlfn.XLOOKUP(Sales_Details2[[#This Row],[Store_ID]],Table2[Store_ID],Table2[Region],"Region not found")</f>
        <v>South</v>
      </c>
      <c r="M1462" s="25">
        <v>2</v>
      </c>
      <c r="N1462" s="36">
        <v>821.35</v>
      </c>
      <c r="O1462" s="29">
        <v>0.11</v>
      </c>
      <c r="P1462" s="2" t="s">
        <v>1809</v>
      </c>
      <c r="Q1462" s="36">
        <v>1462.0029999999999</v>
      </c>
    </row>
    <row r="1463" spans="1:17" x14ac:dyDescent="0.3">
      <c r="A1463" s="2" t="s">
        <v>3270</v>
      </c>
      <c r="B1463" s="14">
        <v>45723</v>
      </c>
      <c r="C1463" s="2">
        <f>YEAR(Sales_Details2[[#This Row],[Order_Date]])</f>
        <v>2025</v>
      </c>
      <c r="D1463" s="2" t="s">
        <v>1246</v>
      </c>
      <c r="E1463" s="2" t="str">
        <f>VLOOKUP(Sales_Details2[[#This Row],[Customer_ID]],Customer_Details[#All],4,0)</f>
        <v>Adult</v>
      </c>
      <c r="F1463" s="2" t="str">
        <f>VLOOKUP(Sales_Details2[[#This Row],[Customer_ID]],Customer_Details[#All],5,0)</f>
        <v>Female</v>
      </c>
      <c r="G1463" s="2" t="str">
        <f>VLOOKUP(Sales_Details2[[#This Row],[Customer_ID]],Customer_Details[#All],9,0)</f>
        <v>Gold</v>
      </c>
      <c r="H1463" s="2" t="s">
        <v>1557</v>
      </c>
      <c r="I1463" s="2" t="str">
        <f>VLOOKUP(Sales_Details2[[#This Row],[Product_ID]],Product_details[[#All],[Product_ID]:[Cost]],3,0)</f>
        <v>Electronics</v>
      </c>
      <c r="J1463" s="2" t="str">
        <f>VLOOKUP(Sales_Details2[[#This Row],[Product_ID]],Product_details[[#All],[Product_ID]:[Cost]],4,0)</f>
        <v>Accessories</v>
      </c>
      <c r="K1463" s="2" t="s">
        <v>1772</v>
      </c>
      <c r="L1463" s="2" t="str">
        <f>_xlfn.XLOOKUP(Sales_Details2[[#This Row],[Store_ID]],Table2[Store_ID],Table2[Region],"Region not found")</f>
        <v>East</v>
      </c>
      <c r="M1463" s="25">
        <v>1</v>
      </c>
      <c r="N1463" s="36">
        <v>120.57</v>
      </c>
      <c r="O1463" s="29">
        <v>0.06</v>
      </c>
      <c r="P1463" s="2" t="s">
        <v>1809</v>
      </c>
      <c r="Q1463" s="36">
        <v>113.33580000000001</v>
      </c>
    </row>
    <row r="1464" spans="1:17" x14ac:dyDescent="0.3">
      <c r="A1464" s="2" t="s">
        <v>3271</v>
      </c>
      <c r="B1464" s="14">
        <v>45240</v>
      </c>
      <c r="C1464" s="2">
        <f>YEAR(Sales_Details2[[#This Row],[Order_Date]])</f>
        <v>2023</v>
      </c>
      <c r="D1464" s="2" t="s">
        <v>1042</v>
      </c>
      <c r="E1464" s="2" t="str">
        <f>VLOOKUP(Sales_Details2[[#This Row],[Customer_ID]],Customer_Details[#All],4,0)</f>
        <v>Mid-Adult</v>
      </c>
      <c r="F1464" s="2" t="str">
        <f>VLOOKUP(Sales_Details2[[#This Row],[Customer_ID]],Customer_Details[#All],5,0)</f>
        <v>Male</v>
      </c>
      <c r="G1464" s="2" t="str">
        <f>VLOOKUP(Sales_Details2[[#This Row],[Customer_ID]],Customer_Details[#All],9,0)</f>
        <v>Platinum</v>
      </c>
      <c r="H1464" s="2" t="s">
        <v>1709</v>
      </c>
      <c r="I1464" s="2" t="str">
        <f>VLOOKUP(Sales_Details2[[#This Row],[Product_ID]],Product_details[[#All],[Product_ID]:[Cost]],3,0)</f>
        <v>Beauty</v>
      </c>
      <c r="J1464" s="2" t="str">
        <f>VLOOKUP(Sales_Details2[[#This Row],[Product_ID]],Product_details[[#All],[Product_ID]:[Cost]],4,0)</f>
        <v>Makeup</v>
      </c>
      <c r="K1464" s="2" t="s">
        <v>1740</v>
      </c>
      <c r="L1464" s="2" t="str">
        <f>_xlfn.XLOOKUP(Sales_Details2[[#This Row],[Store_ID]],Table2[Store_ID],Table2[Region],"Region not found")</f>
        <v>North</v>
      </c>
      <c r="M1464" s="25">
        <v>1</v>
      </c>
      <c r="N1464" s="36">
        <v>122.27</v>
      </c>
      <c r="O1464" s="29">
        <v>0.26</v>
      </c>
      <c r="P1464" s="2" t="s">
        <v>1809</v>
      </c>
      <c r="Q1464" s="36">
        <v>90.479799999999997</v>
      </c>
    </row>
    <row r="1465" spans="1:17" x14ac:dyDescent="0.3">
      <c r="A1465" s="2" t="s">
        <v>3272</v>
      </c>
      <c r="B1465" s="14">
        <v>45890</v>
      </c>
      <c r="C1465" s="2">
        <f>YEAR(Sales_Details2[[#This Row],[Order_Date]])</f>
        <v>2025</v>
      </c>
      <c r="D1465" s="2" t="s">
        <v>560</v>
      </c>
      <c r="E1465" s="2" t="str">
        <f>VLOOKUP(Sales_Details2[[#This Row],[Customer_ID]],Customer_Details[#All],4,0)</f>
        <v>Adult</v>
      </c>
      <c r="F1465" s="2" t="str">
        <f>VLOOKUP(Sales_Details2[[#This Row],[Customer_ID]],Customer_Details[#All],5,0)</f>
        <v>Male</v>
      </c>
      <c r="G1465" s="2" t="str">
        <f>VLOOKUP(Sales_Details2[[#This Row],[Customer_ID]],Customer_Details[#All],9,0)</f>
        <v>Gold</v>
      </c>
      <c r="H1465" s="2" t="s">
        <v>1583</v>
      </c>
      <c r="I1465" s="2" t="str">
        <f>VLOOKUP(Sales_Details2[[#This Row],[Product_ID]],Product_details[[#All],[Product_ID]:[Cost]],3,0)</f>
        <v>Electronics</v>
      </c>
      <c r="J1465" s="2" t="str">
        <f>VLOOKUP(Sales_Details2[[#This Row],[Product_ID]],Product_details[[#All],[Product_ID]:[Cost]],4,0)</f>
        <v>Audio</v>
      </c>
      <c r="K1465" s="2" t="s">
        <v>1744</v>
      </c>
      <c r="L1465" s="2" t="str">
        <f>_xlfn.XLOOKUP(Sales_Details2[[#This Row],[Store_ID]],Table2[Store_ID],Table2[Region],"Region not found")</f>
        <v>South</v>
      </c>
      <c r="M1465" s="25">
        <v>2</v>
      </c>
      <c r="N1465" s="36">
        <v>182.89</v>
      </c>
      <c r="O1465" s="29">
        <v>0.11</v>
      </c>
      <c r="P1465" s="2" t="s">
        <v>1807</v>
      </c>
      <c r="Q1465" s="36">
        <v>325.54419999999999</v>
      </c>
    </row>
    <row r="1466" spans="1:17" x14ac:dyDescent="0.3">
      <c r="A1466" s="2" t="s">
        <v>3273</v>
      </c>
      <c r="B1466" s="14">
        <v>45796</v>
      </c>
      <c r="C1466" s="2">
        <f>YEAR(Sales_Details2[[#This Row],[Order_Date]])</f>
        <v>2025</v>
      </c>
      <c r="D1466" s="2" t="s">
        <v>1147</v>
      </c>
      <c r="E1466" s="2" t="str">
        <f>VLOOKUP(Sales_Details2[[#This Row],[Customer_ID]],Customer_Details[#All],4,0)</f>
        <v>Adult</v>
      </c>
      <c r="F1466" s="2" t="str">
        <f>VLOOKUP(Sales_Details2[[#This Row],[Customer_ID]],Customer_Details[#All],5,0)</f>
        <v>Female</v>
      </c>
      <c r="G1466" s="2" t="str">
        <f>VLOOKUP(Sales_Details2[[#This Row],[Customer_ID]],Customer_Details[#All],9,0)</f>
        <v>Platinum</v>
      </c>
      <c r="H1466" s="2" t="s">
        <v>1623</v>
      </c>
      <c r="I1466" s="2" t="str">
        <f>VLOOKUP(Sales_Details2[[#This Row],[Product_ID]],Product_details[[#All],[Product_ID]:[Cost]],3,0)</f>
        <v>Clothing</v>
      </c>
      <c r="J1466" s="2" t="str">
        <f>VLOOKUP(Sales_Details2[[#This Row],[Product_ID]],Product_details[[#All],[Product_ID]:[Cost]],4,0)</f>
        <v>Outerwear</v>
      </c>
      <c r="K1466" s="2" t="s">
        <v>1752</v>
      </c>
      <c r="L1466" s="2" t="str">
        <f>_xlfn.XLOOKUP(Sales_Details2[[#This Row],[Store_ID]],Table2[Store_ID],Table2[Region],"Region not found")</f>
        <v>South</v>
      </c>
      <c r="M1466" s="25">
        <v>1</v>
      </c>
      <c r="N1466" s="36">
        <v>695.26</v>
      </c>
      <c r="O1466" s="29">
        <v>0.23</v>
      </c>
      <c r="P1466" s="2" t="s">
        <v>1809</v>
      </c>
      <c r="Q1466" s="36">
        <v>535.35019999999997</v>
      </c>
    </row>
    <row r="1467" spans="1:17" x14ac:dyDescent="0.3">
      <c r="A1467" s="2" t="s">
        <v>3274</v>
      </c>
      <c r="B1467" s="14">
        <v>45895</v>
      </c>
      <c r="C1467" s="2">
        <f>YEAR(Sales_Details2[[#This Row],[Order_Date]])</f>
        <v>2025</v>
      </c>
      <c r="D1467" s="2" t="s">
        <v>114</v>
      </c>
      <c r="E1467" s="2" t="str">
        <f>VLOOKUP(Sales_Details2[[#This Row],[Customer_ID]],Customer_Details[#All],4,0)</f>
        <v>Mid-Adult</v>
      </c>
      <c r="F1467" s="2" t="str">
        <f>VLOOKUP(Sales_Details2[[#This Row],[Customer_ID]],Customer_Details[#All],5,0)</f>
        <v>Male</v>
      </c>
      <c r="G1467" s="2" t="str">
        <f>VLOOKUP(Sales_Details2[[#This Row],[Customer_ID]],Customer_Details[#All],9,0)</f>
        <v>Platinum</v>
      </c>
      <c r="H1467" s="2" t="s">
        <v>1589</v>
      </c>
      <c r="I1467" s="2" t="str">
        <f>VLOOKUP(Sales_Details2[[#This Row],[Product_ID]],Product_details[[#All],[Product_ID]:[Cost]],3,0)</f>
        <v>Home</v>
      </c>
      <c r="J1467" s="2" t="str">
        <f>VLOOKUP(Sales_Details2[[#This Row],[Product_ID]],Product_details[[#All],[Product_ID]:[Cost]],4,0)</f>
        <v>Decor</v>
      </c>
      <c r="K1467" s="2" t="s">
        <v>1759</v>
      </c>
      <c r="L1467" s="2" t="str">
        <f>_xlfn.XLOOKUP(Sales_Details2[[#This Row],[Store_ID]],Table2[Store_ID],Table2[Region],"Region not found")</f>
        <v>East</v>
      </c>
      <c r="M1467" s="25">
        <v>2</v>
      </c>
      <c r="N1467" s="36">
        <v>408.8</v>
      </c>
      <c r="O1467" s="29">
        <v>0.17</v>
      </c>
      <c r="P1467" s="2" t="s">
        <v>1812</v>
      </c>
      <c r="Q1467" s="36">
        <v>678.60799999999995</v>
      </c>
    </row>
    <row r="1468" spans="1:17" x14ac:dyDescent="0.3">
      <c r="A1468" s="2" t="s">
        <v>3275</v>
      </c>
      <c r="B1468" s="14">
        <v>45676</v>
      </c>
      <c r="C1468" s="2">
        <f>YEAR(Sales_Details2[[#This Row],[Order_Date]])</f>
        <v>2025</v>
      </c>
      <c r="D1468" s="2" t="s">
        <v>724</v>
      </c>
      <c r="E1468" s="2" t="str">
        <f>VLOOKUP(Sales_Details2[[#This Row],[Customer_ID]],Customer_Details[#All],4,0)</f>
        <v>Senior</v>
      </c>
      <c r="F1468" s="2" t="str">
        <f>VLOOKUP(Sales_Details2[[#This Row],[Customer_ID]],Customer_Details[#All],5,0)</f>
        <v>Male</v>
      </c>
      <c r="G1468" s="2" t="str">
        <f>VLOOKUP(Sales_Details2[[#This Row],[Customer_ID]],Customer_Details[#All],9,0)</f>
        <v>Gold</v>
      </c>
      <c r="H1468" s="2" t="s">
        <v>1629</v>
      </c>
      <c r="I1468" s="2" t="str">
        <f>VLOOKUP(Sales_Details2[[#This Row],[Product_ID]],Product_details[[#All],[Product_ID]:[Cost]],3,0)</f>
        <v>Beauty</v>
      </c>
      <c r="J1468" s="2" t="str">
        <f>VLOOKUP(Sales_Details2[[#This Row],[Product_ID]],Product_details[[#All],[Product_ID]:[Cost]],4,0)</f>
        <v>Fragrance</v>
      </c>
      <c r="K1468" s="2" t="s">
        <v>1765</v>
      </c>
      <c r="L1468" s="2" t="str">
        <f>_xlfn.XLOOKUP(Sales_Details2[[#This Row],[Store_ID]],Table2[Store_ID],Table2[Region],"Region not found")</f>
        <v>West</v>
      </c>
      <c r="M1468" s="25">
        <v>3</v>
      </c>
      <c r="N1468" s="36">
        <v>512.15</v>
      </c>
      <c r="O1468" s="29">
        <v>0.12</v>
      </c>
      <c r="P1468" s="2" t="s">
        <v>1807</v>
      </c>
      <c r="Q1468" s="36">
        <v>1352.076</v>
      </c>
    </row>
    <row r="1469" spans="1:17" x14ac:dyDescent="0.3">
      <c r="A1469" s="2" t="s">
        <v>3276</v>
      </c>
      <c r="B1469" s="14">
        <v>45568</v>
      </c>
      <c r="C1469" s="2">
        <f>YEAR(Sales_Details2[[#This Row],[Order_Date]])</f>
        <v>2024</v>
      </c>
      <c r="D1469" s="2" t="s">
        <v>1258</v>
      </c>
      <c r="E1469" s="2" t="str">
        <f>VLOOKUP(Sales_Details2[[#This Row],[Customer_ID]],Customer_Details[#All],4,0)</f>
        <v>Senior</v>
      </c>
      <c r="F1469" s="2" t="str">
        <f>VLOOKUP(Sales_Details2[[#This Row],[Customer_ID]],Customer_Details[#All],5,0)</f>
        <v>Male</v>
      </c>
      <c r="G1469" s="2" t="str">
        <f>VLOOKUP(Sales_Details2[[#This Row],[Customer_ID]],Customer_Details[#All],9,0)</f>
        <v>Gold</v>
      </c>
      <c r="H1469" s="2" t="s">
        <v>1548</v>
      </c>
      <c r="I1469" s="2" t="str">
        <f>VLOOKUP(Sales_Details2[[#This Row],[Product_ID]],Product_details[[#All],[Product_ID]:[Cost]],3,0)</f>
        <v>Sports</v>
      </c>
      <c r="J1469" s="2" t="str">
        <f>VLOOKUP(Sales_Details2[[#This Row],[Product_ID]],Product_details[[#All],[Product_ID]:[Cost]],4,0)</f>
        <v>Fitness</v>
      </c>
      <c r="K1469" s="2" t="s">
        <v>1765</v>
      </c>
      <c r="L1469" s="2" t="str">
        <f>_xlfn.XLOOKUP(Sales_Details2[[#This Row],[Store_ID]],Table2[Store_ID],Table2[Region],"Region not found")</f>
        <v>West</v>
      </c>
      <c r="M1469" s="25">
        <v>3</v>
      </c>
      <c r="N1469" s="36">
        <v>136.4</v>
      </c>
      <c r="O1469" s="29">
        <v>0.15</v>
      </c>
      <c r="P1469" s="2" t="s">
        <v>1809</v>
      </c>
      <c r="Q1469" s="36">
        <v>347.82000000000011</v>
      </c>
    </row>
    <row r="1470" spans="1:17" x14ac:dyDescent="0.3">
      <c r="A1470" s="2" t="s">
        <v>3277</v>
      </c>
      <c r="B1470" s="14">
        <v>45272</v>
      </c>
      <c r="C1470" s="2">
        <f>YEAR(Sales_Details2[[#This Row],[Order_Date]])</f>
        <v>2023</v>
      </c>
      <c r="D1470" s="2" t="s">
        <v>573</v>
      </c>
      <c r="E1470" s="2" t="str">
        <f>VLOOKUP(Sales_Details2[[#This Row],[Customer_ID]],Customer_Details[#All],4,0)</f>
        <v>Senior</v>
      </c>
      <c r="F1470" s="2" t="str">
        <f>VLOOKUP(Sales_Details2[[#This Row],[Customer_ID]],Customer_Details[#All],5,0)</f>
        <v>Male</v>
      </c>
      <c r="G1470" s="2" t="str">
        <f>VLOOKUP(Sales_Details2[[#This Row],[Customer_ID]],Customer_Details[#All],9,0)</f>
        <v>Platinum</v>
      </c>
      <c r="H1470" s="2" t="s">
        <v>1540</v>
      </c>
      <c r="I1470" s="2" t="str">
        <f>VLOOKUP(Sales_Details2[[#This Row],[Product_ID]],Product_details[[#All],[Product_ID]:[Cost]],3,0)</f>
        <v>Beauty</v>
      </c>
      <c r="J1470" s="2" t="str">
        <f>VLOOKUP(Sales_Details2[[#This Row],[Product_ID]],Product_details[[#All],[Product_ID]:[Cost]],4,0)</f>
        <v>Skincare</v>
      </c>
      <c r="K1470" s="2" t="s">
        <v>1749</v>
      </c>
      <c r="L1470" s="2" t="str">
        <f>_xlfn.XLOOKUP(Sales_Details2[[#This Row],[Store_ID]],Table2[Store_ID],Table2[Region],"Region not found")</f>
        <v>North</v>
      </c>
      <c r="M1470" s="25">
        <v>2</v>
      </c>
      <c r="N1470" s="36">
        <v>42.51</v>
      </c>
      <c r="O1470" s="29">
        <v>0.04</v>
      </c>
      <c r="P1470" s="2" t="s">
        <v>1812</v>
      </c>
      <c r="Q1470" s="36">
        <v>81.619199999999992</v>
      </c>
    </row>
    <row r="1471" spans="1:17" x14ac:dyDescent="0.3">
      <c r="A1471" s="2" t="s">
        <v>3278</v>
      </c>
      <c r="B1471" s="14">
        <v>45718</v>
      </c>
      <c r="C1471" s="2">
        <f>YEAR(Sales_Details2[[#This Row],[Order_Date]])</f>
        <v>2025</v>
      </c>
      <c r="D1471" s="2" t="s">
        <v>1112</v>
      </c>
      <c r="E1471" s="2" t="str">
        <f>VLOOKUP(Sales_Details2[[#This Row],[Customer_ID]],Customer_Details[#All],4,0)</f>
        <v>Mid-Adult</v>
      </c>
      <c r="F1471" s="2" t="str">
        <f>VLOOKUP(Sales_Details2[[#This Row],[Customer_ID]],Customer_Details[#All],5,0)</f>
        <v>Male</v>
      </c>
      <c r="G1471" s="2" t="str">
        <f>VLOOKUP(Sales_Details2[[#This Row],[Customer_ID]],Customer_Details[#All],9,0)</f>
        <v>Silver</v>
      </c>
      <c r="H1471" s="2" t="s">
        <v>1681</v>
      </c>
      <c r="I1471" s="2" t="str">
        <f>VLOOKUP(Sales_Details2[[#This Row],[Product_ID]],Product_details[[#All],[Product_ID]:[Cost]],3,0)</f>
        <v>Clothing</v>
      </c>
      <c r="J1471" s="2" t="str">
        <f>VLOOKUP(Sales_Details2[[#This Row],[Product_ID]],Product_details[[#All],[Product_ID]:[Cost]],4,0)</f>
        <v>Footwear</v>
      </c>
      <c r="K1471" s="2" t="s">
        <v>1762</v>
      </c>
      <c r="L1471" s="2" t="str">
        <f>_xlfn.XLOOKUP(Sales_Details2[[#This Row],[Store_ID]],Table2[Store_ID],Table2[Region],"Region not found")</f>
        <v>South</v>
      </c>
      <c r="M1471" s="25">
        <v>3</v>
      </c>
      <c r="N1471" s="36">
        <v>582.1</v>
      </c>
      <c r="O1471" s="29">
        <v>0.12</v>
      </c>
      <c r="P1471" s="2" t="s">
        <v>1809</v>
      </c>
      <c r="Q1471" s="36">
        <v>1536.7439999999999</v>
      </c>
    </row>
    <row r="1472" spans="1:17" x14ac:dyDescent="0.3">
      <c r="A1472" s="2" t="s">
        <v>3279</v>
      </c>
      <c r="B1472" s="14">
        <v>45356</v>
      </c>
      <c r="C1472" s="2">
        <f>YEAR(Sales_Details2[[#This Row],[Order_Date]])</f>
        <v>2024</v>
      </c>
      <c r="D1472" s="2" t="s">
        <v>705</v>
      </c>
      <c r="E1472" s="2" t="str">
        <f>VLOOKUP(Sales_Details2[[#This Row],[Customer_ID]],Customer_Details[#All],4,0)</f>
        <v>Mid-Adult</v>
      </c>
      <c r="F1472" s="2" t="str">
        <f>VLOOKUP(Sales_Details2[[#This Row],[Customer_ID]],Customer_Details[#All],5,0)</f>
        <v>Female</v>
      </c>
      <c r="G1472" s="2" t="str">
        <f>VLOOKUP(Sales_Details2[[#This Row],[Customer_ID]],Customer_Details[#All],9,0)</f>
        <v>Gold</v>
      </c>
      <c r="H1472" s="2" t="s">
        <v>1695</v>
      </c>
      <c r="I1472" s="2" t="str">
        <f>VLOOKUP(Sales_Details2[[#This Row],[Product_ID]],Product_details[[#All],[Product_ID]:[Cost]],3,0)</f>
        <v>Sports</v>
      </c>
      <c r="J1472" s="2" t="str">
        <f>VLOOKUP(Sales_Details2[[#This Row],[Product_ID]],Product_details[[#All],[Product_ID]:[Cost]],4,0)</f>
        <v>Fitness</v>
      </c>
      <c r="K1472" s="2" t="s">
        <v>1790</v>
      </c>
      <c r="L1472" s="2" t="str">
        <f>_xlfn.XLOOKUP(Sales_Details2[[#This Row],[Store_ID]],Table2[Store_ID],Table2[Region],"Region not found")</f>
        <v>North</v>
      </c>
      <c r="M1472" s="25">
        <v>4</v>
      </c>
      <c r="N1472" s="36">
        <v>461.52</v>
      </c>
      <c r="O1472" s="29">
        <v>0</v>
      </c>
      <c r="P1472" s="2" t="s">
        <v>1812</v>
      </c>
      <c r="Q1472" s="36">
        <v>1846.08</v>
      </c>
    </row>
    <row r="1473" spans="1:17" x14ac:dyDescent="0.3">
      <c r="A1473" s="2" t="s">
        <v>3280</v>
      </c>
      <c r="B1473" s="14">
        <v>45552</v>
      </c>
      <c r="C1473" s="2">
        <f>YEAR(Sales_Details2[[#This Row],[Order_Date]])</f>
        <v>2024</v>
      </c>
      <c r="D1473" s="2" t="s">
        <v>1507</v>
      </c>
      <c r="E1473" s="2" t="str">
        <f>VLOOKUP(Sales_Details2[[#This Row],[Customer_ID]],Customer_Details[#All],4,0)</f>
        <v>Senior</v>
      </c>
      <c r="F1473" s="2" t="str">
        <f>VLOOKUP(Sales_Details2[[#This Row],[Customer_ID]],Customer_Details[#All],5,0)</f>
        <v>Male</v>
      </c>
      <c r="G1473" s="2" t="str">
        <f>VLOOKUP(Sales_Details2[[#This Row],[Customer_ID]],Customer_Details[#All],9,0)</f>
        <v>Bronze</v>
      </c>
      <c r="H1473" s="2" t="s">
        <v>1563</v>
      </c>
      <c r="I1473" s="2" t="str">
        <f>VLOOKUP(Sales_Details2[[#This Row],[Product_ID]],Product_details[[#All],[Product_ID]:[Cost]],3,0)</f>
        <v>Beauty</v>
      </c>
      <c r="J1473" s="2" t="str">
        <f>VLOOKUP(Sales_Details2[[#This Row],[Product_ID]],Product_details[[#All],[Product_ID]:[Cost]],4,0)</f>
        <v>Grooming</v>
      </c>
      <c r="K1473" s="2" t="s">
        <v>1775</v>
      </c>
      <c r="L1473" s="2" t="str">
        <f>_xlfn.XLOOKUP(Sales_Details2[[#This Row],[Store_ID]],Table2[Store_ID],Table2[Region],"Region not found")</f>
        <v>South</v>
      </c>
      <c r="M1473" s="25">
        <v>1</v>
      </c>
      <c r="N1473" s="36">
        <v>558.41999999999996</v>
      </c>
      <c r="O1473" s="29">
        <v>0.03</v>
      </c>
      <c r="P1473" s="2" t="s">
        <v>1807</v>
      </c>
      <c r="Q1473" s="36">
        <v>541.66739999999993</v>
      </c>
    </row>
    <row r="1474" spans="1:17" x14ac:dyDescent="0.3">
      <c r="A1474" s="2" t="s">
        <v>3281</v>
      </c>
      <c r="B1474" s="14">
        <v>45288</v>
      </c>
      <c r="C1474" s="2">
        <f>YEAR(Sales_Details2[[#This Row],[Order_Date]])</f>
        <v>2023</v>
      </c>
      <c r="D1474" s="2" t="s">
        <v>832</v>
      </c>
      <c r="E1474" s="2" t="str">
        <f>VLOOKUP(Sales_Details2[[#This Row],[Customer_ID]],Customer_Details[#All],4,0)</f>
        <v>Mid-Adult</v>
      </c>
      <c r="F1474" s="2" t="str">
        <f>VLOOKUP(Sales_Details2[[#This Row],[Customer_ID]],Customer_Details[#All],5,0)</f>
        <v>Male</v>
      </c>
      <c r="G1474" s="2" t="str">
        <f>VLOOKUP(Sales_Details2[[#This Row],[Customer_ID]],Customer_Details[#All],9,0)</f>
        <v>Bronze</v>
      </c>
      <c r="H1474" s="2" t="s">
        <v>1555</v>
      </c>
      <c r="I1474" s="2" t="str">
        <f>VLOOKUP(Sales_Details2[[#This Row],[Product_ID]],Product_details[[#All],[Product_ID]:[Cost]],3,0)</f>
        <v>Beauty</v>
      </c>
      <c r="J1474" s="2" t="str">
        <f>VLOOKUP(Sales_Details2[[#This Row],[Product_ID]],Product_details[[#All],[Product_ID]:[Cost]],4,0)</f>
        <v>Haircare</v>
      </c>
      <c r="K1474" s="2" t="s">
        <v>1793</v>
      </c>
      <c r="L1474" s="2" t="str">
        <f>_xlfn.XLOOKUP(Sales_Details2[[#This Row],[Store_ID]],Table2[Store_ID],Table2[Region],"Region not found")</f>
        <v>East</v>
      </c>
      <c r="M1474" s="25">
        <v>4</v>
      </c>
      <c r="N1474" s="36">
        <v>700.98</v>
      </c>
      <c r="O1474" s="29">
        <v>0.12</v>
      </c>
      <c r="P1474" s="2" t="s">
        <v>1809</v>
      </c>
      <c r="Q1474" s="36">
        <v>2467.4495999999999</v>
      </c>
    </row>
    <row r="1475" spans="1:17" x14ac:dyDescent="0.3">
      <c r="A1475" s="2" t="s">
        <v>3282</v>
      </c>
      <c r="B1475" s="14">
        <v>45605</v>
      </c>
      <c r="C1475" s="2">
        <f>YEAR(Sales_Details2[[#This Row],[Order_Date]])</f>
        <v>2024</v>
      </c>
      <c r="D1475" s="2" t="s">
        <v>1246</v>
      </c>
      <c r="E1475" s="2" t="str">
        <f>VLOOKUP(Sales_Details2[[#This Row],[Customer_ID]],Customer_Details[#All],4,0)</f>
        <v>Adult</v>
      </c>
      <c r="F1475" s="2" t="str">
        <f>VLOOKUP(Sales_Details2[[#This Row],[Customer_ID]],Customer_Details[#All],5,0)</f>
        <v>Female</v>
      </c>
      <c r="G1475" s="2" t="str">
        <f>VLOOKUP(Sales_Details2[[#This Row],[Customer_ID]],Customer_Details[#All],9,0)</f>
        <v>Gold</v>
      </c>
      <c r="H1475" s="2" t="s">
        <v>1701</v>
      </c>
      <c r="I1475" s="2" t="str">
        <f>VLOOKUP(Sales_Details2[[#This Row],[Product_ID]],Product_details[[#All],[Product_ID]:[Cost]],3,0)</f>
        <v>Clothing</v>
      </c>
      <c r="J1475" s="2" t="str">
        <f>VLOOKUP(Sales_Details2[[#This Row],[Product_ID]],Product_details[[#All],[Product_ID]:[Cost]],4,0)</f>
        <v>Accessories</v>
      </c>
      <c r="K1475" s="2" t="s">
        <v>1793</v>
      </c>
      <c r="L1475" s="2" t="str">
        <f>_xlfn.XLOOKUP(Sales_Details2[[#This Row],[Store_ID]],Table2[Store_ID],Table2[Region],"Region not found")</f>
        <v>East</v>
      </c>
      <c r="M1475" s="25">
        <v>2</v>
      </c>
      <c r="N1475" s="36">
        <v>227.97</v>
      </c>
      <c r="O1475" s="29">
        <v>0.08</v>
      </c>
      <c r="P1475" s="2" t="s">
        <v>1812</v>
      </c>
      <c r="Q1475" s="36">
        <v>419.46480000000003</v>
      </c>
    </row>
    <row r="1476" spans="1:17" x14ac:dyDescent="0.3">
      <c r="A1476" s="2" t="s">
        <v>3283</v>
      </c>
      <c r="B1476" s="14">
        <v>45516</v>
      </c>
      <c r="C1476" s="2">
        <f>YEAR(Sales_Details2[[#This Row],[Order_Date]])</f>
        <v>2024</v>
      </c>
      <c r="D1476" s="2" t="s">
        <v>1445</v>
      </c>
      <c r="E1476" s="2" t="str">
        <f>VLOOKUP(Sales_Details2[[#This Row],[Customer_ID]],Customer_Details[#All],4,0)</f>
        <v>Mid-Adult</v>
      </c>
      <c r="F1476" s="2" t="str">
        <f>VLOOKUP(Sales_Details2[[#This Row],[Customer_ID]],Customer_Details[#All],5,0)</f>
        <v>Female</v>
      </c>
      <c r="G1476" s="2" t="str">
        <f>VLOOKUP(Sales_Details2[[#This Row],[Customer_ID]],Customer_Details[#All],9,0)</f>
        <v>Platinum</v>
      </c>
      <c r="H1476" s="2" t="s">
        <v>1609</v>
      </c>
      <c r="I1476" s="2" t="str">
        <f>VLOOKUP(Sales_Details2[[#This Row],[Product_ID]],Product_details[[#All],[Product_ID]:[Cost]],3,0)</f>
        <v>Electronics</v>
      </c>
      <c r="J1476" s="2" t="str">
        <f>VLOOKUP(Sales_Details2[[#This Row],[Product_ID]],Product_details[[#All],[Product_ID]:[Cost]],4,0)</f>
        <v>Mobile</v>
      </c>
      <c r="K1476" s="2" t="s">
        <v>1775</v>
      </c>
      <c r="L1476" s="2" t="str">
        <f>_xlfn.XLOOKUP(Sales_Details2[[#This Row],[Store_ID]],Table2[Store_ID],Table2[Region],"Region not found")</f>
        <v>South</v>
      </c>
      <c r="M1476" s="25">
        <v>4</v>
      </c>
      <c r="N1476" s="36">
        <v>278.70999999999998</v>
      </c>
      <c r="O1476" s="29">
        <v>0.2</v>
      </c>
      <c r="P1476" s="2" t="s">
        <v>1809</v>
      </c>
      <c r="Q1476" s="36">
        <v>891.87199999999996</v>
      </c>
    </row>
    <row r="1477" spans="1:17" x14ac:dyDescent="0.3">
      <c r="A1477" s="2" t="s">
        <v>3284</v>
      </c>
      <c r="B1477" s="14">
        <v>45379</v>
      </c>
      <c r="C1477" s="2">
        <f>YEAR(Sales_Details2[[#This Row],[Order_Date]])</f>
        <v>2024</v>
      </c>
      <c r="D1477" s="2" t="s">
        <v>820</v>
      </c>
      <c r="E1477" s="2" t="str">
        <f>VLOOKUP(Sales_Details2[[#This Row],[Customer_ID]],Customer_Details[#All],4,0)</f>
        <v>Mid-Adult</v>
      </c>
      <c r="F1477" s="2" t="str">
        <f>VLOOKUP(Sales_Details2[[#This Row],[Customer_ID]],Customer_Details[#All],5,0)</f>
        <v>Female</v>
      </c>
      <c r="G1477" s="2" t="str">
        <f>VLOOKUP(Sales_Details2[[#This Row],[Customer_ID]],Customer_Details[#All],9,0)</f>
        <v>Silver</v>
      </c>
      <c r="H1477" s="2" t="s">
        <v>1729</v>
      </c>
      <c r="I1477" s="2" t="str">
        <f>VLOOKUP(Sales_Details2[[#This Row],[Product_ID]],Product_details[[#All],[Product_ID]:[Cost]],3,0)</f>
        <v>Home</v>
      </c>
      <c r="J1477" s="2" t="str">
        <f>VLOOKUP(Sales_Details2[[#This Row],[Product_ID]],Product_details[[#All],[Product_ID]:[Cost]],4,0)</f>
        <v>Kitchen</v>
      </c>
      <c r="K1477" s="2" t="s">
        <v>1765</v>
      </c>
      <c r="L1477" s="2" t="str">
        <f>_xlfn.XLOOKUP(Sales_Details2[[#This Row],[Store_ID]],Table2[Store_ID],Table2[Region],"Region not found")</f>
        <v>West</v>
      </c>
      <c r="M1477" s="25">
        <v>2</v>
      </c>
      <c r="N1477" s="36">
        <v>916.12</v>
      </c>
      <c r="O1477" s="29">
        <v>0.05</v>
      </c>
      <c r="P1477" s="2" t="s">
        <v>1809</v>
      </c>
      <c r="Q1477" s="36">
        <v>1740.6279999999999</v>
      </c>
    </row>
    <row r="1478" spans="1:17" x14ac:dyDescent="0.3">
      <c r="A1478" s="2" t="s">
        <v>3285</v>
      </c>
      <c r="B1478" s="14">
        <v>45567</v>
      </c>
      <c r="C1478" s="2">
        <f>YEAR(Sales_Details2[[#This Row],[Order_Date]])</f>
        <v>2024</v>
      </c>
      <c r="D1478" s="2" t="s">
        <v>450</v>
      </c>
      <c r="E1478" s="2" t="str">
        <f>VLOOKUP(Sales_Details2[[#This Row],[Customer_ID]],Customer_Details[#All],4,0)</f>
        <v>Senior</v>
      </c>
      <c r="F1478" s="2" t="str">
        <f>VLOOKUP(Sales_Details2[[#This Row],[Customer_ID]],Customer_Details[#All],5,0)</f>
        <v>Female</v>
      </c>
      <c r="G1478" s="2" t="str">
        <f>VLOOKUP(Sales_Details2[[#This Row],[Customer_ID]],Customer_Details[#All],9,0)</f>
        <v>Bronze</v>
      </c>
      <c r="H1478" s="2" t="s">
        <v>1551</v>
      </c>
      <c r="I1478" s="2" t="str">
        <f>VLOOKUP(Sales_Details2[[#This Row],[Product_ID]],Product_details[[#All],[Product_ID]:[Cost]],3,0)</f>
        <v>Home</v>
      </c>
      <c r="J1478" s="2" t="str">
        <f>VLOOKUP(Sales_Details2[[#This Row],[Product_ID]],Product_details[[#All],[Product_ID]:[Cost]],4,0)</f>
        <v>Kitchen</v>
      </c>
      <c r="K1478" s="2" t="s">
        <v>1777</v>
      </c>
      <c r="L1478" s="2" t="str">
        <f>_xlfn.XLOOKUP(Sales_Details2[[#This Row],[Store_ID]],Table2[Store_ID],Table2[Region],"Region not found")</f>
        <v>North</v>
      </c>
      <c r="M1478" s="25">
        <v>4</v>
      </c>
      <c r="N1478" s="36">
        <v>228.98</v>
      </c>
      <c r="O1478" s="29">
        <v>0.22</v>
      </c>
      <c r="P1478" s="2" t="s">
        <v>1809</v>
      </c>
      <c r="Q1478" s="36">
        <v>714.41759999999999</v>
      </c>
    </row>
    <row r="1479" spans="1:17" x14ac:dyDescent="0.3">
      <c r="A1479" s="2" t="s">
        <v>3286</v>
      </c>
      <c r="B1479" s="14">
        <v>45510</v>
      </c>
      <c r="C1479" s="2">
        <f>YEAR(Sales_Details2[[#This Row],[Order_Date]])</f>
        <v>2024</v>
      </c>
      <c r="D1479" s="2" t="s">
        <v>746</v>
      </c>
      <c r="E1479" s="2" t="str">
        <f>VLOOKUP(Sales_Details2[[#This Row],[Customer_ID]],Customer_Details[#All],4,0)</f>
        <v>Mid-Adult</v>
      </c>
      <c r="F1479" s="2" t="str">
        <f>VLOOKUP(Sales_Details2[[#This Row],[Customer_ID]],Customer_Details[#All],5,0)</f>
        <v>Female</v>
      </c>
      <c r="G1479" s="2" t="str">
        <f>VLOOKUP(Sales_Details2[[#This Row],[Customer_ID]],Customer_Details[#All],9,0)</f>
        <v>Gold</v>
      </c>
      <c r="H1479" s="2" t="s">
        <v>1709</v>
      </c>
      <c r="I1479" s="2" t="str">
        <f>VLOOKUP(Sales_Details2[[#This Row],[Product_ID]],Product_details[[#All],[Product_ID]:[Cost]],3,0)</f>
        <v>Beauty</v>
      </c>
      <c r="J1479" s="2" t="str">
        <f>VLOOKUP(Sales_Details2[[#This Row],[Product_ID]],Product_details[[#All],[Product_ID]:[Cost]],4,0)</f>
        <v>Makeup</v>
      </c>
      <c r="K1479" s="2" t="s">
        <v>1784</v>
      </c>
      <c r="L1479" s="2" t="str">
        <f>_xlfn.XLOOKUP(Sales_Details2[[#This Row],[Store_ID]],Table2[Store_ID],Table2[Region],"Region not found")</f>
        <v>North</v>
      </c>
      <c r="M1479" s="25">
        <v>4</v>
      </c>
      <c r="N1479" s="36">
        <v>904.82</v>
      </c>
      <c r="O1479" s="29">
        <v>0.09</v>
      </c>
      <c r="P1479" s="2" t="s">
        <v>1809</v>
      </c>
      <c r="Q1479" s="36">
        <v>3293.5448000000001</v>
      </c>
    </row>
    <row r="1480" spans="1:17" x14ac:dyDescent="0.3">
      <c r="A1480" s="2" t="s">
        <v>3287</v>
      </c>
      <c r="B1480" s="14">
        <v>45806</v>
      </c>
      <c r="C1480" s="2">
        <f>YEAR(Sales_Details2[[#This Row],[Order_Date]])</f>
        <v>2025</v>
      </c>
      <c r="D1480" s="2" t="s">
        <v>292</v>
      </c>
      <c r="E1480" s="2" t="str">
        <f>VLOOKUP(Sales_Details2[[#This Row],[Customer_ID]],Customer_Details[#All],4,0)</f>
        <v>Mid-Adult</v>
      </c>
      <c r="F1480" s="2" t="str">
        <f>VLOOKUP(Sales_Details2[[#This Row],[Customer_ID]],Customer_Details[#All],5,0)</f>
        <v>Female</v>
      </c>
      <c r="G1480" s="2" t="str">
        <f>VLOOKUP(Sales_Details2[[#This Row],[Customer_ID]],Customer_Details[#All],9,0)</f>
        <v>Platinum</v>
      </c>
      <c r="H1480" s="2" t="s">
        <v>1577</v>
      </c>
      <c r="I1480" s="2" t="str">
        <f>VLOOKUP(Sales_Details2[[#This Row],[Product_ID]],Product_details[[#All],[Product_ID]:[Cost]],3,0)</f>
        <v>Clothing</v>
      </c>
      <c r="J1480" s="2" t="str">
        <f>VLOOKUP(Sales_Details2[[#This Row],[Product_ID]],Product_details[[#All],[Product_ID]:[Cost]],4,0)</f>
        <v>Tops</v>
      </c>
      <c r="K1480" s="2" t="s">
        <v>1775</v>
      </c>
      <c r="L1480" s="2" t="str">
        <f>_xlfn.XLOOKUP(Sales_Details2[[#This Row],[Store_ID]],Table2[Store_ID],Table2[Region],"Region not found")</f>
        <v>South</v>
      </c>
      <c r="M1480" s="25">
        <v>1</v>
      </c>
      <c r="N1480" s="36">
        <v>588.61</v>
      </c>
      <c r="O1480" s="29">
        <v>0.1</v>
      </c>
      <c r="P1480" s="2" t="s">
        <v>1809</v>
      </c>
      <c r="Q1480" s="36">
        <v>529.74900000000002</v>
      </c>
    </row>
    <row r="1481" spans="1:17" x14ac:dyDescent="0.3">
      <c r="A1481" s="2" t="s">
        <v>3288</v>
      </c>
      <c r="B1481" s="14">
        <v>45240</v>
      </c>
      <c r="C1481" s="2">
        <f>YEAR(Sales_Details2[[#This Row],[Order_Date]])</f>
        <v>2023</v>
      </c>
      <c r="D1481" s="2" t="s">
        <v>391</v>
      </c>
      <c r="E1481" s="2" t="str">
        <f>VLOOKUP(Sales_Details2[[#This Row],[Customer_ID]],Customer_Details[#All],4,0)</f>
        <v>Senior</v>
      </c>
      <c r="F1481" s="2" t="str">
        <f>VLOOKUP(Sales_Details2[[#This Row],[Customer_ID]],Customer_Details[#All],5,0)</f>
        <v>Male</v>
      </c>
      <c r="G1481" s="2" t="str">
        <f>VLOOKUP(Sales_Details2[[#This Row],[Customer_ID]],Customer_Details[#All],9,0)</f>
        <v>Gold</v>
      </c>
      <c r="H1481" s="2" t="s">
        <v>1597</v>
      </c>
      <c r="I1481" s="2" t="str">
        <f>VLOOKUP(Sales_Details2[[#This Row],[Product_ID]],Product_details[[#All],[Product_ID]:[Cost]],3,0)</f>
        <v>Home</v>
      </c>
      <c r="J1481" s="2" t="str">
        <f>VLOOKUP(Sales_Details2[[#This Row],[Product_ID]],Product_details[[#All],[Product_ID]:[Cost]],4,0)</f>
        <v>Decor</v>
      </c>
      <c r="K1481" s="2" t="s">
        <v>1749</v>
      </c>
      <c r="L1481" s="2" t="str">
        <f>_xlfn.XLOOKUP(Sales_Details2[[#This Row],[Store_ID]],Table2[Store_ID],Table2[Region],"Region not found")</f>
        <v>North</v>
      </c>
      <c r="M1481" s="25">
        <v>4</v>
      </c>
      <c r="N1481" s="36">
        <v>695.97</v>
      </c>
      <c r="O1481" s="29">
        <v>0.02</v>
      </c>
      <c r="P1481" s="2" t="s">
        <v>1807</v>
      </c>
      <c r="Q1481" s="36">
        <v>2728.2024000000001</v>
      </c>
    </row>
    <row r="1482" spans="1:17" x14ac:dyDescent="0.3">
      <c r="A1482" s="2" t="s">
        <v>3289</v>
      </c>
      <c r="B1482" s="14">
        <v>45309</v>
      </c>
      <c r="C1482" s="2">
        <f>YEAR(Sales_Details2[[#This Row],[Order_Date]])</f>
        <v>2024</v>
      </c>
      <c r="D1482" s="2" t="s">
        <v>942</v>
      </c>
      <c r="E1482" s="2" t="str">
        <f>VLOOKUP(Sales_Details2[[#This Row],[Customer_ID]],Customer_Details[#All],4,0)</f>
        <v>Mid-Adult</v>
      </c>
      <c r="F1482" s="2" t="str">
        <f>VLOOKUP(Sales_Details2[[#This Row],[Customer_ID]],Customer_Details[#All],5,0)</f>
        <v>Male</v>
      </c>
      <c r="G1482" s="2" t="str">
        <f>VLOOKUP(Sales_Details2[[#This Row],[Customer_ID]],Customer_Details[#All],9,0)</f>
        <v>Gold</v>
      </c>
      <c r="H1482" s="2" t="s">
        <v>1725</v>
      </c>
      <c r="I1482" s="2" t="str">
        <f>VLOOKUP(Sales_Details2[[#This Row],[Product_ID]],Product_details[[#All],[Product_ID]:[Cost]],3,0)</f>
        <v>Sports</v>
      </c>
      <c r="J1482" s="2" t="str">
        <f>VLOOKUP(Sales_Details2[[#This Row],[Product_ID]],Product_details[[#All],[Product_ID]:[Cost]],4,0)</f>
        <v>Team Sports</v>
      </c>
      <c r="K1482" s="2" t="s">
        <v>1775</v>
      </c>
      <c r="L1482" s="2" t="str">
        <f>_xlfn.XLOOKUP(Sales_Details2[[#This Row],[Store_ID]],Table2[Store_ID],Table2[Region],"Region not found")</f>
        <v>South</v>
      </c>
      <c r="M1482" s="25">
        <v>2</v>
      </c>
      <c r="N1482" s="36">
        <v>181.42</v>
      </c>
      <c r="O1482" s="29">
        <v>0.08</v>
      </c>
      <c r="P1482" s="2" t="s">
        <v>1809</v>
      </c>
      <c r="Q1482" s="36">
        <v>333.81279999999998</v>
      </c>
    </row>
    <row r="1483" spans="1:17" x14ac:dyDescent="0.3">
      <c r="A1483" s="2" t="s">
        <v>3290</v>
      </c>
      <c r="B1483" s="14">
        <v>45375</v>
      </c>
      <c r="C1483" s="2">
        <f>YEAR(Sales_Details2[[#This Row],[Order_Date]])</f>
        <v>2024</v>
      </c>
      <c r="D1483" s="2" t="s">
        <v>100</v>
      </c>
      <c r="E1483" s="2" t="str">
        <f>VLOOKUP(Sales_Details2[[#This Row],[Customer_ID]],Customer_Details[#All],4,0)</f>
        <v>Senior</v>
      </c>
      <c r="F1483" s="2" t="str">
        <f>VLOOKUP(Sales_Details2[[#This Row],[Customer_ID]],Customer_Details[#All],5,0)</f>
        <v>Female</v>
      </c>
      <c r="G1483" s="2" t="str">
        <f>VLOOKUP(Sales_Details2[[#This Row],[Customer_ID]],Customer_Details[#All],9,0)</f>
        <v>Silver</v>
      </c>
      <c r="H1483" s="2" t="s">
        <v>1725</v>
      </c>
      <c r="I1483" s="2" t="str">
        <f>VLOOKUP(Sales_Details2[[#This Row],[Product_ID]],Product_details[[#All],[Product_ID]:[Cost]],3,0)</f>
        <v>Sports</v>
      </c>
      <c r="J1483" s="2" t="str">
        <f>VLOOKUP(Sales_Details2[[#This Row],[Product_ID]],Product_details[[#All],[Product_ID]:[Cost]],4,0)</f>
        <v>Team Sports</v>
      </c>
      <c r="K1483" s="2" t="s">
        <v>1780</v>
      </c>
      <c r="L1483" s="2" t="str">
        <f>_xlfn.XLOOKUP(Sales_Details2[[#This Row],[Store_ID]],Table2[Store_ID],Table2[Region],"Region not found")</f>
        <v>East</v>
      </c>
      <c r="M1483" s="25">
        <v>1</v>
      </c>
      <c r="N1483" s="36">
        <v>439.55</v>
      </c>
      <c r="O1483" s="29">
        <v>0.28999999999999998</v>
      </c>
      <c r="P1483" s="2" t="s">
        <v>1812</v>
      </c>
      <c r="Q1483" s="36">
        <v>312.08049999999997</v>
      </c>
    </row>
    <row r="1484" spans="1:17" x14ac:dyDescent="0.3">
      <c r="A1484" s="2" t="s">
        <v>3291</v>
      </c>
      <c r="B1484" s="14">
        <v>45733</v>
      </c>
      <c r="C1484" s="2">
        <f>YEAR(Sales_Details2[[#This Row],[Order_Date]])</f>
        <v>2025</v>
      </c>
      <c r="D1484" s="2" t="s">
        <v>394</v>
      </c>
      <c r="E1484" s="2" t="str">
        <f>VLOOKUP(Sales_Details2[[#This Row],[Customer_ID]],Customer_Details[#All],4,0)</f>
        <v>Adult</v>
      </c>
      <c r="F1484" s="2" t="str">
        <f>VLOOKUP(Sales_Details2[[#This Row],[Customer_ID]],Customer_Details[#All],5,0)</f>
        <v>Male</v>
      </c>
      <c r="G1484" s="2" t="str">
        <f>VLOOKUP(Sales_Details2[[#This Row],[Customer_ID]],Customer_Details[#All],9,0)</f>
        <v>Bronze</v>
      </c>
      <c r="H1484" s="2" t="s">
        <v>1641</v>
      </c>
      <c r="I1484" s="2" t="str">
        <f>VLOOKUP(Sales_Details2[[#This Row],[Product_ID]],Product_details[[#All],[Product_ID]:[Cost]],3,0)</f>
        <v>Home</v>
      </c>
      <c r="J1484" s="2" t="str">
        <f>VLOOKUP(Sales_Details2[[#This Row],[Product_ID]],Product_details[[#All],[Product_ID]:[Cost]],4,0)</f>
        <v>Decor</v>
      </c>
      <c r="K1484" s="2" t="s">
        <v>1793</v>
      </c>
      <c r="L1484" s="2" t="str">
        <f>_xlfn.XLOOKUP(Sales_Details2[[#This Row],[Store_ID]],Table2[Store_ID],Table2[Region],"Region not found")</f>
        <v>East</v>
      </c>
      <c r="M1484" s="25">
        <v>3</v>
      </c>
      <c r="N1484" s="36">
        <v>471.27</v>
      </c>
      <c r="O1484" s="29">
        <v>0.27</v>
      </c>
      <c r="P1484" s="2" t="s">
        <v>1812</v>
      </c>
      <c r="Q1484" s="36">
        <v>1032.0813000000001</v>
      </c>
    </row>
    <row r="1485" spans="1:17" x14ac:dyDescent="0.3">
      <c r="A1485" s="2" t="s">
        <v>3292</v>
      </c>
      <c r="B1485" s="14">
        <v>45435</v>
      </c>
      <c r="C1485" s="2">
        <f>YEAR(Sales_Details2[[#This Row],[Order_Date]])</f>
        <v>2024</v>
      </c>
      <c r="D1485" s="2" t="s">
        <v>171</v>
      </c>
      <c r="E1485" s="2" t="str">
        <f>VLOOKUP(Sales_Details2[[#This Row],[Customer_ID]],Customer_Details[#All],4,0)</f>
        <v>Mid-Adult</v>
      </c>
      <c r="F1485" s="2" t="str">
        <f>VLOOKUP(Sales_Details2[[#This Row],[Customer_ID]],Customer_Details[#All],5,0)</f>
        <v>Male</v>
      </c>
      <c r="G1485" s="2" t="str">
        <f>VLOOKUP(Sales_Details2[[#This Row],[Customer_ID]],Customer_Details[#All],9,0)</f>
        <v>Bronze</v>
      </c>
      <c r="H1485" s="2" t="s">
        <v>1649</v>
      </c>
      <c r="I1485" s="2" t="str">
        <f>VLOOKUP(Sales_Details2[[#This Row],[Product_ID]],Product_details[[#All],[Product_ID]:[Cost]],3,0)</f>
        <v>Beauty</v>
      </c>
      <c r="J1485" s="2" t="str">
        <f>VLOOKUP(Sales_Details2[[#This Row],[Product_ID]],Product_details[[#All],[Product_ID]:[Cost]],4,0)</f>
        <v>Haircare</v>
      </c>
      <c r="K1485" s="2" t="s">
        <v>1777</v>
      </c>
      <c r="L1485" s="2" t="str">
        <f>_xlfn.XLOOKUP(Sales_Details2[[#This Row],[Store_ID]],Table2[Store_ID],Table2[Region],"Region not found")</f>
        <v>North</v>
      </c>
      <c r="M1485" s="25">
        <v>1</v>
      </c>
      <c r="N1485" s="36">
        <v>758.89</v>
      </c>
      <c r="O1485" s="29">
        <v>0.1</v>
      </c>
      <c r="P1485" s="2" t="s">
        <v>1807</v>
      </c>
      <c r="Q1485" s="36">
        <v>683.00099999999998</v>
      </c>
    </row>
    <row r="1486" spans="1:17" x14ac:dyDescent="0.3">
      <c r="A1486" s="2" t="s">
        <v>3293</v>
      </c>
      <c r="B1486" s="14">
        <v>45864</v>
      </c>
      <c r="C1486" s="2">
        <f>YEAR(Sales_Details2[[#This Row],[Order_Date]])</f>
        <v>2025</v>
      </c>
      <c r="D1486" s="2" t="s">
        <v>1475</v>
      </c>
      <c r="E1486" s="2" t="str">
        <f>VLOOKUP(Sales_Details2[[#This Row],[Customer_ID]],Customer_Details[#All],4,0)</f>
        <v>Mid-Adult</v>
      </c>
      <c r="F1486" s="2" t="str">
        <f>VLOOKUP(Sales_Details2[[#This Row],[Customer_ID]],Customer_Details[#All],5,0)</f>
        <v>Female</v>
      </c>
      <c r="G1486" s="2" t="str">
        <f>VLOOKUP(Sales_Details2[[#This Row],[Customer_ID]],Customer_Details[#All],9,0)</f>
        <v>Bronze</v>
      </c>
      <c r="H1486" s="2" t="s">
        <v>1721</v>
      </c>
      <c r="I1486" s="2" t="str">
        <f>VLOOKUP(Sales_Details2[[#This Row],[Product_ID]],Product_details[[#All],[Product_ID]:[Cost]],3,0)</f>
        <v>Sports</v>
      </c>
      <c r="J1486" s="2" t="str">
        <f>VLOOKUP(Sales_Details2[[#This Row],[Product_ID]],Product_details[[#All],[Product_ID]:[Cost]],4,0)</f>
        <v>Accessories</v>
      </c>
      <c r="K1486" s="2" t="s">
        <v>1784</v>
      </c>
      <c r="L1486" s="2" t="str">
        <f>_xlfn.XLOOKUP(Sales_Details2[[#This Row],[Store_ID]],Table2[Store_ID],Table2[Region],"Region not found")</f>
        <v>North</v>
      </c>
      <c r="M1486" s="25">
        <v>4</v>
      </c>
      <c r="N1486" s="36">
        <v>918.1</v>
      </c>
      <c r="O1486" s="29">
        <v>0.19</v>
      </c>
      <c r="P1486" s="2" t="s">
        <v>1812</v>
      </c>
      <c r="Q1486" s="36">
        <v>2974.6439999999998</v>
      </c>
    </row>
    <row r="1487" spans="1:17" x14ac:dyDescent="0.3">
      <c r="A1487" s="2" t="s">
        <v>3294</v>
      </c>
      <c r="B1487" s="14">
        <v>45569</v>
      </c>
      <c r="C1487" s="2">
        <f>YEAR(Sales_Details2[[#This Row],[Order_Date]])</f>
        <v>2024</v>
      </c>
      <c r="D1487" s="2" t="s">
        <v>820</v>
      </c>
      <c r="E1487" s="2" t="str">
        <f>VLOOKUP(Sales_Details2[[#This Row],[Customer_ID]],Customer_Details[#All],4,0)</f>
        <v>Mid-Adult</v>
      </c>
      <c r="F1487" s="2" t="str">
        <f>VLOOKUP(Sales_Details2[[#This Row],[Customer_ID]],Customer_Details[#All],5,0)</f>
        <v>Female</v>
      </c>
      <c r="G1487" s="2" t="str">
        <f>VLOOKUP(Sales_Details2[[#This Row],[Customer_ID]],Customer_Details[#All],9,0)</f>
        <v>Silver</v>
      </c>
      <c r="H1487" s="2" t="s">
        <v>1719</v>
      </c>
      <c r="I1487" s="2" t="str">
        <f>VLOOKUP(Sales_Details2[[#This Row],[Product_ID]],Product_details[[#All],[Product_ID]:[Cost]],3,0)</f>
        <v>Beauty</v>
      </c>
      <c r="J1487" s="2" t="str">
        <f>VLOOKUP(Sales_Details2[[#This Row],[Product_ID]],Product_details[[#All],[Product_ID]:[Cost]],4,0)</f>
        <v>Skincare</v>
      </c>
      <c r="K1487" s="2" t="s">
        <v>1775</v>
      </c>
      <c r="L1487" s="2" t="str">
        <f>_xlfn.XLOOKUP(Sales_Details2[[#This Row],[Store_ID]],Table2[Store_ID],Table2[Region],"Region not found")</f>
        <v>South</v>
      </c>
      <c r="M1487" s="25">
        <v>1</v>
      </c>
      <c r="N1487" s="36">
        <v>861.5</v>
      </c>
      <c r="O1487" s="29">
        <v>0.05</v>
      </c>
      <c r="P1487" s="2" t="s">
        <v>1812</v>
      </c>
      <c r="Q1487" s="36">
        <v>818.42499999999995</v>
      </c>
    </row>
    <row r="1488" spans="1:17" x14ac:dyDescent="0.3">
      <c r="A1488" s="2" t="s">
        <v>3295</v>
      </c>
      <c r="B1488" s="14">
        <v>45664</v>
      </c>
      <c r="C1488" s="2">
        <f>YEAR(Sales_Details2[[#This Row],[Order_Date]])</f>
        <v>2025</v>
      </c>
      <c r="D1488" s="2" t="s">
        <v>1409</v>
      </c>
      <c r="E1488" s="2" t="str">
        <f>VLOOKUP(Sales_Details2[[#This Row],[Customer_ID]],Customer_Details[#All],4,0)</f>
        <v>Mid-Adult</v>
      </c>
      <c r="F1488" s="2" t="str">
        <f>VLOOKUP(Sales_Details2[[#This Row],[Customer_ID]],Customer_Details[#All],5,0)</f>
        <v>Female</v>
      </c>
      <c r="G1488" s="2" t="str">
        <f>VLOOKUP(Sales_Details2[[#This Row],[Customer_ID]],Customer_Details[#All],9,0)</f>
        <v>Silver</v>
      </c>
      <c r="H1488" s="2" t="s">
        <v>1575</v>
      </c>
      <c r="I1488" s="2" t="str">
        <f>VLOOKUP(Sales_Details2[[#This Row],[Product_ID]],Product_details[[#All],[Product_ID]:[Cost]],3,0)</f>
        <v>Sports</v>
      </c>
      <c r="J1488" s="2" t="str">
        <f>VLOOKUP(Sales_Details2[[#This Row],[Product_ID]],Product_details[[#All],[Product_ID]:[Cost]],4,0)</f>
        <v>Equipment</v>
      </c>
      <c r="K1488" s="2" t="s">
        <v>1782</v>
      </c>
      <c r="L1488" s="2" t="str">
        <f>_xlfn.XLOOKUP(Sales_Details2[[#This Row],[Store_ID]],Table2[Store_ID],Table2[Region],"Region not found")</f>
        <v>South</v>
      </c>
      <c r="M1488" s="25">
        <v>1</v>
      </c>
      <c r="N1488" s="36">
        <v>588.29999999999995</v>
      </c>
      <c r="O1488" s="29">
        <v>0.26</v>
      </c>
      <c r="P1488" s="2" t="s">
        <v>1812</v>
      </c>
      <c r="Q1488" s="36">
        <v>435.34199999999998</v>
      </c>
    </row>
    <row r="1489" spans="1:17" x14ac:dyDescent="0.3">
      <c r="A1489" s="2" t="s">
        <v>3296</v>
      </c>
      <c r="B1489" s="14">
        <v>45645</v>
      </c>
      <c r="C1489" s="2">
        <f>YEAR(Sales_Details2[[#This Row],[Order_Date]])</f>
        <v>2024</v>
      </c>
      <c r="D1489" s="2" t="s">
        <v>1409</v>
      </c>
      <c r="E1489" s="2" t="str">
        <f>VLOOKUP(Sales_Details2[[#This Row],[Customer_ID]],Customer_Details[#All],4,0)</f>
        <v>Mid-Adult</v>
      </c>
      <c r="F1489" s="2" t="str">
        <f>VLOOKUP(Sales_Details2[[#This Row],[Customer_ID]],Customer_Details[#All],5,0)</f>
        <v>Female</v>
      </c>
      <c r="G1489" s="2" t="str">
        <f>VLOOKUP(Sales_Details2[[#This Row],[Customer_ID]],Customer_Details[#All],9,0)</f>
        <v>Silver</v>
      </c>
      <c r="H1489" s="2" t="s">
        <v>1641</v>
      </c>
      <c r="I1489" s="2" t="str">
        <f>VLOOKUP(Sales_Details2[[#This Row],[Product_ID]],Product_details[[#All],[Product_ID]:[Cost]],3,0)</f>
        <v>Home</v>
      </c>
      <c r="J1489" s="2" t="str">
        <f>VLOOKUP(Sales_Details2[[#This Row],[Product_ID]],Product_details[[#All],[Product_ID]:[Cost]],4,0)</f>
        <v>Decor</v>
      </c>
      <c r="K1489" s="2" t="s">
        <v>1762</v>
      </c>
      <c r="L1489" s="2" t="str">
        <f>_xlfn.XLOOKUP(Sales_Details2[[#This Row],[Store_ID]],Table2[Store_ID],Table2[Region],"Region not found")</f>
        <v>South</v>
      </c>
      <c r="M1489" s="25">
        <v>1</v>
      </c>
      <c r="N1489" s="36">
        <v>917.26</v>
      </c>
      <c r="O1489" s="29">
        <v>0.05</v>
      </c>
      <c r="P1489" s="2" t="s">
        <v>1809</v>
      </c>
      <c r="Q1489" s="36">
        <v>871.39699999999993</v>
      </c>
    </row>
    <row r="1490" spans="1:17" x14ac:dyDescent="0.3">
      <c r="A1490" s="2" t="s">
        <v>3297</v>
      </c>
      <c r="B1490" s="14">
        <v>45449</v>
      </c>
      <c r="C1490" s="2">
        <f>YEAR(Sales_Details2[[#This Row],[Order_Date]])</f>
        <v>2024</v>
      </c>
      <c r="D1490" s="2" t="s">
        <v>743</v>
      </c>
      <c r="E1490" s="2" t="str">
        <f>VLOOKUP(Sales_Details2[[#This Row],[Customer_ID]],Customer_Details[#All],4,0)</f>
        <v>Senior</v>
      </c>
      <c r="F1490" s="2" t="str">
        <f>VLOOKUP(Sales_Details2[[#This Row],[Customer_ID]],Customer_Details[#All],5,0)</f>
        <v>Male</v>
      </c>
      <c r="G1490" s="2" t="str">
        <f>VLOOKUP(Sales_Details2[[#This Row],[Customer_ID]],Customer_Details[#All],9,0)</f>
        <v>Silver</v>
      </c>
      <c r="H1490" s="2" t="s">
        <v>1540</v>
      </c>
      <c r="I1490" s="2" t="str">
        <f>VLOOKUP(Sales_Details2[[#This Row],[Product_ID]],Product_details[[#All],[Product_ID]:[Cost]],3,0)</f>
        <v>Beauty</v>
      </c>
      <c r="J1490" s="2" t="str">
        <f>VLOOKUP(Sales_Details2[[#This Row],[Product_ID]],Product_details[[#All],[Product_ID]:[Cost]],4,0)</f>
        <v>Skincare</v>
      </c>
      <c r="K1490" s="2" t="s">
        <v>1793</v>
      </c>
      <c r="L1490" s="2" t="str">
        <f>_xlfn.XLOOKUP(Sales_Details2[[#This Row],[Store_ID]],Table2[Store_ID],Table2[Region],"Region not found")</f>
        <v>East</v>
      </c>
      <c r="M1490" s="25">
        <v>4</v>
      </c>
      <c r="N1490" s="36">
        <v>96.78</v>
      </c>
      <c r="O1490" s="29">
        <v>0.11</v>
      </c>
      <c r="P1490" s="2" t="s">
        <v>1809</v>
      </c>
      <c r="Q1490" s="36">
        <v>344.53680000000003</v>
      </c>
    </row>
    <row r="1491" spans="1:17" x14ac:dyDescent="0.3">
      <c r="A1491" s="2" t="s">
        <v>3298</v>
      </c>
      <c r="B1491" s="14">
        <v>45629</v>
      </c>
      <c r="C1491" s="2">
        <f>YEAR(Sales_Details2[[#This Row],[Order_Date]])</f>
        <v>2024</v>
      </c>
      <c r="D1491" s="2" t="s">
        <v>1456</v>
      </c>
      <c r="E1491" s="2" t="str">
        <f>VLOOKUP(Sales_Details2[[#This Row],[Customer_ID]],Customer_Details[#All],4,0)</f>
        <v>Senior</v>
      </c>
      <c r="F1491" s="2" t="str">
        <f>VLOOKUP(Sales_Details2[[#This Row],[Customer_ID]],Customer_Details[#All],5,0)</f>
        <v>Male</v>
      </c>
      <c r="G1491" s="2" t="str">
        <f>VLOOKUP(Sales_Details2[[#This Row],[Customer_ID]],Customer_Details[#All],9,0)</f>
        <v>Gold</v>
      </c>
      <c r="H1491" s="2" t="s">
        <v>1587</v>
      </c>
      <c r="I1491" s="2" t="str">
        <f>VLOOKUP(Sales_Details2[[#This Row],[Product_ID]],Product_details[[#All],[Product_ID]:[Cost]],3,0)</f>
        <v>Sports</v>
      </c>
      <c r="J1491" s="2" t="str">
        <f>VLOOKUP(Sales_Details2[[#This Row],[Product_ID]],Product_details[[#All],[Product_ID]:[Cost]],4,0)</f>
        <v>Accessories</v>
      </c>
      <c r="K1491" s="2" t="s">
        <v>1752</v>
      </c>
      <c r="L1491" s="2" t="str">
        <f>_xlfn.XLOOKUP(Sales_Details2[[#This Row],[Store_ID]],Table2[Store_ID],Table2[Region],"Region not found")</f>
        <v>South</v>
      </c>
      <c r="M1491" s="25">
        <v>3</v>
      </c>
      <c r="N1491" s="36">
        <v>199.41</v>
      </c>
      <c r="O1491" s="29">
        <v>0.16</v>
      </c>
      <c r="P1491" s="2" t="s">
        <v>1812</v>
      </c>
      <c r="Q1491" s="36">
        <v>502.51319999999998</v>
      </c>
    </row>
    <row r="1492" spans="1:17" x14ac:dyDescent="0.3">
      <c r="A1492" s="2" t="s">
        <v>3299</v>
      </c>
      <c r="B1492" s="14">
        <v>45739</v>
      </c>
      <c r="C1492" s="2">
        <f>YEAR(Sales_Details2[[#This Row],[Order_Date]])</f>
        <v>2025</v>
      </c>
      <c r="D1492" s="2" t="s">
        <v>85</v>
      </c>
      <c r="E1492" s="2" t="str">
        <f>VLOOKUP(Sales_Details2[[#This Row],[Customer_ID]],Customer_Details[#All],4,0)</f>
        <v>Mid-Adult</v>
      </c>
      <c r="F1492" s="2" t="str">
        <f>VLOOKUP(Sales_Details2[[#This Row],[Customer_ID]],Customer_Details[#All],5,0)</f>
        <v>Female</v>
      </c>
      <c r="G1492" s="2" t="str">
        <f>VLOOKUP(Sales_Details2[[#This Row],[Customer_ID]],Customer_Details[#All],9,0)</f>
        <v>Platinum</v>
      </c>
      <c r="H1492" s="2" t="s">
        <v>1639</v>
      </c>
      <c r="I1492" s="2" t="str">
        <f>VLOOKUP(Sales_Details2[[#This Row],[Product_ID]],Product_details[[#All],[Product_ID]:[Cost]],3,0)</f>
        <v>Sports</v>
      </c>
      <c r="J1492" s="2" t="str">
        <f>VLOOKUP(Sales_Details2[[#This Row],[Product_ID]],Product_details[[#All],[Product_ID]:[Cost]],4,0)</f>
        <v>Accessories</v>
      </c>
      <c r="K1492" s="2" t="s">
        <v>1769</v>
      </c>
      <c r="L1492" s="2" t="str">
        <f>_xlfn.XLOOKUP(Sales_Details2[[#This Row],[Store_ID]],Table2[Store_ID],Table2[Region],"Region not found")</f>
        <v>South</v>
      </c>
      <c r="M1492" s="25">
        <v>1</v>
      </c>
      <c r="N1492" s="36">
        <v>687.91</v>
      </c>
      <c r="O1492" s="29">
        <v>0.25</v>
      </c>
      <c r="P1492" s="2" t="s">
        <v>1807</v>
      </c>
      <c r="Q1492" s="36">
        <v>515.9325</v>
      </c>
    </row>
    <row r="1493" spans="1:17" x14ac:dyDescent="0.3">
      <c r="A1493" s="2" t="s">
        <v>3300</v>
      </c>
      <c r="B1493" s="14">
        <v>45849</v>
      </c>
      <c r="C1493" s="2">
        <f>YEAR(Sales_Details2[[#This Row],[Order_Date]])</f>
        <v>2025</v>
      </c>
      <c r="D1493" s="2" t="s">
        <v>152</v>
      </c>
      <c r="E1493" s="2" t="str">
        <f>VLOOKUP(Sales_Details2[[#This Row],[Customer_ID]],Customer_Details[#All],4,0)</f>
        <v>Senior</v>
      </c>
      <c r="F1493" s="2" t="str">
        <f>VLOOKUP(Sales_Details2[[#This Row],[Customer_ID]],Customer_Details[#All],5,0)</f>
        <v>Female</v>
      </c>
      <c r="G1493" s="2" t="str">
        <f>VLOOKUP(Sales_Details2[[#This Row],[Customer_ID]],Customer_Details[#All],9,0)</f>
        <v>Gold</v>
      </c>
      <c r="H1493" s="2" t="s">
        <v>1673</v>
      </c>
      <c r="I1493" s="2" t="str">
        <f>VLOOKUP(Sales_Details2[[#This Row],[Product_ID]],Product_details[[#All],[Product_ID]:[Cost]],3,0)</f>
        <v>Beauty</v>
      </c>
      <c r="J1493" s="2" t="str">
        <f>VLOOKUP(Sales_Details2[[#This Row],[Product_ID]],Product_details[[#All],[Product_ID]:[Cost]],4,0)</f>
        <v>Haircare</v>
      </c>
      <c r="K1493" s="2" t="s">
        <v>1744</v>
      </c>
      <c r="L1493" s="2" t="str">
        <f>_xlfn.XLOOKUP(Sales_Details2[[#This Row],[Store_ID]],Table2[Store_ID],Table2[Region],"Region not found")</f>
        <v>South</v>
      </c>
      <c r="M1493" s="25">
        <v>3</v>
      </c>
      <c r="N1493" s="36">
        <v>769.62</v>
      </c>
      <c r="O1493" s="29">
        <v>0.09</v>
      </c>
      <c r="P1493" s="2" t="s">
        <v>1809</v>
      </c>
      <c r="Q1493" s="36">
        <v>2101.0626000000002</v>
      </c>
    </row>
    <row r="1494" spans="1:17" x14ac:dyDescent="0.3">
      <c r="A1494" s="2" t="s">
        <v>3301</v>
      </c>
      <c r="B1494" s="14">
        <v>45230</v>
      </c>
      <c r="C1494" s="2">
        <f>YEAR(Sales_Details2[[#This Row],[Order_Date]])</f>
        <v>2023</v>
      </c>
      <c r="D1494" s="2" t="s">
        <v>707</v>
      </c>
      <c r="E1494" s="2" t="str">
        <f>VLOOKUP(Sales_Details2[[#This Row],[Customer_ID]],Customer_Details[#All],4,0)</f>
        <v>Mid-Adult</v>
      </c>
      <c r="F1494" s="2" t="str">
        <f>VLOOKUP(Sales_Details2[[#This Row],[Customer_ID]],Customer_Details[#All],5,0)</f>
        <v>Female</v>
      </c>
      <c r="G1494" s="2" t="str">
        <f>VLOOKUP(Sales_Details2[[#This Row],[Customer_ID]],Customer_Details[#All],9,0)</f>
        <v>Bronze</v>
      </c>
      <c r="H1494" s="2" t="s">
        <v>1536</v>
      </c>
      <c r="I1494" s="2" t="str">
        <f>VLOOKUP(Sales_Details2[[#This Row],[Product_ID]],Product_details[[#All],[Product_ID]:[Cost]],3,0)</f>
        <v>Clothing</v>
      </c>
      <c r="J1494" s="2" t="str">
        <f>VLOOKUP(Sales_Details2[[#This Row],[Product_ID]],Product_details[[#All],[Product_ID]:[Cost]],4,0)</f>
        <v>Bottoms</v>
      </c>
      <c r="K1494" s="2" t="s">
        <v>1749</v>
      </c>
      <c r="L1494" s="2" t="str">
        <f>_xlfn.XLOOKUP(Sales_Details2[[#This Row],[Store_ID]],Table2[Store_ID],Table2[Region],"Region not found")</f>
        <v>North</v>
      </c>
      <c r="M1494" s="25">
        <v>1</v>
      </c>
      <c r="N1494" s="36">
        <v>492.05</v>
      </c>
      <c r="O1494" s="29">
        <v>0.27</v>
      </c>
      <c r="P1494" s="2" t="s">
        <v>1807</v>
      </c>
      <c r="Q1494" s="36">
        <v>359.19650000000001</v>
      </c>
    </row>
    <row r="1495" spans="1:17" x14ac:dyDescent="0.3">
      <c r="A1495" s="2" t="s">
        <v>3302</v>
      </c>
      <c r="B1495" s="14">
        <v>45292</v>
      </c>
      <c r="C1495" s="2">
        <f>YEAR(Sales_Details2[[#This Row],[Order_Date]])</f>
        <v>2024</v>
      </c>
      <c r="D1495" s="2" t="s">
        <v>364</v>
      </c>
      <c r="E1495" s="2" t="str">
        <f>VLOOKUP(Sales_Details2[[#This Row],[Customer_ID]],Customer_Details[#All],4,0)</f>
        <v>Senior</v>
      </c>
      <c r="F1495" s="2" t="str">
        <f>VLOOKUP(Sales_Details2[[#This Row],[Customer_ID]],Customer_Details[#All],5,0)</f>
        <v>Male</v>
      </c>
      <c r="G1495" s="2" t="str">
        <f>VLOOKUP(Sales_Details2[[#This Row],[Customer_ID]],Customer_Details[#All],9,0)</f>
        <v>Silver</v>
      </c>
      <c r="H1495" s="2" t="s">
        <v>1565</v>
      </c>
      <c r="I1495" s="2" t="str">
        <f>VLOOKUP(Sales_Details2[[#This Row],[Product_ID]],Product_details[[#All],[Product_ID]:[Cost]],3,0)</f>
        <v>Sports</v>
      </c>
      <c r="J1495" s="2" t="str">
        <f>VLOOKUP(Sales_Details2[[#This Row],[Product_ID]],Product_details[[#All],[Product_ID]:[Cost]],4,0)</f>
        <v>Accessories</v>
      </c>
      <c r="K1495" s="2" t="s">
        <v>1777</v>
      </c>
      <c r="L1495" s="2" t="str">
        <f>_xlfn.XLOOKUP(Sales_Details2[[#This Row],[Store_ID]],Table2[Store_ID],Table2[Region],"Region not found")</f>
        <v>North</v>
      </c>
      <c r="M1495" s="25">
        <v>2</v>
      </c>
      <c r="N1495" s="36">
        <v>428.55</v>
      </c>
      <c r="O1495" s="29">
        <v>0</v>
      </c>
      <c r="P1495" s="2" t="s">
        <v>1809</v>
      </c>
      <c r="Q1495" s="36">
        <v>857.1</v>
      </c>
    </row>
    <row r="1496" spans="1:17" x14ac:dyDescent="0.3">
      <c r="A1496" s="2" t="s">
        <v>3303</v>
      </c>
      <c r="B1496" s="14">
        <v>45251</v>
      </c>
      <c r="C1496" s="2">
        <f>YEAR(Sales_Details2[[#This Row],[Order_Date]])</f>
        <v>2023</v>
      </c>
      <c r="D1496" s="2" t="s">
        <v>731</v>
      </c>
      <c r="E1496" s="2" t="str">
        <f>VLOOKUP(Sales_Details2[[#This Row],[Customer_ID]],Customer_Details[#All],4,0)</f>
        <v>Mid-Adult</v>
      </c>
      <c r="F1496" s="2" t="str">
        <f>VLOOKUP(Sales_Details2[[#This Row],[Customer_ID]],Customer_Details[#All],5,0)</f>
        <v>Female</v>
      </c>
      <c r="G1496" s="2" t="str">
        <f>VLOOKUP(Sales_Details2[[#This Row],[Customer_ID]],Customer_Details[#All],9,0)</f>
        <v>Bronze</v>
      </c>
      <c r="H1496" s="2" t="s">
        <v>1551</v>
      </c>
      <c r="I1496" s="2" t="str">
        <f>VLOOKUP(Sales_Details2[[#This Row],[Product_ID]],Product_details[[#All],[Product_ID]:[Cost]],3,0)</f>
        <v>Home</v>
      </c>
      <c r="J1496" s="2" t="str">
        <f>VLOOKUP(Sales_Details2[[#This Row],[Product_ID]],Product_details[[#All],[Product_ID]:[Cost]],4,0)</f>
        <v>Kitchen</v>
      </c>
      <c r="K1496" s="2" t="s">
        <v>1784</v>
      </c>
      <c r="L1496" s="2" t="str">
        <f>_xlfn.XLOOKUP(Sales_Details2[[#This Row],[Store_ID]],Table2[Store_ID],Table2[Region],"Region not found")</f>
        <v>North</v>
      </c>
      <c r="M1496" s="25">
        <v>4</v>
      </c>
      <c r="N1496" s="36">
        <v>316.18</v>
      </c>
      <c r="O1496" s="29">
        <v>0.12</v>
      </c>
      <c r="P1496" s="2" t="s">
        <v>1807</v>
      </c>
      <c r="Q1496" s="36">
        <v>1112.9536000000001</v>
      </c>
    </row>
    <row r="1497" spans="1:17" x14ac:dyDescent="0.3">
      <c r="A1497" s="2" t="s">
        <v>3304</v>
      </c>
      <c r="B1497" s="14">
        <v>45555</v>
      </c>
      <c r="C1497" s="2">
        <f>YEAR(Sales_Details2[[#This Row],[Order_Date]])</f>
        <v>2024</v>
      </c>
      <c r="D1497" s="2" t="s">
        <v>40</v>
      </c>
      <c r="E1497" s="2" t="str">
        <f>VLOOKUP(Sales_Details2[[#This Row],[Customer_ID]],Customer_Details[#All],4,0)</f>
        <v>Adult</v>
      </c>
      <c r="F1497" s="2" t="str">
        <f>VLOOKUP(Sales_Details2[[#This Row],[Customer_ID]],Customer_Details[#All],5,0)</f>
        <v>Female</v>
      </c>
      <c r="G1497" s="2" t="str">
        <f>VLOOKUP(Sales_Details2[[#This Row],[Customer_ID]],Customer_Details[#All],9,0)</f>
        <v>Bronze</v>
      </c>
      <c r="H1497" s="2" t="s">
        <v>1557</v>
      </c>
      <c r="I1497" s="2" t="str">
        <f>VLOOKUP(Sales_Details2[[#This Row],[Product_ID]],Product_details[[#All],[Product_ID]:[Cost]],3,0)</f>
        <v>Electronics</v>
      </c>
      <c r="J1497" s="2" t="str">
        <f>VLOOKUP(Sales_Details2[[#This Row],[Product_ID]],Product_details[[#All],[Product_ID]:[Cost]],4,0)</f>
        <v>Accessories</v>
      </c>
      <c r="K1497" s="2" t="s">
        <v>1749</v>
      </c>
      <c r="L1497" s="2" t="str">
        <f>_xlfn.XLOOKUP(Sales_Details2[[#This Row],[Store_ID]],Table2[Store_ID],Table2[Region],"Region not found")</f>
        <v>North</v>
      </c>
      <c r="M1497" s="25">
        <v>3</v>
      </c>
      <c r="N1497" s="36">
        <v>162.16999999999999</v>
      </c>
      <c r="O1497" s="29">
        <v>0.15</v>
      </c>
      <c r="P1497" s="2" t="s">
        <v>1809</v>
      </c>
      <c r="Q1497" s="36">
        <v>413.5335</v>
      </c>
    </row>
    <row r="1498" spans="1:17" x14ac:dyDescent="0.3">
      <c r="A1498" s="2" t="s">
        <v>3305</v>
      </c>
      <c r="B1498" s="14">
        <v>45385</v>
      </c>
      <c r="C1498" s="2">
        <f>YEAR(Sales_Details2[[#This Row],[Order_Date]])</f>
        <v>2024</v>
      </c>
      <c r="D1498" s="2" t="s">
        <v>1030</v>
      </c>
      <c r="E1498" s="2" t="str">
        <f>VLOOKUP(Sales_Details2[[#This Row],[Customer_ID]],Customer_Details[#All],4,0)</f>
        <v>Mid-Adult</v>
      </c>
      <c r="F1498" s="2" t="str">
        <f>VLOOKUP(Sales_Details2[[#This Row],[Customer_ID]],Customer_Details[#All],5,0)</f>
        <v>Female</v>
      </c>
      <c r="G1498" s="2" t="str">
        <f>VLOOKUP(Sales_Details2[[#This Row],[Customer_ID]],Customer_Details[#All],9,0)</f>
        <v>Bronze</v>
      </c>
      <c r="H1498" s="2" t="s">
        <v>1536</v>
      </c>
      <c r="I1498" s="2" t="str">
        <f>VLOOKUP(Sales_Details2[[#This Row],[Product_ID]],Product_details[[#All],[Product_ID]:[Cost]],3,0)</f>
        <v>Clothing</v>
      </c>
      <c r="J1498" s="2" t="str">
        <f>VLOOKUP(Sales_Details2[[#This Row],[Product_ID]],Product_details[[#All],[Product_ID]:[Cost]],4,0)</f>
        <v>Bottoms</v>
      </c>
      <c r="K1498" s="2" t="s">
        <v>1749</v>
      </c>
      <c r="L1498" s="2" t="str">
        <f>_xlfn.XLOOKUP(Sales_Details2[[#This Row],[Store_ID]],Table2[Store_ID],Table2[Region],"Region not found")</f>
        <v>North</v>
      </c>
      <c r="M1498" s="25">
        <v>3</v>
      </c>
      <c r="N1498" s="36">
        <v>698.14</v>
      </c>
      <c r="O1498" s="29">
        <v>0.04</v>
      </c>
      <c r="P1498" s="2" t="s">
        <v>1809</v>
      </c>
      <c r="Q1498" s="36">
        <v>2010.6432</v>
      </c>
    </row>
    <row r="1499" spans="1:17" x14ac:dyDescent="0.3">
      <c r="A1499" s="2" t="s">
        <v>3306</v>
      </c>
      <c r="B1499" s="14">
        <v>45787</v>
      </c>
      <c r="C1499" s="2">
        <f>YEAR(Sales_Details2[[#This Row],[Order_Date]])</f>
        <v>2025</v>
      </c>
      <c r="D1499" s="2" t="s">
        <v>968</v>
      </c>
      <c r="E1499" s="2" t="str">
        <f>VLOOKUP(Sales_Details2[[#This Row],[Customer_ID]],Customer_Details[#All],4,0)</f>
        <v>Adult</v>
      </c>
      <c r="F1499" s="2" t="str">
        <f>VLOOKUP(Sales_Details2[[#This Row],[Customer_ID]],Customer_Details[#All],5,0)</f>
        <v>Male</v>
      </c>
      <c r="G1499" s="2" t="str">
        <f>VLOOKUP(Sales_Details2[[#This Row],[Customer_ID]],Customer_Details[#All],9,0)</f>
        <v>Silver</v>
      </c>
      <c r="H1499" s="2" t="s">
        <v>1679</v>
      </c>
      <c r="I1499" s="2" t="str">
        <f>VLOOKUP(Sales_Details2[[#This Row],[Product_ID]],Product_details[[#All],[Product_ID]:[Cost]],3,0)</f>
        <v>Electronics</v>
      </c>
      <c r="J1499" s="2" t="str">
        <f>VLOOKUP(Sales_Details2[[#This Row],[Product_ID]],Product_details[[#All],[Product_ID]:[Cost]],4,0)</f>
        <v>Audio</v>
      </c>
      <c r="K1499" s="2" t="s">
        <v>1793</v>
      </c>
      <c r="L1499" s="2" t="str">
        <f>_xlfn.XLOOKUP(Sales_Details2[[#This Row],[Store_ID]],Table2[Store_ID],Table2[Region],"Region not found")</f>
        <v>East</v>
      </c>
      <c r="M1499" s="25">
        <v>1</v>
      </c>
      <c r="N1499" s="36">
        <v>478.08</v>
      </c>
      <c r="O1499" s="29">
        <v>7.0000000000000007E-2</v>
      </c>
      <c r="P1499" s="2" t="s">
        <v>1812</v>
      </c>
      <c r="Q1499" s="36">
        <v>444.61439999999988</v>
      </c>
    </row>
    <row r="1500" spans="1:17" x14ac:dyDescent="0.3">
      <c r="A1500" s="2" t="s">
        <v>3307</v>
      </c>
      <c r="B1500" s="14">
        <v>45822</v>
      </c>
      <c r="C1500" s="2">
        <f>YEAR(Sales_Details2[[#This Row],[Order_Date]])</f>
        <v>2025</v>
      </c>
      <c r="D1500" s="2" t="s">
        <v>672</v>
      </c>
      <c r="E1500" s="2" t="str">
        <f>VLOOKUP(Sales_Details2[[#This Row],[Customer_ID]],Customer_Details[#All],4,0)</f>
        <v>Senior</v>
      </c>
      <c r="F1500" s="2" t="str">
        <f>VLOOKUP(Sales_Details2[[#This Row],[Customer_ID]],Customer_Details[#All],5,0)</f>
        <v>Male</v>
      </c>
      <c r="G1500" s="2" t="str">
        <f>VLOOKUP(Sales_Details2[[#This Row],[Customer_ID]],Customer_Details[#All],9,0)</f>
        <v>Platinum</v>
      </c>
      <c r="H1500" s="2" t="s">
        <v>1649</v>
      </c>
      <c r="I1500" s="2" t="str">
        <f>VLOOKUP(Sales_Details2[[#This Row],[Product_ID]],Product_details[[#All],[Product_ID]:[Cost]],3,0)</f>
        <v>Beauty</v>
      </c>
      <c r="J1500" s="2" t="str">
        <f>VLOOKUP(Sales_Details2[[#This Row],[Product_ID]],Product_details[[#All],[Product_ID]:[Cost]],4,0)</f>
        <v>Haircare</v>
      </c>
      <c r="K1500" s="2" t="s">
        <v>1762</v>
      </c>
      <c r="L1500" s="2" t="str">
        <f>_xlfn.XLOOKUP(Sales_Details2[[#This Row],[Store_ID]],Table2[Store_ID],Table2[Region],"Region not found")</f>
        <v>South</v>
      </c>
      <c r="M1500" s="25">
        <v>2</v>
      </c>
      <c r="N1500" s="36">
        <v>958.64</v>
      </c>
      <c r="O1500" s="29">
        <v>0.2</v>
      </c>
      <c r="P1500" s="2" t="s">
        <v>1809</v>
      </c>
      <c r="Q1500" s="36">
        <v>1533.8240000000001</v>
      </c>
    </row>
    <row r="1501" spans="1:17" x14ac:dyDescent="0.3">
      <c r="A1501" s="2" t="s">
        <v>3308</v>
      </c>
      <c r="B1501" s="14">
        <v>45590</v>
      </c>
      <c r="C1501" s="2">
        <f>YEAR(Sales_Details2[[#This Row],[Order_Date]])</f>
        <v>2024</v>
      </c>
      <c r="D1501" s="2" t="s">
        <v>1415</v>
      </c>
      <c r="E1501" s="2" t="str">
        <f>VLOOKUP(Sales_Details2[[#This Row],[Customer_ID]],Customer_Details[#All],4,0)</f>
        <v>Mid-Adult</v>
      </c>
      <c r="F1501" s="2" t="str">
        <f>VLOOKUP(Sales_Details2[[#This Row],[Customer_ID]],Customer_Details[#All],5,0)</f>
        <v>Female</v>
      </c>
      <c r="G1501" s="2" t="str">
        <f>VLOOKUP(Sales_Details2[[#This Row],[Customer_ID]],Customer_Details[#All],9,0)</f>
        <v>Platinum</v>
      </c>
      <c r="H1501" s="2" t="s">
        <v>1613</v>
      </c>
      <c r="I1501" s="2" t="str">
        <f>VLOOKUP(Sales_Details2[[#This Row],[Product_ID]],Product_details[[#All],[Product_ID]:[Cost]],3,0)</f>
        <v>Sports</v>
      </c>
      <c r="J1501" s="2" t="str">
        <f>VLOOKUP(Sales_Details2[[#This Row],[Product_ID]],Product_details[[#All],[Product_ID]:[Cost]],4,0)</f>
        <v>Fitness</v>
      </c>
      <c r="K1501" s="2" t="s">
        <v>1777</v>
      </c>
      <c r="L1501" s="2" t="str">
        <f>_xlfn.XLOOKUP(Sales_Details2[[#This Row],[Store_ID]],Table2[Store_ID],Table2[Region],"Region not found")</f>
        <v>North</v>
      </c>
      <c r="M1501" s="25">
        <v>2</v>
      </c>
      <c r="N1501" s="36">
        <v>581.19000000000005</v>
      </c>
      <c r="O1501" s="29">
        <v>7.0000000000000007E-2</v>
      </c>
      <c r="P1501" s="2" t="s">
        <v>1812</v>
      </c>
      <c r="Q1501" s="36">
        <v>1081.0134</v>
      </c>
    </row>
    <row r="1502" spans="1:17" x14ac:dyDescent="0.3">
      <c r="A1502" s="2" t="s">
        <v>3309</v>
      </c>
      <c r="B1502" s="14">
        <v>45618</v>
      </c>
      <c r="C1502" s="2">
        <f>YEAR(Sales_Details2[[#This Row],[Order_Date]])</f>
        <v>2024</v>
      </c>
      <c r="D1502" s="2" t="s">
        <v>388</v>
      </c>
      <c r="E1502" s="2" t="str">
        <f>VLOOKUP(Sales_Details2[[#This Row],[Customer_ID]],Customer_Details[#All],4,0)</f>
        <v>Adult</v>
      </c>
      <c r="F1502" s="2" t="str">
        <f>VLOOKUP(Sales_Details2[[#This Row],[Customer_ID]],Customer_Details[#All],5,0)</f>
        <v>Female</v>
      </c>
      <c r="G1502" s="2" t="str">
        <f>VLOOKUP(Sales_Details2[[#This Row],[Customer_ID]],Customer_Details[#All],9,0)</f>
        <v>Silver</v>
      </c>
      <c r="H1502" s="2" t="s">
        <v>1729</v>
      </c>
      <c r="I1502" s="2" t="str">
        <f>VLOOKUP(Sales_Details2[[#This Row],[Product_ID]],Product_details[[#All],[Product_ID]:[Cost]],3,0)</f>
        <v>Home</v>
      </c>
      <c r="J1502" s="2" t="str">
        <f>VLOOKUP(Sales_Details2[[#This Row],[Product_ID]],Product_details[[#All],[Product_ID]:[Cost]],4,0)</f>
        <v>Kitchen</v>
      </c>
      <c r="K1502" s="2" t="s">
        <v>1775</v>
      </c>
      <c r="L1502" s="2" t="str">
        <f>_xlfn.XLOOKUP(Sales_Details2[[#This Row],[Store_ID]],Table2[Store_ID],Table2[Region],"Region not found")</f>
        <v>South</v>
      </c>
      <c r="M1502" s="25">
        <v>1</v>
      </c>
      <c r="N1502" s="36">
        <v>736.54</v>
      </c>
      <c r="O1502" s="29">
        <v>0.16</v>
      </c>
      <c r="P1502" s="2" t="s">
        <v>1809</v>
      </c>
      <c r="Q1502" s="36">
        <v>618.69359999999995</v>
      </c>
    </row>
    <row r="1503" spans="1:17" x14ac:dyDescent="0.3">
      <c r="A1503" s="2" t="s">
        <v>3310</v>
      </c>
      <c r="B1503" s="14">
        <v>45586</v>
      </c>
      <c r="C1503" s="2">
        <f>YEAR(Sales_Details2[[#This Row],[Order_Date]])</f>
        <v>2024</v>
      </c>
      <c r="D1503" s="2" t="s">
        <v>1235</v>
      </c>
      <c r="E1503" s="2" t="str">
        <f>VLOOKUP(Sales_Details2[[#This Row],[Customer_ID]],Customer_Details[#All],4,0)</f>
        <v>Senior</v>
      </c>
      <c r="F1503" s="2" t="str">
        <f>VLOOKUP(Sales_Details2[[#This Row],[Customer_ID]],Customer_Details[#All],5,0)</f>
        <v>Female</v>
      </c>
      <c r="G1503" s="2" t="str">
        <f>VLOOKUP(Sales_Details2[[#This Row],[Customer_ID]],Customer_Details[#All],9,0)</f>
        <v>Platinum</v>
      </c>
      <c r="H1503" s="2" t="s">
        <v>1661</v>
      </c>
      <c r="I1503" s="2" t="str">
        <f>VLOOKUP(Sales_Details2[[#This Row],[Product_ID]],Product_details[[#All],[Product_ID]:[Cost]],3,0)</f>
        <v>Sports</v>
      </c>
      <c r="J1503" s="2" t="str">
        <f>VLOOKUP(Sales_Details2[[#This Row],[Product_ID]],Product_details[[#All],[Product_ID]:[Cost]],4,0)</f>
        <v>Fitness</v>
      </c>
      <c r="K1503" s="2" t="s">
        <v>1784</v>
      </c>
      <c r="L1503" s="2" t="str">
        <f>_xlfn.XLOOKUP(Sales_Details2[[#This Row],[Store_ID]],Table2[Store_ID],Table2[Region],"Region not found")</f>
        <v>North</v>
      </c>
      <c r="M1503" s="25">
        <v>1</v>
      </c>
      <c r="N1503" s="36">
        <v>524</v>
      </c>
      <c r="O1503" s="29">
        <v>0.28000000000000003</v>
      </c>
      <c r="P1503" s="2" t="s">
        <v>1807</v>
      </c>
      <c r="Q1503" s="36">
        <v>377.28</v>
      </c>
    </row>
    <row r="1504" spans="1:17" x14ac:dyDescent="0.3">
      <c r="A1504" s="2" t="s">
        <v>3311</v>
      </c>
      <c r="B1504" s="14">
        <v>45548</v>
      </c>
      <c r="C1504" s="2">
        <f>YEAR(Sales_Details2[[#This Row],[Order_Date]])</f>
        <v>2024</v>
      </c>
      <c r="D1504" s="2" t="s">
        <v>176</v>
      </c>
      <c r="E1504" s="2" t="str">
        <f>VLOOKUP(Sales_Details2[[#This Row],[Customer_ID]],Customer_Details[#All],4,0)</f>
        <v>Senior</v>
      </c>
      <c r="F1504" s="2" t="str">
        <f>VLOOKUP(Sales_Details2[[#This Row],[Customer_ID]],Customer_Details[#All],5,0)</f>
        <v>Female</v>
      </c>
      <c r="G1504" s="2" t="str">
        <f>VLOOKUP(Sales_Details2[[#This Row],[Customer_ID]],Customer_Details[#All],9,0)</f>
        <v>Platinum</v>
      </c>
      <c r="H1504" s="2" t="s">
        <v>1587</v>
      </c>
      <c r="I1504" s="2" t="str">
        <f>VLOOKUP(Sales_Details2[[#This Row],[Product_ID]],Product_details[[#All],[Product_ID]:[Cost]],3,0)</f>
        <v>Sports</v>
      </c>
      <c r="J1504" s="2" t="str">
        <f>VLOOKUP(Sales_Details2[[#This Row],[Product_ID]],Product_details[[#All],[Product_ID]:[Cost]],4,0)</f>
        <v>Accessories</v>
      </c>
      <c r="K1504" s="2" t="s">
        <v>1749</v>
      </c>
      <c r="L1504" s="2" t="str">
        <f>_xlfn.XLOOKUP(Sales_Details2[[#This Row],[Store_ID]],Table2[Store_ID],Table2[Region],"Region not found")</f>
        <v>North</v>
      </c>
      <c r="M1504" s="25">
        <v>4</v>
      </c>
      <c r="N1504" s="36">
        <v>566.09</v>
      </c>
      <c r="O1504" s="29">
        <v>0.28000000000000003</v>
      </c>
      <c r="P1504" s="2" t="s">
        <v>1812</v>
      </c>
      <c r="Q1504" s="36">
        <v>1630.3391999999999</v>
      </c>
    </row>
    <row r="1505" spans="1:17" x14ac:dyDescent="0.3">
      <c r="A1505" s="2" t="s">
        <v>3312</v>
      </c>
      <c r="B1505" s="14">
        <v>45772</v>
      </c>
      <c r="C1505" s="2">
        <f>YEAR(Sales_Details2[[#This Row],[Order_Date]])</f>
        <v>2025</v>
      </c>
      <c r="D1505" s="2" t="s">
        <v>820</v>
      </c>
      <c r="E1505" s="2" t="str">
        <f>VLOOKUP(Sales_Details2[[#This Row],[Customer_ID]],Customer_Details[#All],4,0)</f>
        <v>Mid-Adult</v>
      </c>
      <c r="F1505" s="2" t="str">
        <f>VLOOKUP(Sales_Details2[[#This Row],[Customer_ID]],Customer_Details[#All],5,0)</f>
        <v>Female</v>
      </c>
      <c r="G1505" s="2" t="str">
        <f>VLOOKUP(Sales_Details2[[#This Row],[Customer_ID]],Customer_Details[#All],9,0)</f>
        <v>Silver</v>
      </c>
      <c r="H1505" s="2" t="s">
        <v>1573</v>
      </c>
      <c r="I1505" s="2" t="str">
        <f>VLOOKUP(Sales_Details2[[#This Row],[Product_ID]],Product_details[[#All],[Product_ID]:[Cost]],3,0)</f>
        <v>Home</v>
      </c>
      <c r="J1505" s="2" t="str">
        <f>VLOOKUP(Sales_Details2[[#This Row],[Product_ID]],Product_details[[#All],[Product_ID]:[Cost]],4,0)</f>
        <v>Storage</v>
      </c>
      <c r="K1505" s="2" t="s">
        <v>1772</v>
      </c>
      <c r="L1505" s="2" t="str">
        <f>_xlfn.XLOOKUP(Sales_Details2[[#This Row],[Store_ID]],Table2[Store_ID],Table2[Region],"Region not found")</f>
        <v>East</v>
      </c>
      <c r="M1505" s="25">
        <v>1</v>
      </c>
      <c r="N1505" s="36">
        <v>251.99</v>
      </c>
      <c r="O1505" s="29">
        <v>0.09</v>
      </c>
      <c r="P1505" s="2" t="s">
        <v>1807</v>
      </c>
      <c r="Q1505" s="36">
        <v>229.3109</v>
      </c>
    </row>
    <row r="1506" spans="1:17" x14ac:dyDescent="0.3">
      <c r="A1506" s="2" t="s">
        <v>3313</v>
      </c>
      <c r="B1506" s="14">
        <v>45361</v>
      </c>
      <c r="C1506" s="2">
        <f>YEAR(Sales_Details2[[#This Row],[Order_Date]])</f>
        <v>2024</v>
      </c>
      <c r="D1506" s="2" t="s">
        <v>710</v>
      </c>
      <c r="E1506" s="2" t="str">
        <f>VLOOKUP(Sales_Details2[[#This Row],[Customer_ID]],Customer_Details[#All],4,0)</f>
        <v>Mid-Adult</v>
      </c>
      <c r="F1506" s="2" t="str">
        <f>VLOOKUP(Sales_Details2[[#This Row],[Customer_ID]],Customer_Details[#All],5,0)</f>
        <v>Male</v>
      </c>
      <c r="G1506" s="2" t="str">
        <f>VLOOKUP(Sales_Details2[[#This Row],[Customer_ID]],Customer_Details[#All],9,0)</f>
        <v>Platinum</v>
      </c>
      <c r="H1506" s="2" t="s">
        <v>1565</v>
      </c>
      <c r="I1506" s="2" t="str">
        <f>VLOOKUP(Sales_Details2[[#This Row],[Product_ID]],Product_details[[#All],[Product_ID]:[Cost]],3,0)</f>
        <v>Sports</v>
      </c>
      <c r="J1506" s="2" t="str">
        <f>VLOOKUP(Sales_Details2[[#This Row],[Product_ID]],Product_details[[#All],[Product_ID]:[Cost]],4,0)</f>
        <v>Accessories</v>
      </c>
      <c r="K1506" s="2" t="s">
        <v>1796</v>
      </c>
      <c r="L1506" s="2" t="str">
        <f>_xlfn.XLOOKUP(Sales_Details2[[#This Row],[Store_ID]],Table2[Store_ID],Table2[Region],"Region not found")</f>
        <v>East</v>
      </c>
      <c r="M1506" s="25">
        <v>1</v>
      </c>
      <c r="N1506" s="36">
        <v>259.2</v>
      </c>
      <c r="O1506" s="29">
        <v>0.27</v>
      </c>
      <c r="P1506" s="2" t="s">
        <v>1812</v>
      </c>
      <c r="Q1506" s="36">
        <v>189.21600000000001</v>
      </c>
    </row>
    <row r="1507" spans="1:17" x14ac:dyDescent="0.3">
      <c r="A1507" s="2" t="s">
        <v>3314</v>
      </c>
      <c r="B1507" s="14">
        <v>45235</v>
      </c>
      <c r="C1507" s="2">
        <f>YEAR(Sales_Details2[[#This Row],[Order_Date]])</f>
        <v>2023</v>
      </c>
      <c r="D1507" s="2" t="s">
        <v>1364</v>
      </c>
      <c r="E1507" s="2" t="str">
        <f>VLOOKUP(Sales_Details2[[#This Row],[Customer_ID]],Customer_Details[#All],4,0)</f>
        <v>Mid-Adult</v>
      </c>
      <c r="F1507" s="2" t="str">
        <f>VLOOKUP(Sales_Details2[[#This Row],[Customer_ID]],Customer_Details[#All],5,0)</f>
        <v>Male</v>
      </c>
      <c r="G1507" s="2" t="str">
        <f>VLOOKUP(Sales_Details2[[#This Row],[Customer_ID]],Customer_Details[#All],9,0)</f>
        <v>Silver</v>
      </c>
      <c r="H1507" s="2" t="s">
        <v>1649</v>
      </c>
      <c r="I1507" s="2" t="str">
        <f>VLOOKUP(Sales_Details2[[#This Row],[Product_ID]],Product_details[[#All],[Product_ID]:[Cost]],3,0)</f>
        <v>Beauty</v>
      </c>
      <c r="J1507" s="2" t="str">
        <f>VLOOKUP(Sales_Details2[[#This Row],[Product_ID]],Product_details[[#All],[Product_ID]:[Cost]],4,0)</f>
        <v>Haircare</v>
      </c>
      <c r="K1507" s="2" t="s">
        <v>1784</v>
      </c>
      <c r="L1507" s="2" t="str">
        <f>_xlfn.XLOOKUP(Sales_Details2[[#This Row],[Store_ID]],Table2[Store_ID],Table2[Region],"Region not found")</f>
        <v>North</v>
      </c>
      <c r="M1507" s="25">
        <v>1</v>
      </c>
      <c r="N1507" s="36">
        <v>935.66</v>
      </c>
      <c r="O1507" s="29">
        <v>0.26</v>
      </c>
      <c r="P1507" s="2" t="s">
        <v>1809</v>
      </c>
      <c r="Q1507" s="36">
        <v>692.38839999999993</v>
      </c>
    </row>
    <row r="1508" spans="1:17" x14ac:dyDescent="0.3">
      <c r="A1508" s="2" t="s">
        <v>3315</v>
      </c>
      <c r="B1508" s="14">
        <v>45864</v>
      </c>
      <c r="C1508" s="2">
        <f>YEAR(Sales_Details2[[#This Row],[Order_Date]])</f>
        <v>2025</v>
      </c>
      <c r="D1508" s="2" t="s">
        <v>1430</v>
      </c>
      <c r="E1508" s="2" t="str">
        <f>VLOOKUP(Sales_Details2[[#This Row],[Customer_ID]],Customer_Details[#All],4,0)</f>
        <v>Adult</v>
      </c>
      <c r="F1508" s="2" t="str">
        <f>VLOOKUP(Sales_Details2[[#This Row],[Customer_ID]],Customer_Details[#All],5,0)</f>
        <v>Male</v>
      </c>
      <c r="G1508" s="2" t="str">
        <f>VLOOKUP(Sales_Details2[[#This Row],[Customer_ID]],Customer_Details[#All],9,0)</f>
        <v>Gold</v>
      </c>
      <c r="H1508" s="2" t="s">
        <v>1601</v>
      </c>
      <c r="I1508" s="2" t="str">
        <f>VLOOKUP(Sales_Details2[[#This Row],[Product_ID]],Product_details[[#All],[Product_ID]:[Cost]],3,0)</f>
        <v>Home</v>
      </c>
      <c r="J1508" s="2" t="str">
        <f>VLOOKUP(Sales_Details2[[#This Row],[Product_ID]],Product_details[[#All],[Product_ID]:[Cost]],4,0)</f>
        <v>Lighting</v>
      </c>
      <c r="K1508" s="2" t="s">
        <v>1765</v>
      </c>
      <c r="L1508" s="2" t="str">
        <f>_xlfn.XLOOKUP(Sales_Details2[[#This Row],[Store_ID]],Table2[Store_ID],Table2[Region],"Region not found")</f>
        <v>West</v>
      </c>
      <c r="M1508" s="25">
        <v>4</v>
      </c>
      <c r="N1508" s="36">
        <v>480.75</v>
      </c>
      <c r="O1508" s="29">
        <v>0.02</v>
      </c>
      <c r="P1508" s="2" t="s">
        <v>1807</v>
      </c>
      <c r="Q1508" s="36">
        <v>1884.54</v>
      </c>
    </row>
    <row r="1509" spans="1:17" x14ac:dyDescent="0.3">
      <c r="A1509" s="2" t="s">
        <v>3316</v>
      </c>
      <c r="B1509" s="14">
        <v>45681</v>
      </c>
      <c r="C1509" s="2">
        <f>YEAR(Sales_Details2[[#This Row],[Order_Date]])</f>
        <v>2025</v>
      </c>
      <c r="D1509" s="2" t="s">
        <v>1141</v>
      </c>
      <c r="E1509" s="2" t="str">
        <f>VLOOKUP(Sales_Details2[[#This Row],[Customer_ID]],Customer_Details[#All],4,0)</f>
        <v>Adult</v>
      </c>
      <c r="F1509" s="2" t="str">
        <f>VLOOKUP(Sales_Details2[[#This Row],[Customer_ID]],Customer_Details[#All],5,0)</f>
        <v>Female</v>
      </c>
      <c r="G1509" s="2" t="str">
        <f>VLOOKUP(Sales_Details2[[#This Row],[Customer_ID]],Customer_Details[#All],9,0)</f>
        <v>Platinum</v>
      </c>
      <c r="H1509" s="2" t="s">
        <v>1693</v>
      </c>
      <c r="I1509" s="2" t="str">
        <f>VLOOKUP(Sales_Details2[[#This Row],[Product_ID]],Product_details[[#All],[Product_ID]:[Cost]],3,0)</f>
        <v>Sports</v>
      </c>
      <c r="J1509" s="2" t="str">
        <f>VLOOKUP(Sales_Details2[[#This Row],[Product_ID]],Product_details[[#All],[Product_ID]:[Cost]],4,0)</f>
        <v>Equipment</v>
      </c>
      <c r="K1509" s="2" t="s">
        <v>1784</v>
      </c>
      <c r="L1509" s="2" t="str">
        <f>_xlfn.XLOOKUP(Sales_Details2[[#This Row],[Store_ID]],Table2[Store_ID],Table2[Region],"Region not found")</f>
        <v>North</v>
      </c>
      <c r="M1509" s="25">
        <v>2</v>
      </c>
      <c r="N1509" s="36">
        <v>457.83</v>
      </c>
      <c r="O1509" s="29">
        <v>0.01</v>
      </c>
      <c r="P1509" s="2" t="s">
        <v>1812</v>
      </c>
      <c r="Q1509" s="36">
        <v>906.50339999999994</v>
      </c>
    </row>
    <row r="1510" spans="1:17" x14ac:dyDescent="0.3">
      <c r="A1510" s="2" t="s">
        <v>3317</v>
      </c>
      <c r="B1510" s="14">
        <v>45905</v>
      </c>
      <c r="C1510" s="2">
        <f>YEAR(Sales_Details2[[#This Row],[Order_Date]])</f>
        <v>2025</v>
      </c>
      <c r="D1510" s="2" t="s">
        <v>542</v>
      </c>
      <c r="E1510" s="2" t="str">
        <f>VLOOKUP(Sales_Details2[[#This Row],[Customer_ID]],Customer_Details[#All],4,0)</f>
        <v>Mid-Adult</v>
      </c>
      <c r="F1510" s="2" t="str">
        <f>VLOOKUP(Sales_Details2[[#This Row],[Customer_ID]],Customer_Details[#All],5,0)</f>
        <v>Female</v>
      </c>
      <c r="G1510" s="2" t="str">
        <f>VLOOKUP(Sales_Details2[[#This Row],[Customer_ID]],Customer_Details[#All],9,0)</f>
        <v>Silver</v>
      </c>
      <c r="H1510" s="2" t="s">
        <v>1627</v>
      </c>
      <c r="I1510" s="2" t="str">
        <f>VLOOKUP(Sales_Details2[[#This Row],[Product_ID]],Product_details[[#All],[Product_ID]:[Cost]],3,0)</f>
        <v>Electronics</v>
      </c>
      <c r="J1510" s="2" t="str">
        <f>VLOOKUP(Sales_Details2[[#This Row],[Product_ID]],Product_details[[#All],[Product_ID]:[Cost]],4,0)</f>
        <v>Accessories</v>
      </c>
      <c r="K1510" s="2" t="s">
        <v>1782</v>
      </c>
      <c r="L1510" s="2" t="str">
        <f>_xlfn.XLOOKUP(Sales_Details2[[#This Row],[Store_ID]],Table2[Store_ID],Table2[Region],"Region not found")</f>
        <v>South</v>
      </c>
      <c r="M1510" s="25">
        <v>1</v>
      </c>
      <c r="N1510" s="36">
        <v>994.63</v>
      </c>
      <c r="O1510" s="29">
        <v>0.28000000000000003</v>
      </c>
      <c r="P1510" s="2" t="s">
        <v>1807</v>
      </c>
      <c r="Q1510" s="36">
        <v>716.1336</v>
      </c>
    </row>
    <row r="1511" spans="1:17" x14ac:dyDescent="0.3">
      <c r="A1511" s="2" t="s">
        <v>3318</v>
      </c>
      <c r="B1511" s="14">
        <v>45765</v>
      </c>
      <c r="C1511" s="2">
        <f>YEAR(Sales_Details2[[#This Row],[Order_Date]])</f>
        <v>2025</v>
      </c>
      <c r="D1511" s="2" t="s">
        <v>779</v>
      </c>
      <c r="E1511" s="2" t="str">
        <f>VLOOKUP(Sales_Details2[[#This Row],[Customer_ID]],Customer_Details[#All],4,0)</f>
        <v>Senior</v>
      </c>
      <c r="F1511" s="2" t="str">
        <f>VLOOKUP(Sales_Details2[[#This Row],[Customer_ID]],Customer_Details[#All],5,0)</f>
        <v>Female</v>
      </c>
      <c r="G1511" s="2" t="str">
        <f>VLOOKUP(Sales_Details2[[#This Row],[Customer_ID]],Customer_Details[#All],9,0)</f>
        <v>Platinum</v>
      </c>
      <c r="H1511" s="2" t="s">
        <v>1711</v>
      </c>
      <c r="I1511" s="2" t="str">
        <f>VLOOKUP(Sales_Details2[[#This Row],[Product_ID]],Product_details[[#All],[Product_ID]:[Cost]],3,0)</f>
        <v>Electronics</v>
      </c>
      <c r="J1511" s="2" t="str">
        <f>VLOOKUP(Sales_Details2[[#This Row],[Product_ID]],Product_details[[#All],[Product_ID]:[Cost]],4,0)</f>
        <v>Accessories</v>
      </c>
      <c r="K1511" s="2" t="s">
        <v>1735</v>
      </c>
      <c r="L1511" s="2" t="str">
        <f>_xlfn.XLOOKUP(Sales_Details2[[#This Row],[Store_ID]],Table2[Store_ID],Table2[Region],"Region not found")</f>
        <v>East</v>
      </c>
      <c r="M1511" s="25">
        <v>3</v>
      </c>
      <c r="N1511" s="36">
        <v>65.569999999999993</v>
      </c>
      <c r="O1511" s="29">
        <v>0.3</v>
      </c>
      <c r="P1511" s="2" t="s">
        <v>1812</v>
      </c>
      <c r="Q1511" s="36">
        <v>137.697</v>
      </c>
    </row>
    <row r="1512" spans="1:17" x14ac:dyDescent="0.3">
      <c r="A1512" s="2" t="s">
        <v>3319</v>
      </c>
      <c r="B1512" s="14">
        <v>45821</v>
      </c>
      <c r="C1512" s="2">
        <f>YEAR(Sales_Details2[[#This Row],[Order_Date]])</f>
        <v>2025</v>
      </c>
      <c r="D1512" s="2" t="s">
        <v>530</v>
      </c>
      <c r="E1512" s="2" t="str">
        <f>VLOOKUP(Sales_Details2[[#This Row],[Customer_ID]],Customer_Details[#All],4,0)</f>
        <v>Mid-Adult</v>
      </c>
      <c r="F1512" s="2" t="str">
        <f>VLOOKUP(Sales_Details2[[#This Row],[Customer_ID]],Customer_Details[#All],5,0)</f>
        <v>Female</v>
      </c>
      <c r="G1512" s="2" t="str">
        <f>VLOOKUP(Sales_Details2[[#This Row],[Customer_ID]],Customer_Details[#All],9,0)</f>
        <v>Platinum</v>
      </c>
      <c r="H1512" s="2" t="s">
        <v>1647</v>
      </c>
      <c r="I1512" s="2" t="str">
        <f>VLOOKUP(Sales_Details2[[#This Row],[Product_ID]],Product_details[[#All],[Product_ID]:[Cost]],3,0)</f>
        <v>Clothing</v>
      </c>
      <c r="J1512" s="2" t="str">
        <f>VLOOKUP(Sales_Details2[[#This Row],[Product_ID]],Product_details[[#All],[Product_ID]:[Cost]],4,0)</f>
        <v>Accessories</v>
      </c>
      <c r="K1512" s="2" t="s">
        <v>1790</v>
      </c>
      <c r="L1512" s="2" t="str">
        <f>_xlfn.XLOOKUP(Sales_Details2[[#This Row],[Store_ID]],Table2[Store_ID],Table2[Region],"Region not found")</f>
        <v>North</v>
      </c>
      <c r="M1512" s="25">
        <v>3</v>
      </c>
      <c r="N1512" s="36">
        <v>622.98</v>
      </c>
      <c r="O1512" s="29">
        <v>0.28000000000000003</v>
      </c>
      <c r="P1512" s="2" t="s">
        <v>1809</v>
      </c>
      <c r="Q1512" s="36">
        <v>1345.6368</v>
      </c>
    </row>
    <row r="1513" spans="1:17" x14ac:dyDescent="0.3">
      <c r="A1513" s="2" t="s">
        <v>3320</v>
      </c>
      <c r="B1513" s="14">
        <v>45691</v>
      </c>
      <c r="C1513" s="2">
        <f>YEAR(Sales_Details2[[#This Row],[Order_Date]])</f>
        <v>2025</v>
      </c>
      <c r="D1513" s="2" t="s">
        <v>794</v>
      </c>
      <c r="E1513" s="2" t="str">
        <f>VLOOKUP(Sales_Details2[[#This Row],[Customer_ID]],Customer_Details[#All],4,0)</f>
        <v>Mid-Adult</v>
      </c>
      <c r="F1513" s="2" t="str">
        <f>VLOOKUP(Sales_Details2[[#This Row],[Customer_ID]],Customer_Details[#All],5,0)</f>
        <v>Male</v>
      </c>
      <c r="G1513" s="2" t="str">
        <f>VLOOKUP(Sales_Details2[[#This Row],[Customer_ID]],Customer_Details[#All],9,0)</f>
        <v>Platinum</v>
      </c>
      <c r="H1513" s="2" t="s">
        <v>1641</v>
      </c>
      <c r="I1513" s="2" t="str">
        <f>VLOOKUP(Sales_Details2[[#This Row],[Product_ID]],Product_details[[#All],[Product_ID]:[Cost]],3,0)</f>
        <v>Home</v>
      </c>
      <c r="J1513" s="2" t="str">
        <f>VLOOKUP(Sales_Details2[[#This Row],[Product_ID]],Product_details[[#All],[Product_ID]:[Cost]],4,0)</f>
        <v>Decor</v>
      </c>
      <c r="K1513" s="2" t="s">
        <v>1780</v>
      </c>
      <c r="L1513" s="2" t="str">
        <f>_xlfn.XLOOKUP(Sales_Details2[[#This Row],[Store_ID]],Table2[Store_ID],Table2[Region],"Region not found")</f>
        <v>East</v>
      </c>
      <c r="M1513" s="25">
        <v>1</v>
      </c>
      <c r="N1513" s="36">
        <v>170.68</v>
      </c>
      <c r="O1513" s="29">
        <v>0.13</v>
      </c>
      <c r="P1513" s="2" t="s">
        <v>1809</v>
      </c>
      <c r="Q1513" s="36">
        <v>148.49160000000001</v>
      </c>
    </row>
    <row r="1514" spans="1:17" x14ac:dyDescent="0.3">
      <c r="A1514" s="2" t="s">
        <v>3321</v>
      </c>
      <c r="B1514" s="14">
        <v>45860</v>
      </c>
      <c r="C1514" s="2">
        <f>YEAR(Sales_Details2[[#This Row],[Order_Date]])</f>
        <v>2025</v>
      </c>
      <c r="D1514" s="2" t="s">
        <v>339</v>
      </c>
      <c r="E1514" s="2" t="str">
        <f>VLOOKUP(Sales_Details2[[#This Row],[Customer_ID]],Customer_Details[#All],4,0)</f>
        <v>Adult</v>
      </c>
      <c r="F1514" s="2" t="str">
        <f>VLOOKUP(Sales_Details2[[#This Row],[Customer_ID]],Customer_Details[#All],5,0)</f>
        <v>Female</v>
      </c>
      <c r="G1514" s="2" t="str">
        <f>VLOOKUP(Sales_Details2[[#This Row],[Customer_ID]],Customer_Details[#All],9,0)</f>
        <v>Platinum</v>
      </c>
      <c r="H1514" s="2" t="s">
        <v>1543</v>
      </c>
      <c r="I1514" s="2" t="str">
        <f>VLOOKUP(Sales_Details2[[#This Row],[Product_ID]],Product_details[[#All],[Product_ID]:[Cost]],3,0)</f>
        <v>Home</v>
      </c>
      <c r="J1514" s="2" t="str">
        <f>VLOOKUP(Sales_Details2[[#This Row],[Product_ID]],Product_details[[#All],[Product_ID]:[Cost]],4,0)</f>
        <v>Lighting</v>
      </c>
      <c r="K1514" s="2" t="s">
        <v>1765</v>
      </c>
      <c r="L1514" s="2" t="str">
        <f>_xlfn.XLOOKUP(Sales_Details2[[#This Row],[Store_ID]],Table2[Store_ID],Table2[Region],"Region not found")</f>
        <v>West</v>
      </c>
      <c r="M1514" s="25">
        <v>4</v>
      </c>
      <c r="N1514" s="36">
        <v>797.83</v>
      </c>
      <c r="O1514" s="29">
        <v>0.08</v>
      </c>
      <c r="P1514" s="2" t="s">
        <v>1807</v>
      </c>
      <c r="Q1514" s="36">
        <v>2936.0144</v>
      </c>
    </row>
    <row r="1515" spans="1:17" x14ac:dyDescent="0.3">
      <c r="A1515" s="2" t="s">
        <v>3322</v>
      </c>
      <c r="B1515" s="14">
        <v>45922</v>
      </c>
      <c r="C1515" s="2">
        <f>YEAR(Sales_Details2[[#This Row],[Order_Date]])</f>
        <v>2025</v>
      </c>
      <c r="D1515" s="2" t="s">
        <v>345</v>
      </c>
      <c r="E1515" s="2" t="str">
        <f>VLOOKUP(Sales_Details2[[#This Row],[Customer_ID]],Customer_Details[#All],4,0)</f>
        <v>Adult</v>
      </c>
      <c r="F1515" s="2" t="str">
        <f>VLOOKUP(Sales_Details2[[#This Row],[Customer_ID]],Customer_Details[#All],5,0)</f>
        <v>Male</v>
      </c>
      <c r="G1515" s="2" t="str">
        <f>VLOOKUP(Sales_Details2[[#This Row],[Customer_ID]],Customer_Details[#All],9,0)</f>
        <v>Gold</v>
      </c>
      <c r="H1515" s="2" t="s">
        <v>1532</v>
      </c>
      <c r="I1515" s="2" t="str">
        <f>VLOOKUP(Sales_Details2[[#This Row],[Product_ID]],Product_details[[#All],[Product_ID]:[Cost]],3,0)</f>
        <v>Clothing</v>
      </c>
      <c r="J1515" s="2" t="str">
        <f>VLOOKUP(Sales_Details2[[#This Row],[Product_ID]],Product_details[[#All],[Product_ID]:[Cost]],4,0)</f>
        <v>Outerwear</v>
      </c>
      <c r="K1515" s="2" t="s">
        <v>1787</v>
      </c>
      <c r="L1515" s="2" t="str">
        <f>_xlfn.XLOOKUP(Sales_Details2[[#This Row],[Store_ID]],Table2[Store_ID],Table2[Region],"Region not found")</f>
        <v>West</v>
      </c>
      <c r="M1515" s="25">
        <v>1</v>
      </c>
      <c r="N1515" s="36">
        <v>372.75</v>
      </c>
      <c r="O1515" s="29">
        <v>0.12</v>
      </c>
      <c r="P1515" s="2" t="s">
        <v>1807</v>
      </c>
      <c r="Q1515" s="36">
        <v>328.02</v>
      </c>
    </row>
    <row r="1516" spans="1:17" x14ac:dyDescent="0.3">
      <c r="A1516" s="2" t="s">
        <v>3323</v>
      </c>
      <c r="B1516" s="14">
        <v>45477</v>
      </c>
      <c r="C1516" s="2">
        <f>YEAR(Sales_Details2[[#This Row],[Order_Date]])</f>
        <v>2024</v>
      </c>
      <c r="D1516" s="2" t="s">
        <v>1222</v>
      </c>
      <c r="E1516" s="2" t="str">
        <f>VLOOKUP(Sales_Details2[[#This Row],[Customer_ID]],Customer_Details[#All],4,0)</f>
        <v>Adult</v>
      </c>
      <c r="F1516" s="2" t="str">
        <f>VLOOKUP(Sales_Details2[[#This Row],[Customer_ID]],Customer_Details[#All],5,0)</f>
        <v>Female</v>
      </c>
      <c r="G1516" s="2" t="str">
        <f>VLOOKUP(Sales_Details2[[#This Row],[Customer_ID]],Customer_Details[#All],9,0)</f>
        <v>Silver</v>
      </c>
      <c r="H1516" s="2" t="s">
        <v>1653</v>
      </c>
      <c r="I1516" s="2" t="str">
        <f>VLOOKUP(Sales_Details2[[#This Row],[Product_ID]],Product_details[[#All],[Product_ID]:[Cost]],3,0)</f>
        <v>Sports</v>
      </c>
      <c r="J1516" s="2" t="str">
        <f>VLOOKUP(Sales_Details2[[#This Row],[Product_ID]],Product_details[[#All],[Product_ID]:[Cost]],4,0)</f>
        <v>Equipment</v>
      </c>
      <c r="K1516" s="2" t="s">
        <v>1752</v>
      </c>
      <c r="L1516" s="2" t="str">
        <f>_xlfn.XLOOKUP(Sales_Details2[[#This Row],[Store_ID]],Table2[Store_ID],Table2[Region],"Region not found")</f>
        <v>South</v>
      </c>
      <c r="M1516" s="25">
        <v>1</v>
      </c>
      <c r="N1516" s="36">
        <v>994.18</v>
      </c>
      <c r="O1516" s="29">
        <v>0.05</v>
      </c>
      <c r="P1516" s="2" t="s">
        <v>1809</v>
      </c>
      <c r="Q1516" s="36">
        <v>944.47099999999989</v>
      </c>
    </row>
    <row r="1517" spans="1:17" x14ac:dyDescent="0.3">
      <c r="A1517" s="2" t="s">
        <v>3324</v>
      </c>
      <c r="B1517" s="14">
        <v>45504</v>
      </c>
      <c r="C1517" s="2">
        <f>YEAR(Sales_Details2[[#This Row],[Order_Date]])</f>
        <v>2024</v>
      </c>
      <c r="D1517" s="2" t="s">
        <v>1295</v>
      </c>
      <c r="E1517" s="2" t="str">
        <f>VLOOKUP(Sales_Details2[[#This Row],[Customer_ID]],Customer_Details[#All],4,0)</f>
        <v>Mid-Adult</v>
      </c>
      <c r="F1517" s="2" t="str">
        <f>VLOOKUP(Sales_Details2[[#This Row],[Customer_ID]],Customer_Details[#All],5,0)</f>
        <v>Female</v>
      </c>
      <c r="G1517" s="2" t="str">
        <f>VLOOKUP(Sales_Details2[[#This Row],[Customer_ID]],Customer_Details[#All],9,0)</f>
        <v>Platinum</v>
      </c>
      <c r="H1517" s="2" t="s">
        <v>1571</v>
      </c>
      <c r="I1517" s="2" t="str">
        <f>VLOOKUP(Sales_Details2[[#This Row],[Product_ID]],Product_details[[#All],[Product_ID]:[Cost]],3,0)</f>
        <v>Sports</v>
      </c>
      <c r="J1517" s="2" t="str">
        <f>VLOOKUP(Sales_Details2[[#This Row],[Product_ID]],Product_details[[#All],[Product_ID]:[Cost]],4,0)</f>
        <v>Accessories</v>
      </c>
      <c r="K1517" s="2" t="s">
        <v>1780</v>
      </c>
      <c r="L1517" s="2" t="str">
        <f>_xlfn.XLOOKUP(Sales_Details2[[#This Row],[Store_ID]],Table2[Store_ID],Table2[Region],"Region not found")</f>
        <v>East</v>
      </c>
      <c r="M1517" s="25">
        <v>1</v>
      </c>
      <c r="N1517" s="36">
        <v>136.12</v>
      </c>
      <c r="O1517" s="29">
        <v>7.0000000000000007E-2</v>
      </c>
      <c r="P1517" s="2" t="s">
        <v>1807</v>
      </c>
      <c r="Q1517" s="36">
        <v>126.5916</v>
      </c>
    </row>
    <row r="1518" spans="1:17" x14ac:dyDescent="0.3">
      <c r="A1518" s="2" t="s">
        <v>3325</v>
      </c>
      <c r="B1518" s="14">
        <v>45862</v>
      </c>
      <c r="C1518" s="2">
        <f>YEAR(Sales_Details2[[#This Row],[Order_Date]])</f>
        <v>2025</v>
      </c>
      <c r="D1518" s="2" t="s">
        <v>124</v>
      </c>
      <c r="E1518" s="2" t="str">
        <f>VLOOKUP(Sales_Details2[[#This Row],[Customer_ID]],Customer_Details[#All],4,0)</f>
        <v>Senior</v>
      </c>
      <c r="F1518" s="2" t="str">
        <f>VLOOKUP(Sales_Details2[[#This Row],[Customer_ID]],Customer_Details[#All],5,0)</f>
        <v>Female</v>
      </c>
      <c r="G1518" s="2" t="str">
        <f>VLOOKUP(Sales_Details2[[#This Row],[Customer_ID]],Customer_Details[#All],9,0)</f>
        <v>Bronze</v>
      </c>
      <c r="H1518" s="2" t="s">
        <v>1635</v>
      </c>
      <c r="I1518" s="2" t="str">
        <f>VLOOKUP(Sales_Details2[[#This Row],[Product_ID]],Product_details[[#All],[Product_ID]:[Cost]],3,0)</f>
        <v>Sports</v>
      </c>
      <c r="J1518" s="2" t="str">
        <f>VLOOKUP(Sales_Details2[[#This Row],[Product_ID]],Product_details[[#All],[Product_ID]:[Cost]],4,0)</f>
        <v>Team Sports</v>
      </c>
      <c r="K1518" s="2" t="s">
        <v>1793</v>
      </c>
      <c r="L1518" s="2" t="str">
        <f>_xlfn.XLOOKUP(Sales_Details2[[#This Row],[Store_ID]],Table2[Store_ID],Table2[Region],"Region not found")</f>
        <v>East</v>
      </c>
      <c r="M1518" s="25">
        <v>3</v>
      </c>
      <c r="N1518" s="36">
        <v>634.45000000000005</v>
      </c>
      <c r="O1518" s="29">
        <v>0.17</v>
      </c>
      <c r="P1518" s="2" t="s">
        <v>1809</v>
      </c>
      <c r="Q1518" s="36">
        <v>1579.7805000000001</v>
      </c>
    </row>
    <row r="1519" spans="1:17" x14ac:dyDescent="0.3">
      <c r="A1519" s="2" t="s">
        <v>3326</v>
      </c>
      <c r="B1519" s="14">
        <v>45579</v>
      </c>
      <c r="C1519" s="2">
        <f>YEAR(Sales_Details2[[#This Row],[Order_Date]])</f>
        <v>2024</v>
      </c>
      <c r="D1519" s="2" t="s">
        <v>1024</v>
      </c>
      <c r="E1519" s="2" t="str">
        <f>VLOOKUP(Sales_Details2[[#This Row],[Customer_ID]],Customer_Details[#All],4,0)</f>
        <v>Senior</v>
      </c>
      <c r="F1519" s="2" t="str">
        <f>VLOOKUP(Sales_Details2[[#This Row],[Customer_ID]],Customer_Details[#All],5,0)</f>
        <v>Female</v>
      </c>
      <c r="G1519" s="2" t="str">
        <f>VLOOKUP(Sales_Details2[[#This Row],[Customer_ID]],Customer_Details[#All],9,0)</f>
        <v>Bronze</v>
      </c>
      <c r="H1519" s="2" t="s">
        <v>1659</v>
      </c>
      <c r="I1519" s="2" t="str">
        <f>VLOOKUP(Sales_Details2[[#This Row],[Product_ID]],Product_details[[#All],[Product_ID]:[Cost]],3,0)</f>
        <v>Beauty</v>
      </c>
      <c r="J1519" s="2" t="str">
        <f>VLOOKUP(Sales_Details2[[#This Row],[Product_ID]],Product_details[[#All],[Product_ID]:[Cost]],4,0)</f>
        <v>Makeup</v>
      </c>
      <c r="K1519" s="2" t="s">
        <v>1735</v>
      </c>
      <c r="L1519" s="2" t="str">
        <f>_xlfn.XLOOKUP(Sales_Details2[[#This Row],[Store_ID]],Table2[Store_ID],Table2[Region],"Region not found")</f>
        <v>East</v>
      </c>
      <c r="M1519" s="25">
        <v>4</v>
      </c>
      <c r="N1519" s="36">
        <v>179.62</v>
      </c>
      <c r="O1519" s="29">
        <v>0.05</v>
      </c>
      <c r="P1519" s="2" t="s">
        <v>1807</v>
      </c>
      <c r="Q1519" s="36">
        <v>682.55600000000004</v>
      </c>
    </row>
    <row r="1520" spans="1:17" x14ac:dyDescent="0.3">
      <c r="A1520" s="2" t="s">
        <v>3327</v>
      </c>
      <c r="B1520" s="14">
        <v>45658</v>
      </c>
      <c r="C1520" s="2">
        <f>YEAR(Sales_Details2[[#This Row],[Order_Date]])</f>
        <v>2025</v>
      </c>
      <c r="D1520" s="2" t="s">
        <v>923</v>
      </c>
      <c r="E1520" s="2" t="str">
        <f>VLOOKUP(Sales_Details2[[#This Row],[Customer_ID]],Customer_Details[#All],4,0)</f>
        <v>Adult</v>
      </c>
      <c r="F1520" s="2" t="str">
        <f>VLOOKUP(Sales_Details2[[#This Row],[Customer_ID]],Customer_Details[#All],5,0)</f>
        <v>Male</v>
      </c>
      <c r="G1520" s="2" t="str">
        <f>VLOOKUP(Sales_Details2[[#This Row],[Customer_ID]],Customer_Details[#All],9,0)</f>
        <v>Platinum</v>
      </c>
      <c r="H1520" s="2" t="s">
        <v>1571</v>
      </c>
      <c r="I1520" s="2" t="str">
        <f>VLOOKUP(Sales_Details2[[#This Row],[Product_ID]],Product_details[[#All],[Product_ID]:[Cost]],3,0)</f>
        <v>Sports</v>
      </c>
      <c r="J1520" s="2" t="str">
        <f>VLOOKUP(Sales_Details2[[#This Row],[Product_ID]],Product_details[[#All],[Product_ID]:[Cost]],4,0)</f>
        <v>Accessories</v>
      </c>
      <c r="K1520" s="2" t="s">
        <v>1793</v>
      </c>
      <c r="L1520" s="2" t="str">
        <f>_xlfn.XLOOKUP(Sales_Details2[[#This Row],[Store_ID]],Table2[Store_ID],Table2[Region],"Region not found")</f>
        <v>East</v>
      </c>
      <c r="M1520" s="25">
        <v>4</v>
      </c>
      <c r="N1520" s="36">
        <v>558.83000000000004</v>
      </c>
      <c r="O1520" s="29">
        <v>0.16</v>
      </c>
      <c r="P1520" s="2" t="s">
        <v>1809</v>
      </c>
      <c r="Q1520" s="36">
        <v>1877.6687999999999</v>
      </c>
    </row>
    <row r="1521" spans="1:17" x14ac:dyDescent="0.3">
      <c r="A1521" s="2" t="s">
        <v>3328</v>
      </c>
      <c r="B1521" s="14">
        <v>45664</v>
      </c>
      <c r="C1521" s="2">
        <f>YEAR(Sales_Details2[[#This Row],[Order_Date]])</f>
        <v>2025</v>
      </c>
      <c r="D1521" s="2" t="s">
        <v>562</v>
      </c>
      <c r="E1521" s="2" t="str">
        <f>VLOOKUP(Sales_Details2[[#This Row],[Customer_ID]],Customer_Details[#All],4,0)</f>
        <v>Mid-Adult</v>
      </c>
      <c r="F1521" s="2" t="str">
        <f>VLOOKUP(Sales_Details2[[#This Row],[Customer_ID]],Customer_Details[#All],5,0)</f>
        <v>Female</v>
      </c>
      <c r="G1521" s="2" t="str">
        <f>VLOOKUP(Sales_Details2[[#This Row],[Customer_ID]],Customer_Details[#All],9,0)</f>
        <v>Platinum</v>
      </c>
      <c r="H1521" s="2" t="s">
        <v>1719</v>
      </c>
      <c r="I1521" s="2" t="str">
        <f>VLOOKUP(Sales_Details2[[#This Row],[Product_ID]],Product_details[[#All],[Product_ID]:[Cost]],3,0)</f>
        <v>Beauty</v>
      </c>
      <c r="J1521" s="2" t="str">
        <f>VLOOKUP(Sales_Details2[[#This Row],[Product_ID]],Product_details[[#All],[Product_ID]:[Cost]],4,0)</f>
        <v>Skincare</v>
      </c>
      <c r="K1521" s="2" t="s">
        <v>1759</v>
      </c>
      <c r="L1521" s="2" t="str">
        <f>_xlfn.XLOOKUP(Sales_Details2[[#This Row],[Store_ID]],Table2[Store_ID],Table2[Region],"Region not found")</f>
        <v>East</v>
      </c>
      <c r="M1521" s="25">
        <v>2</v>
      </c>
      <c r="N1521" s="36">
        <v>859.74</v>
      </c>
      <c r="O1521" s="29">
        <v>0.25</v>
      </c>
      <c r="P1521" s="2" t="s">
        <v>1812</v>
      </c>
      <c r="Q1521" s="36">
        <v>1289.6099999999999</v>
      </c>
    </row>
    <row r="1522" spans="1:17" x14ac:dyDescent="0.3">
      <c r="A1522" s="2" t="s">
        <v>3329</v>
      </c>
      <c r="B1522" s="14">
        <v>45936</v>
      </c>
      <c r="C1522" s="2">
        <f>YEAR(Sales_Details2[[#This Row],[Order_Date]])</f>
        <v>2025</v>
      </c>
      <c r="D1522" s="2" t="s">
        <v>370</v>
      </c>
      <c r="E1522" s="2" t="str">
        <f>VLOOKUP(Sales_Details2[[#This Row],[Customer_ID]],Customer_Details[#All],4,0)</f>
        <v>Senior</v>
      </c>
      <c r="F1522" s="2" t="str">
        <f>VLOOKUP(Sales_Details2[[#This Row],[Customer_ID]],Customer_Details[#All],5,0)</f>
        <v>Female</v>
      </c>
      <c r="G1522" s="2" t="str">
        <f>VLOOKUP(Sales_Details2[[#This Row],[Customer_ID]],Customer_Details[#All],9,0)</f>
        <v>Bronze</v>
      </c>
      <c r="H1522" s="2" t="s">
        <v>1661</v>
      </c>
      <c r="I1522" s="2" t="str">
        <f>VLOOKUP(Sales_Details2[[#This Row],[Product_ID]],Product_details[[#All],[Product_ID]:[Cost]],3,0)</f>
        <v>Sports</v>
      </c>
      <c r="J1522" s="2" t="str">
        <f>VLOOKUP(Sales_Details2[[#This Row],[Product_ID]],Product_details[[#All],[Product_ID]:[Cost]],4,0)</f>
        <v>Fitness</v>
      </c>
      <c r="K1522" s="2" t="s">
        <v>1787</v>
      </c>
      <c r="L1522" s="2" t="str">
        <f>_xlfn.XLOOKUP(Sales_Details2[[#This Row],[Store_ID]],Table2[Store_ID],Table2[Region],"Region not found")</f>
        <v>West</v>
      </c>
      <c r="M1522" s="25">
        <v>3</v>
      </c>
      <c r="N1522" s="36">
        <v>578.47</v>
      </c>
      <c r="O1522" s="29">
        <v>0.06</v>
      </c>
      <c r="P1522" s="2" t="s">
        <v>1812</v>
      </c>
      <c r="Q1522" s="36">
        <v>1631.2854</v>
      </c>
    </row>
    <row r="1523" spans="1:17" x14ac:dyDescent="0.3">
      <c r="A1523" s="2" t="s">
        <v>3330</v>
      </c>
      <c r="B1523" s="14">
        <v>45344</v>
      </c>
      <c r="C1523" s="2">
        <f>YEAR(Sales_Details2[[#This Row],[Order_Date]])</f>
        <v>2024</v>
      </c>
      <c r="D1523" s="2" t="s">
        <v>205</v>
      </c>
      <c r="E1523" s="2" t="str">
        <f>VLOOKUP(Sales_Details2[[#This Row],[Customer_ID]],Customer_Details[#All],4,0)</f>
        <v>Senior</v>
      </c>
      <c r="F1523" s="2" t="str">
        <f>VLOOKUP(Sales_Details2[[#This Row],[Customer_ID]],Customer_Details[#All],5,0)</f>
        <v>Female</v>
      </c>
      <c r="G1523" s="2" t="str">
        <f>VLOOKUP(Sales_Details2[[#This Row],[Customer_ID]],Customer_Details[#All],9,0)</f>
        <v>Bronze</v>
      </c>
      <c r="H1523" s="2" t="s">
        <v>1573</v>
      </c>
      <c r="I1523" s="2" t="str">
        <f>VLOOKUP(Sales_Details2[[#This Row],[Product_ID]],Product_details[[#All],[Product_ID]:[Cost]],3,0)</f>
        <v>Home</v>
      </c>
      <c r="J1523" s="2" t="str">
        <f>VLOOKUP(Sales_Details2[[#This Row],[Product_ID]],Product_details[[#All],[Product_ID]:[Cost]],4,0)</f>
        <v>Storage</v>
      </c>
      <c r="K1523" s="2" t="s">
        <v>1777</v>
      </c>
      <c r="L1523" s="2" t="str">
        <f>_xlfn.XLOOKUP(Sales_Details2[[#This Row],[Store_ID]],Table2[Store_ID],Table2[Region],"Region not found")</f>
        <v>North</v>
      </c>
      <c r="M1523" s="25">
        <v>1</v>
      </c>
      <c r="N1523" s="36">
        <v>440.48</v>
      </c>
      <c r="O1523" s="29">
        <v>0.11</v>
      </c>
      <c r="P1523" s="2" t="s">
        <v>1812</v>
      </c>
      <c r="Q1523" s="36">
        <v>392.02720000000011</v>
      </c>
    </row>
    <row r="1524" spans="1:17" x14ac:dyDescent="0.3">
      <c r="A1524" s="2" t="s">
        <v>3331</v>
      </c>
      <c r="B1524" s="14">
        <v>45329</v>
      </c>
      <c r="C1524" s="2">
        <f>YEAR(Sales_Details2[[#This Row],[Order_Date]])</f>
        <v>2024</v>
      </c>
      <c r="D1524" s="2" t="s">
        <v>75</v>
      </c>
      <c r="E1524" s="2" t="str">
        <f>VLOOKUP(Sales_Details2[[#This Row],[Customer_ID]],Customer_Details[#All],4,0)</f>
        <v>Adult</v>
      </c>
      <c r="F1524" s="2" t="str">
        <f>VLOOKUP(Sales_Details2[[#This Row],[Customer_ID]],Customer_Details[#All],5,0)</f>
        <v>Female</v>
      </c>
      <c r="G1524" s="2" t="str">
        <f>VLOOKUP(Sales_Details2[[#This Row],[Customer_ID]],Customer_Details[#All],9,0)</f>
        <v>Bronze</v>
      </c>
      <c r="H1524" s="2" t="s">
        <v>1563</v>
      </c>
      <c r="I1524" s="2" t="str">
        <f>VLOOKUP(Sales_Details2[[#This Row],[Product_ID]],Product_details[[#All],[Product_ID]:[Cost]],3,0)</f>
        <v>Beauty</v>
      </c>
      <c r="J1524" s="2" t="str">
        <f>VLOOKUP(Sales_Details2[[#This Row],[Product_ID]],Product_details[[#All],[Product_ID]:[Cost]],4,0)</f>
        <v>Grooming</v>
      </c>
      <c r="K1524" s="2" t="s">
        <v>1796</v>
      </c>
      <c r="L1524" s="2" t="str">
        <f>_xlfn.XLOOKUP(Sales_Details2[[#This Row],[Store_ID]],Table2[Store_ID],Table2[Region],"Region not found")</f>
        <v>East</v>
      </c>
      <c r="M1524" s="25">
        <v>2</v>
      </c>
      <c r="N1524" s="36">
        <v>303.67</v>
      </c>
      <c r="O1524" s="29">
        <v>0.05</v>
      </c>
      <c r="P1524" s="2" t="s">
        <v>1809</v>
      </c>
      <c r="Q1524" s="36">
        <v>576.97299999999996</v>
      </c>
    </row>
    <row r="1525" spans="1:17" x14ac:dyDescent="0.3">
      <c r="A1525" s="2" t="s">
        <v>3332</v>
      </c>
      <c r="B1525" s="14">
        <v>45895</v>
      </c>
      <c r="C1525" s="2">
        <f>YEAR(Sales_Details2[[#This Row],[Order_Date]])</f>
        <v>2025</v>
      </c>
      <c r="D1525" s="2" t="s">
        <v>1045</v>
      </c>
      <c r="E1525" s="2" t="str">
        <f>VLOOKUP(Sales_Details2[[#This Row],[Customer_ID]],Customer_Details[#All],4,0)</f>
        <v>Senior</v>
      </c>
      <c r="F1525" s="2" t="str">
        <f>VLOOKUP(Sales_Details2[[#This Row],[Customer_ID]],Customer_Details[#All],5,0)</f>
        <v>Female</v>
      </c>
      <c r="G1525" s="2" t="str">
        <f>VLOOKUP(Sales_Details2[[#This Row],[Customer_ID]],Customer_Details[#All],9,0)</f>
        <v>Silver</v>
      </c>
      <c r="H1525" s="2" t="s">
        <v>1679</v>
      </c>
      <c r="I1525" s="2" t="str">
        <f>VLOOKUP(Sales_Details2[[#This Row],[Product_ID]],Product_details[[#All],[Product_ID]:[Cost]],3,0)</f>
        <v>Electronics</v>
      </c>
      <c r="J1525" s="2" t="str">
        <f>VLOOKUP(Sales_Details2[[#This Row],[Product_ID]],Product_details[[#All],[Product_ID]:[Cost]],4,0)</f>
        <v>Audio</v>
      </c>
      <c r="K1525" s="2" t="s">
        <v>1782</v>
      </c>
      <c r="L1525" s="2" t="str">
        <f>_xlfn.XLOOKUP(Sales_Details2[[#This Row],[Store_ID]],Table2[Store_ID],Table2[Region],"Region not found")</f>
        <v>South</v>
      </c>
      <c r="M1525" s="25">
        <v>2</v>
      </c>
      <c r="N1525" s="36">
        <v>611.21</v>
      </c>
      <c r="O1525" s="29">
        <v>0.22</v>
      </c>
      <c r="P1525" s="2" t="s">
        <v>1812</v>
      </c>
      <c r="Q1525" s="36">
        <v>953.48760000000004</v>
      </c>
    </row>
    <row r="1526" spans="1:17" x14ac:dyDescent="0.3">
      <c r="A1526" s="2" t="s">
        <v>3333</v>
      </c>
      <c r="B1526" s="14">
        <v>45239</v>
      </c>
      <c r="C1526" s="2">
        <f>YEAR(Sales_Details2[[#This Row],[Order_Date]])</f>
        <v>2023</v>
      </c>
      <c r="D1526" s="2" t="s">
        <v>654</v>
      </c>
      <c r="E1526" s="2" t="str">
        <f>VLOOKUP(Sales_Details2[[#This Row],[Customer_ID]],Customer_Details[#All],4,0)</f>
        <v>Mid-Adult</v>
      </c>
      <c r="F1526" s="2" t="str">
        <f>VLOOKUP(Sales_Details2[[#This Row],[Customer_ID]],Customer_Details[#All],5,0)</f>
        <v>Female</v>
      </c>
      <c r="G1526" s="2" t="str">
        <f>VLOOKUP(Sales_Details2[[#This Row],[Customer_ID]],Customer_Details[#All],9,0)</f>
        <v>Platinum</v>
      </c>
      <c r="H1526" s="2" t="s">
        <v>1609</v>
      </c>
      <c r="I1526" s="2" t="str">
        <f>VLOOKUP(Sales_Details2[[#This Row],[Product_ID]],Product_details[[#All],[Product_ID]:[Cost]],3,0)</f>
        <v>Electronics</v>
      </c>
      <c r="J1526" s="2" t="str">
        <f>VLOOKUP(Sales_Details2[[#This Row],[Product_ID]],Product_details[[#All],[Product_ID]:[Cost]],4,0)</f>
        <v>Mobile</v>
      </c>
      <c r="K1526" s="2" t="s">
        <v>1784</v>
      </c>
      <c r="L1526" s="2" t="str">
        <f>_xlfn.XLOOKUP(Sales_Details2[[#This Row],[Store_ID]],Table2[Store_ID],Table2[Region],"Region not found")</f>
        <v>North</v>
      </c>
      <c r="M1526" s="25">
        <v>2</v>
      </c>
      <c r="N1526" s="36">
        <v>768.08</v>
      </c>
      <c r="O1526" s="29">
        <v>0.26</v>
      </c>
      <c r="P1526" s="2" t="s">
        <v>1809</v>
      </c>
      <c r="Q1526" s="36">
        <v>1136.7583999999999</v>
      </c>
    </row>
    <row r="1527" spans="1:17" x14ac:dyDescent="0.3">
      <c r="A1527" s="2" t="s">
        <v>3334</v>
      </c>
      <c r="B1527" s="14">
        <v>45296</v>
      </c>
      <c r="C1527" s="2">
        <f>YEAR(Sales_Details2[[#This Row],[Order_Date]])</f>
        <v>2024</v>
      </c>
      <c r="D1527" s="2" t="s">
        <v>928</v>
      </c>
      <c r="E1527" s="2" t="str">
        <f>VLOOKUP(Sales_Details2[[#This Row],[Customer_ID]],Customer_Details[#All],4,0)</f>
        <v>Adult</v>
      </c>
      <c r="F1527" s="2" t="str">
        <f>VLOOKUP(Sales_Details2[[#This Row],[Customer_ID]],Customer_Details[#All],5,0)</f>
        <v>Female</v>
      </c>
      <c r="G1527" s="2" t="str">
        <f>VLOOKUP(Sales_Details2[[#This Row],[Customer_ID]],Customer_Details[#All],9,0)</f>
        <v>Bronze</v>
      </c>
      <c r="H1527" s="2" t="s">
        <v>1577</v>
      </c>
      <c r="I1527" s="2" t="str">
        <f>VLOOKUP(Sales_Details2[[#This Row],[Product_ID]],Product_details[[#All],[Product_ID]:[Cost]],3,0)</f>
        <v>Clothing</v>
      </c>
      <c r="J1527" s="2" t="str">
        <f>VLOOKUP(Sales_Details2[[#This Row],[Product_ID]],Product_details[[#All],[Product_ID]:[Cost]],4,0)</f>
        <v>Tops</v>
      </c>
      <c r="K1527" s="2" t="s">
        <v>1793</v>
      </c>
      <c r="L1527" s="2" t="str">
        <f>_xlfn.XLOOKUP(Sales_Details2[[#This Row],[Store_ID]],Table2[Store_ID],Table2[Region],"Region not found")</f>
        <v>East</v>
      </c>
      <c r="M1527" s="25">
        <v>1</v>
      </c>
      <c r="N1527" s="36">
        <v>616.82000000000005</v>
      </c>
      <c r="O1527" s="29">
        <v>0.24</v>
      </c>
      <c r="P1527" s="2" t="s">
        <v>1807</v>
      </c>
      <c r="Q1527" s="36">
        <v>468.78320000000002</v>
      </c>
    </row>
    <row r="1528" spans="1:17" x14ac:dyDescent="0.3">
      <c r="A1528" s="2" t="s">
        <v>3335</v>
      </c>
      <c r="B1528" s="14">
        <v>45672</v>
      </c>
      <c r="C1528" s="2">
        <f>YEAR(Sales_Details2[[#This Row],[Order_Date]])</f>
        <v>2025</v>
      </c>
      <c r="D1528" s="2" t="s">
        <v>598</v>
      </c>
      <c r="E1528" s="2" t="str">
        <f>VLOOKUP(Sales_Details2[[#This Row],[Customer_ID]],Customer_Details[#All],4,0)</f>
        <v>Adult</v>
      </c>
      <c r="F1528" s="2" t="str">
        <f>VLOOKUP(Sales_Details2[[#This Row],[Customer_ID]],Customer_Details[#All],5,0)</f>
        <v>Male</v>
      </c>
      <c r="G1528" s="2" t="str">
        <f>VLOOKUP(Sales_Details2[[#This Row],[Customer_ID]],Customer_Details[#All],9,0)</f>
        <v>Platinum</v>
      </c>
      <c r="H1528" s="2" t="s">
        <v>1611</v>
      </c>
      <c r="I1528" s="2" t="str">
        <f>VLOOKUP(Sales_Details2[[#This Row],[Product_ID]],Product_details[[#All],[Product_ID]:[Cost]],3,0)</f>
        <v>Electronics</v>
      </c>
      <c r="J1528" s="2" t="str">
        <f>VLOOKUP(Sales_Details2[[#This Row],[Product_ID]],Product_details[[#All],[Product_ID]:[Cost]],4,0)</f>
        <v>Audio</v>
      </c>
      <c r="K1528" s="2" t="s">
        <v>1793</v>
      </c>
      <c r="L1528" s="2" t="str">
        <f>_xlfn.XLOOKUP(Sales_Details2[[#This Row],[Store_ID]],Table2[Store_ID],Table2[Region],"Region not found")</f>
        <v>East</v>
      </c>
      <c r="M1528" s="25">
        <v>1</v>
      </c>
      <c r="N1528" s="36">
        <v>470.34</v>
      </c>
      <c r="O1528" s="29">
        <v>0.18</v>
      </c>
      <c r="P1528" s="2" t="s">
        <v>1812</v>
      </c>
      <c r="Q1528" s="36">
        <v>385.67880000000002</v>
      </c>
    </row>
    <row r="1529" spans="1:17" x14ac:dyDescent="0.3">
      <c r="A1529" s="2" t="s">
        <v>3336</v>
      </c>
      <c r="B1529" s="14">
        <v>45499</v>
      </c>
      <c r="C1529" s="2">
        <f>YEAR(Sales_Details2[[#This Row],[Order_Date]])</f>
        <v>2024</v>
      </c>
      <c r="D1529" s="2" t="s">
        <v>705</v>
      </c>
      <c r="E1529" s="2" t="str">
        <f>VLOOKUP(Sales_Details2[[#This Row],[Customer_ID]],Customer_Details[#All],4,0)</f>
        <v>Mid-Adult</v>
      </c>
      <c r="F1529" s="2" t="str">
        <f>VLOOKUP(Sales_Details2[[#This Row],[Customer_ID]],Customer_Details[#All],5,0)</f>
        <v>Female</v>
      </c>
      <c r="G1529" s="2" t="str">
        <f>VLOOKUP(Sales_Details2[[#This Row],[Customer_ID]],Customer_Details[#All],9,0)</f>
        <v>Gold</v>
      </c>
      <c r="H1529" s="2" t="s">
        <v>1637</v>
      </c>
      <c r="I1529" s="2" t="str">
        <f>VLOOKUP(Sales_Details2[[#This Row],[Product_ID]],Product_details[[#All],[Product_ID]:[Cost]],3,0)</f>
        <v>Clothing</v>
      </c>
      <c r="J1529" s="2" t="str">
        <f>VLOOKUP(Sales_Details2[[#This Row],[Product_ID]],Product_details[[#All],[Product_ID]:[Cost]],4,0)</f>
        <v>Bottoms</v>
      </c>
      <c r="K1529" s="2" t="s">
        <v>1765</v>
      </c>
      <c r="L1529" s="2" t="str">
        <f>_xlfn.XLOOKUP(Sales_Details2[[#This Row],[Store_ID]],Table2[Store_ID],Table2[Region],"Region not found")</f>
        <v>West</v>
      </c>
      <c r="M1529" s="25">
        <v>2</v>
      </c>
      <c r="N1529" s="36">
        <v>616.36</v>
      </c>
      <c r="O1529" s="29">
        <v>0.12</v>
      </c>
      <c r="P1529" s="2" t="s">
        <v>1809</v>
      </c>
      <c r="Q1529" s="36">
        <v>1084.7936</v>
      </c>
    </row>
    <row r="1530" spans="1:17" x14ac:dyDescent="0.3">
      <c r="A1530" s="2" t="s">
        <v>3337</v>
      </c>
      <c r="B1530" s="14">
        <v>45434</v>
      </c>
      <c r="C1530" s="2">
        <f>YEAR(Sales_Details2[[#This Row],[Order_Date]])</f>
        <v>2024</v>
      </c>
      <c r="D1530" s="2" t="s">
        <v>295</v>
      </c>
      <c r="E1530" s="2" t="str">
        <f>VLOOKUP(Sales_Details2[[#This Row],[Customer_ID]],Customer_Details[#All],4,0)</f>
        <v>Senior</v>
      </c>
      <c r="F1530" s="2" t="str">
        <f>VLOOKUP(Sales_Details2[[#This Row],[Customer_ID]],Customer_Details[#All],5,0)</f>
        <v>Male</v>
      </c>
      <c r="G1530" s="2" t="str">
        <f>VLOOKUP(Sales_Details2[[#This Row],[Customer_ID]],Customer_Details[#All],9,0)</f>
        <v>Bronze</v>
      </c>
      <c r="H1530" s="2" t="s">
        <v>1534</v>
      </c>
      <c r="I1530" s="2" t="str">
        <f>VLOOKUP(Sales_Details2[[#This Row],[Product_ID]],Product_details[[#All],[Product_ID]:[Cost]],3,0)</f>
        <v>Clothing</v>
      </c>
      <c r="J1530" s="2" t="str">
        <f>VLOOKUP(Sales_Details2[[#This Row],[Product_ID]],Product_details[[#All],[Product_ID]:[Cost]],4,0)</f>
        <v>Outerwear</v>
      </c>
      <c r="K1530" s="2" t="s">
        <v>1769</v>
      </c>
      <c r="L1530" s="2" t="str">
        <f>_xlfn.XLOOKUP(Sales_Details2[[#This Row],[Store_ID]],Table2[Store_ID],Table2[Region],"Region not found")</f>
        <v>South</v>
      </c>
      <c r="M1530" s="25">
        <v>3</v>
      </c>
      <c r="N1530" s="36">
        <v>657.24</v>
      </c>
      <c r="O1530" s="29">
        <v>0.18</v>
      </c>
      <c r="P1530" s="2" t="s">
        <v>1809</v>
      </c>
      <c r="Q1530" s="36">
        <v>1616.8104000000001</v>
      </c>
    </row>
    <row r="1531" spans="1:17" x14ac:dyDescent="0.3">
      <c r="A1531" s="2" t="s">
        <v>3338</v>
      </c>
      <c r="B1531" s="14">
        <v>45893</v>
      </c>
      <c r="C1531" s="2">
        <f>YEAR(Sales_Details2[[#This Row],[Order_Date]])</f>
        <v>2025</v>
      </c>
      <c r="D1531" s="2" t="s">
        <v>136</v>
      </c>
      <c r="E1531" s="2" t="str">
        <f>VLOOKUP(Sales_Details2[[#This Row],[Customer_ID]],Customer_Details[#All],4,0)</f>
        <v>Adult</v>
      </c>
      <c r="F1531" s="2" t="str">
        <f>VLOOKUP(Sales_Details2[[#This Row],[Customer_ID]],Customer_Details[#All],5,0)</f>
        <v>Female</v>
      </c>
      <c r="G1531" s="2" t="str">
        <f>VLOOKUP(Sales_Details2[[#This Row],[Customer_ID]],Customer_Details[#All],9,0)</f>
        <v>Platinum</v>
      </c>
      <c r="H1531" s="2" t="s">
        <v>1613</v>
      </c>
      <c r="I1531" s="2" t="str">
        <f>VLOOKUP(Sales_Details2[[#This Row],[Product_ID]],Product_details[[#All],[Product_ID]:[Cost]],3,0)</f>
        <v>Sports</v>
      </c>
      <c r="J1531" s="2" t="str">
        <f>VLOOKUP(Sales_Details2[[#This Row],[Product_ID]],Product_details[[#All],[Product_ID]:[Cost]],4,0)</f>
        <v>Fitness</v>
      </c>
      <c r="K1531" s="2" t="s">
        <v>1796</v>
      </c>
      <c r="L1531" s="2" t="str">
        <f>_xlfn.XLOOKUP(Sales_Details2[[#This Row],[Store_ID]],Table2[Store_ID],Table2[Region],"Region not found")</f>
        <v>East</v>
      </c>
      <c r="M1531" s="25">
        <v>2</v>
      </c>
      <c r="N1531" s="36">
        <v>392.45</v>
      </c>
      <c r="O1531" s="29">
        <v>0.04</v>
      </c>
      <c r="P1531" s="2" t="s">
        <v>1809</v>
      </c>
      <c r="Q1531" s="36">
        <v>753.50399999999991</v>
      </c>
    </row>
    <row r="1532" spans="1:17" x14ac:dyDescent="0.3">
      <c r="A1532" s="2" t="s">
        <v>3339</v>
      </c>
      <c r="B1532" s="14">
        <v>45346</v>
      </c>
      <c r="C1532" s="2">
        <f>YEAR(Sales_Details2[[#This Row],[Order_Date]])</f>
        <v>2024</v>
      </c>
      <c r="D1532" s="2" t="s">
        <v>779</v>
      </c>
      <c r="E1532" s="2" t="str">
        <f>VLOOKUP(Sales_Details2[[#This Row],[Customer_ID]],Customer_Details[#All],4,0)</f>
        <v>Senior</v>
      </c>
      <c r="F1532" s="2" t="str">
        <f>VLOOKUP(Sales_Details2[[#This Row],[Customer_ID]],Customer_Details[#All],5,0)</f>
        <v>Female</v>
      </c>
      <c r="G1532" s="2" t="str">
        <f>VLOOKUP(Sales_Details2[[#This Row],[Customer_ID]],Customer_Details[#All],9,0)</f>
        <v>Platinum</v>
      </c>
      <c r="H1532" s="2" t="s">
        <v>1611</v>
      </c>
      <c r="I1532" s="2" t="str">
        <f>VLOOKUP(Sales_Details2[[#This Row],[Product_ID]],Product_details[[#All],[Product_ID]:[Cost]],3,0)</f>
        <v>Electronics</v>
      </c>
      <c r="J1532" s="2" t="str">
        <f>VLOOKUP(Sales_Details2[[#This Row],[Product_ID]],Product_details[[#All],[Product_ID]:[Cost]],4,0)</f>
        <v>Audio</v>
      </c>
      <c r="K1532" s="2" t="s">
        <v>1782</v>
      </c>
      <c r="L1532" s="2" t="str">
        <f>_xlfn.XLOOKUP(Sales_Details2[[#This Row],[Store_ID]],Table2[Store_ID],Table2[Region],"Region not found")</f>
        <v>South</v>
      </c>
      <c r="M1532" s="25">
        <v>3</v>
      </c>
      <c r="N1532" s="36">
        <v>62.03</v>
      </c>
      <c r="O1532" s="29">
        <v>0.01</v>
      </c>
      <c r="P1532" s="2" t="s">
        <v>1812</v>
      </c>
      <c r="Q1532" s="36">
        <v>184.22909999999999</v>
      </c>
    </row>
    <row r="1533" spans="1:17" x14ac:dyDescent="0.3">
      <c r="A1533" s="2" t="s">
        <v>3340</v>
      </c>
      <c r="B1533" s="14">
        <v>45613</v>
      </c>
      <c r="C1533" s="2">
        <f>YEAR(Sales_Details2[[#This Row],[Order_Date]])</f>
        <v>2024</v>
      </c>
      <c r="D1533" s="2" t="s">
        <v>327</v>
      </c>
      <c r="E1533" s="2" t="str">
        <f>VLOOKUP(Sales_Details2[[#This Row],[Customer_ID]],Customer_Details[#All],4,0)</f>
        <v>Mid-Adult</v>
      </c>
      <c r="F1533" s="2" t="str">
        <f>VLOOKUP(Sales_Details2[[#This Row],[Customer_ID]],Customer_Details[#All],5,0)</f>
        <v>Female</v>
      </c>
      <c r="G1533" s="2" t="str">
        <f>VLOOKUP(Sales_Details2[[#This Row],[Customer_ID]],Customer_Details[#All],9,0)</f>
        <v>Platinum</v>
      </c>
      <c r="H1533" s="2" t="s">
        <v>1723</v>
      </c>
      <c r="I1533" s="2" t="str">
        <f>VLOOKUP(Sales_Details2[[#This Row],[Product_ID]],Product_details[[#All],[Product_ID]:[Cost]],3,0)</f>
        <v>Clothing</v>
      </c>
      <c r="J1533" s="2" t="str">
        <f>VLOOKUP(Sales_Details2[[#This Row],[Product_ID]],Product_details[[#All],[Product_ID]:[Cost]],4,0)</f>
        <v>Outerwear</v>
      </c>
      <c r="K1533" s="2" t="s">
        <v>1749</v>
      </c>
      <c r="L1533" s="2" t="str">
        <f>_xlfn.XLOOKUP(Sales_Details2[[#This Row],[Store_ID]],Table2[Store_ID],Table2[Region],"Region not found")</f>
        <v>North</v>
      </c>
      <c r="M1533" s="25">
        <v>4</v>
      </c>
      <c r="N1533" s="36">
        <v>933.73</v>
      </c>
      <c r="O1533" s="29">
        <v>0.25</v>
      </c>
      <c r="P1533" s="2" t="s">
        <v>1809</v>
      </c>
      <c r="Q1533" s="36">
        <v>2801.19</v>
      </c>
    </row>
    <row r="1534" spans="1:17" x14ac:dyDescent="0.3">
      <c r="A1534" s="2" t="s">
        <v>3341</v>
      </c>
      <c r="B1534" s="14">
        <v>45928</v>
      </c>
      <c r="C1534" s="2">
        <f>YEAR(Sales_Details2[[#This Row],[Order_Date]])</f>
        <v>2025</v>
      </c>
      <c r="D1534" s="2" t="s">
        <v>515</v>
      </c>
      <c r="E1534" s="2" t="str">
        <f>VLOOKUP(Sales_Details2[[#This Row],[Customer_ID]],Customer_Details[#All],4,0)</f>
        <v>Senior</v>
      </c>
      <c r="F1534" s="2" t="str">
        <f>VLOOKUP(Sales_Details2[[#This Row],[Customer_ID]],Customer_Details[#All],5,0)</f>
        <v>Female</v>
      </c>
      <c r="G1534" s="2" t="str">
        <f>VLOOKUP(Sales_Details2[[#This Row],[Customer_ID]],Customer_Details[#All],9,0)</f>
        <v>Gold</v>
      </c>
      <c r="H1534" s="2" t="s">
        <v>1701</v>
      </c>
      <c r="I1534" s="2" t="str">
        <f>VLOOKUP(Sales_Details2[[#This Row],[Product_ID]],Product_details[[#All],[Product_ID]:[Cost]],3,0)</f>
        <v>Clothing</v>
      </c>
      <c r="J1534" s="2" t="str">
        <f>VLOOKUP(Sales_Details2[[#This Row],[Product_ID]],Product_details[[#All],[Product_ID]:[Cost]],4,0)</f>
        <v>Accessories</v>
      </c>
      <c r="K1534" s="2" t="s">
        <v>1787</v>
      </c>
      <c r="L1534" s="2" t="str">
        <f>_xlfn.XLOOKUP(Sales_Details2[[#This Row],[Store_ID]],Table2[Store_ID],Table2[Region],"Region not found")</f>
        <v>West</v>
      </c>
      <c r="M1534" s="25">
        <v>3</v>
      </c>
      <c r="N1534" s="36">
        <v>615.30999999999995</v>
      </c>
      <c r="O1534" s="29">
        <v>0.14000000000000001</v>
      </c>
      <c r="P1534" s="2" t="s">
        <v>1809</v>
      </c>
      <c r="Q1534" s="36">
        <v>1587.4998000000001</v>
      </c>
    </row>
    <row r="1535" spans="1:17" x14ac:dyDescent="0.3">
      <c r="A1535" s="2" t="s">
        <v>3342</v>
      </c>
      <c r="B1535" s="14">
        <v>45619</v>
      </c>
      <c r="C1535" s="2">
        <f>YEAR(Sales_Details2[[#This Row],[Order_Date]])</f>
        <v>2024</v>
      </c>
      <c r="D1535" s="2" t="s">
        <v>1153</v>
      </c>
      <c r="E1535" s="2" t="str">
        <f>VLOOKUP(Sales_Details2[[#This Row],[Customer_ID]],Customer_Details[#All],4,0)</f>
        <v>Mid-Adult</v>
      </c>
      <c r="F1535" s="2" t="str">
        <f>VLOOKUP(Sales_Details2[[#This Row],[Customer_ID]],Customer_Details[#All],5,0)</f>
        <v>Female</v>
      </c>
      <c r="G1535" s="2" t="str">
        <f>VLOOKUP(Sales_Details2[[#This Row],[Customer_ID]],Customer_Details[#All],9,0)</f>
        <v>Gold</v>
      </c>
      <c r="H1535" s="2" t="s">
        <v>1649</v>
      </c>
      <c r="I1535" s="2" t="str">
        <f>VLOOKUP(Sales_Details2[[#This Row],[Product_ID]],Product_details[[#All],[Product_ID]:[Cost]],3,0)</f>
        <v>Beauty</v>
      </c>
      <c r="J1535" s="2" t="str">
        <f>VLOOKUP(Sales_Details2[[#This Row],[Product_ID]],Product_details[[#All],[Product_ID]:[Cost]],4,0)</f>
        <v>Haircare</v>
      </c>
      <c r="K1535" s="2" t="s">
        <v>1793</v>
      </c>
      <c r="L1535" s="2" t="str">
        <f>_xlfn.XLOOKUP(Sales_Details2[[#This Row],[Store_ID]],Table2[Store_ID],Table2[Region],"Region not found")</f>
        <v>East</v>
      </c>
      <c r="M1535" s="25">
        <v>4</v>
      </c>
      <c r="N1535" s="36">
        <v>790.38</v>
      </c>
      <c r="O1535" s="29">
        <v>0.22</v>
      </c>
      <c r="P1535" s="2" t="s">
        <v>1812</v>
      </c>
      <c r="Q1535" s="36">
        <v>2465.9856</v>
      </c>
    </row>
    <row r="1536" spans="1:17" x14ac:dyDescent="0.3">
      <c r="A1536" s="2" t="s">
        <v>3343</v>
      </c>
      <c r="B1536" s="14">
        <v>45533</v>
      </c>
      <c r="C1536" s="2">
        <f>YEAR(Sales_Details2[[#This Row],[Order_Date]])</f>
        <v>2024</v>
      </c>
      <c r="D1536" s="2" t="s">
        <v>850</v>
      </c>
      <c r="E1536" s="2" t="str">
        <f>VLOOKUP(Sales_Details2[[#This Row],[Customer_ID]],Customer_Details[#All],4,0)</f>
        <v>Mid-Adult</v>
      </c>
      <c r="F1536" s="2" t="str">
        <f>VLOOKUP(Sales_Details2[[#This Row],[Customer_ID]],Customer_Details[#All],5,0)</f>
        <v>Female</v>
      </c>
      <c r="G1536" s="2" t="str">
        <f>VLOOKUP(Sales_Details2[[#This Row],[Customer_ID]],Customer_Details[#All],9,0)</f>
        <v>Silver</v>
      </c>
      <c r="H1536" s="2" t="s">
        <v>1649</v>
      </c>
      <c r="I1536" s="2" t="str">
        <f>VLOOKUP(Sales_Details2[[#This Row],[Product_ID]],Product_details[[#All],[Product_ID]:[Cost]],3,0)</f>
        <v>Beauty</v>
      </c>
      <c r="J1536" s="2" t="str">
        <f>VLOOKUP(Sales_Details2[[#This Row],[Product_ID]],Product_details[[#All],[Product_ID]:[Cost]],4,0)</f>
        <v>Haircare</v>
      </c>
      <c r="K1536" s="2" t="s">
        <v>1790</v>
      </c>
      <c r="L1536" s="2" t="str">
        <f>_xlfn.XLOOKUP(Sales_Details2[[#This Row],[Store_ID]],Table2[Store_ID],Table2[Region],"Region not found")</f>
        <v>North</v>
      </c>
      <c r="M1536" s="25">
        <v>2</v>
      </c>
      <c r="N1536" s="36">
        <v>102.85</v>
      </c>
      <c r="O1536" s="29">
        <v>0.08</v>
      </c>
      <c r="P1536" s="2" t="s">
        <v>1809</v>
      </c>
      <c r="Q1536" s="36">
        <v>189.244</v>
      </c>
    </row>
    <row r="1537" spans="1:17" x14ac:dyDescent="0.3">
      <c r="A1537" s="2" t="s">
        <v>3344</v>
      </c>
      <c r="B1537" s="14">
        <v>45781</v>
      </c>
      <c r="C1537" s="2">
        <f>YEAR(Sales_Details2[[#This Row],[Order_Date]])</f>
        <v>2025</v>
      </c>
      <c r="D1537" s="2" t="s">
        <v>152</v>
      </c>
      <c r="E1537" s="2" t="str">
        <f>VLOOKUP(Sales_Details2[[#This Row],[Customer_ID]],Customer_Details[#All],4,0)</f>
        <v>Senior</v>
      </c>
      <c r="F1537" s="2" t="str">
        <f>VLOOKUP(Sales_Details2[[#This Row],[Customer_ID]],Customer_Details[#All],5,0)</f>
        <v>Female</v>
      </c>
      <c r="G1537" s="2" t="str">
        <f>VLOOKUP(Sales_Details2[[#This Row],[Customer_ID]],Customer_Details[#All],9,0)</f>
        <v>Gold</v>
      </c>
      <c r="H1537" s="2" t="s">
        <v>1553</v>
      </c>
      <c r="I1537" s="2" t="str">
        <f>VLOOKUP(Sales_Details2[[#This Row],[Product_ID]],Product_details[[#All],[Product_ID]:[Cost]],3,0)</f>
        <v>Electronics</v>
      </c>
      <c r="J1537" s="2" t="str">
        <f>VLOOKUP(Sales_Details2[[#This Row],[Product_ID]],Product_details[[#All],[Product_ID]:[Cost]],4,0)</f>
        <v>Accessories</v>
      </c>
      <c r="K1537" s="2" t="s">
        <v>1787</v>
      </c>
      <c r="L1537" s="2" t="str">
        <f>_xlfn.XLOOKUP(Sales_Details2[[#This Row],[Store_ID]],Table2[Store_ID],Table2[Region],"Region not found")</f>
        <v>West</v>
      </c>
      <c r="M1537" s="25">
        <v>3</v>
      </c>
      <c r="N1537" s="36">
        <v>866.78</v>
      </c>
      <c r="O1537" s="29">
        <v>0.27</v>
      </c>
      <c r="P1537" s="2" t="s">
        <v>1809</v>
      </c>
      <c r="Q1537" s="36">
        <v>1898.2482</v>
      </c>
    </row>
    <row r="1538" spans="1:17" x14ac:dyDescent="0.3">
      <c r="A1538" s="2" t="s">
        <v>3345</v>
      </c>
      <c r="B1538" s="14">
        <v>45378</v>
      </c>
      <c r="C1538" s="2">
        <f>YEAR(Sales_Details2[[#This Row],[Order_Date]])</f>
        <v>2024</v>
      </c>
      <c r="D1538" s="2" t="s">
        <v>672</v>
      </c>
      <c r="E1538" s="2" t="str">
        <f>VLOOKUP(Sales_Details2[[#This Row],[Customer_ID]],Customer_Details[#All],4,0)</f>
        <v>Senior</v>
      </c>
      <c r="F1538" s="2" t="str">
        <f>VLOOKUP(Sales_Details2[[#This Row],[Customer_ID]],Customer_Details[#All],5,0)</f>
        <v>Male</v>
      </c>
      <c r="G1538" s="2" t="str">
        <f>VLOOKUP(Sales_Details2[[#This Row],[Customer_ID]],Customer_Details[#All],9,0)</f>
        <v>Platinum</v>
      </c>
      <c r="H1538" s="2" t="s">
        <v>1687</v>
      </c>
      <c r="I1538" s="2" t="str">
        <f>VLOOKUP(Sales_Details2[[#This Row],[Product_ID]],Product_details[[#All],[Product_ID]:[Cost]],3,0)</f>
        <v>Home</v>
      </c>
      <c r="J1538" s="2" t="str">
        <f>VLOOKUP(Sales_Details2[[#This Row],[Product_ID]],Product_details[[#All],[Product_ID]:[Cost]],4,0)</f>
        <v>Decor</v>
      </c>
      <c r="K1538" s="2" t="s">
        <v>1787</v>
      </c>
      <c r="L1538" s="2" t="str">
        <f>_xlfn.XLOOKUP(Sales_Details2[[#This Row],[Store_ID]],Table2[Store_ID],Table2[Region],"Region not found")</f>
        <v>West</v>
      </c>
      <c r="M1538" s="25">
        <v>3</v>
      </c>
      <c r="N1538" s="36">
        <v>392.84</v>
      </c>
      <c r="O1538" s="29">
        <v>0.27</v>
      </c>
      <c r="P1538" s="2" t="s">
        <v>1809</v>
      </c>
      <c r="Q1538" s="36">
        <v>860.31959999999992</v>
      </c>
    </row>
    <row r="1539" spans="1:17" x14ac:dyDescent="0.3">
      <c r="A1539" s="2" t="s">
        <v>3346</v>
      </c>
      <c r="B1539" s="14">
        <v>45688</v>
      </c>
      <c r="C1539" s="2">
        <f>YEAR(Sales_Details2[[#This Row],[Order_Date]])</f>
        <v>2025</v>
      </c>
      <c r="D1539" s="2" t="s">
        <v>1007</v>
      </c>
      <c r="E1539" s="2" t="str">
        <f>VLOOKUP(Sales_Details2[[#This Row],[Customer_ID]],Customer_Details[#All],4,0)</f>
        <v>Senior</v>
      </c>
      <c r="F1539" s="2" t="str">
        <f>VLOOKUP(Sales_Details2[[#This Row],[Customer_ID]],Customer_Details[#All],5,0)</f>
        <v>Female</v>
      </c>
      <c r="G1539" s="2" t="str">
        <f>VLOOKUP(Sales_Details2[[#This Row],[Customer_ID]],Customer_Details[#All],9,0)</f>
        <v>Platinum</v>
      </c>
      <c r="H1539" s="2" t="s">
        <v>1548</v>
      </c>
      <c r="I1539" s="2" t="str">
        <f>VLOOKUP(Sales_Details2[[#This Row],[Product_ID]],Product_details[[#All],[Product_ID]:[Cost]],3,0)</f>
        <v>Sports</v>
      </c>
      <c r="J1539" s="2" t="str">
        <f>VLOOKUP(Sales_Details2[[#This Row],[Product_ID]],Product_details[[#All],[Product_ID]:[Cost]],4,0)</f>
        <v>Fitness</v>
      </c>
      <c r="K1539" s="2" t="s">
        <v>1756</v>
      </c>
      <c r="L1539" s="2" t="str">
        <f>_xlfn.XLOOKUP(Sales_Details2[[#This Row],[Store_ID]],Table2[Store_ID],Table2[Region],"Region not found")</f>
        <v>North</v>
      </c>
      <c r="M1539" s="25">
        <v>2</v>
      </c>
      <c r="N1539" s="36">
        <v>753.1</v>
      </c>
      <c r="O1539" s="29">
        <v>0.19</v>
      </c>
      <c r="P1539" s="2" t="s">
        <v>1809</v>
      </c>
      <c r="Q1539" s="36">
        <v>1220.0219999999999</v>
      </c>
    </row>
    <row r="1540" spans="1:17" x14ac:dyDescent="0.3">
      <c r="A1540" s="2" t="s">
        <v>3347</v>
      </c>
      <c r="B1540" s="14">
        <v>45927</v>
      </c>
      <c r="C1540" s="2">
        <f>YEAR(Sales_Details2[[#This Row],[Order_Date]])</f>
        <v>2025</v>
      </c>
      <c r="D1540" s="2" t="s">
        <v>40</v>
      </c>
      <c r="E1540" s="2" t="str">
        <f>VLOOKUP(Sales_Details2[[#This Row],[Customer_ID]],Customer_Details[#All],4,0)</f>
        <v>Adult</v>
      </c>
      <c r="F1540" s="2" t="str">
        <f>VLOOKUP(Sales_Details2[[#This Row],[Customer_ID]],Customer_Details[#All],5,0)</f>
        <v>Female</v>
      </c>
      <c r="G1540" s="2" t="str">
        <f>VLOOKUP(Sales_Details2[[#This Row],[Customer_ID]],Customer_Details[#All],9,0)</f>
        <v>Bronze</v>
      </c>
      <c r="H1540" s="2" t="s">
        <v>1639</v>
      </c>
      <c r="I1540" s="2" t="str">
        <f>VLOOKUP(Sales_Details2[[#This Row],[Product_ID]],Product_details[[#All],[Product_ID]:[Cost]],3,0)</f>
        <v>Sports</v>
      </c>
      <c r="J1540" s="2" t="str">
        <f>VLOOKUP(Sales_Details2[[#This Row],[Product_ID]],Product_details[[#All],[Product_ID]:[Cost]],4,0)</f>
        <v>Accessories</v>
      </c>
      <c r="K1540" s="2" t="s">
        <v>1790</v>
      </c>
      <c r="L1540" s="2" t="str">
        <f>_xlfn.XLOOKUP(Sales_Details2[[#This Row],[Store_ID]],Table2[Store_ID],Table2[Region],"Region not found")</f>
        <v>North</v>
      </c>
      <c r="M1540" s="25">
        <v>2</v>
      </c>
      <c r="N1540" s="36">
        <v>700.91</v>
      </c>
      <c r="O1540" s="29">
        <v>0.1</v>
      </c>
      <c r="P1540" s="2" t="s">
        <v>1809</v>
      </c>
      <c r="Q1540" s="36">
        <v>1261.6379999999999</v>
      </c>
    </row>
    <row r="1541" spans="1:17" x14ac:dyDescent="0.3">
      <c r="A1541" s="2" t="s">
        <v>3348</v>
      </c>
      <c r="B1541" s="14">
        <v>45775</v>
      </c>
      <c r="C1541" s="2">
        <f>YEAR(Sales_Details2[[#This Row],[Order_Date]])</f>
        <v>2025</v>
      </c>
      <c r="D1541" s="2" t="s">
        <v>261</v>
      </c>
      <c r="E1541" s="2" t="str">
        <f>VLOOKUP(Sales_Details2[[#This Row],[Customer_ID]],Customer_Details[#All],4,0)</f>
        <v>Mid-Adult</v>
      </c>
      <c r="F1541" s="2" t="str">
        <f>VLOOKUP(Sales_Details2[[#This Row],[Customer_ID]],Customer_Details[#All],5,0)</f>
        <v>Female</v>
      </c>
      <c r="G1541" s="2" t="str">
        <f>VLOOKUP(Sales_Details2[[#This Row],[Customer_ID]],Customer_Details[#All],9,0)</f>
        <v>Gold</v>
      </c>
      <c r="H1541" s="2" t="s">
        <v>1561</v>
      </c>
      <c r="I1541" s="2" t="str">
        <f>VLOOKUP(Sales_Details2[[#This Row],[Product_ID]],Product_details[[#All],[Product_ID]:[Cost]],3,0)</f>
        <v>Electronics</v>
      </c>
      <c r="J1541" s="2" t="str">
        <f>VLOOKUP(Sales_Details2[[#This Row],[Product_ID]],Product_details[[#All],[Product_ID]:[Cost]],4,0)</f>
        <v>Appliances</v>
      </c>
      <c r="K1541" s="2" t="s">
        <v>1777</v>
      </c>
      <c r="L1541" s="2" t="str">
        <f>_xlfn.XLOOKUP(Sales_Details2[[#This Row],[Store_ID]],Table2[Store_ID],Table2[Region],"Region not found")</f>
        <v>North</v>
      </c>
      <c r="M1541" s="25">
        <v>4</v>
      </c>
      <c r="N1541" s="36">
        <v>935.98</v>
      </c>
      <c r="O1541" s="29">
        <v>0.11</v>
      </c>
      <c r="P1541" s="2" t="s">
        <v>1809</v>
      </c>
      <c r="Q1541" s="36">
        <v>3332.0888</v>
      </c>
    </row>
    <row r="1542" spans="1:17" x14ac:dyDescent="0.3">
      <c r="A1542" s="2" t="s">
        <v>3349</v>
      </c>
      <c r="B1542" s="14">
        <v>45849</v>
      </c>
      <c r="C1542" s="2">
        <f>YEAR(Sales_Details2[[#This Row],[Order_Date]])</f>
        <v>2025</v>
      </c>
      <c r="D1542" s="2" t="s">
        <v>1475</v>
      </c>
      <c r="E1542" s="2" t="str">
        <f>VLOOKUP(Sales_Details2[[#This Row],[Customer_ID]],Customer_Details[#All],4,0)</f>
        <v>Mid-Adult</v>
      </c>
      <c r="F1542" s="2" t="str">
        <f>VLOOKUP(Sales_Details2[[#This Row],[Customer_ID]],Customer_Details[#All],5,0)</f>
        <v>Female</v>
      </c>
      <c r="G1542" s="2" t="str">
        <f>VLOOKUP(Sales_Details2[[#This Row],[Customer_ID]],Customer_Details[#All],9,0)</f>
        <v>Bronze</v>
      </c>
      <c r="H1542" s="2" t="s">
        <v>1683</v>
      </c>
      <c r="I1542" s="2" t="str">
        <f>VLOOKUP(Sales_Details2[[#This Row],[Product_ID]],Product_details[[#All],[Product_ID]:[Cost]],3,0)</f>
        <v>Electronics</v>
      </c>
      <c r="J1542" s="2" t="str">
        <f>VLOOKUP(Sales_Details2[[#This Row],[Product_ID]],Product_details[[#All],[Product_ID]:[Cost]],4,0)</f>
        <v>Computer</v>
      </c>
      <c r="K1542" s="2" t="s">
        <v>1787</v>
      </c>
      <c r="L1542" s="2" t="str">
        <f>_xlfn.XLOOKUP(Sales_Details2[[#This Row],[Store_ID]],Table2[Store_ID],Table2[Region],"Region not found")</f>
        <v>West</v>
      </c>
      <c r="M1542" s="25">
        <v>1</v>
      </c>
      <c r="N1542" s="36">
        <v>539.9</v>
      </c>
      <c r="O1542" s="29">
        <v>7.0000000000000007E-2</v>
      </c>
      <c r="P1542" s="2" t="s">
        <v>1807</v>
      </c>
      <c r="Q1542" s="36">
        <v>502.10700000000003</v>
      </c>
    </row>
    <row r="1543" spans="1:17" x14ac:dyDescent="0.3">
      <c r="A1543" s="2" t="s">
        <v>3350</v>
      </c>
      <c r="B1543" s="14">
        <v>45573</v>
      </c>
      <c r="C1543" s="2">
        <f>YEAR(Sales_Details2[[#This Row],[Order_Date]])</f>
        <v>2024</v>
      </c>
      <c r="D1543" s="2" t="s">
        <v>562</v>
      </c>
      <c r="E1543" s="2" t="str">
        <f>VLOOKUP(Sales_Details2[[#This Row],[Customer_ID]],Customer_Details[#All],4,0)</f>
        <v>Mid-Adult</v>
      </c>
      <c r="F1543" s="2" t="str">
        <f>VLOOKUP(Sales_Details2[[#This Row],[Customer_ID]],Customer_Details[#All],5,0)</f>
        <v>Female</v>
      </c>
      <c r="G1543" s="2" t="str">
        <f>VLOOKUP(Sales_Details2[[#This Row],[Customer_ID]],Customer_Details[#All],9,0)</f>
        <v>Platinum</v>
      </c>
      <c r="H1543" s="2" t="s">
        <v>1611</v>
      </c>
      <c r="I1543" s="2" t="str">
        <f>VLOOKUP(Sales_Details2[[#This Row],[Product_ID]],Product_details[[#All],[Product_ID]:[Cost]],3,0)</f>
        <v>Electronics</v>
      </c>
      <c r="J1543" s="2" t="str">
        <f>VLOOKUP(Sales_Details2[[#This Row],[Product_ID]],Product_details[[#All],[Product_ID]:[Cost]],4,0)</f>
        <v>Audio</v>
      </c>
      <c r="K1543" s="2" t="s">
        <v>1759</v>
      </c>
      <c r="L1543" s="2" t="str">
        <f>_xlfn.XLOOKUP(Sales_Details2[[#This Row],[Store_ID]],Table2[Store_ID],Table2[Region],"Region not found")</f>
        <v>East</v>
      </c>
      <c r="M1543" s="25">
        <v>1</v>
      </c>
      <c r="N1543" s="36">
        <v>312.81</v>
      </c>
      <c r="O1543" s="29">
        <v>0.14000000000000001</v>
      </c>
      <c r="P1543" s="2" t="s">
        <v>1809</v>
      </c>
      <c r="Q1543" s="36">
        <v>269.01659999999998</v>
      </c>
    </row>
    <row r="1544" spans="1:17" x14ac:dyDescent="0.3">
      <c r="A1544" s="2" t="s">
        <v>3351</v>
      </c>
      <c r="B1544" s="14">
        <v>45356</v>
      </c>
      <c r="C1544" s="2">
        <f>YEAR(Sales_Details2[[#This Row],[Order_Date]])</f>
        <v>2024</v>
      </c>
      <c r="D1544" s="2" t="s">
        <v>791</v>
      </c>
      <c r="E1544" s="2" t="str">
        <f>VLOOKUP(Sales_Details2[[#This Row],[Customer_ID]],Customer_Details[#All],4,0)</f>
        <v>Mid-Adult</v>
      </c>
      <c r="F1544" s="2" t="str">
        <f>VLOOKUP(Sales_Details2[[#This Row],[Customer_ID]],Customer_Details[#All],5,0)</f>
        <v>Female</v>
      </c>
      <c r="G1544" s="2" t="str">
        <f>VLOOKUP(Sales_Details2[[#This Row],[Customer_ID]],Customer_Details[#All],9,0)</f>
        <v>Gold</v>
      </c>
      <c r="H1544" s="2" t="s">
        <v>1627</v>
      </c>
      <c r="I1544" s="2" t="str">
        <f>VLOOKUP(Sales_Details2[[#This Row],[Product_ID]],Product_details[[#All],[Product_ID]:[Cost]],3,0)</f>
        <v>Electronics</v>
      </c>
      <c r="J1544" s="2" t="str">
        <f>VLOOKUP(Sales_Details2[[#This Row],[Product_ID]],Product_details[[#All],[Product_ID]:[Cost]],4,0)</f>
        <v>Accessories</v>
      </c>
      <c r="K1544" s="2" t="s">
        <v>1762</v>
      </c>
      <c r="L1544" s="2" t="str">
        <f>_xlfn.XLOOKUP(Sales_Details2[[#This Row],[Store_ID]],Table2[Store_ID],Table2[Region],"Region not found")</f>
        <v>South</v>
      </c>
      <c r="M1544" s="25">
        <v>3</v>
      </c>
      <c r="N1544" s="36">
        <v>855.96</v>
      </c>
      <c r="O1544" s="29">
        <v>0.28999999999999998</v>
      </c>
      <c r="P1544" s="2" t="s">
        <v>1812</v>
      </c>
      <c r="Q1544" s="36">
        <v>1823.1948</v>
      </c>
    </row>
    <row r="1545" spans="1:17" x14ac:dyDescent="0.3">
      <c r="A1545" s="2" t="s">
        <v>3352</v>
      </c>
      <c r="B1545" s="14">
        <v>45326</v>
      </c>
      <c r="C1545" s="2">
        <f>YEAR(Sales_Details2[[#This Row],[Order_Date]])</f>
        <v>2024</v>
      </c>
      <c r="D1545" s="2" t="s">
        <v>1100</v>
      </c>
      <c r="E1545" s="2" t="str">
        <f>VLOOKUP(Sales_Details2[[#This Row],[Customer_ID]],Customer_Details[#All],4,0)</f>
        <v>Adult</v>
      </c>
      <c r="F1545" s="2" t="str">
        <f>VLOOKUP(Sales_Details2[[#This Row],[Customer_ID]],Customer_Details[#All],5,0)</f>
        <v>Male</v>
      </c>
      <c r="G1545" s="2" t="str">
        <f>VLOOKUP(Sales_Details2[[#This Row],[Customer_ID]],Customer_Details[#All],9,0)</f>
        <v>Gold</v>
      </c>
      <c r="H1545" s="2" t="s">
        <v>1529</v>
      </c>
      <c r="I1545" s="2" t="str">
        <f>VLOOKUP(Sales_Details2[[#This Row],[Product_ID]],Product_details[[#All],[Product_ID]:[Cost]],3,0)</f>
        <v>Clothing</v>
      </c>
      <c r="J1545" s="2" t="str">
        <f>VLOOKUP(Sales_Details2[[#This Row],[Product_ID]],Product_details[[#All],[Product_ID]:[Cost]],4,0)</f>
        <v>Tops</v>
      </c>
      <c r="K1545" s="2" t="s">
        <v>1775</v>
      </c>
      <c r="L1545" s="2" t="str">
        <f>_xlfn.XLOOKUP(Sales_Details2[[#This Row],[Store_ID]],Table2[Store_ID],Table2[Region],"Region not found")</f>
        <v>South</v>
      </c>
      <c r="M1545" s="25">
        <v>3</v>
      </c>
      <c r="N1545" s="36">
        <v>305</v>
      </c>
      <c r="O1545" s="29">
        <v>0.01</v>
      </c>
      <c r="P1545" s="2" t="s">
        <v>1812</v>
      </c>
      <c r="Q1545" s="36">
        <v>905.85</v>
      </c>
    </row>
    <row r="1546" spans="1:17" x14ac:dyDescent="0.3">
      <c r="A1546" s="2" t="s">
        <v>3353</v>
      </c>
      <c r="B1546" s="14">
        <v>45361</v>
      </c>
      <c r="C1546" s="2">
        <f>YEAR(Sales_Details2[[#This Row],[Order_Date]])</f>
        <v>2024</v>
      </c>
      <c r="D1546" s="2" t="s">
        <v>1427</v>
      </c>
      <c r="E1546" s="2" t="str">
        <f>VLOOKUP(Sales_Details2[[#This Row],[Customer_ID]],Customer_Details[#All],4,0)</f>
        <v>Mid-Adult</v>
      </c>
      <c r="F1546" s="2" t="str">
        <f>VLOOKUP(Sales_Details2[[#This Row],[Customer_ID]],Customer_Details[#All],5,0)</f>
        <v>Male</v>
      </c>
      <c r="G1546" s="2" t="str">
        <f>VLOOKUP(Sales_Details2[[#This Row],[Customer_ID]],Customer_Details[#All],9,0)</f>
        <v>Bronze</v>
      </c>
      <c r="H1546" s="2" t="s">
        <v>1729</v>
      </c>
      <c r="I1546" s="2" t="str">
        <f>VLOOKUP(Sales_Details2[[#This Row],[Product_ID]],Product_details[[#All],[Product_ID]:[Cost]],3,0)</f>
        <v>Home</v>
      </c>
      <c r="J1546" s="2" t="str">
        <f>VLOOKUP(Sales_Details2[[#This Row],[Product_ID]],Product_details[[#All],[Product_ID]:[Cost]],4,0)</f>
        <v>Kitchen</v>
      </c>
      <c r="K1546" s="2" t="s">
        <v>1777</v>
      </c>
      <c r="L1546" s="2" t="str">
        <f>_xlfn.XLOOKUP(Sales_Details2[[#This Row],[Store_ID]],Table2[Store_ID],Table2[Region],"Region not found")</f>
        <v>North</v>
      </c>
      <c r="M1546" s="25">
        <v>3</v>
      </c>
      <c r="N1546" s="36">
        <v>831.15</v>
      </c>
      <c r="O1546" s="29">
        <v>0.19</v>
      </c>
      <c r="P1546" s="2" t="s">
        <v>1807</v>
      </c>
      <c r="Q1546" s="36">
        <v>2019.6945000000001</v>
      </c>
    </row>
    <row r="1547" spans="1:17" x14ac:dyDescent="0.3">
      <c r="A1547" s="2" t="s">
        <v>3354</v>
      </c>
      <c r="B1547" s="14">
        <v>45926</v>
      </c>
      <c r="C1547" s="2">
        <f>YEAR(Sales_Details2[[#This Row],[Order_Date]])</f>
        <v>2025</v>
      </c>
      <c r="D1547" s="2" t="s">
        <v>669</v>
      </c>
      <c r="E1547" s="2" t="str">
        <f>VLOOKUP(Sales_Details2[[#This Row],[Customer_ID]],Customer_Details[#All],4,0)</f>
        <v>Adult</v>
      </c>
      <c r="F1547" s="2" t="str">
        <f>VLOOKUP(Sales_Details2[[#This Row],[Customer_ID]],Customer_Details[#All],5,0)</f>
        <v>Female</v>
      </c>
      <c r="G1547" s="2" t="str">
        <f>VLOOKUP(Sales_Details2[[#This Row],[Customer_ID]],Customer_Details[#All],9,0)</f>
        <v>Bronze</v>
      </c>
      <c r="H1547" s="2" t="s">
        <v>1723</v>
      </c>
      <c r="I1547" s="2" t="str">
        <f>VLOOKUP(Sales_Details2[[#This Row],[Product_ID]],Product_details[[#All],[Product_ID]:[Cost]],3,0)</f>
        <v>Clothing</v>
      </c>
      <c r="J1547" s="2" t="str">
        <f>VLOOKUP(Sales_Details2[[#This Row],[Product_ID]],Product_details[[#All],[Product_ID]:[Cost]],4,0)</f>
        <v>Outerwear</v>
      </c>
      <c r="K1547" s="2" t="s">
        <v>1749</v>
      </c>
      <c r="L1547" s="2" t="str">
        <f>_xlfn.XLOOKUP(Sales_Details2[[#This Row],[Store_ID]],Table2[Store_ID],Table2[Region],"Region not found")</f>
        <v>North</v>
      </c>
      <c r="M1547" s="25">
        <v>2</v>
      </c>
      <c r="N1547" s="36">
        <v>644.97</v>
      </c>
      <c r="O1547" s="29">
        <v>0.24</v>
      </c>
      <c r="P1547" s="2" t="s">
        <v>1812</v>
      </c>
      <c r="Q1547" s="36">
        <v>980.35440000000006</v>
      </c>
    </row>
    <row r="1548" spans="1:17" x14ac:dyDescent="0.3">
      <c r="A1548" s="2" t="s">
        <v>3355</v>
      </c>
      <c r="B1548" s="14">
        <v>45839</v>
      </c>
      <c r="C1548" s="2">
        <f>YEAR(Sales_Details2[[#This Row],[Order_Date]])</f>
        <v>2025</v>
      </c>
      <c r="D1548" s="2" t="s">
        <v>336</v>
      </c>
      <c r="E1548" s="2" t="str">
        <f>VLOOKUP(Sales_Details2[[#This Row],[Customer_ID]],Customer_Details[#All],4,0)</f>
        <v>Senior</v>
      </c>
      <c r="F1548" s="2" t="str">
        <f>VLOOKUP(Sales_Details2[[#This Row],[Customer_ID]],Customer_Details[#All],5,0)</f>
        <v>Female</v>
      </c>
      <c r="G1548" s="2" t="str">
        <f>VLOOKUP(Sales_Details2[[#This Row],[Customer_ID]],Customer_Details[#All],9,0)</f>
        <v>Platinum</v>
      </c>
      <c r="H1548" s="2" t="s">
        <v>1707</v>
      </c>
      <c r="I1548" s="2" t="str">
        <f>VLOOKUP(Sales_Details2[[#This Row],[Product_ID]],Product_details[[#All],[Product_ID]:[Cost]],3,0)</f>
        <v>Sports</v>
      </c>
      <c r="J1548" s="2" t="str">
        <f>VLOOKUP(Sales_Details2[[#This Row],[Product_ID]],Product_details[[#All],[Product_ID]:[Cost]],4,0)</f>
        <v>Accessories</v>
      </c>
      <c r="K1548" s="2" t="s">
        <v>1740</v>
      </c>
      <c r="L1548" s="2" t="str">
        <f>_xlfn.XLOOKUP(Sales_Details2[[#This Row],[Store_ID]],Table2[Store_ID],Table2[Region],"Region not found")</f>
        <v>North</v>
      </c>
      <c r="M1548" s="25">
        <v>1</v>
      </c>
      <c r="N1548" s="36">
        <v>149.56</v>
      </c>
      <c r="O1548" s="29">
        <v>0.09</v>
      </c>
      <c r="P1548" s="2" t="s">
        <v>1807</v>
      </c>
      <c r="Q1548" s="36">
        <v>136.09960000000001</v>
      </c>
    </row>
    <row r="1549" spans="1:17" x14ac:dyDescent="0.3">
      <c r="A1549" s="2" t="s">
        <v>3356</v>
      </c>
      <c r="B1549" s="14">
        <v>45434</v>
      </c>
      <c r="C1549" s="2">
        <f>YEAR(Sales_Details2[[#This Row],[Order_Date]])</f>
        <v>2024</v>
      </c>
      <c r="D1549" s="2" t="s">
        <v>699</v>
      </c>
      <c r="E1549" s="2" t="str">
        <f>VLOOKUP(Sales_Details2[[#This Row],[Customer_ID]],Customer_Details[#All],4,0)</f>
        <v>Mid-Adult</v>
      </c>
      <c r="F1549" s="2" t="str">
        <f>VLOOKUP(Sales_Details2[[#This Row],[Customer_ID]],Customer_Details[#All],5,0)</f>
        <v>Male</v>
      </c>
      <c r="G1549" s="2" t="str">
        <f>VLOOKUP(Sales_Details2[[#This Row],[Customer_ID]],Customer_Details[#All],9,0)</f>
        <v>Silver</v>
      </c>
      <c r="H1549" s="2" t="s">
        <v>1617</v>
      </c>
      <c r="I1549" s="2" t="str">
        <f>VLOOKUP(Sales_Details2[[#This Row],[Product_ID]],Product_details[[#All],[Product_ID]:[Cost]],3,0)</f>
        <v>Electronics</v>
      </c>
      <c r="J1549" s="2" t="str">
        <f>VLOOKUP(Sales_Details2[[#This Row],[Product_ID]],Product_details[[#All],[Product_ID]:[Cost]],4,0)</f>
        <v>Computer</v>
      </c>
      <c r="K1549" s="2" t="s">
        <v>1796</v>
      </c>
      <c r="L1549" s="2" t="str">
        <f>_xlfn.XLOOKUP(Sales_Details2[[#This Row],[Store_ID]],Table2[Store_ID],Table2[Region],"Region not found")</f>
        <v>East</v>
      </c>
      <c r="M1549" s="25">
        <v>1</v>
      </c>
      <c r="N1549" s="36">
        <v>661.77</v>
      </c>
      <c r="O1549" s="29">
        <v>0.03</v>
      </c>
      <c r="P1549" s="2" t="s">
        <v>1809</v>
      </c>
      <c r="Q1549" s="36">
        <v>641.91689999999994</v>
      </c>
    </row>
    <row r="1550" spans="1:17" x14ac:dyDescent="0.3">
      <c r="A1550" s="2" t="s">
        <v>3357</v>
      </c>
      <c r="B1550" s="14">
        <v>45819</v>
      </c>
      <c r="C1550" s="2">
        <f>YEAR(Sales_Details2[[#This Row],[Order_Date]])</f>
        <v>2025</v>
      </c>
      <c r="D1550" s="2" t="s">
        <v>376</v>
      </c>
      <c r="E1550" s="2" t="str">
        <f>VLOOKUP(Sales_Details2[[#This Row],[Customer_ID]],Customer_Details[#All],4,0)</f>
        <v>Mid-Adult</v>
      </c>
      <c r="F1550" s="2" t="str">
        <f>VLOOKUP(Sales_Details2[[#This Row],[Customer_ID]],Customer_Details[#All],5,0)</f>
        <v>Male</v>
      </c>
      <c r="G1550" s="2" t="str">
        <f>VLOOKUP(Sales_Details2[[#This Row],[Customer_ID]],Customer_Details[#All],9,0)</f>
        <v>Bronze</v>
      </c>
      <c r="H1550" s="2" t="s">
        <v>1719</v>
      </c>
      <c r="I1550" s="2" t="str">
        <f>VLOOKUP(Sales_Details2[[#This Row],[Product_ID]],Product_details[[#All],[Product_ID]:[Cost]],3,0)</f>
        <v>Beauty</v>
      </c>
      <c r="J1550" s="2" t="str">
        <f>VLOOKUP(Sales_Details2[[#This Row],[Product_ID]],Product_details[[#All],[Product_ID]:[Cost]],4,0)</f>
        <v>Skincare</v>
      </c>
      <c r="K1550" s="2" t="s">
        <v>1762</v>
      </c>
      <c r="L1550" s="2" t="str">
        <f>_xlfn.XLOOKUP(Sales_Details2[[#This Row],[Store_ID]],Table2[Store_ID],Table2[Region],"Region not found")</f>
        <v>South</v>
      </c>
      <c r="M1550" s="25">
        <v>3</v>
      </c>
      <c r="N1550" s="36">
        <v>99.67</v>
      </c>
      <c r="O1550" s="29">
        <v>0.17</v>
      </c>
      <c r="P1550" s="2" t="s">
        <v>1807</v>
      </c>
      <c r="Q1550" s="36">
        <v>248.17830000000001</v>
      </c>
    </row>
    <row r="1551" spans="1:17" x14ac:dyDescent="0.3">
      <c r="A1551" s="2" t="s">
        <v>3358</v>
      </c>
      <c r="B1551" s="14">
        <v>45553</v>
      </c>
      <c r="C1551" s="2">
        <f>YEAR(Sales_Details2[[#This Row],[Order_Date]])</f>
        <v>2024</v>
      </c>
      <c r="D1551" s="2" t="s">
        <v>710</v>
      </c>
      <c r="E1551" s="2" t="str">
        <f>VLOOKUP(Sales_Details2[[#This Row],[Customer_ID]],Customer_Details[#All],4,0)</f>
        <v>Mid-Adult</v>
      </c>
      <c r="F1551" s="2" t="str">
        <f>VLOOKUP(Sales_Details2[[#This Row],[Customer_ID]],Customer_Details[#All],5,0)</f>
        <v>Male</v>
      </c>
      <c r="G1551" s="2" t="str">
        <f>VLOOKUP(Sales_Details2[[#This Row],[Customer_ID]],Customer_Details[#All],9,0)</f>
        <v>Platinum</v>
      </c>
      <c r="H1551" s="2" t="s">
        <v>1655</v>
      </c>
      <c r="I1551" s="2" t="str">
        <f>VLOOKUP(Sales_Details2[[#This Row],[Product_ID]],Product_details[[#All],[Product_ID]:[Cost]],3,0)</f>
        <v>Electronics</v>
      </c>
      <c r="J1551" s="2" t="str">
        <f>VLOOKUP(Sales_Details2[[#This Row],[Product_ID]],Product_details[[#All],[Product_ID]:[Cost]],4,0)</f>
        <v>Computer</v>
      </c>
      <c r="K1551" s="2" t="s">
        <v>1740</v>
      </c>
      <c r="L1551" s="2" t="str">
        <f>_xlfn.XLOOKUP(Sales_Details2[[#This Row],[Store_ID]],Table2[Store_ID],Table2[Region],"Region not found")</f>
        <v>North</v>
      </c>
      <c r="M1551" s="25">
        <v>3</v>
      </c>
      <c r="N1551" s="36">
        <v>103.66</v>
      </c>
      <c r="O1551" s="29">
        <v>0.26</v>
      </c>
      <c r="P1551" s="2" t="s">
        <v>1812</v>
      </c>
      <c r="Q1551" s="36">
        <v>230.12520000000001</v>
      </c>
    </row>
    <row r="1552" spans="1:17" x14ac:dyDescent="0.3">
      <c r="A1552" s="2" t="s">
        <v>3359</v>
      </c>
      <c r="B1552" s="14">
        <v>45258</v>
      </c>
      <c r="C1552" s="2">
        <f>YEAR(Sales_Details2[[#This Row],[Order_Date]])</f>
        <v>2023</v>
      </c>
      <c r="D1552" s="2" t="s">
        <v>1336</v>
      </c>
      <c r="E1552" s="2" t="str">
        <f>VLOOKUP(Sales_Details2[[#This Row],[Customer_ID]],Customer_Details[#All],4,0)</f>
        <v>Senior</v>
      </c>
      <c r="F1552" s="2" t="str">
        <f>VLOOKUP(Sales_Details2[[#This Row],[Customer_ID]],Customer_Details[#All],5,0)</f>
        <v>Male</v>
      </c>
      <c r="G1552" s="2" t="str">
        <f>VLOOKUP(Sales_Details2[[#This Row],[Customer_ID]],Customer_Details[#All],9,0)</f>
        <v>Gold</v>
      </c>
      <c r="H1552" s="2" t="s">
        <v>1611</v>
      </c>
      <c r="I1552" s="2" t="str">
        <f>VLOOKUP(Sales_Details2[[#This Row],[Product_ID]],Product_details[[#All],[Product_ID]:[Cost]],3,0)</f>
        <v>Electronics</v>
      </c>
      <c r="J1552" s="2" t="str">
        <f>VLOOKUP(Sales_Details2[[#This Row],[Product_ID]],Product_details[[#All],[Product_ID]:[Cost]],4,0)</f>
        <v>Audio</v>
      </c>
      <c r="K1552" s="2" t="s">
        <v>1744</v>
      </c>
      <c r="L1552" s="2" t="str">
        <f>_xlfn.XLOOKUP(Sales_Details2[[#This Row],[Store_ID]],Table2[Store_ID],Table2[Region],"Region not found")</f>
        <v>South</v>
      </c>
      <c r="M1552" s="25">
        <v>4</v>
      </c>
      <c r="N1552" s="36">
        <v>54.4</v>
      </c>
      <c r="O1552" s="29">
        <v>0.22</v>
      </c>
      <c r="P1552" s="2" t="s">
        <v>1807</v>
      </c>
      <c r="Q1552" s="36">
        <v>169.72800000000001</v>
      </c>
    </row>
    <row r="1553" spans="1:17" x14ac:dyDescent="0.3">
      <c r="A1553" s="2" t="s">
        <v>3360</v>
      </c>
      <c r="B1553" s="14">
        <v>45435</v>
      </c>
      <c r="C1553" s="2">
        <f>YEAR(Sales_Details2[[#This Row],[Order_Date]])</f>
        <v>2024</v>
      </c>
      <c r="D1553" s="2" t="s">
        <v>1490</v>
      </c>
      <c r="E1553" s="2" t="str">
        <f>VLOOKUP(Sales_Details2[[#This Row],[Customer_ID]],Customer_Details[#All],4,0)</f>
        <v>Adult</v>
      </c>
      <c r="F1553" s="2" t="str">
        <f>VLOOKUP(Sales_Details2[[#This Row],[Customer_ID]],Customer_Details[#All],5,0)</f>
        <v>Male</v>
      </c>
      <c r="G1553" s="2" t="str">
        <f>VLOOKUP(Sales_Details2[[#This Row],[Customer_ID]],Customer_Details[#All],9,0)</f>
        <v>Platinum</v>
      </c>
      <c r="H1553" s="2" t="s">
        <v>1699</v>
      </c>
      <c r="I1553" s="2" t="str">
        <f>VLOOKUP(Sales_Details2[[#This Row],[Product_ID]],Product_details[[#All],[Product_ID]:[Cost]],3,0)</f>
        <v>Home</v>
      </c>
      <c r="J1553" s="2" t="str">
        <f>VLOOKUP(Sales_Details2[[#This Row],[Product_ID]],Product_details[[#All],[Product_ID]:[Cost]],4,0)</f>
        <v>Furniture</v>
      </c>
      <c r="K1553" s="2" t="s">
        <v>1782</v>
      </c>
      <c r="L1553" s="2" t="str">
        <f>_xlfn.XLOOKUP(Sales_Details2[[#This Row],[Store_ID]],Table2[Store_ID],Table2[Region],"Region not found")</f>
        <v>South</v>
      </c>
      <c r="M1553" s="25">
        <v>1</v>
      </c>
      <c r="N1553" s="36">
        <v>46.66</v>
      </c>
      <c r="O1553" s="29">
        <v>0.2</v>
      </c>
      <c r="P1553" s="2" t="s">
        <v>1807</v>
      </c>
      <c r="Q1553" s="36">
        <v>37.328000000000003</v>
      </c>
    </row>
    <row r="1554" spans="1:17" x14ac:dyDescent="0.3">
      <c r="A1554" s="2" t="s">
        <v>3361</v>
      </c>
      <c r="B1554" s="14">
        <v>45447</v>
      </c>
      <c r="C1554" s="2">
        <f>YEAR(Sales_Details2[[#This Row],[Order_Date]])</f>
        <v>2024</v>
      </c>
      <c r="D1554" s="2" t="s">
        <v>40</v>
      </c>
      <c r="E1554" s="2" t="str">
        <f>VLOOKUP(Sales_Details2[[#This Row],[Customer_ID]],Customer_Details[#All],4,0)</f>
        <v>Adult</v>
      </c>
      <c r="F1554" s="2" t="str">
        <f>VLOOKUP(Sales_Details2[[#This Row],[Customer_ID]],Customer_Details[#All],5,0)</f>
        <v>Female</v>
      </c>
      <c r="G1554" s="2" t="str">
        <f>VLOOKUP(Sales_Details2[[#This Row],[Customer_ID]],Customer_Details[#All],9,0)</f>
        <v>Bronze</v>
      </c>
      <c r="H1554" s="2" t="s">
        <v>1677</v>
      </c>
      <c r="I1554" s="2" t="str">
        <f>VLOOKUP(Sales_Details2[[#This Row],[Product_ID]],Product_details[[#All],[Product_ID]:[Cost]],3,0)</f>
        <v>Sports</v>
      </c>
      <c r="J1554" s="2" t="str">
        <f>VLOOKUP(Sales_Details2[[#This Row],[Product_ID]],Product_details[[#All],[Product_ID]:[Cost]],4,0)</f>
        <v>Team Sports</v>
      </c>
      <c r="K1554" s="2" t="s">
        <v>1775</v>
      </c>
      <c r="L1554" s="2" t="str">
        <f>_xlfn.XLOOKUP(Sales_Details2[[#This Row],[Store_ID]],Table2[Store_ID],Table2[Region],"Region not found")</f>
        <v>South</v>
      </c>
      <c r="M1554" s="25">
        <v>4</v>
      </c>
      <c r="N1554" s="36">
        <v>871.2</v>
      </c>
      <c r="O1554" s="29">
        <v>0.28999999999999998</v>
      </c>
      <c r="P1554" s="2" t="s">
        <v>1807</v>
      </c>
      <c r="Q1554" s="36">
        <v>2474.2080000000001</v>
      </c>
    </row>
    <row r="1555" spans="1:17" x14ac:dyDescent="0.3">
      <c r="A1555" s="2" t="s">
        <v>3362</v>
      </c>
      <c r="B1555" s="14">
        <v>45724</v>
      </c>
      <c r="C1555" s="2">
        <f>YEAR(Sales_Details2[[#This Row],[Order_Date]])</f>
        <v>2025</v>
      </c>
      <c r="D1555" s="2" t="s">
        <v>1171</v>
      </c>
      <c r="E1555" s="2" t="str">
        <f>VLOOKUP(Sales_Details2[[#This Row],[Customer_ID]],Customer_Details[#All],4,0)</f>
        <v>Mid-Adult</v>
      </c>
      <c r="F1555" s="2" t="str">
        <f>VLOOKUP(Sales_Details2[[#This Row],[Customer_ID]],Customer_Details[#All],5,0)</f>
        <v>Female</v>
      </c>
      <c r="G1555" s="2" t="str">
        <f>VLOOKUP(Sales_Details2[[#This Row],[Customer_ID]],Customer_Details[#All],9,0)</f>
        <v>Gold</v>
      </c>
      <c r="H1555" s="2" t="s">
        <v>1567</v>
      </c>
      <c r="I1555" s="2" t="str">
        <f>VLOOKUP(Sales_Details2[[#This Row],[Product_ID]],Product_details[[#All],[Product_ID]:[Cost]],3,0)</f>
        <v>Clothing</v>
      </c>
      <c r="J1555" s="2" t="str">
        <f>VLOOKUP(Sales_Details2[[#This Row],[Product_ID]],Product_details[[#All],[Product_ID]:[Cost]],4,0)</f>
        <v>Bottoms</v>
      </c>
      <c r="K1555" s="2" t="s">
        <v>1782</v>
      </c>
      <c r="L1555" s="2" t="str">
        <f>_xlfn.XLOOKUP(Sales_Details2[[#This Row],[Store_ID]],Table2[Store_ID],Table2[Region],"Region not found")</f>
        <v>South</v>
      </c>
      <c r="M1555" s="25">
        <v>4</v>
      </c>
      <c r="N1555" s="36">
        <v>317.11</v>
      </c>
      <c r="O1555" s="29">
        <v>0.16</v>
      </c>
      <c r="P1555" s="2" t="s">
        <v>1809</v>
      </c>
      <c r="Q1555" s="36">
        <v>1065.4896000000001</v>
      </c>
    </row>
    <row r="1556" spans="1:17" x14ac:dyDescent="0.3">
      <c r="A1556" s="2" t="s">
        <v>3363</v>
      </c>
      <c r="B1556" s="14">
        <v>45338</v>
      </c>
      <c r="C1556" s="2">
        <f>YEAR(Sales_Details2[[#This Row],[Order_Date]])</f>
        <v>2024</v>
      </c>
      <c r="D1556" s="2" t="s">
        <v>817</v>
      </c>
      <c r="E1556" s="2" t="str">
        <f>VLOOKUP(Sales_Details2[[#This Row],[Customer_ID]],Customer_Details[#All],4,0)</f>
        <v>Adult</v>
      </c>
      <c r="F1556" s="2" t="str">
        <f>VLOOKUP(Sales_Details2[[#This Row],[Customer_ID]],Customer_Details[#All],5,0)</f>
        <v>Female</v>
      </c>
      <c r="G1556" s="2" t="str">
        <f>VLOOKUP(Sales_Details2[[#This Row],[Customer_ID]],Customer_Details[#All],9,0)</f>
        <v>Platinum</v>
      </c>
      <c r="H1556" s="2" t="s">
        <v>1581</v>
      </c>
      <c r="I1556" s="2" t="str">
        <f>VLOOKUP(Sales_Details2[[#This Row],[Product_ID]],Product_details[[#All],[Product_ID]:[Cost]],3,0)</f>
        <v>Clothing</v>
      </c>
      <c r="J1556" s="2" t="str">
        <f>VLOOKUP(Sales_Details2[[#This Row],[Product_ID]],Product_details[[#All],[Product_ID]:[Cost]],4,0)</f>
        <v>Accessories</v>
      </c>
      <c r="K1556" s="2" t="s">
        <v>1780</v>
      </c>
      <c r="L1556" s="2" t="str">
        <f>_xlfn.XLOOKUP(Sales_Details2[[#This Row],[Store_ID]],Table2[Store_ID],Table2[Region],"Region not found")</f>
        <v>East</v>
      </c>
      <c r="M1556" s="25">
        <v>2</v>
      </c>
      <c r="N1556" s="36">
        <v>388.34</v>
      </c>
      <c r="O1556" s="29">
        <v>0.09</v>
      </c>
      <c r="P1556" s="2" t="s">
        <v>1809</v>
      </c>
      <c r="Q1556" s="36">
        <v>706.77879999999993</v>
      </c>
    </row>
    <row r="1557" spans="1:17" x14ac:dyDescent="0.3">
      <c r="A1557" s="2" t="s">
        <v>3364</v>
      </c>
      <c r="B1557" s="14">
        <v>45252</v>
      </c>
      <c r="C1557" s="2">
        <f>YEAR(Sales_Details2[[#This Row],[Order_Date]])</f>
        <v>2023</v>
      </c>
      <c r="D1557" s="2" t="s">
        <v>995</v>
      </c>
      <c r="E1557" s="2" t="str">
        <f>VLOOKUP(Sales_Details2[[#This Row],[Customer_ID]],Customer_Details[#All],4,0)</f>
        <v>Senior</v>
      </c>
      <c r="F1557" s="2" t="str">
        <f>VLOOKUP(Sales_Details2[[#This Row],[Customer_ID]],Customer_Details[#All],5,0)</f>
        <v>Male</v>
      </c>
      <c r="G1557" s="2" t="str">
        <f>VLOOKUP(Sales_Details2[[#This Row],[Customer_ID]],Customer_Details[#All],9,0)</f>
        <v>Platinum</v>
      </c>
      <c r="H1557" s="2" t="s">
        <v>1591</v>
      </c>
      <c r="I1557" s="2" t="str">
        <f>VLOOKUP(Sales_Details2[[#This Row],[Product_ID]],Product_details[[#All],[Product_ID]:[Cost]],3,0)</f>
        <v>Home</v>
      </c>
      <c r="J1557" s="2" t="str">
        <f>VLOOKUP(Sales_Details2[[#This Row],[Product_ID]],Product_details[[#All],[Product_ID]:[Cost]],4,0)</f>
        <v>Kitchen</v>
      </c>
      <c r="K1557" s="2" t="s">
        <v>1759</v>
      </c>
      <c r="L1557" s="2" t="str">
        <f>_xlfn.XLOOKUP(Sales_Details2[[#This Row],[Store_ID]],Table2[Store_ID],Table2[Region],"Region not found")</f>
        <v>East</v>
      </c>
      <c r="M1557" s="25">
        <v>4</v>
      </c>
      <c r="N1557" s="36">
        <v>998.2</v>
      </c>
      <c r="O1557" s="29">
        <v>0.15</v>
      </c>
      <c r="P1557" s="2" t="s">
        <v>1807</v>
      </c>
      <c r="Q1557" s="36">
        <v>3393.88</v>
      </c>
    </row>
    <row r="1558" spans="1:17" x14ac:dyDescent="0.3">
      <c r="A1558" s="2" t="s">
        <v>3365</v>
      </c>
      <c r="B1558" s="14">
        <v>45606</v>
      </c>
      <c r="C1558" s="2">
        <f>YEAR(Sales_Details2[[#This Row],[Order_Date]])</f>
        <v>2024</v>
      </c>
      <c r="D1558" s="2" t="s">
        <v>1499</v>
      </c>
      <c r="E1558" s="2" t="str">
        <f>VLOOKUP(Sales_Details2[[#This Row],[Customer_ID]],Customer_Details[#All],4,0)</f>
        <v>Adult</v>
      </c>
      <c r="F1558" s="2" t="str">
        <f>VLOOKUP(Sales_Details2[[#This Row],[Customer_ID]],Customer_Details[#All],5,0)</f>
        <v>Male</v>
      </c>
      <c r="G1558" s="2" t="str">
        <f>VLOOKUP(Sales_Details2[[#This Row],[Customer_ID]],Customer_Details[#All],9,0)</f>
        <v>Silver</v>
      </c>
      <c r="H1558" s="2" t="s">
        <v>1603</v>
      </c>
      <c r="I1558" s="2" t="str">
        <f>VLOOKUP(Sales_Details2[[#This Row],[Product_ID]],Product_details[[#All],[Product_ID]:[Cost]],3,0)</f>
        <v>Clothing</v>
      </c>
      <c r="J1558" s="2" t="str">
        <f>VLOOKUP(Sales_Details2[[#This Row],[Product_ID]],Product_details[[#All],[Product_ID]:[Cost]],4,0)</f>
        <v>Tops</v>
      </c>
      <c r="K1558" s="2" t="s">
        <v>1735</v>
      </c>
      <c r="L1558" s="2" t="str">
        <f>_xlfn.XLOOKUP(Sales_Details2[[#This Row],[Store_ID]],Table2[Store_ID],Table2[Region],"Region not found")</f>
        <v>East</v>
      </c>
      <c r="M1558" s="25">
        <v>1</v>
      </c>
      <c r="N1558" s="36">
        <v>887.38</v>
      </c>
      <c r="O1558" s="29">
        <v>0.01</v>
      </c>
      <c r="P1558" s="2" t="s">
        <v>1812</v>
      </c>
      <c r="Q1558" s="36">
        <v>878.50620000000004</v>
      </c>
    </row>
    <row r="1559" spans="1:17" x14ac:dyDescent="0.3">
      <c r="A1559" s="2" t="s">
        <v>3366</v>
      </c>
      <c r="B1559" s="14">
        <v>45524</v>
      </c>
      <c r="C1559" s="2">
        <f>YEAR(Sales_Details2[[#This Row],[Order_Date]])</f>
        <v>2024</v>
      </c>
      <c r="D1559" s="2" t="s">
        <v>974</v>
      </c>
      <c r="E1559" s="2" t="str">
        <f>VLOOKUP(Sales_Details2[[#This Row],[Customer_ID]],Customer_Details[#All],4,0)</f>
        <v>Mid-Adult</v>
      </c>
      <c r="F1559" s="2" t="str">
        <f>VLOOKUP(Sales_Details2[[#This Row],[Customer_ID]],Customer_Details[#All],5,0)</f>
        <v>Female</v>
      </c>
      <c r="G1559" s="2" t="str">
        <f>VLOOKUP(Sales_Details2[[#This Row],[Customer_ID]],Customer_Details[#All],9,0)</f>
        <v>Silver</v>
      </c>
      <c r="H1559" s="2" t="s">
        <v>1605</v>
      </c>
      <c r="I1559" s="2" t="str">
        <f>VLOOKUP(Sales_Details2[[#This Row],[Product_ID]],Product_details[[#All],[Product_ID]:[Cost]],3,0)</f>
        <v>Clothing</v>
      </c>
      <c r="J1559" s="2" t="str">
        <f>VLOOKUP(Sales_Details2[[#This Row],[Product_ID]],Product_details[[#All],[Product_ID]:[Cost]],4,0)</f>
        <v>Footwear</v>
      </c>
      <c r="K1559" s="2" t="s">
        <v>1777</v>
      </c>
      <c r="L1559" s="2" t="str">
        <f>_xlfn.XLOOKUP(Sales_Details2[[#This Row],[Store_ID]],Table2[Store_ID],Table2[Region],"Region not found")</f>
        <v>North</v>
      </c>
      <c r="M1559" s="25">
        <v>4</v>
      </c>
      <c r="N1559" s="36">
        <v>332.97</v>
      </c>
      <c r="O1559" s="29">
        <v>0.28000000000000003</v>
      </c>
      <c r="P1559" s="2" t="s">
        <v>1807</v>
      </c>
      <c r="Q1559" s="36">
        <v>958.95360000000005</v>
      </c>
    </row>
    <row r="1560" spans="1:17" x14ac:dyDescent="0.3">
      <c r="A1560" s="2" t="s">
        <v>3367</v>
      </c>
      <c r="B1560" s="14">
        <v>45934</v>
      </c>
      <c r="C1560" s="2">
        <f>YEAR(Sales_Details2[[#This Row],[Order_Date]])</f>
        <v>2025</v>
      </c>
      <c r="D1560" s="2" t="s">
        <v>93</v>
      </c>
      <c r="E1560" s="2" t="str">
        <f>VLOOKUP(Sales_Details2[[#This Row],[Customer_ID]],Customer_Details[#All],4,0)</f>
        <v>Mid-Adult</v>
      </c>
      <c r="F1560" s="2" t="str">
        <f>VLOOKUP(Sales_Details2[[#This Row],[Customer_ID]],Customer_Details[#All],5,0)</f>
        <v>Female</v>
      </c>
      <c r="G1560" s="2" t="str">
        <f>VLOOKUP(Sales_Details2[[#This Row],[Customer_ID]],Customer_Details[#All],9,0)</f>
        <v>Gold</v>
      </c>
      <c r="H1560" s="2" t="s">
        <v>1623</v>
      </c>
      <c r="I1560" s="2" t="str">
        <f>VLOOKUP(Sales_Details2[[#This Row],[Product_ID]],Product_details[[#All],[Product_ID]:[Cost]],3,0)</f>
        <v>Clothing</v>
      </c>
      <c r="J1560" s="2" t="str">
        <f>VLOOKUP(Sales_Details2[[#This Row],[Product_ID]],Product_details[[#All],[Product_ID]:[Cost]],4,0)</f>
        <v>Outerwear</v>
      </c>
      <c r="K1560" s="2" t="s">
        <v>1735</v>
      </c>
      <c r="L1560" s="2" t="str">
        <f>_xlfn.XLOOKUP(Sales_Details2[[#This Row],[Store_ID]],Table2[Store_ID],Table2[Region],"Region not found")</f>
        <v>East</v>
      </c>
      <c r="M1560" s="25">
        <v>2</v>
      </c>
      <c r="N1560" s="36">
        <v>157.91</v>
      </c>
      <c r="O1560" s="29">
        <v>0.09</v>
      </c>
      <c r="P1560" s="2" t="s">
        <v>1812</v>
      </c>
      <c r="Q1560" s="36">
        <v>287.39620000000002</v>
      </c>
    </row>
    <row r="1561" spans="1:17" x14ac:dyDescent="0.3">
      <c r="A1561" s="2" t="s">
        <v>3368</v>
      </c>
      <c r="B1561" s="14">
        <v>45539</v>
      </c>
      <c r="C1561" s="2">
        <f>YEAR(Sales_Details2[[#This Row],[Order_Date]])</f>
        <v>2024</v>
      </c>
      <c r="D1561" s="2" t="s">
        <v>1103</v>
      </c>
      <c r="E1561" s="2" t="str">
        <f>VLOOKUP(Sales_Details2[[#This Row],[Customer_ID]],Customer_Details[#All],4,0)</f>
        <v>Senior</v>
      </c>
      <c r="F1561" s="2" t="str">
        <f>VLOOKUP(Sales_Details2[[#This Row],[Customer_ID]],Customer_Details[#All],5,0)</f>
        <v>Male</v>
      </c>
      <c r="G1561" s="2" t="str">
        <f>VLOOKUP(Sales_Details2[[#This Row],[Customer_ID]],Customer_Details[#All],9,0)</f>
        <v>Bronze</v>
      </c>
      <c r="H1561" s="2" t="s">
        <v>1555</v>
      </c>
      <c r="I1561" s="2" t="str">
        <f>VLOOKUP(Sales_Details2[[#This Row],[Product_ID]],Product_details[[#All],[Product_ID]:[Cost]],3,0)</f>
        <v>Beauty</v>
      </c>
      <c r="J1561" s="2" t="str">
        <f>VLOOKUP(Sales_Details2[[#This Row],[Product_ID]],Product_details[[#All],[Product_ID]:[Cost]],4,0)</f>
        <v>Haircare</v>
      </c>
      <c r="K1561" s="2" t="s">
        <v>1793</v>
      </c>
      <c r="L1561" s="2" t="str">
        <f>_xlfn.XLOOKUP(Sales_Details2[[#This Row],[Store_ID]],Table2[Store_ID],Table2[Region],"Region not found")</f>
        <v>East</v>
      </c>
      <c r="M1561" s="25">
        <v>1</v>
      </c>
      <c r="N1561" s="36">
        <v>548.15</v>
      </c>
      <c r="O1561" s="29">
        <v>0.11</v>
      </c>
      <c r="P1561" s="2" t="s">
        <v>1807</v>
      </c>
      <c r="Q1561" s="36">
        <v>487.8535</v>
      </c>
    </row>
    <row r="1562" spans="1:17" x14ac:dyDescent="0.3">
      <c r="A1562" s="2" t="s">
        <v>3369</v>
      </c>
      <c r="B1562" s="14">
        <v>45555</v>
      </c>
      <c r="C1562" s="2">
        <f>YEAR(Sales_Details2[[#This Row],[Order_Date]])</f>
        <v>2024</v>
      </c>
      <c r="D1562" s="2" t="s">
        <v>675</v>
      </c>
      <c r="E1562" s="2" t="str">
        <f>VLOOKUP(Sales_Details2[[#This Row],[Customer_ID]],Customer_Details[#All],4,0)</f>
        <v>Mid-Adult</v>
      </c>
      <c r="F1562" s="2" t="str">
        <f>VLOOKUP(Sales_Details2[[#This Row],[Customer_ID]],Customer_Details[#All],5,0)</f>
        <v>Female</v>
      </c>
      <c r="G1562" s="2" t="str">
        <f>VLOOKUP(Sales_Details2[[#This Row],[Customer_ID]],Customer_Details[#All],9,0)</f>
        <v>Platinum</v>
      </c>
      <c r="H1562" s="2" t="s">
        <v>1627</v>
      </c>
      <c r="I1562" s="2" t="str">
        <f>VLOOKUP(Sales_Details2[[#This Row],[Product_ID]],Product_details[[#All],[Product_ID]:[Cost]],3,0)</f>
        <v>Electronics</v>
      </c>
      <c r="J1562" s="2" t="str">
        <f>VLOOKUP(Sales_Details2[[#This Row],[Product_ID]],Product_details[[#All],[Product_ID]:[Cost]],4,0)</f>
        <v>Accessories</v>
      </c>
      <c r="K1562" s="2" t="s">
        <v>1784</v>
      </c>
      <c r="L1562" s="2" t="str">
        <f>_xlfn.XLOOKUP(Sales_Details2[[#This Row],[Store_ID]],Table2[Store_ID],Table2[Region],"Region not found")</f>
        <v>North</v>
      </c>
      <c r="M1562" s="25">
        <v>1</v>
      </c>
      <c r="N1562" s="36">
        <v>135.13</v>
      </c>
      <c r="O1562" s="29">
        <v>0.04</v>
      </c>
      <c r="P1562" s="2" t="s">
        <v>1807</v>
      </c>
      <c r="Q1562" s="36">
        <v>129.72479999999999</v>
      </c>
    </row>
    <row r="1563" spans="1:17" x14ac:dyDescent="0.3">
      <c r="A1563" s="2" t="s">
        <v>3370</v>
      </c>
      <c r="B1563" s="14">
        <v>45281</v>
      </c>
      <c r="C1563" s="2">
        <f>YEAR(Sales_Details2[[#This Row],[Order_Date]])</f>
        <v>2023</v>
      </c>
      <c r="D1563" s="2" t="s">
        <v>705</v>
      </c>
      <c r="E1563" s="2" t="str">
        <f>VLOOKUP(Sales_Details2[[#This Row],[Customer_ID]],Customer_Details[#All],4,0)</f>
        <v>Mid-Adult</v>
      </c>
      <c r="F1563" s="2" t="str">
        <f>VLOOKUP(Sales_Details2[[#This Row],[Customer_ID]],Customer_Details[#All],5,0)</f>
        <v>Female</v>
      </c>
      <c r="G1563" s="2" t="str">
        <f>VLOOKUP(Sales_Details2[[#This Row],[Customer_ID]],Customer_Details[#All],9,0)</f>
        <v>Gold</v>
      </c>
      <c r="H1563" s="2" t="s">
        <v>1643</v>
      </c>
      <c r="I1563" s="2" t="str">
        <f>VLOOKUP(Sales_Details2[[#This Row],[Product_ID]],Product_details[[#All],[Product_ID]:[Cost]],3,0)</f>
        <v>Home</v>
      </c>
      <c r="J1563" s="2" t="str">
        <f>VLOOKUP(Sales_Details2[[#This Row],[Product_ID]],Product_details[[#All],[Product_ID]:[Cost]],4,0)</f>
        <v>Decor</v>
      </c>
      <c r="K1563" s="2" t="s">
        <v>1749</v>
      </c>
      <c r="L1563" s="2" t="str">
        <f>_xlfn.XLOOKUP(Sales_Details2[[#This Row],[Store_ID]],Table2[Store_ID],Table2[Region],"Region not found")</f>
        <v>North</v>
      </c>
      <c r="M1563" s="25">
        <v>3</v>
      </c>
      <c r="N1563" s="36">
        <v>579.26</v>
      </c>
      <c r="O1563" s="29">
        <v>0.19</v>
      </c>
      <c r="P1563" s="2" t="s">
        <v>1807</v>
      </c>
      <c r="Q1563" s="36">
        <v>1407.6017999999999</v>
      </c>
    </row>
    <row r="1564" spans="1:17" x14ac:dyDescent="0.3">
      <c r="A1564" s="2" t="s">
        <v>3371</v>
      </c>
      <c r="B1564" s="14">
        <v>45582</v>
      </c>
      <c r="C1564" s="2">
        <f>YEAR(Sales_Details2[[#This Row],[Order_Date]])</f>
        <v>2024</v>
      </c>
      <c r="D1564" s="2" t="s">
        <v>1201</v>
      </c>
      <c r="E1564" s="2" t="str">
        <f>VLOOKUP(Sales_Details2[[#This Row],[Customer_ID]],Customer_Details[#All],4,0)</f>
        <v>Mid-Adult</v>
      </c>
      <c r="F1564" s="2" t="str">
        <f>VLOOKUP(Sales_Details2[[#This Row],[Customer_ID]],Customer_Details[#All],5,0)</f>
        <v>Male</v>
      </c>
      <c r="G1564" s="2" t="str">
        <f>VLOOKUP(Sales_Details2[[#This Row],[Customer_ID]],Customer_Details[#All],9,0)</f>
        <v>Platinum</v>
      </c>
      <c r="H1564" s="2" t="s">
        <v>1565</v>
      </c>
      <c r="I1564" s="2" t="str">
        <f>VLOOKUP(Sales_Details2[[#This Row],[Product_ID]],Product_details[[#All],[Product_ID]:[Cost]],3,0)</f>
        <v>Sports</v>
      </c>
      <c r="J1564" s="2" t="str">
        <f>VLOOKUP(Sales_Details2[[#This Row],[Product_ID]],Product_details[[#All],[Product_ID]:[Cost]],4,0)</f>
        <v>Accessories</v>
      </c>
      <c r="K1564" s="2" t="s">
        <v>1735</v>
      </c>
      <c r="L1564" s="2" t="str">
        <f>_xlfn.XLOOKUP(Sales_Details2[[#This Row],[Store_ID]],Table2[Store_ID],Table2[Region],"Region not found")</f>
        <v>East</v>
      </c>
      <c r="M1564" s="25">
        <v>1</v>
      </c>
      <c r="N1564" s="36">
        <v>465.63</v>
      </c>
      <c r="O1564" s="29">
        <v>0.25</v>
      </c>
      <c r="P1564" s="2" t="s">
        <v>1807</v>
      </c>
      <c r="Q1564" s="36">
        <v>349.22250000000003</v>
      </c>
    </row>
    <row r="1565" spans="1:17" x14ac:dyDescent="0.3">
      <c r="A1565" s="2" t="s">
        <v>3372</v>
      </c>
      <c r="B1565" s="14">
        <v>45372</v>
      </c>
      <c r="C1565" s="2">
        <f>YEAR(Sales_Details2[[#This Row],[Order_Date]])</f>
        <v>2024</v>
      </c>
      <c r="D1565" s="2" t="s">
        <v>178</v>
      </c>
      <c r="E1565" s="2" t="str">
        <f>VLOOKUP(Sales_Details2[[#This Row],[Customer_ID]],Customer_Details[#All],4,0)</f>
        <v>Senior</v>
      </c>
      <c r="F1565" s="2" t="str">
        <f>VLOOKUP(Sales_Details2[[#This Row],[Customer_ID]],Customer_Details[#All],5,0)</f>
        <v>Female</v>
      </c>
      <c r="G1565" s="2" t="str">
        <f>VLOOKUP(Sales_Details2[[#This Row],[Customer_ID]],Customer_Details[#All],9,0)</f>
        <v>Silver</v>
      </c>
      <c r="H1565" s="2" t="s">
        <v>1683</v>
      </c>
      <c r="I1565" s="2" t="str">
        <f>VLOOKUP(Sales_Details2[[#This Row],[Product_ID]],Product_details[[#All],[Product_ID]:[Cost]],3,0)</f>
        <v>Electronics</v>
      </c>
      <c r="J1565" s="2" t="str">
        <f>VLOOKUP(Sales_Details2[[#This Row],[Product_ID]],Product_details[[#All],[Product_ID]:[Cost]],4,0)</f>
        <v>Computer</v>
      </c>
      <c r="K1565" s="2" t="s">
        <v>1787</v>
      </c>
      <c r="L1565" s="2" t="str">
        <f>_xlfn.XLOOKUP(Sales_Details2[[#This Row],[Store_ID]],Table2[Store_ID],Table2[Region],"Region not found")</f>
        <v>West</v>
      </c>
      <c r="M1565" s="25">
        <v>2</v>
      </c>
      <c r="N1565" s="36">
        <v>675.61</v>
      </c>
      <c r="O1565" s="29">
        <v>0.08</v>
      </c>
      <c r="P1565" s="2" t="s">
        <v>1812</v>
      </c>
      <c r="Q1565" s="36">
        <v>1243.1224</v>
      </c>
    </row>
    <row r="1566" spans="1:17" x14ac:dyDescent="0.3">
      <c r="A1566" s="2" t="s">
        <v>3373</v>
      </c>
      <c r="B1566" s="14">
        <v>45458</v>
      </c>
      <c r="C1566" s="2">
        <f>YEAR(Sales_Details2[[#This Row],[Order_Date]])</f>
        <v>2024</v>
      </c>
      <c r="D1566" s="2" t="s">
        <v>1278</v>
      </c>
      <c r="E1566" s="2" t="str">
        <f>VLOOKUP(Sales_Details2[[#This Row],[Customer_ID]],Customer_Details[#All],4,0)</f>
        <v>Mid-Adult</v>
      </c>
      <c r="F1566" s="2" t="str">
        <f>VLOOKUP(Sales_Details2[[#This Row],[Customer_ID]],Customer_Details[#All],5,0)</f>
        <v>Male</v>
      </c>
      <c r="G1566" s="2" t="str">
        <f>VLOOKUP(Sales_Details2[[#This Row],[Customer_ID]],Customer_Details[#All],9,0)</f>
        <v>Platinum</v>
      </c>
      <c r="H1566" s="2" t="s">
        <v>1597</v>
      </c>
      <c r="I1566" s="2" t="str">
        <f>VLOOKUP(Sales_Details2[[#This Row],[Product_ID]],Product_details[[#All],[Product_ID]:[Cost]],3,0)</f>
        <v>Home</v>
      </c>
      <c r="J1566" s="2" t="str">
        <f>VLOOKUP(Sales_Details2[[#This Row],[Product_ID]],Product_details[[#All],[Product_ID]:[Cost]],4,0)</f>
        <v>Decor</v>
      </c>
      <c r="K1566" s="2" t="s">
        <v>1759</v>
      </c>
      <c r="L1566" s="2" t="str">
        <f>_xlfn.XLOOKUP(Sales_Details2[[#This Row],[Store_ID]],Table2[Store_ID],Table2[Region],"Region not found")</f>
        <v>East</v>
      </c>
      <c r="M1566" s="25">
        <v>1</v>
      </c>
      <c r="N1566" s="36">
        <v>718.99</v>
      </c>
      <c r="O1566" s="29">
        <v>0.08</v>
      </c>
      <c r="P1566" s="2" t="s">
        <v>1809</v>
      </c>
      <c r="Q1566" s="36">
        <v>661.47080000000005</v>
      </c>
    </row>
    <row r="1567" spans="1:17" x14ac:dyDescent="0.3">
      <c r="A1567" s="2" t="s">
        <v>3374</v>
      </c>
      <c r="B1567" s="14">
        <v>45943</v>
      </c>
      <c r="C1567" s="2">
        <f>YEAR(Sales_Details2[[#This Row],[Order_Date]])</f>
        <v>2025</v>
      </c>
      <c r="D1567" s="2" t="s">
        <v>1162</v>
      </c>
      <c r="E1567" s="2" t="str">
        <f>VLOOKUP(Sales_Details2[[#This Row],[Customer_ID]],Customer_Details[#All],4,0)</f>
        <v>Adult</v>
      </c>
      <c r="F1567" s="2" t="str">
        <f>VLOOKUP(Sales_Details2[[#This Row],[Customer_ID]],Customer_Details[#All],5,0)</f>
        <v>Male</v>
      </c>
      <c r="G1567" s="2" t="str">
        <f>VLOOKUP(Sales_Details2[[#This Row],[Customer_ID]],Customer_Details[#All],9,0)</f>
        <v>Bronze</v>
      </c>
      <c r="H1567" s="2" t="s">
        <v>1559</v>
      </c>
      <c r="I1567" s="2" t="str">
        <f>VLOOKUP(Sales_Details2[[#This Row],[Product_ID]],Product_details[[#All],[Product_ID]:[Cost]],3,0)</f>
        <v>Home</v>
      </c>
      <c r="J1567" s="2" t="str">
        <f>VLOOKUP(Sales_Details2[[#This Row],[Product_ID]],Product_details[[#All],[Product_ID]:[Cost]],4,0)</f>
        <v>Decor</v>
      </c>
      <c r="K1567" s="2" t="s">
        <v>1772</v>
      </c>
      <c r="L1567" s="2" t="str">
        <f>_xlfn.XLOOKUP(Sales_Details2[[#This Row],[Store_ID]],Table2[Store_ID],Table2[Region],"Region not found")</f>
        <v>East</v>
      </c>
      <c r="M1567" s="25">
        <v>2</v>
      </c>
      <c r="N1567" s="36">
        <v>675.65</v>
      </c>
      <c r="O1567" s="29">
        <v>0.2</v>
      </c>
      <c r="P1567" s="2" t="s">
        <v>1812</v>
      </c>
      <c r="Q1567" s="36">
        <v>1081.04</v>
      </c>
    </row>
    <row r="1568" spans="1:17" x14ac:dyDescent="0.3">
      <c r="A1568" s="2" t="s">
        <v>3375</v>
      </c>
      <c r="B1568" s="14">
        <v>45374</v>
      </c>
      <c r="C1568" s="2">
        <f>YEAR(Sales_Details2[[#This Row],[Order_Date]])</f>
        <v>2024</v>
      </c>
      <c r="D1568" s="2" t="s">
        <v>1045</v>
      </c>
      <c r="E1568" s="2" t="str">
        <f>VLOOKUP(Sales_Details2[[#This Row],[Customer_ID]],Customer_Details[#All],4,0)</f>
        <v>Senior</v>
      </c>
      <c r="F1568" s="2" t="str">
        <f>VLOOKUP(Sales_Details2[[#This Row],[Customer_ID]],Customer_Details[#All],5,0)</f>
        <v>Female</v>
      </c>
      <c r="G1568" s="2" t="str">
        <f>VLOOKUP(Sales_Details2[[#This Row],[Customer_ID]],Customer_Details[#All],9,0)</f>
        <v>Silver</v>
      </c>
      <c r="H1568" s="2" t="s">
        <v>1721</v>
      </c>
      <c r="I1568" s="2" t="str">
        <f>VLOOKUP(Sales_Details2[[#This Row],[Product_ID]],Product_details[[#All],[Product_ID]:[Cost]],3,0)</f>
        <v>Sports</v>
      </c>
      <c r="J1568" s="2" t="str">
        <f>VLOOKUP(Sales_Details2[[#This Row],[Product_ID]],Product_details[[#All],[Product_ID]:[Cost]],4,0)</f>
        <v>Accessories</v>
      </c>
      <c r="K1568" s="2" t="s">
        <v>1784</v>
      </c>
      <c r="L1568" s="2" t="str">
        <f>_xlfn.XLOOKUP(Sales_Details2[[#This Row],[Store_ID]],Table2[Store_ID],Table2[Region],"Region not found")</f>
        <v>North</v>
      </c>
      <c r="M1568" s="25">
        <v>4</v>
      </c>
      <c r="N1568" s="36">
        <v>284.24</v>
      </c>
      <c r="O1568" s="29">
        <v>0.1</v>
      </c>
      <c r="P1568" s="2" t="s">
        <v>1807</v>
      </c>
      <c r="Q1568" s="36">
        <v>1023.264</v>
      </c>
    </row>
    <row r="1569" spans="1:17" x14ac:dyDescent="0.3">
      <c r="A1569" s="2" t="s">
        <v>3376</v>
      </c>
      <c r="B1569" s="14">
        <v>45374</v>
      </c>
      <c r="C1569" s="2">
        <f>YEAR(Sales_Details2[[#This Row],[Order_Date]])</f>
        <v>2024</v>
      </c>
      <c r="D1569" s="2" t="s">
        <v>687</v>
      </c>
      <c r="E1569" s="2" t="str">
        <f>VLOOKUP(Sales_Details2[[#This Row],[Customer_ID]],Customer_Details[#All],4,0)</f>
        <v>Mid-Adult</v>
      </c>
      <c r="F1569" s="2" t="str">
        <f>VLOOKUP(Sales_Details2[[#This Row],[Customer_ID]],Customer_Details[#All],5,0)</f>
        <v>Female</v>
      </c>
      <c r="G1569" s="2" t="str">
        <f>VLOOKUP(Sales_Details2[[#This Row],[Customer_ID]],Customer_Details[#All],9,0)</f>
        <v>Platinum</v>
      </c>
      <c r="H1569" s="2" t="s">
        <v>1529</v>
      </c>
      <c r="I1569" s="2" t="str">
        <f>VLOOKUP(Sales_Details2[[#This Row],[Product_ID]],Product_details[[#All],[Product_ID]:[Cost]],3,0)</f>
        <v>Clothing</v>
      </c>
      <c r="J1569" s="2" t="str">
        <f>VLOOKUP(Sales_Details2[[#This Row],[Product_ID]],Product_details[[#All],[Product_ID]:[Cost]],4,0)</f>
        <v>Tops</v>
      </c>
      <c r="K1569" s="2" t="s">
        <v>1749</v>
      </c>
      <c r="L1569" s="2" t="str">
        <f>_xlfn.XLOOKUP(Sales_Details2[[#This Row],[Store_ID]],Table2[Store_ID],Table2[Region],"Region not found")</f>
        <v>North</v>
      </c>
      <c r="M1569" s="25">
        <v>1</v>
      </c>
      <c r="N1569" s="36">
        <v>94.26</v>
      </c>
      <c r="O1569" s="29">
        <v>0.18</v>
      </c>
      <c r="P1569" s="2" t="s">
        <v>1809</v>
      </c>
      <c r="Q1569" s="36">
        <v>77.293200000000013</v>
      </c>
    </row>
    <row r="1570" spans="1:17" x14ac:dyDescent="0.3">
      <c r="A1570" s="2" t="s">
        <v>3377</v>
      </c>
      <c r="B1570" s="14">
        <v>45789</v>
      </c>
      <c r="C1570" s="2">
        <f>YEAR(Sales_Details2[[#This Row],[Order_Date]])</f>
        <v>2025</v>
      </c>
      <c r="D1570" s="2" t="s">
        <v>1278</v>
      </c>
      <c r="E1570" s="2" t="str">
        <f>VLOOKUP(Sales_Details2[[#This Row],[Customer_ID]],Customer_Details[#All],4,0)</f>
        <v>Mid-Adult</v>
      </c>
      <c r="F1570" s="2" t="str">
        <f>VLOOKUP(Sales_Details2[[#This Row],[Customer_ID]],Customer_Details[#All],5,0)</f>
        <v>Male</v>
      </c>
      <c r="G1570" s="2" t="str">
        <f>VLOOKUP(Sales_Details2[[#This Row],[Customer_ID]],Customer_Details[#All],9,0)</f>
        <v>Platinum</v>
      </c>
      <c r="H1570" s="2" t="s">
        <v>1540</v>
      </c>
      <c r="I1570" s="2" t="str">
        <f>VLOOKUP(Sales_Details2[[#This Row],[Product_ID]],Product_details[[#All],[Product_ID]:[Cost]],3,0)</f>
        <v>Beauty</v>
      </c>
      <c r="J1570" s="2" t="str">
        <f>VLOOKUP(Sales_Details2[[#This Row],[Product_ID]],Product_details[[#All],[Product_ID]:[Cost]],4,0)</f>
        <v>Skincare</v>
      </c>
      <c r="K1570" s="2" t="s">
        <v>1772</v>
      </c>
      <c r="L1570" s="2" t="str">
        <f>_xlfn.XLOOKUP(Sales_Details2[[#This Row],[Store_ID]],Table2[Store_ID],Table2[Region],"Region not found")</f>
        <v>East</v>
      </c>
      <c r="M1570" s="25">
        <v>4</v>
      </c>
      <c r="N1570" s="36">
        <v>458.58</v>
      </c>
      <c r="O1570" s="29">
        <v>0.28999999999999998</v>
      </c>
      <c r="P1570" s="2" t="s">
        <v>1812</v>
      </c>
      <c r="Q1570" s="36">
        <v>1302.3671999999999</v>
      </c>
    </row>
    <row r="1571" spans="1:17" x14ac:dyDescent="0.3">
      <c r="A1571" s="2" t="s">
        <v>3378</v>
      </c>
      <c r="B1571" s="14">
        <v>45452</v>
      </c>
      <c r="C1571" s="2">
        <f>YEAR(Sales_Details2[[#This Row],[Order_Date]])</f>
        <v>2024</v>
      </c>
      <c r="D1571" s="2" t="s">
        <v>391</v>
      </c>
      <c r="E1571" s="2" t="str">
        <f>VLOOKUP(Sales_Details2[[#This Row],[Customer_ID]],Customer_Details[#All],4,0)</f>
        <v>Senior</v>
      </c>
      <c r="F1571" s="2" t="str">
        <f>VLOOKUP(Sales_Details2[[#This Row],[Customer_ID]],Customer_Details[#All],5,0)</f>
        <v>Male</v>
      </c>
      <c r="G1571" s="2" t="str">
        <f>VLOOKUP(Sales_Details2[[#This Row],[Customer_ID]],Customer_Details[#All],9,0)</f>
        <v>Gold</v>
      </c>
      <c r="H1571" s="2" t="s">
        <v>1661</v>
      </c>
      <c r="I1571" s="2" t="str">
        <f>VLOOKUP(Sales_Details2[[#This Row],[Product_ID]],Product_details[[#All],[Product_ID]:[Cost]],3,0)</f>
        <v>Sports</v>
      </c>
      <c r="J1571" s="2" t="str">
        <f>VLOOKUP(Sales_Details2[[#This Row],[Product_ID]],Product_details[[#All],[Product_ID]:[Cost]],4,0)</f>
        <v>Fitness</v>
      </c>
      <c r="K1571" s="2" t="s">
        <v>1772</v>
      </c>
      <c r="L1571" s="2" t="str">
        <f>_xlfn.XLOOKUP(Sales_Details2[[#This Row],[Store_ID]],Table2[Store_ID],Table2[Region],"Region not found")</f>
        <v>East</v>
      </c>
      <c r="M1571" s="25">
        <v>4</v>
      </c>
      <c r="N1571" s="36">
        <v>704.49</v>
      </c>
      <c r="O1571" s="29">
        <v>0.05</v>
      </c>
      <c r="P1571" s="2" t="s">
        <v>1812</v>
      </c>
      <c r="Q1571" s="36">
        <v>2677.0619999999999</v>
      </c>
    </row>
    <row r="1572" spans="1:17" x14ac:dyDescent="0.3">
      <c r="A1572" s="2" t="s">
        <v>3379</v>
      </c>
      <c r="B1572" s="14">
        <v>45284</v>
      </c>
      <c r="C1572" s="2">
        <f>YEAR(Sales_Details2[[#This Row],[Order_Date]])</f>
        <v>2023</v>
      </c>
      <c r="D1572" s="2" t="s">
        <v>130</v>
      </c>
      <c r="E1572" s="2" t="str">
        <f>VLOOKUP(Sales_Details2[[#This Row],[Customer_ID]],Customer_Details[#All],4,0)</f>
        <v>Mid-Adult</v>
      </c>
      <c r="F1572" s="2" t="str">
        <f>VLOOKUP(Sales_Details2[[#This Row],[Customer_ID]],Customer_Details[#All],5,0)</f>
        <v>Female</v>
      </c>
      <c r="G1572" s="2" t="str">
        <f>VLOOKUP(Sales_Details2[[#This Row],[Customer_ID]],Customer_Details[#All],9,0)</f>
        <v>Gold</v>
      </c>
      <c r="H1572" s="2" t="s">
        <v>1585</v>
      </c>
      <c r="I1572" s="2" t="str">
        <f>VLOOKUP(Sales_Details2[[#This Row],[Product_ID]],Product_details[[#All],[Product_ID]:[Cost]],3,0)</f>
        <v>Home</v>
      </c>
      <c r="J1572" s="2" t="str">
        <f>VLOOKUP(Sales_Details2[[#This Row],[Product_ID]],Product_details[[#All],[Product_ID]:[Cost]],4,0)</f>
        <v>Decor</v>
      </c>
      <c r="K1572" s="2" t="s">
        <v>1796</v>
      </c>
      <c r="L1572" s="2" t="str">
        <f>_xlfn.XLOOKUP(Sales_Details2[[#This Row],[Store_ID]],Table2[Store_ID],Table2[Region],"Region not found")</f>
        <v>East</v>
      </c>
      <c r="M1572" s="25">
        <v>4</v>
      </c>
      <c r="N1572" s="36">
        <v>822.32</v>
      </c>
      <c r="O1572" s="29">
        <v>0.26</v>
      </c>
      <c r="P1572" s="2" t="s">
        <v>1809</v>
      </c>
      <c r="Q1572" s="36">
        <v>2434.0672</v>
      </c>
    </row>
    <row r="1573" spans="1:17" x14ac:dyDescent="0.3">
      <c r="A1573" s="2" t="s">
        <v>3380</v>
      </c>
      <c r="B1573" s="14">
        <v>45325</v>
      </c>
      <c r="C1573" s="2">
        <f>YEAR(Sales_Details2[[#This Row],[Order_Date]])</f>
        <v>2024</v>
      </c>
      <c r="D1573" s="2" t="s">
        <v>779</v>
      </c>
      <c r="E1573" s="2" t="str">
        <f>VLOOKUP(Sales_Details2[[#This Row],[Customer_ID]],Customer_Details[#All],4,0)</f>
        <v>Senior</v>
      </c>
      <c r="F1573" s="2" t="str">
        <f>VLOOKUP(Sales_Details2[[#This Row],[Customer_ID]],Customer_Details[#All],5,0)</f>
        <v>Female</v>
      </c>
      <c r="G1573" s="2" t="str">
        <f>VLOOKUP(Sales_Details2[[#This Row],[Customer_ID]],Customer_Details[#All],9,0)</f>
        <v>Platinum</v>
      </c>
      <c r="H1573" s="2" t="s">
        <v>1534</v>
      </c>
      <c r="I1573" s="2" t="str">
        <f>VLOOKUP(Sales_Details2[[#This Row],[Product_ID]],Product_details[[#All],[Product_ID]:[Cost]],3,0)</f>
        <v>Clothing</v>
      </c>
      <c r="J1573" s="2" t="str">
        <f>VLOOKUP(Sales_Details2[[#This Row],[Product_ID]],Product_details[[#All],[Product_ID]:[Cost]],4,0)</f>
        <v>Outerwear</v>
      </c>
      <c r="K1573" s="2" t="s">
        <v>1780</v>
      </c>
      <c r="L1573" s="2" t="str">
        <f>_xlfn.XLOOKUP(Sales_Details2[[#This Row],[Store_ID]],Table2[Store_ID],Table2[Region],"Region not found")</f>
        <v>East</v>
      </c>
      <c r="M1573" s="25">
        <v>4</v>
      </c>
      <c r="N1573" s="36">
        <v>785.41</v>
      </c>
      <c r="O1573" s="29">
        <v>0.13</v>
      </c>
      <c r="P1573" s="2" t="s">
        <v>1812</v>
      </c>
      <c r="Q1573" s="36">
        <v>2733.2267999999999</v>
      </c>
    </row>
    <row r="1574" spans="1:17" x14ac:dyDescent="0.3">
      <c r="A1574" s="2" t="s">
        <v>3381</v>
      </c>
      <c r="B1574" s="14">
        <v>45465</v>
      </c>
      <c r="C1574" s="2">
        <f>YEAR(Sales_Details2[[#This Row],[Order_Date]])</f>
        <v>2024</v>
      </c>
      <c r="D1574" s="2" t="s">
        <v>127</v>
      </c>
      <c r="E1574" s="2" t="str">
        <f>VLOOKUP(Sales_Details2[[#This Row],[Customer_ID]],Customer_Details[#All],4,0)</f>
        <v>Mid-Adult</v>
      </c>
      <c r="F1574" s="2" t="str">
        <f>VLOOKUP(Sales_Details2[[#This Row],[Customer_ID]],Customer_Details[#All],5,0)</f>
        <v>Male</v>
      </c>
      <c r="G1574" s="2" t="str">
        <f>VLOOKUP(Sales_Details2[[#This Row],[Customer_ID]],Customer_Details[#All],9,0)</f>
        <v>Silver</v>
      </c>
      <c r="H1574" s="2" t="s">
        <v>1609</v>
      </c>
      <c r="I1574" s="2" t="str">
        <f>VLOOKUP(Sales_Details2[[#This Row],[Product_ID]],Product_details[[#All],[Product_ID]:[Cost]],3,0)</f>
        <v>Electronics</v>
      </c>
      <c r="J1574" s="2" t="str">
        <f>VLOOKUP(Sales_Details2[[#This Row],[Product_ID]],Product_details[[#All],[Product_ID]:[Cost]],4,0)</f>
        <v>Mobile</v>
      </c>
      <c r="K1574" s="2" t="s">
        <v>1782</v>
      </c>
      <c r="L1574" s="2" t="str">
        <f>_xlfn.XLOOKUP(Sales_Details2[[#This Row],[Store_ID]],Table2[Store_ID],Table2[Region],"Region not found")</f>
        <v>South</v>
      </c>
      <c r="M1574" s="25">
        <v>1</v>
      </c>
      <c r="N1574" s="36">
        <v>405.8</v>
      </c>
      <c r="O1574" s="29">
        <v>0.11</v>
      </c>
      <c r="P1574" s="2" t="s">
        <v>1809</v>
      </c>
      <c r="Q1574" s="36">
        <v>361.16199999999998</v>
      </c>
    </row>
    <row r="1575" spans="1:17" x14ac:dyDescent="0.3">
      <c r="A1575" s="2" t="s">
        <v>3382</v>
      </c>
      <c r="B1575" s="14">
        <v>45612</v>
      </c>
      <c r="C1575" s="2">
        <f>YEAR(Sales_Details2[[#This Row],[Order_Date]])</f>
        <v>2024</v>
      </c>
      <c r="D1575" s="2" t="s">
        <v>1327</v>
      </c>
      <c r="E1575" s="2" t="str">
        <f>VLOOKUP(Sales_Details2[[#This Row],[Customer_ID]],Customer_Details[#All],4,0)</f>
        <v>Senior</v>
      </c>
      <c r="F1575" s="2" t="str">
        <f>VLOOKUP(Sales_Details2[[#This Row],[Customer_ID]],Customer_Details[#All],5,0)</f>
        <v>Female</v>
      </c>
      <c r="G1575" s="2" t="str">
        <f>VLOOKUP(Sales_Details2[[#This Row],[Customer_ID]],Customer_Details[#All],9,0)</f>
        <v>Silver</v>
      </c>
      <c r="H1575" s="2" t="s">
        <v>1713</v>
      </c>
      <c r="I1575" s="2" t="str">
        <f>VLOOKUP(Sales_Details2[[#This Row],[Product_ID]],Product_details[[#All],[Product_ID]:[Cost]],3,0)</f>
        <v>Clothing</v>
      </c>
      <c r="J1575" s="2" t="str">
        <f>VLOOKUP(Sales_Details2[[#This Row],[Product_ID]],Product_details[[#All],[Product_ID]:[Cost]],4,0)</f>
        <v>Footwear</v>
      </c>
      <c r="K1575" s="2" t="s">
        <v>1769</v>
      </c>
      <c r="L1575" s="2" t="str">
        <f>_xlfn.XLOOKUP(Sales_Details2[[#This Row],[Store_ID]],Table2[Store_ID],Table2[Region],"Region not found")</f>
        <v>South</v>
      </c>
      <c r="M1575" s="25">
        <v>2</v>
      </c>
      <c r="N1575" s="36">
        <v>976.83</v>
      </c>
      <c r="O1575" s="29">
        <v>0.1</v>
      </c>
      <c r="P1575" s="2" t="s">
        <v>1809</v>
      </c>
      <c r="Q1575" s="36">
        <v>1758.2940000000001</v>
      </c>
    </row>
    <row r="1576" spans="1:17" x14ac:dyDescent="0.3">
      <c r="A1576" s="2" t="s">
        <v>3383</v>
      </c>
      <c r="B1576" s="14">
        <v>45472</v>
      </c>
      <c r="C1576" s="2">
        <f>YEAR(Sales_Details2[[#This Row],[Order_Date]])</f>
        <v>2024</v>
      </c>
      <c r="D1576" s="2" t="s">
        <v>861</v>
      </c>
      <c r="E1576" s="2" t="str">
        <f>VLOOKUP(Sales_Details2[[#This Row],[Customer_ID]],Customer_Details[#All],4,0)</f>
        <v>Adult</v>
      </c>
      <c r="F1576" s="2" t="str">
        <f>VLOOKUP(Sales_Details2[[#This Row],[Customer_ID]],Customer_Details[#All],5,0)</f>
        <v>Male</v>
      </c>
      <c r="G1576" s="2" t="str">
        <f>VLOOKUP(Sales_Details2[[#This Row],[Customer_ID]],Customer_Details[#All],9,0)</f>
        <v>Bronze</v>
      </c>
      <c r="H1576" s="2" t="s">
        <v>1659</v>
      </c>
      <c r="I1576" s="2" t="str">
        <f>VLOOKUP(Sales_Details2[[#This Row],[Product_ID]],Product_details[[#All],[Product_ID]:[Cost]],3,0)</f>
        <v>Beauty</v>
      </c>
      <c r="J1576" s="2" t="str">
        <f>VLOOKUP(Sales_Details2[[#This Row],[Product_ID]],Product_details[[#All],[Product_ID]:[Cost]],4,0)</f>
        <v>Makeup</v>
      </c>
      <c r="K1576" s="2" t="s">
        <v>1744</v>
      </c>
      <c r="L1576" s="2" t="str">
        <f>_xlfn.XLOOKUP(Sales_Details2[[#This Row],[Store_ID]],Table2[Store_ID],Table2[Region],"Region not found")</f>
        <v>South</v>
      </c>
      <c r="M1576" s="25">
        <v>1</v>
      </c>
      <c r="N1576" s="36">
        <v>644.15</v>
      </c>
      <c r="O1576" s="29">
        <v>0.06</v>
      </c>
      <c r="P1576" s="2" t="s">
        <v>1807</v>
      </c>
      <c r="Q1576" s="36">
        <v>605.50099999999998</v>
      </c>
    </row>
    <row r="1577" spans="1:17" x14ac:dyDescent="0.3">
      <c r="A1577" s="2" t="s">
        <v>3384</v>
      </c>
      <c r="B1577" s="14">
        <v>45897</v>
      </c>
      <c r="C1577" s="2">
        <f>YEAR(Sales_Details2[[#This Row],[Order_Date]])</f>
        <v>2025</v>
      </c>
      <c r="D1577" s="2" t="s">
        <v>1048</v>
      </c>
      <c r="E1577" s="2" t="str">
        <f>VLOOKUP(Sales_Details2[[#This Row],[Customer_ID]],Customer_Details[#All],4,0)</f>
        <v>Mid-Adult</v>
      </c>
      <c r="F1577" s="2" t="str">
        <f>VLOOKUP(Sales_Details2[[#This Row],[Customer_ID]],Customer_Details[#All],5,0)</f>
        <v>Female</v>
      </c>
      <c r="G1577" s="2" t="str">
        <f>VLOOKUP(Sales_Details2[[#This Row],[Customer_ID]],Customer_Details[#All],9,0)</f>
        <v>Bronze</v>
      </c>
      <c r="H1577" s="2" t="s">
        <v>1665</v>
      </c>
      <c r="I1577" s="2" t="str">
        <f>VLOOKUP(Sales_Details2[[#This Row],[Product_ID]],Product_details[[#All],[Product_ID]:[Cost]],3,0)</f>
        <v>Electronics</v>
      </c>
      <c r="J1577" s="2" t="str">
        <f>VLOOKUP(Sales_Details2[[#This Row],[Product_ID]],Product_details[[#All],[Product_ID]:[Cost]],4,0)</f>
        <v>Accessories</v>
      </c>
      <c r="K1577" s="2" t="s">
        <v>1780</v>
      </c>
      <c r="L1577" s="2" t="str">
        <f>_xlfn.XLOOKUP(Sales_Details2[[#This Row],[Store_ID]],Table2[Store_ID],Table2[Region],"Region not found")</f>
        <v>East</v>
      </c>
      <c r="M1577" s="25">
        <v>1</v>
      </c>
      <c r="N1577" s="36">
        <v>470.55</v>
      </c>
      <c r="O1577" s="29">
        <v>0.23</v>
      </c>
      <c r="P1577" s="2" t="s">
        <v>1809</v>
      </c>
      <c r="Q1577" s="36">
        <v>362.32350000000002</v>
      </c>
    </row>
    <row r="1578" spans="1:17" x14ac:dyDescent="0.3">
      <c r="A1578" s="2" t="s">
        <v>3385</v>
      </c>
      <c r="B1578" s="14">
        <v>45241</v>
      </c>
      <c r="C1578" s="2">
        <f>YEAR(Sales_Details2[[#This Row],[Order_Date]])</f>
        <v>2023</v>
      </c>
      <c r="D1578" s="2" t="s">
        <v>1456</v>
      </c>
      <c r="E1578" s="2" t="str">
        <f>VLOOKUP(Sales_Details2[[#This Row],[Customer_ID]],Customer_Details[#All],4,0)</f>
        <v>Senior</v>
      </c>
      <c r="F1578" s="2" t="str">
        <f>VLOOKUP(Sales_Details2[[#This Row],[Customer_ID]],Customer_Details[#All],5,0)</f>
        <v>Male</v>
      </c>
      <c r="G1578" s="2" t="str">
        <f>VLOOKUP(Sales_Details2[[#This Row],[Customer_ID]],Customer_Details[#All],9,0)</f>
        <v>Gold</v>
      </c>
      <c r="H1578" s="2" t="s">
        <v>1543</v>
      </c>
      <c r="I1578" s="2" t="str">
        <f>VLOOKUP(Sales_Details2[[#This Row],[Product_ID]],Product_details[[#All],[Product_ID]:[Cost]],3,0)</f>
        <v>Home</v>
      </c>
      <c r="J1578" s="2" t="str">
        <f>VLOOKUP(Sales_Details2[[#This Row],[Product_ID]],Product_details[[#All],[Product_ID]:[Cost]],4,0)</f>
        <v>Lighting</v>
      </c>
      <c r="K1578" s="2" t="s">
        <v>1759</v>
      </c>
      <c r="L1578" s="2" t="str">
        <f>_xlfn.XLOOKUP(Sales_Details2[[#This Row],[Store_ID]],Table2[Store_ID],Table2[Region],"Region not found")</f>
        <v>East</v>
      </c>
      <c r="M1578" s="25">
        <v>3</v>
      </c>
      <c r="N1578" s="36">
        <v>598.82000000000005</v>
      </c>
      <c r="O1578" s="29">
        <v>0.19</v>
      </c>
      <c r="P1578" s="2" t="s">
        <v>1812</v>
      </c>
      <c r="Q1578" s="36">
        <v>1455.1325999999999</v>
      </c>
    </row>
    <row r="1579" spans="1:17" x14ac:dyDescent="0.3">
      <c r="A1579" s="2" t="s">
        <v>3386</v>
      </c>
      <c r="B1579" s="14">
        <v>45851</v>
      </c>
      <c r="C1579" s="2">
        <f>YEAR(Sales_Details2[[#This Row],[Order_Date]])</f>
        <v>2025</v>
      </c>
      <c r="D1579" s="2" t="s">
        <v>355</v>
      </c>
      <c r="E1579" s="2" t="str">
        <f>VLOOKUP(Sales_Details2[[#This Row],[Customer_ID]],Customer_Details[#All],4,0)</f>
        <v>Adult</v>
      </c>
      <c r="F1579" s="2" t="str">
        <f>VLOOKUP(Sales_Details2[[#This Row],[Customer_ID]],Customer_Details[#All],5,0)</f>
        <v>Male</v>
      </c>
      <c r="G1579" s="2" t="str">
        <f>VLOOKUP(Sales_Details2[[#This Row],[Customer_ID]],Customer_Details[#All],9,0)</f>
        <v>Gold</v>
      </c>
      <c r="H1579" s="2" t="s">
        <v>1571</v>
      </c>
      <c r="I1579" s="2" t="str">
        <f>VLOOKUP(Sales_Details2[[#This Row],[Product_ID]],Product_details[[#All],[Product_ID]:[Cost]],3,0)</f>
        <v>Sports</v>
      </c>
      <c r="J1579" s="2" t="str">
        <f>VLOOKUP(Sales_Details2[[#This Row],[Product_ID]],Product_details[[#All],[Product_ID]:[Cost]],4,0)</f>
        <v>Accessories</v>
      </c>
      <c r="K1579" s="2" t="s">
        <v>1777</v>
      </c>
      <c r="L1579" s="2" t="str">
        <f>_xlfn.XLOOKUP(Sales_Details2[[#This Row],[Store_ID]],Table2[Store_ID],Table2[Region],"Region not found")</f>
        <v>North</v>
      </c>
      <c r="M1579" s="25">
        <v>4</v>
      </c>
      <c r="N1579" s="36">
        <v>659.17</v>
      </c>
      <c r="O1579" s="29">
        <v>0.12</v>
      </c>
      <c r="P1579" s="2" t="s">
        <v>1807</v>
      </c>
      <c r="Q1579" s="36">
        <v>2320.2784000000001</v>
      </c>
    </row>
    <row r="1580" spans="1:17" x14ac:dyDescent="0.3">
      <c r="A1580" s="2" t="s">
        <v>3387</v>
      </c>
      <c r="B1580" s="14">
        <v>45572</v>
      </c>
      <c r="C1580" s="2">
        <f>YEAR(Sales_Details2[[#This Row],[Order_Date]])</f>
        <v>2024</v>
      </c>
      <c r="D1580" s="2" t="s">
        <v>364</v>
      </c>
      <c r="E1580" s="2" t="str">
        <f>VLOOKUP(Sales_Details2[[#This Row],[Customer_ID]],Customer_Details[#All],4,0)</f>
        <v>Senior</v>
      </c>
      <c r="F1580" s="2" t="str">
        <f>VLOOKUP(Sales_Details2[[#This Row],[Customer_ID]],Customer_Details[#All],5,0)</f>
        <v>Male</v>
      </c>
      <c r="G1580" s="2" t="str">
        <f>VLOOKUP(Sales_Details2[[#This Row],[Customer_ID]],Customer_Details[#All],9,0)</f>
        <v>Silver</v>
      </c>
      <c r="H1580" s="2" t="s">
        <v>1623</v>
      </c>
      <c r="I1580" s="2" t="str">
        <f>VLOOKUP(Sales_Details2[[#This Row],[Product_ID]],Product_details[[#All],[Product_ID]:[Cost]],3,0)</f>
        <v>Clothing</v>
      </c>
      <c r="J1580" s="2" t="str">
        <f>VLOOKUP(Sales_Details2[[#This Row],[Product_ID]],Product_details[[#All],[Product_ID]:[Cost]],4,0)</f>
        <v>Outerwear</v>
      </c>
      <c r="K1580" s="2" t="s">
        <v>1740</v>
      </c>
      <c r="L1580" s="2" t="str">
        <f>_xlfn.XLOOKUP(Sales_Details2[[#This Row],[Store_ID]],Table2[Store_ID],Table2[Region],"Region not found")</f>
        <v>North</v>
      </c>
      <c r="M1580" s="25">
        <v>2</v>
      </c>
      <c r="N1580" s="36">
        <v>216.02</v>
      </c>
      <c r="O1580" s="29">
        <v>0.25</v>
      </c>
      <c r="P1580" s="2" t="s">
        <v>1807</v>
      </c>
      <c r="Q1580" s="36">
        <v>324.02999999999997</v>
      </c>
    </row>
    <row r="1581" spans="1:17" x14ac:dyDescent="0.3">
      <c r="A1581" s="2" t="s">
        <v>3388</v>
      </c>
      <c r="B1581" s="14">
        <v>45774</v>
      </c>
      <c r="C1581" s="2">
        <f>YEAR(Sales_Details2[[#This Row],[Order_Date]])</f>
        <v>2025</v>
      </c>
      <c r="D1581" s="2" t="s">
        <v>124</v>
      </c>
      <c r="E1581" s="2" t="str">
        <f>VLOOKUP(Sales_Details2[[#This Row],[Customer_ID]],Customer_Details[#All],4,0)</f>
        <v>Senior</v>
      </c>
      <c r="F1581" s="2" t="str">
        <f>VLOOKUP(Sales_Details2[[#This Row],[Customer_ID]],Customer_Details[#All],5,0)</f>
        <v>Female</v>
      </c>
      <c r="G1581" s="2" t="str">
        <f>VLOOKUP(Sales_Details2[[#This Row],[Customer_ID]],Customer_Details[#All],9,0)</f>
        <v>Bronze</v>
      </c>
      <c r="H1581" s="2" t="s">
        <v>1593</v>
      </c>
      <c r="I1581" s="2" t="str">
        <f>VLOOKUP(Sales_Details2[[#This Row],[Product_ID]],Product_details[[#All],[Product_ID]:[Cost]],3,0)</f>
        <v>Sports</v>
      </c>
      <c r="J1581" s="2" t="str">
        <f>VLOOKUP(Sales_Details2[[#This Row],[Product_ID]],Product_details[[#All],[Product_ID]:[Cost]],4,0)</f>
        <v>Team Sports</v>
      </c>
      <c r="K1581" s="2" t="s">
        <v>1772</v>
      </c>
      <c r="L1581" s="2" t="str">
        <f>_xlfn.XLOOKUP(Sales_Details2[[#This Row],[Store_ID]],Table2[Store_ID],Table2[Region],"Region not found")</f>
        <v>East</v>
      </c>
      <c r="M1581" s="25">
        <v>2</v>
      </c>
      <c r="N1581" s="36">
        <v>613.47</v>
      </c>
      <c r="O1581" s="29">
        <v>0.02</v>
      </c>
      <c r="P1581" s="2" t="s">
        <v>1809</v>
      </c>
      <c r="Q1581" s="36">
        <v>1202.4012</v>
      </c>
    </row>
    <row r="1582" spans="1:17" x14ac:dyDescent="0.3">
      <c r="A1582" s="2" t="s">
        <v>3389</v>
      </c>
      <c r="B1582" s="14">
        <v>45921</v>
      </c>
      <c r="C1582" s="2">
        <f>YEAR(Sales_Details2[[#This Row],[Order_Date]])</f>
        <v>2025</v>
      </c>
      <c r="D1582" s="2" t="s">
        <v>345</v>
      </c>
      <c r="E1582" s="2" t="str">
        <f>VLOOKUP(Sales_Details2[[#This Row],[Customer_ID]],Customer_Details[#All],4,0)</f>
        <v>Adult</v>
      </c>
      <c r="F1582" s="2" t="str">
        <f>VLOOKUP(Sales_Details2[[#This Row],[Customer_ID]],Customer_Details[#All],5,0)</f>
        <v>Male</v>
      </c>
      <c r="G1582" s="2" t="str">
        <f>VLOOKUP(Sales_Details2[[#This Row],[Customer_ID]],Customer_Details[#All],9,0)</f>
        <v>Gold</v>
      </c>
      <c r="H1582" s="2" t="s">
        <v>1647</v>
      </c>
      <c r="I1582" s="2" t="str">
        <f>VLOOKUP(Sales_Details2[[#This Row],[Product_ID]],Product_details[[#All],[Product_ID]:[Cost]],3,0)</f>
        <v>Clothing</v>
      </c>
      <c r="J1582" s="2" t="str">
        <f>VLOOKUP(Sales_Details2[[#This Row],[Product_ID]],Product_details[[#All],[Product_ID]:[Cost]],4,0)</f>
        <v>Accessories</v>
      </c>
      <c r="K1582" s="2" t="s">
        <v>1777</v>
      </c>
      <c r="L1582" s="2" t="str">
        <f>_xlfn.XLOOKUP(Sales_Details2[[#This Row],[Store_ID]],Table2[Store_ID],Table2[Region],"Region not found")</f>
        <v>North</v>
      </c>
      <c r="M1582" s="25">
        <v>2</v>
      </c>
      <c r="N1582" s="36">
        <v>485.17</v>
      </c>
      <c r="O1582" s="29">
        <v>0.11</v>
      </c>
      <c r="P1582" s="2" t="s">
        <v>1809</v>
      </c>
      <c r="Q1582" s="36">
        <v>863.60260000000005</v>
      </c>
    </row>
    <row r="1583" spans="1:17" x14ac:dyDescent="0.3">
      <c r="A1583" s="2" t="s">
        <v>3390</v>
      </c>
      <c r="B1583" s="14">
        <v>45268</v>
      </c>
      <c r="C1583" s="2">
        <f>YEAR(Sales_Details2[[#This Row],[Order_Date]])</f>
        <v>2023</v>
      </c>
      <c r="D1583" s="2" t="s">
        <v>959</v>
      </c>
      <c r="E1583" s="2" t="str">
        <f>VLOOKUP(Sales_Details2[[#This Row],[Customer_ID]],Customer_Details[#All],4,0)</f>
        <v>Senior</v>
      </c>
      <c r="F1583" s="2" t="str">
        <f>VLOOKUP(Sales_Details2[[#This Row],[Customer_ID]],Customer_Details[#All],5,0)</f>
        <v>Female</v>
      </c>
      <c r="G1583" s="2" t="str">
        <f>VLOOKUP(Sales_Details2[[#This Row],[Customer_ID]],Customer_Details[#All],9,0)</f>
        <v>Bronze</v>
      </c>
      <c r="H1583" s="2" t="s">
        <v>1623</v>
      </c>
      <c r="I1583" s="2" t="str">
        <f>VLOOKUP(Sales_Details2[[#This Row],[Product_ID]],Product_details[[#All],[Product_ID]:[Cost]],3,0)</f>
        <v>Clothing</v>
      </c>
      <c r="J1583" s="2" t="str">
        <f>VLOOKUP(Sales_Details2[[#This Row],[Product_ID]],Product_details[[#All],[Product_ID]:[Cost]],4,0)</f>
        <v>Outerwear</v>
      </c>
      <c r="K1583" s="2" t="s">
        <v>1772</v>
      </c>
      <c r="L1583" s="2" t="str">
        <f>_xlfn.XLOOKUP(Sales_Details2[[#This Row],[Store_ID]],Table2[Store_ID],Table2[Region],"Region not found")</f>
        <v>East</v>
      </c>
      <c r="M1583" s="25">
        <v>1</v>
      </c>
      <c r="N1583" s="36">
        <v>209.7</v>
      </c>
      <c r="O1583" s="29">
        <v>0.2</v>
      </c>
      <c r="P1583" s="2" t="s">
        <v>1809</v>
      </c>
      <c r="Q1583" s="36">
        <v>167.76</v>
      </c>
    </row>
    <row r="1584" spans="1:17" x14ac:dyDescent="0.3">
      <c r="A1584" s="2" t="s">
        <v>3391</v>
      </c>
      <c r="B1584" s="14">
        <v>45402</v>
      </c>
      <c r="C1584" s="2">
        <f>YEAR(Sales_Details2[[#This Row],[Order_Date]])</f>
        <v>2024</v>
      </c>
      <c r="D1584" s="2" t="s">
        <v>1015</v>
      </c>
      <c r="E1584" s="2" t="str">
        <f>VLOOKUP(Sales_Details2[[#This Row],[Customer_ID]],Customer_Details[#All],4,0)</f>
        <v>Senior</v>
      </c>
      <c r="F1584" s="2" t="str">
        <f>VLOOKUP(Sales_Details2[[#This Row],[Customer_ID]],Customer_Details[#All],5,0)</f>
        <v>Female</v>
      </c>
      <c r="G1584" s="2" t="str">
        <f>VLOOKUP(Sales_Details2[[#This Row],[Customer_ID]],Customer_Details[#All],9,0)</f>
        <v>Gold</v>
      </c>
      <c r="H1584" s="2" t="s">
        <v>1715</v>
      </c>
      <c r="I1584" s="2" t="str">
        <f>VLOOKUP(Sales_Details2[[#This Row],[Product_ID]],Product_details[[#All],[Product_ID]:[Cost]],3,0)</f>
        <v>Home</v>
      </c>
      <c r="J1584" s="2" t="str">
        <f>VLOOKUP(Sales_Details2[[#This Row],[Product_ID]],Product_details[[#All],[Product_ID]:[Cost]],4,0)</f>
        <v>Appliances</v>
      </c>
      <c r="K1584" s="2" t="s">
        <v>1735</v>
      </c>
      <c r="L1584" s="2" t="str">
        <f>_xlfn.XLOOKUP(Sales_Details2[[#This Row],[Store_ID]],Table2[Store_ID],Table2[Region],"Region not found")</f>
        <v>East</v>
      </c>
      <c r="M1584" s="25">
        <v>1</v>
      </c>
      <c r="N1584" s="36">
        <v>681.47</v>
      </c>
      <c r="O1584" s="29">
        <v>0.15</v>
      </c>
      <c r="P1584" s="2" t="s">
        <v>1807</v>
      </c>
      <c r="Q1584" s="36">
        <v>579.24950000000001</v>
      </c>
    </row>
    <row r="1585" spans="1:17" x14ac:dyDescent="0.3">
      <c r="A1585" s="2" t="s">
        <v>3392</v>
      </c>
      <c r="B1585" s="14">
        <v>45667</v>
      </c>
      <c r="C1585" s="2">
        <f>YEAR(Sales_Details2[[#This Row],[Order_Date]])</f>
        <v>2025</v>
      </c>
      <c r="D1585" s="2" t="s">
        <v>1346</v>
      </c>
      <c r="E1585" s="2" t="str">
        <f>VLOOKUP(Sales_Details2[[#This Row],[Customer_ID]],Customer_Details[#All],4,0)</f>
        <v>Senior</v>
      </c>
      <c r="F1585" s="2" t="str">
        <f>VLOOKUP(Sales_Details2[[#This Row],[Customer_ID]],Customer_Details[#All],5,0)</f>
        <v>Male</v>
      </c>
      <c r="G1585" s="2" t="str">
        <f>VLOOKUP(Sales_Details2[[#This Row],[Customer_ID]],Customer_Details[#All],9,0)</f>
        <v>Silver</v>
      </c>
      <c r="H1585" s="2" t="s">
        <v>1683</v>
      </c>
      <c r="I1585" s="2" t="str">
        <f>VLOOKUP(Sales_Details2[[#This Row],[Product_ID]],Product_details[[#All],[Product_ID]:[Cost]],3,0)</f>
        <v>Electronics</v>
      </c>
      <c r="J1585" s="2" t="str">
        <f>VLOOKUP(Sales_Details2[[#This Row],[Product_ID]],Product_details[[#All],[Product_ID]:[Cost]],4,0)</f>
        <v>Computer</v>
      </c>
      <c r="K1585" s="2" t="s">
        <v>1790</v>
      </c>
      <c r="L1585" s="2" t="str">
        <f>_xlfn.XLOOKUP(Sales_Details2[[#This Row],[Store_ID]],Table2[Store_ID],Table2[Region],"Region not found")</f>
        <v>North</v>
      </c>
      <c r="M1585" s="25">
        <v>2</v>
      </c>
      <c r="N1585" s="36">
        <v>877.21</v>
      </c>
      <c r="O1585" s="29">
        <v>0.1</v>
      </c>
      <c r="P1585" s="2" t="s">
        <v>1807</v>
      </c>
      <c r="Q1585" s="36">
        <v>1578.9780000000001</v>
      </c>
    </row>
    <row r="1586" spans="1:17" x14ac:dyDescent="0.3">
      <c r="A1586" s="2" t="s">
        <v>3393</v>
      </c>
      <c r="B1586" s="14">
        <v>45902</v>
      </c>
      <c r="C1586" s="2">
        <f>YEAR(Sales_Details2[[#This Row],[Order_Date]])</f>
        <v>2025</v>
      </c>
      <c r="D1586" s="2" t="s">
        <v>992</v>
      </c>
      <c r="E1586" s="2" t="str">
        <f>VLOOKUP(Sales_Details2[[#This Row],[Customer_ID]],Customer_Details[#All],4,0)</f>
        <v>Adult</v>
      </c>
      <c r="F1586" s="2" t="str">
        <f>VLOOKUP(Sales_Details2[[#This Row],[Customer_ID]],Customer_Details[#All],5,0)</f>
        <v>Male</v>
      </c>
      <c r="G1586" s="2" t="str">
        <f>VLOOKUP(Sales_Details2[[#This Row],[Customer_ID]],Customer_Details[#All],9,0)</f>
        <v>Platinum</v>
      </c>
      <c r="H1586" s="2" t="s">
        <v>1687</v>
      </c>
      <c r="I1586" s="2" t="str">
        <f>VLOOKUP(Sales_Details2[[#This Row],[Product_ID]],Product_details[[#All],[Product_ID]:[Cost]],3,0)</f>
        <v>Home</v>
      </c>
      <c r="J1586" s="2" t="str">
        <f>VLOOKUP(Sales_Details2[[#This Row],[Product_ID]],Product_details[[#All],[Product_ID]:[Cost]],4,0)</f>
        <v>Decor</v>
      </c>
      <c r="K1586" s="2" t="s">
        <v>1756</v>
      </c>
      <c r="L1586" s="2" t="str">
        <f>_xlfn.XLOOKUP(Sales_Details2[[#This Row],[Store_ID]],Table2[Store_ID],Table2[Region],"Region not found")</f>
        <v>North</v>
      </c>
      <c r="M1586" s="25">
        <v>2</v>
      </c>
      <c r="N1586" s="36">
        <v>479.77</v>
      </c>
      <c r="O1586" s="29">
        <v>0.21</v>
      </c>
      <c r="P1586" s="2" t="s">
        <v>1809</v>
      </c>
      <c r="Q1586" s="36">
        <v>758.03660000000002</v>
      </c>
    </row>
    <row r="1587" spans="1:17" x14ac:dyDescent="0.3">
      <c r="A1587" s="2" t="s">
        <v>3394</v>
      </c>
      <c r="B1587" s="14">
        <v>45589</v>
      </c>
      <c r="C1587" s="2">
        <f>YEAR(Sales_Details2[[#This Row],[Order_Date]])</f>
        <v>2024</v>
      </c>
      <c r="D1587" s="2" t="s">
        <v>1004</v>
      </c>
      <c r="E1587" s="2" t="str">
        <f>VLOOKUP(Sales_Details2[[#This Row],[Customer_ID]],Customer_Details[#All],4,0)</f>
        <v>Senior</v>
      </c>
      <c r="F1587" s="2" t="str">
        <f>VLOOKUP(Sales_Details2[[#This Row],[Customer_ID]],Customer_Details[#All],5,0)</f>
        <v>Male</v>
      </c>
      <c r="G1587" s="2" t="str">
        <f>VLOOKUP(Sales_Details2[[#This Row],[Customer_ID]],Customer_Details[#All],9,0)</f>
        <v>Bronze</v>
      </c>
      <c r="H1587" s="2" t="s">
        <v>1697</v>
      </c>
      <c r="I1587" s="2" t="str">
        <f>VLOOKUP(Sales_Details2[[#This Row],[Product_ID]],Product_details[[#All],[Product_ID]:[Cost]],3,0)</f>
        <v>Beauty</v>
      </c>
      <c r="J1587" s="2" t="str">
        <f>VLOOKUP(Sales_Details2[[#This Row],[Product_ID]],Product_details[[#All],[Product_ID]:[Cost]],4,0)</f>
        <v>Skincare</v>
      </c>
      <c r="K1587" s="2" t="s">
        <v>1784</v>
      </c>
      <c r="L1587" s="2" t="str">
        <f>_xlfn.XLOOKUP(Sales_Details2[[#This Row],[Store_ID]],Table2[Store_ID],Table2[Region],"Region not found")</f>
        <v>North</v>
      </c>
      <c r="M1587" s="25">
        <v>1</v>
      </c>
      <c r="N1587" s="36">
        <v>140.72</v>
      </c>
      <c r="O1587" s="29">
        <v>0</v>
      </c>
      <c r="P1587" s="2" t="s">
        <v>1812</v>
      </c>
      <c r="Q1587" s="36">
        <v>140.72</v>
      </c>
    </row>
    <row r="1588" spans="1:17" x14ac:dyDescent="0.3">
      <c r="A1588" s="2" t="s">
        <v>3395</v>
      </c>
      <c r="B1588" s="14">
        <v>45668</v>
      </c>
      <c r="C1588" s="2">
        <f>YEAR(Sales_Details2[[#This Row],[Order_Date]])</f>
        <v>2025</v>
      </c>
      <c r="D1588" s="2" t="s">
        <v>114</v>
      </c>
      <c r="E1588" s="2" t="str">
        <f>VLOOKUP(Sales_Details2[[#This Row],[Customer_ID]],Customer_Details[#All],4,0)</f>
        <v>Mid-Adult</v>
      </c>
      <c r="F1588" s="2" t="str">
        <f>VLOOKUP(Sales_Details2[[#This Row],[Customer_ID]],Customer_Details[#All],5,0)</f>
        <v>Male</v>
      </c>
      <c r="G1588" s="2" t="str">
        <f>VLOOKUP(Sales_Details2[[#This Row],[Customer_ID]],Customer_Details[#All],9,0)</f>
        <v>Platinum</v>
      </c>
      <c r="H1588" s="2" t="s">
        <v>1569</v>
      </c>
      <c r="I1588" s="2" t="str">
        <f>VLOOKUP(Sales_Details2[[#This Row],[Product_ID]],Product_details[[#All],[Product_ID]:[Cost]],3,0)</f>
        <v>Sports</v>
      </c>
      <c r="J1588" s="2" t="str">
        <f>VLOOKUP(Sales_Details2[[#This Row],[Product_ID]],Product_details[[#All],[Product_ID]:[Cost]],4,0)</f>
        <v>Equipment</v>
      </c>
      <c r="K1588" s="2" t="s">
        <v>1759</v>
      </c>
      <c r="L1588" s="2" t="str">
        <f>_xlfn.XLOOKUP(Sales_Details2[[#This Row],[Store_ID]],Table2[Store_ID],Table2[Region],"Region not found")</f>
        <v>East</v>
      </c>
      <c r="M1588" s="25">
        <v>2</v>
      </c>
      <c r="N1588" s="36">
        <v>764.25</v>
      </c>
      <c r="O1588" s="29">
        <v>0.23</v>
      </c>
      <c r="P1588" s="2" t="s">
        <v>1809</v>
      </c>
      <c r="Q1588" s="36">
        <v>1176.9449999999999</v>
      </c>
    </row>
    <row r="1589" spans="1:17" x14ac:dyDescent="0.3">
      <c r="A1589" s="2" t="s">
        <v>3396</v>
      </c>
      <c r="B1589" s="14">
        <v>45300</v>
      </c>
      <c r="C1589" s="2">
        <f>YEAR(Sales_Details2[[#This Row],[Order_Date]])</f>
        <v>2024</v>
      </c>
      <c r="D1589" s="2" t="s">
        <v>713</v>
      </c>
      <c r="E1589" s="2" t="str">
        <f>VLOOKUP(Sales_Details2[[#This Row],[Customer_ID]],Customer_Details[#All],4,0)</f>
        <v>Mid-Adult</v>
      </c>
      <c r="F1589" s="2" t="str">
        <f>VLOOKUP(Sales_Details2[[#This Row],[Customer_ID]],Customer_Details[#All],5,0)</f>
        <v>Male</v>
      </c>
      <c r="G1589" s="2" t="str">
        <f>VLOOKUP(Sales_Details2[[#This Row],[Customer_ID]],Customer_Details[#All],9,0)</f>
        <v>Platinum</v>
      </c>
      <c r="H1589" s="2" t="s">
        <v>1697</v>
      </c>
      <c r="I1589" s="2" t="str">
        <f>VLOOKUP(Sales_Details2[[#This Row],[Product_ID]],Product_details[[#All],[Product_ID]:[Cost]],3,0)</f>
        <v>Beauty</v>
      </c>
      <c r="J1589" s="2" t="str">
        <f>VLOOKUP(Sales_Details2[[#This Row],[Product_ID]],Product_details[[#All],[Product_ID]:[Cost]],4,0)</f>
        <v>Skincare</v>
      </c>
      <c r="K1589" s="2" t="s">
        <v>1756</v>
      </c>
      <c r="L1589" s="2" t="str">
        <f>_xlfn.XLOOKUP(Sales_Details2[[#This Row],[Store_ID]],Table2[Store_ID],Table2[Region],"Region not found")</f>
        <v>North</v>
      </c>
      <c r="M1589" s="25">
        <v>3</v>
      </c>
      <c r="N1589" s="36">
        <v>107.8</v>
      </c>
      <c r="O1589" s="29">
        <v>0.28999999999999998</v>
      </c>
      <c r="P1589" s="2" t="s">
        <v>1809</v>
      </c>
      <c r="Q1589" s="36">
        <v>229.614</v>
      </c>
    </row>
    <row r="1590" spans="1:17" x14ac:dyDescent="0.3">
      <c r="A1590" s="2" t="s">
        <v>3397</v>
      </c>
      <c r="B1590" s="14">
        <v>45757</v>
      </c>
      <c r="C1590" s="2">
        <f>YEAR(Sales_Details2[[#This Row],[Order_Date]])</f>
        <v>2025</v>
      </c>
      <c r="D1590" s="2" t="s">
        <v>491</v>
      </c>
      <c r="E1590" s="2" t="str">
        <f>VLOOKUP(Sales_Details2[[#This Row],[Customer_ID]],Customer_Details[#All],4,0)</f>
        <v>Mid-Adult</v>
      </c>
      <c r="F1590" s="2" t="str">
        <f>VLOOKUP(Sales_Details2[[#This Row],[Customer_ID]],Customer_Details[#All],5,0)</f>
        <v>Female</v>
      </c>
      <c r="G1590" s="2" t="str">
        <f>VLOOKUP(Sales_Details2[[#This Row],[Customer_ID]],Customer_Details[#All],9,0)</f>
        <v>Platinum</v>
      </c>
      <c r="H1590" s="2" t="s">
        <v>1575</v>
      </c>
      <c r="I1590" s="2" t="str">
        <f>VLOOKUP(Sales_Details2[[#This Row],[Product_ID]],Product_details[[#All],[Product_ID]:[Cost]],3,0)</f>
        <v>Sports</v>
      </c>
      <c r="J1590" s="2" t="str">
        <f>VLOOKUP(Sales_Details2[[#This Row],[Product_ID]],Product_details[[#All],[Product_ID]:[Cost]],4,0)</f>
        <v>Equipment</v>
      </c>
      <c r="K1590" s="2" t="s">
        <v>1765</v>
      </c>
      <c r="L1590" s="2" t="str">
        <f>_xlfn.XLOOKUP(Sales_Details2[[#This Row],[Store_ID]],Table2[Store_ID],Table2[Region],"Region not found")</f>
        <v>West</v>
      </c>
      <c r="M1590" s="25">
        <v>4</v>
      </c>
      <c r="N1590" s="36">
        <v>565.37</v>
      </c>
      <c r="O1590" s="29">
        <v>7.0000000000000007E-2</v>
      </c>
      <c r="P1590" s="2" t="s">
        <v>1809</v>
      </c>
      <c r="Q1590" s="36">
        <v>2103.1763999999998</v>
      </c>
    </row>
    <row r="1591" spans="1:17" x14ac:dyDescent="0.3">
      <c r="A1591" s="2" t="s">
        <v>3398</v>
      </c>
      <c r="B1591" s="14">
        <v>45235</v>
      </c>
      <c r="C1591" s="2">
        <f>YEAR(Sales_Details2[[#This Row],[Order_Date]])</f>
        <v>2023</v>
      </c>
      <c r="D1591" s="2" t="s">
        <v>136</v>
      </c>
      <c r="E1591" s="2" t="str">
        <f>VLOOKUP(Sales_Details2[[#This Row],[Customer_ID]],Customer_Details[#All],4,0)</f>
        <v>Adult</v>
      </c>
      <c r="F1591" s="2" t="str">
        <f>VLOOKUP(Sales_Details2[[#This Row],[Customer_ID]],Customer_Details[#All],5,0)</f>
        <v>Female</v>
      </c>
      <c r="G1591" s="2" t="str">
        <f>VLOOKUP(Sales_Details2[[#This Row],[Customer_ID]],Customer_Details[#All],9,0)</f>
        <v>Platinum</v>
      </c>
      <c r="H1591" s="2" t="s">
        <v>1603</v>
      </c>
      <c r="I1591" s="2" t="str">
        <f>VLOOKUP(Sales_Details2[[#This Row],[Product_ID]],Product_details[[#All],[Product_ID]:[Cost]],3,0)</f>
        <v>Clothing</v>
      </c>
      <c r="J1591" s="2" t="str">
        <f>VLOOKUP(Sales_Details2[[#This Row],[Product_ID]],Product_details[[#All],[Product_ID]:[Cost]],4,0)</f>
        <v>Tops</v>
      </c>
      <c r="K1591" s="2" t="s">
        <v>1752</v>
      </c>
      <c r="L1591" s="2" t="str">
        <f>_xlfn.XLOOKUP(Sales_Details2[[#This Row],[Store_ID]],Table2[Store_ID],Table2[Region],"Region not found")</f>
        <v>South</v>
      </c>
      <c r="M1591" s="25">
        <v>3</v>
      </c>
      <c r="N1591" s="36">
        <v>811.45</v>
      </c>
      <c r="O1591" s="29">
        <v>0.26</v>
      </c>
      <c r="P1591" s="2" t="s">
        <v>1807</v>
      </c>
      <c r="Q1591" s="36">
        <v>1801.4190000000001</v>
      </c>
    </row>
    <row r="1592" spans="1:17" x14ac:dyDescent="0.3">
      <c r="A1592" s="2" t="s">
        <v>3399</v>
      </c>
      <c r="B1592" s="14">
        <v>45749</v>
      </c>
      <c r="C1592" s="2">
        <f>YEAR(Sales_Details2[[#This Row],[Order_Date]])</f>
        <v>2025</v>
      </c>
      <c r="D1592" s="2" t="s">
        <v>1261</v>
      </c>
      <c r="E1592" s="2" t="str">
        <f>VLOOKUP(Sales_Details2[[#This Row],[Customer_ID]],Customer_Details[#All],4,0)</f>
        <v>Mid-Adult</v>
      </c>
      <c r="F1592" s="2" t="str">
        <f>VLOOKUP(Sales_Details2[[#This Row],[Customer_ID]],Customer_Details[#All],5,0)</f>
        <v>Female</v>
      </c>
      <c r="G1592" s="2" t="str">
        <f>VLOOKUP(Sales_Details2[[#This Row],[Customer_ID]],Customer_Details[#All],9,0)</f>
        <v>Bronze</v>
      </c>
      <c r="H1592" s="2" t="s">
        <v>1597</v>
      </c>
      <c r="I1592" s="2" t="str">
        <f>VLOOKUP(Sales_Details2[[#This Row],[Product_ID]],Product_details[[#All],[Product_ID]:[Cost]],3,0)</f>
        <v>Home</v>
      </c>
      <c r="J1592" s="2" t="str">
        <f>VLOOKUP(Sales_Details2[[#This Row],[Product_ID]],Product_details[[#All],[Product_ID]:[Cost]],4,0)</f>
        <v>Decor</v>
      </c>
      <c r="K1592" s="2" t="s">
        <v>1796</v>
      </c>
      <c r="L1592" s="2" t="str">
        <f>_xlfn.XLOOKUP(Sales_Details2[[#This Row],[Store_ID]],Table2[Store_ID],Table2[Region],"Region not found")</f>
        <v>East</v>
      </c>
      <c r="M1592" s="25">
        <v>4</v>
      </c>
      <c r="N1592" s="36">
        <v>62.25</v>
      </c>
      <c r="O1592" s="29">
        <v>0.11</v>
      </c>
      <c r="P1592" s="2" t="s">
        <v>1809</v>
      </c>
      <c r="Q1592" s="36">
        <v>221.61</v>
      </c>
    </row>
    <row r="1593" spans="1:17" x14ac:dyDescent="0.3">
      <c r="A1593" s="2" t="s">
        <v>3400</v>
      </c>
      <c r="B1593" s="14">
        <v>45807</v>
      </c>
      <c r="C1593" s="2">
        <f>YEAR(Sales_Details2[[#This Row],[Order_Date]])</f>
        <v>2025</v>
      </c>
      <c r="D1593" s="2" t="s">
        <v>107</v>
      </c>
      <c r="E1593" s="2" t="str">
        <f>VLOOKUP(Sales_Details2[[#This Row],[Customer_ID]],Customer_Details[#All],4,0)</f>
        <v>Senior</v>
      </c>
      <c r="F1593" s="2" t="str">
        <f>VLOOKUP(Sales_Details2[[#This Row],[Customer_ID]],Customer_Details[#All],5,0)</f>
        <v>Female</v>
      </c>
      <c r="G1593" s="2" t="str">
        <f>VLOOKUP(Sales_Details2[[#This Row],[Customer_ID]],Customer_Details[#All],9,0)</f>
        <v>Bronze</v>
      </c>
      <c r="H1593" s="2" t="s">
        <v>1721</v>
      </c>
      <c r="I1593" s="2" t="str">
        <f>VLOOKUP(Sales_Details2[[#This Row],[Product_ID]],Product_details[[#All],[Product_ID]:[Cost]],3,0)</f>
        <v>Sports</v>
      </c>
      <c r="J1593" s="2" t="str">
        <f>VLOOKUP(Sales_Details2[[#This Row],[Product_ID]],Product_details[[#All],[Product_ID]:[Cost]],4,0)</f>
        <v>Accessories</v>
      </c>
      <c r="K1593" s="2" t="s">
        <v>1772</v>
      </c>
      <c r="L1593" s="2" t="str">
        <f>_xlfn.XLOOKUP(Sales_Details2[[#This Row],[Store_ID]],Table2[Store_ID],Table2[Region],"Region not found")</f>
        <v>East</v>
      </c>
      <c r="M1593" s="25">
        <v>1</v>
      </c>
      <c r="N1593" s="36">
        <v>749.78</v>
      </c>
      <c r="O1593" s="29">
        <v>0.03</v>
      </c>
      <c r="P1593" s="2" t="s">
        <v>1807</v>
      </c>
      <c r="Q1593" s="36">
        <v>727.28659999999991</v>
      </c>
    </row>
    <row r="1594" spans="1:17" x14ac:dyDescent="0.3">
      <c r="A1594" s="2" t="s">
        <v>3401</v>
      </c>
      <c r="B1594" s="14">
        <v>45496</v>
      </c>
      <c r="C1594" s="2">
        <f>YEAR(Sales_Details2[[#This Row],[Order_Date]])</f>
        <v>2024</v>
      </c>
      <c r="D1594" s="2" t="s">
        <v>1086</v>
      </c>
      <c r="E1594" s="2" t="str">
        <f>VLOOKUP(Sales_Details2[[#This Row],[Customer_ID]],Customer_Details[#All],4,0)</f>
        <v>Adult</v>
      </c>
      <c r="F1594" s="2" t="str">
        <f>VLOOKUP(Sales_Details2[[#This Row],[Customer_ID]],Customer_Details[#All],5,0)</f>
        <v>Male</v>
      </c>
      <c r="G1594" s="2" t="str">
        <f>VLOOKUP(Sales_Details2[[#This Row],[Customer_ID]],Customer_Details[#All],9,0)</f>
        <v>Silver</v>
      </c>
      <c r="H1594" s="2" t="s">
        <v>1649</v>
      </c>
      <c r="I1594" s="2" t="str">
        <f>VLOOKUP(Sales_Details2[[#This Row],[Product_ID]],Product_details[[#All],[Product_ID]:[Cost]],3,0)</f>
        <v>Beauty</v>
      </c>
      <c r="J1594" s="2" t="str">
        <f>VLOOKUP(Sales_Details2[[#This Row],[Product_ID]],Product_details[[#All],[Product_ID]:[Cost]],4,0)</f>
        <v>Haircare</v>
      </c>
      <c r="K1594" s="2" t="s">
        <v>1756</v>
      </c>
      <c r="L1594" s="2" t="str">
        <f>_xlfn.XLOOKUP(Sales_Details2[[#This Row],[Store_ID]],Table2[Store_ID],Table2[Region],"Region not found")</f>
        <v>North</v>
      </c>
      <c r="M1594" s="25">
        <v>3</v>
      </c>
      <c r="N1594" s="36">
        <v>630.28</v>
      </c>
      <c r="O1594" s="29">
        <v>7.0000000000000007E-2</v>
      </c>
      <c r="P1594" s="2" t="s">
        <v>1812</v>
      </c>
      <c r="Q1594" s="36">
        <v>1758.4811999999999</v>
      </c>
    </row>
    <row r="1595" spans="1:17" x14ac:dyDescent="0.3">
      <c r="A1595" s="2" t="s">
        <v>3402</v>
      </c>
      <c r="B1595" s="14">
        <v>45355</v>
      </c>
      <c r="C1595" s="2">
        <f>YEAR(Sales_Details2[[#This Row],[Order_Date]])</f>
        <v>2024</v>
      </c>
      <c r="D1595" s="2" t="s">
        <v>479</v>
      </c>
      <c r="E1595" s="2" t="str">
        <f>VLOOKUP(Sales_Details2[[#This Row],[Customer_ID]],Customer_Details[#All],4,0)</f>
        <v>Mid-Adult</v>
      </c>
      <c r="F1595" s="2" t="str">
        <f>VLOOKUP(Sales_Details2[[#This Row],[Customer_ID]],Customer_Details[#All],5,0)</f>
        <v>Male</v>
      </c>
      <c r="G1595" s="2" t="str">
        <f>VLOOKUP(Sales_Details2[[#This Row],[Customer_ID]],Customer_Details[#All],9,0)</f>
        <v>Bronze</v>
      </c>
      <c r="H1595" s="2" t="s">
        <v>1591</v>
      </c>
      <c r="I1595" s="2" t="str">
        <f>VLOOKUP(Sales_Details2[[#This Row],[Product_ID]],Product_details[[#All],[Product_ID]:[Cost]],3,0)</f>
        <v>Home</v>
      </c>
      <c r="J1595" s="2" t="str">
        <f>VLOOKUP(Sales_Details2[[#This Row],[Product_ID]],Product_details[[#All],[Product_ID]:[Cost]],4,0)</f>
        <v>Kitchen</v>
      </c>
      <c r="K1595" s="2" t="s">
        <v>1787</v>
      </c>
      <c r="L1595" s="2" t="str">
        <f>_xlfn.XLOOKUP(Sales_Details2[[#This Row],[Store_ID]],Table2[Store_ID],Table2[Region],"Region not found")</f>
        <v>West</v>
      </c>
      <c r="M1595" s="25">
        <v>1</v>
      </c>
      <c r="N1595" s="36">
        <v>101.84</v>
      </c>
      <c r="O1595" s="29">
        <v>0.17</v>
      </c>
      <c r="P1595" s="2" t="s">
        <v>1807</v>
      </c>
      <c r="Q1595" s="36">
        <v>84.527199999999993</v>
      </c>
    </row>
    <row r="1596" spans="1:17" x14ac:dyDescent="0.3">
      <c r="A1596" s="2" t="s">
        <v>3403</v>
      </c>
      <c r="B1596" s="14">
        <v>45256</v>
      </c>
      <c r="C1596" s="2">
        <f>YEAR(Sales_Details2[[#This Row],[Order_Date]])</f>
        <v>2023</v>
      </c>
      <c r="D1596" s="2" t="s">
        <v>205</v>
      </c>
      <c r="E1596" s="2" t="str">
        <f>VLOOKUP(Sales_Details2[[#This Row],[Customer_ID]],Customer_Details[#All],4,0)</f>
        <v>Senior</v>
      </c>
      <c r="F1596" s="2" t="str">
        <f>VLOOKUP(Sales_Details2[[#This Row],[Customer_ID]],Customer_Details[#All],5,0)</f>
        <v>Female</v>
      </c>
      <c r="G1596" s="2" t="str">
        <f>VLOOKUP(Sales_Details2[[#This Row],[Customer_ID]],Customer_Details[#All],9,0)</f>
        <v>Bronze</v>
      </c>
      <c r="H1596" s="2" t="s">
        <v>1579</v>
      </c>
      <c r="I1596" s="2" t="str">
        <f>VLOOKUP(Sales_Details2[[#This Row],[Product_ID]],Product_details[[#All],[Product_ID]:[Cost]],3,0)</f>
        <v>Sports</v>
      </c>
      <c r="J1596" s="2" t="str">
        <f>VLOOKUP(Sales_Details2[[#This Row],[Product_ID]],Product_details[[#All],[Product_ID]:[Cost]],4,0)</f>
        <v>Outdoor</v>
      </c>
      <c r="K1596" s="2" t="s">
        <v>1793</v>
      </c>
      <c r="L1596" s="2" t="str">
        <f>_xlfn.XLOOKUP(Sales_Details2[[#This Row],[Store_ID]],Table2[Store_ID],Table2[Region],"Region not found")</f>
        <v>East</v>
      </c>
      <c r="M1596" s="25">
        <v>4</v>
      </c>
      <c r="N1596" s="36">
        <v>641.45000000000005</v>
      </c>
      <c r="O1596" s="29">
        <v>0.16</v>
      </c>
      <c r="P1596" s="2" t="s">
        <v>1812</v>
      </c>
      <c r="Q1596" s="36">
        <v>2155.2719999999999</v>
      </c>
    </row>
    <row r="1597" spans="1:17" x14ac:dyDescent="0.3">
      <c r="A1597" s="2" t="s">
        <v>3404</v>
      </c>
      <c r="B1597" s="14">
        <v>45849</v>
      </c>
      <c r="C1597" s="2">
        <f>YEAR(Sales_Details2[[#This Row],[Order_Date]])</f>
        <v>2025</v>
      </c>
      <c r="D1597" s="2" t="s">
        <v>1436</v>
      </c>
      <c r="E1597" s="2" t="str">
        <f>VLOOKUP(Sales_Details2[[#This Row],[Customer_ID]],Customer_Details[#All],4,0)</f>
        <v>Mid-Adult</v>
      </c>
      <c r="F1597" s="2" t="str">
        <f>VLOOKUP(Sales_Details2[[#This Row],[Customer_ID]],Customer_Details[#All],5,0)</f>
        <v>Male</v>
      </c>
      <c r="G1597" s="2" t="str">
        <f>VLOOKUP(Sales_Details2[[#This Row],[Customer_ID]],Customer_Details[#All],9,0)</f>
        <v>Platinum</v>
      </c>
      <c r="H1597" s="2" t="s">
        <v>1617</v>
      </c>
      <c r="I1597" s="2" t="str">
        <f>VLOOKUP(Sales_Details2[[#This Row],[Product_ID]],Product_details[[#All],[Product_ID]:[Cost]],3,0)</f>
        <v>Electronics</v>
      </c>
      <c r="J1597" s="2" t="str">
        <f>VLOOKUP(Sales_Details2[[#This Row],[Product_ID]],Product_details[[#All],[Product_ID]:[Cost]],4,0)</f>
        <v>Computer</v>
      </c>
      <c r="K1597" s="2" t="s">
        <v>1740</v>
      </c>
      <c r="L1597" s="2" t="str">
        <f>_xlfn.XLOOKUP(Sales_Details2[[#This Row],[Store_ID]],Table2[Store_ID],Table2[Region],"Region not found")</f>
        <v>North</v>
      </c>
      <c r="M1597" s="25">
        <v>1</v>
      </c>
      <c r="N1597" s="36">
        <v>135.87</v>
      </c>
      <c r="O1597" s="29">
        <v>0.23</v>
      </c>
      <c r="P1597" s="2" t="s">
        <v>1809</v>
      </c>
      <c r="Q1597" s="36">
        <v>104.6199</v>
      </c>
    </row>
    <row r="1598" spans="1:17" x14ac:dyDescent="0.3">
      <c r="A1598" s="2" t="s">
        <v>3405</v>
      </c>
      <c r="B1598" s="14">
        <v>45344</v>
      </c>
      <c r="C1598" s="2">
        <f>YEAR(Sales_Details2[[#This Row],[Order_Date]])</f>
        <v>2024</v>
      </c>
      <c r="D1598" s="2" t="s">
        <v>336</v>
      </c>
      <c r="E1598" s="2" t="str">
        <f>VLOOKUP(Sales_Details2[[#This Row],[Customer_ID]],Customer_Details[#All],4,0)</f>
        <v>Senior</v>
      </c>
      <c r="F1598" s="2" t="str">
        <f>VLOOKUP(Sales_Details2[[#This Row],[Customer_ID]],Customer_Details[#All],5,0)</f>
        <v>Female</v>
      </c>
      <c r="G1598" s="2" t="str">
        <f>VLOOKUP(Sales_Details2[[#This Row],[Customer_ID]],Customer_Details[#All],9,0)</f>
        <v>Platinum</v>
      </c>
      <c r="H1598" s="2" t="s">
        <v>1573</v>
      </c>
      <c r="I1598" s="2" t="str">
        <f>VLOOKUP(Sales_Details2[[#This Row],[Product_ID]],Product_details[[#All],[Product_ID]:[Cost]],3,0)</f>
        <v>Home</v>
      </c>
      <c r="J1598" s="2" t="str">
        <f>VLOOKUP(Sales_Details2[[#This Row],[Product_ID]],Product_details[[#All],[Product_ID]:[Cost]],4,0)</f>
        <v>Storage</v>
      </c>
      <c r="K1598" s="2" t="s">
        <v>1759</v>
      </c>
      <c r="L1598" s="2" t="str">
        <f>_xlfn.XLOOKUP(Sales_Details2[[#This Row],[Store_ID]],Table2[Store_ID],Table2[Region],"Region not found")</f>
        <v>East</v>
      </c>
      <c r="M1598" s="25">
        <v>1</v>
      </c>
      <c r="N1598" s="36">
        <v>388.35</v>
      </c>
      <c r="O1598" s="29">
        <v>0.01</v>
      </c>
      <c r="P1598" s="2" t="s">
        <v>1809</v>
      </c>
      <c r="Q1598" s="36">
        <v>384.4665</v>
      </c>
    </row>
    <row r="1599" spans="1:17" x14ac:dyDescent="0.3">
      <c r="A1599" s="2" t="s">
        <v>3406</v>
      </c>
      <c r="B1599" s="14">
        <v>45367</v>
      </c>
      <c r="C1599" s="2">
        <f>YEAR(Sales_Details2[[#This Row],[Order_Date]])</f>
        <v>2024</v>
      </c>
      <c r="D1599" s="2" t="s">
        <v>1478</v>
      </c>
      <c r="E1599" s="2" t="str">
        <f>VLOOKUP(Sales_Details2[[#This Row],[Customer_ID]],Customer_Details[#All],4,0)</f>
        <v>Adult</v>
      </c>
      <c r="F1599" s="2" t="str">
        <f>VLOOKUP(Sales_Details2[[#This Row],[Customer_ID]],Customer_Details[#All],5,0)</f>
        <v>Female</v>
      </c>
      <c r="G1599" s="2" t="str">
        <f>VLOOKUP(Sales_Details2[[#This Row],[Customer_ID]],Customer_Details[#All],9,0)</f>
        <v>Bronze</v>
      </c>
      <c r="H1599" s="2" t="s">
        <v>1607</v>
      </c>
      <c r="I1599" s="2" t="str">
        <f>VLOOKUP(Sales_Details2[[#This Row],[Product_ID]],Product_details[[#All],[Product_ID]:[Cost]],3,0)</f>
        <v>Sports</v>
      </c>
      <c r="J1599" s="2" t="str">
        <f>VLOOKUP(Sales_Details2[[#This Row],[Product_ID]],Product_details[[#All],[Product_ID]:[Cost]],4,0)</f>
        <v>Outdoor</v>
      </c>
      <c r="K1599" s="2" t="s">
        <v>1769</v>
      </c>
      <c r="L1599" s="2" t="str">
        <f>_xlfn.XLOOKUP(Sales_Details2[[#This Row],[Store_ID]],Table2[Store_ID],Table2[Region],"Region not found")</f>
        <v>South</v>
      </c>
      <c r="M1599" s="25">
        <v>2</v>
      </c>
      <c r="N1599" s="36">
        <v>999.08</v>
      </c>
      <c r="O1599" s="29">
        <v>0.3</v>
      </c>
      <c r="P1599" s="2" t="s">
        <v>1809</v>
      </c>
      <c r="Q1599" s="36">
        <v>1398.712</v>
      </c>
    </row>
    <row r="1600" spans="1:17" x14ac:dyDescent="0.3">
      <c r="A1600" s="2" t="s">
        <v>3407</v>
      </c>
      <c r="B1600" s="14">
        <v>45887</v>
      </c>
      <c r="C1600" s="2">
        <f>YEAR(Sales_Details2[[#This Row],[Order_Date]])</f>
        <v>2025</v>
      </c>
      <c r="D1600" s="2" t="s">
        <v>560</v>
      </c>
      <c r="E1600" s="2" t="str">
        <f>VLOOKUP(Sales_Details2[[#This Row],[Customer_ID]],Customer_Details[#All],4,0)</f>
        <v>Adult</v>
      </c>
      <c r="F1600" s="2" t="str">
        <f>VLOOKUP(Sales_Details2[[#This Row],[Customer_ID]],Customer_Details[#All],5,0)</f>
        <v>Male</v>
      </c>
      <c r="G1600" s="2" t="str">
        <f>VLOOKUP(Sales_Details2[[#This Row],[Customer_ID]],Customer_Details[#All],9,0)</f>
        <v>Gold</v>
      </c>
      <c r="H1600" s="2" t="s">
        <v>1607</v>
      </c>
      <c r="I1600" s="2" t="str">
        <f>VLOOKUP(Sales_Details2[[#This Row],[Product_ID]],Product_details[[#All],[Product_ID]:[Cost]],3,0)</f>
        <v>Sports</v>
      </c>
      <c r="J1600" s="2" t="str">
        <f>VLOOKUP(Sales_Details2[[#This Row],[Product_ID]],Product_details[[#All],[Product_ID]:[Cost]],4,0)</f>
        <v>Outdoor</v>
      </c>
      <c r="K1600" s="2" t="s">
        <v>1790</v>
      </c>
      <c r="L1600" s="2" t="str">
        <f>_xlfn.XLOOKUP(Sales_Details2[[#This Row],[Store_ID]],Table2[Store_ID],Table2[Region],"Region not found")</f>
        <v>North</v>
      </c>
      <c r="M1600" s="25">
        <v>3</v>
      </c>
      <c r="N1600" s="36">
        <v>453.19</v>
      </c>
      <c r="O1600" s="29">
        <v>0.08</v>
      </c>
      <c r="P1600" s="2" t="s">
        <v>1812</v>
      </c>
      <c r="Q1600" s="36">
        <v>1250.8044</v>
      </c>
    </row>
    <row r="1601" spans="1:17" x14ac:dyDescent="0.3">
      <c r="A1601" s="2" t="s">
        <v>3408</v>
      </c>
      <c r="B1601" s="14">
        <v>45567</v>
      </c>
      <c r="C1601" s="2">
        <f>YEAR(Sales_Details2[[#This Row],[Order_Date]])</f>
        <v>2024</v>
      </c>
      <c r="D1601" s="2" t="s">
        <v>749</v>
      </c>
      <c r="E1601" s="2" t="str">
        <f>VLOOKUP(Sales_Details2[[#This Row],[Customer_ID]],Customer_Details[#All],4,0)</f>
        <v>Adult</v>
      </c>
      <c r="F1601" s="2" t="str">
        <f>VLOOKUP(Sales_Details2[[#This Row],[Customer_ID]],Customer_Details[#All],5,0)</f>
        <v>Female</v>
      </c>
      <c r="G1601" s="2" t="str">
        <f>VLOOKUP(Sales_Details2[[#This Row],[Customer_ID]],Customer_Details[#All],9,0)</f>
        <v>Bronze</v>
      </c>
      <c r="H1601" s="2" t="s">
        <v>1691</v>
      </c>
      <c r="I1601" s="2" t="str">
        <f>VLOOKUP(Sales_Details2[[#This Row],[Product_ID]],Product_details[[#All],[Product_ID]:[Cost]],3,0)</f>
        <v>Home</v>
      </c>
      <c r="J1601" s="2" t="str">
        <f>VLOOKUP(Sales_Details2[[#This Row],[Product_ID]],Product_details[[#All],[Product_ID]:[Cost]],4,0)</f>
        <v>Kitchen</v>
      </c>
      <c r="K1601" s="2" t="s">
        <v>1772</v>
      </c>
      <c r="L1601" s="2" t="str">
        <f>_xlfn.XLOOKUP(Sales_Details2[[#This Row],[Store_ID]],Table2[Store_ID],Table2[Region],"Region not found")</f>
        <v>East</v>
      </c>
      <c r="M1601" s="25">
        <v>2</v>
      </c>
      <c r="N1601" s="36">
        <v>61.31</v>
      </c>
      <c r="O1601" s="29">
        <v>0.15</v>
      </c>
      <c r="P1601" s="2" t="s">
        <v>1812</v>
      </c>
      <c r="Q1601" s="36">
        <v>104.227</v>
      </c>
    </row>
    <row r="1602" spans="1:17" x14ac:dyDescent="0.3">
      <c r="A1602" s="2" t="s">
        <v>3409</v>
      </c>
      <c r="B1602" s="14">
        <v>45223</v>
      </c>
      <c r="C1602" s="2">
        <f>YEAR(Sales_Details2[[#This Row],[Order_Date]])</f>
        <v>2023</v>
      </c>
      <c r="D1602" s="2" t="s">
        <v>1063</v>
      </c>
      <c r="E1602" s="2" t="str">
        <f>VLOOKUP(Sales_Details2[[#This Row],[Customer_ID]],Customer_Details[#All],4,0)</f>
        <v>Adult</v>
      </c>
      <c r="F1602" s="2" t="str">
        <f>VLOOKUP(Sales_Details2[[#This Row],[Customer_ID]],Customer_Details[#All],5,0)</f>
        <v>Female</v>
      </c>
      <c r="G1602" s="2" t="str">
        <f>VLOOKUP(Sales_Details2[[#This Row],[Customer_ID]],Customer_Details[#All],9,0)</f>
        <v>Bronze</v>
      </c>
      <c r="H1602" s="2" t="s">
        <v>1693</v>
      </c>
      <c r="I1602" s="2" t="str">
        <f>VLOOKUP(Sales_Details2[[#This Row],[Product_ID]],Product_details[[#All],[Product_ID]:[Cost]],3,0)</f>
        <v>Sports</v>
      </c>
      <c r="J1602" s="2" t="str">
        <f>VLOOKUP(Sales_Details2[[#This Row],[Product_ID]],Product_details[[#All],[Product_ID]:[Cost]],4,0)</f>
        <v>Equipment</v>
      </c>
      <c r="K1602" s="2" t="s">
        <v>1772</v>
      </c>
      <c r="L1602" s="2" t="str">
        <f>_xlfn.XLOOKUP(Sales_Details2[[#This Row],[Store_ID]],Table2[Store_ID],Table2[Region],"Region not found")</f>
        <v>East</v>
      </c>
      <c r="M1602" s="25">
        <v>2</v>
      </c>
      <c r="N1602" s="36">
        <v>870.13</v>
      </c>
      <c r="O1602" s="29">
        <v>0.23</v>
      </c>
      <c r="P1602" s="2" t="s">
        <v>1807</v>
      </c>
      <c r="Q1602" s="36">
        <v>1340.0001999999999</v>
      </c>
    </row>
    <row r="1603" spans="1:17" x14ac:dyDescent="0.3">
      <c r="A1603" s="2" t="s">
        <v>3410</v>
      </c>
      <c r="B1603" s="14">
        <v>45664</v>
      </c>
      <c r="C1603" s="2">
        <f>YEAR(Sales_Details2[[#This Row],[Order_Date]])</f>
        <v>2025</v>
      </c>
      <c r="D1603" s="2" t="s">
        <v>244</v>
      </c>
      <c r="E1603" s="2" t="str">
        <f>VLOOKUP(Sales_Details2[[#This Row],[Customer_ID]],Customer_Details[#All],4,0)</f>
        <v>Senior</v>
      </c>
      <c r="F1603" s="2" t="str">
        <f>VLOOKUP(Sales_Details2[[#This Row],[Customer_ID]],Customer_Details[#All],5,0)</f>
        <v>Male</v>
      </c>
      <c r="G1603" s="2" t="str">
        <f>VLOOKUP(Sales_Details2[[#This Row],[Customer_ID]],Customer_Details[#All],9,0)</f>
        <v>Silver</v>
      </c>
      <c r="H1603" s="2" t="s">
        <v>1561</v>
      </c>
      <c r="I1603" s="2" t="str">
        <f>VLOOKUP(Sales_Details2[[#This Row],[Product_ID]],Product_details[[#All],[Product_ID]:[Cost]],3,0)</f>
        <v>Electronics</v>
      </c>
      <c r="J1603" s="2" t="str">
        <f>VLOOKUP(Sales_Details2[[#This Row],[Product_ID]],Product_details[[#All],[Product_ID]:[Cost]],4,0)</f>
        <v>Appliances</v>
      </c>
      <c r="K1603" s="2" t="s">
        <v>1796</v>
      </c>
      <c r="L1603" s="2" t="str">
        <f>_xlfn.XLOOKUP(Sales_Details2[[#This Row],[Store_ID]],Table2[Store_ID],Table2[Region],"Region not found")</f>
        <v>East</v>
      </c>
      <c r="M1603" s="25">
        <v>1</v>
      </c>
      <c r="N1603" s="36">
        <v>336.51</v>
      </c>
      <c r="O1603" s="29">
        <v>0.11</v>
      </c>
      <c r="P1603" s="2" t="s">
        <v>1809</v>
      </c>
      <c r="Q1603" s="36">
        <v>299.4939</v>
      </c>
    </row>
    <row r="1604" spans="1:17" x14ac:dyDescent="0.3">
      <c r="A1604" s="2" t="s">
        <v>3411</v>
      </c>
      <c r="B1604" s="14">
        <v>45313</v>
      </c>
      <c r="C1604" s="2">
        <f>YEAR(Sales_Details2[[#This Row],[Order_Date]])</f>
        <v>2024</v>
      </c>
      <c r="D1604" s="2" t="s">
        <v>592</v>
      </c>
      <c r="E1604" s="2" t="str">
        <f>VLOOKUP(Sales_Details2[[#This Row],[Customer_ID]],Customer_Details[#All],4,0)</f>
        <v>Senior</v>
      </c>
      <c r="F1604" s="2" t="str">
        <f>VLOOKUP(Sales_Details2[[#This Row],[Customer_ID]],Customer_Details[#All],5,0)</f>
        <v>Male</v>
      </c>
      <c r="G1604" s="2" t="str">
        <f>VLOOKUP(Sales_Details2[[#This Row],[Customer_ID]],Customer_Details[#All],9,0)</f>
        <v>Bronze</v>
      </c>
      <c r="H1604" s="2" t="s">
        <v>1665</v>
      </c>
      <c r="I1604" s="2" t="str">
        <f>VLOOKUP(Sales_Details2[[#This Row],[Product_ID]],Product_details[[#All],[Product_ID]:[Cost]],3,0)</f>
        <v>Electronics</v>
      </c>
      <c r="J1604" s="2" t="str">
        <f>VLOOKUP(Sales_Details2[[#This Row],[Product_ID]],Product_details[[#All],[Product_ID]:[Cost]],4,0)</f>
        <v>Accessories</v>
      </c>
      <c r="K1604" s="2" t="s">
        <v>1735</v>
      </c>
      <c r="L1604" s="2" t="str">
        <f>_xlfn.XLOOKUP(Sales_Details2[[#This Row],[Store_ID]],Table2[Store_ID],Table2[Region],"Region not found")</f>
        <v>East</v>
      </c>
      <c r="M1604" s="25">
        <v>1</v>
      </c>
      <c r="N1604" s="36">
        <v>305.70999999999998</v>
      </c>
      <c r="O1604" s="29">
        <v>0.26</v>
      </c>
      <c r="P1604" s="2" t="s">
        <v>1812</v>
      </c>
      <c r="Q1604" s="36">
        <v>226.22540000000001</v>
      </c>
    </row>
    <row r="1605" spans="1:17" x14ac:dyDescent="0.3">
      <c r="A1605" s="2" t="s">
        <v>3412</v>
      </c>
      <c r="B1605" s="14">
        <v>45224</v>
      </c>
      <c r="C1605" s="2">
        <f>YEAR(Sales_Details2[[#This Row],[Order_Date]])</f>
        <v>2023</v>
      </c>
      <c r="D1605" s="2" t="s">
        <v>414</v>
      </c>
      <c r="E1605" s="2" t="str">
        <f>VLOOKUP(Sales_Details2[[#This Row],[Customer_ID]],Customer_Details[#All],4,0)</f>
        <v>Senior</v>
      </c>
      <c r="F1605" s="2" t="str">
        <f>VLOOKUP(Sales_Details2[[#This Row],[Customer_ID]],Customer_Details[#All],5,0)</f>
        <v>Male</v>
      </c>
      <c r="G1605" s="2" t="str">
        <f>VLOOKUP(Sales_Details2[[#This Row],[Customer_ID]],Customer_Details[#All],9,0)</f>
        <v>Platinum</v>
      </c>
      <c r="H1605" s="2" t="s">
        <v>1551</v>
      </c>
      <c r="I1605" s="2" t="str">
        <f>VLOOKUP(Sales_Details2[[#This Row],[Product_ID]],Product_details[[#All],[Product_ID]:[Cost]],3,0)</f>
        <v>Home</v>
      </c>
      <c r="J1605" s="2" t="str">
        <f>VLOOKUP(Sales_Details2[[#This Row],[Product_ID]],Product_details[[#All],[Product_ID]:[Cost]],4,0)</f>
        <v>Kitchen</v>
      </c>
      <c r="K1605" s="2" t="s">
        <v>1793</v>
      </c>
      <c r="L1605" s="2" t="str">
        <f>_xlfn.XLOOKUP(Sales_Details2[[#This Row],[Store_ID]],Table2[Store_ID],Table2[Region],"Region not found")</f>
        <v>East</v>
      </c>
      <c r="M1605" s="25">
        <v>2</v>
      </c>
      <c r="N1605" s="36">
        <v>635.39</v>
      </c>
      <c r="O1605" s="29">
        <v>0.28999999999999998</v>
      </c>
      <c r="P1605" s="2" t="s">
        <v>1812</v>
      </c>
      <c r="Q1605" s="36">
        <v>902.25379999999996</v>
      </c>
    </row>
    <row r="1606" spans="1:17" x14ac:dyDescent="0.3">
      <c r="A1606" s="2" t="s">
        <v>3413</v>
      </c>
      <c r="B1606" s="14">
        <v>45491</v>
      </c>
      <c r="C1606" s="2">
        <f>YEAR(Sales_Details2[[#This Row],[Order_Date]])</f>
        <v>2024</v>
      </c>
      <c r="D1606" s="2" t="s">
        <v>400</v>
      </c>
      <c r="E1606" s="2" t="str">
        <f>VLOOKUP(Sales_Details2[[#This Row],[Customer_ID]],Customer_Details[#All],4,0)</f>
        <v>Adult</v>
      </c>
      <c r="F1606" s="2" t="str">
        <f>VLOOKUP(Sales_Details2[[#This Row],[Customer_ID]],Customer_Details[#All],5,0)</f>
        <v>Female</v>
      </c>
      <c r="G1606" s="2" t="str">
        <f>VLOOKUP(Sales_Details2[[#This Row],[Customer_ID]],Customer_Details[#All],9,0)</f>
        <v>Platinum</v>
      </c>
      <c r="H1606" s="2" t="s">
        <v>1715</v>
      </c>
      <c r="I1606" s="2" t="str">
        <f>VLOOKUP(Sales_Details2[[#This Row],[Product_ID]],Product_details[[#All],[Product_ID]:[Cost]],3,0)</f>
        <v>Home</v>
      </c>
      <c r="J1606" s="2" t="str">
        <f>VLOOKUP(Sales_Details2[[#This Row],[Product_ID]],Product_details[[#All],[Product_ID]:[Cost]],4,0)</f>
        <v>Appliances</v>
      </c>
      <c r="K1606" s="2" t="s">
        <v>1796</v>
      </c>
      <c r="L1606" s="2" t="str">
        <f>_xlfn.XLOOKUP(Sales_Details2[[#This Row],[Store_ID]],Table2[Store_ID],Table2[Region],"Region not found")</f>
        <v>East</v>
      </c>
      <c r="M1606" s="25">
        <v>2</v>
      </c>
      <c r="N1606" s="36">
        <v>253.87</v>
      </c>
      <c r="O1606" s="29">
        <v>0.23</v>
      </c>
      <c r="P1606" s="2" t="s">
        <v>1812</v>
      </c>
      <c r="Q1606" s="36">
        <v>390.95979999999997</v>
      </c>
    </row>
    <row r="1607" spans="1:17" x14ac:dyDescent="0.3">
      <c r="A1607" s="2" t="s">
        <v>3414</v>
      </c>
      <c r="B1607" s="14">
        <v>45472</v>
      </c>
      <c r="C1607" s="2">
        <f>YEAR(Sales_Details2[[#This Row],[Order_Date]])</f>
        <v>2024</v>
      </c>
      <c r="D1607" s="2" t="s">
        <v>1472</v>
      </c>
      <c r="E1607" s="2" t="str">
        <f>VLOOKUP(Sales_Details2[[#This Row],[Customer_ID]],Customer_Details[#All],4,0)</f>
        <v>Mid-Adult</v>
      </c>
      <c r="F1607" s="2" t="str">
        <f>VLOOKUP(Sales_Details2[[#This Row],[Customer_ID]],Customer_Details[#All],5,0)</f>
        <v>Male</v>
      </c>
      <c r="G1607" s="2" t="str">
        <f>VLOOKUP(Sales_Details2[[#This Row],[Customer_ID]],Customer_Details[#All],9,0)</f>
        <v>Bronze</v>
      </c>
      <c r="H1607" s="2" t="s">
        <v>1683</v>
      </c>
      <c r="I1607" s="2" t="str">
        <f>VLOOKUP(Sales_Details2[[#This Row],[Product_ID]],Product_details[[#All],[Product_ID]:[Cost]],3,0)</f>
        <v>Electronics</v>
      </c>
      <c r="J1607" s="2" t="str">
        <f>VLOOKUP(Sales_Details2[[#This Row],[Product_ID]],Product_details[[#All],[Product_ID]:[Cost]],4,0)</f>
        <v>Computer</v>
      </c>
      <c r="K1607" s="2" t="s">
        <v>1790</v>
      </c>
      <c r="L1607" s="2" t="str">
        <f>_xlfn.XLOOKUP(Sales_Details2[[#This Row],[Store_ID]],Table2[Store_ID],Table2[Region],"Region not found")</f>
        <v>North</v>
      </c>
      <c r="M1607" s="25">
        <v>3</v>
      </c>
      <c r="N1607" s="36">
        <v>915.81</v>
      </c>
      <c r="O1607" s="29">
        <v>0.17</v>
      </c>
      <c r="P1607" s="2" t="s">
        <v>1812</v>
      </c>
      <c r="Q1607" s="36">
        <v>2280.3669</v>
      </c>
    </row>
    <row r="1608" spans="1:17" x14ac:dyDescent="0.3">
      <c r="A1608" s="2" t="s">
        <v>3415</v>
      </c>
      <c r="B1608" s="14">
        <v>45795</v>
      </c>
      <c r="C1608" s="2">
        <f>YEAR(Sales_Details2[[#This Row],[Order_Date]])</f>
        <v>2025</v>
      </c>
      <c r="D1608" s="2" t="s">
        <v>675</v>
      </c>
      <c r="E1608" s="2" t="str">
        <f>VLOOKUP(Sales_Details2[[#This Row],[Customer_ID]],Customer_Details[#All],4,0)</f>
        <v>Mid-Adult</v>
      </c>
      <c r="F1608" s="2" t="str">
        <f>VLOOKUP(Sales_Details2[[#This Row],[Customer_ID]],Customer_Details[#All],5,0)</f>
        <v>Female</v>
      </c>
      <c r="G1608" s="2" t="str">
        <f>VLOOKUP(Sales_Details2[[#This Row],[Customer_ID]],Customer_Details[#All],9,0)</f>
        <v>Platinum</v>
      </c>
      <c r="H1608" s="2" t="s">
        <v>1615</v>
      </c>
      <c r="I1608" s="2" t="str">
        <f>VLOOKUP(Sales_Details2[[#This Row],[Product_ID]],Product_details[[#All],[Product_ID]:[Cost]],3,0)</f>
        <v>Electronics</v>
      </c>
      <c r="J1608" s="2" t="str">
        <f>VLOOKUP(Sales_Details2[[#This Row],[Product_ID]],Product_details[[#All],[Product_ID]:[Cost]],4,0)</f>
        <v>Accessories</v>
      </c>
      <c r="K1608" s="2" t="s">
        <v>1765</v>
      </c>
      <c r="L1608" s="2" t="str">
        <f>_xlfn.XLOOKUP(Sales_Details2[[#This Row],[Store_ID]],Table2[Store_ID],Table2[Region],"Region not found")</f>
        <v>West</v>
      </c>
      <c r="M1608" s="25">
        <v>3</v>
      </c>
      <c r="N1608" s="36">
        <v>779.5</v>
      </c>
      <c r="O1608" s="29">
        <v>0.02</v>
      </c>
      <c r="P1608" s="2" t="s">
        <v>1807</v>
      </c>
      <c r="Q1608" s="36">
        <v>2291.73</v>
      </c>
    </row>
    <row r="1609" spans="1:17" x14ac:dyDescent="0.3">
      <c r="A1609" s="2" t="s">
        <v>3416</v>
      </c>
      <c r="B1609" s="14">
        <v>45470</v>
      </c>
      <c r="C1609" s="2">
        <f>YEAR(Sales_Details2[[#This Row],[Order_Date]])</f>
        <v>2024</v>
      </c>
      <c r="D1609" s="2" t="s">
        <v>1430</v>
      </c>
      <c r="E1609" s="2" t="str">
        <f>VLOOKUP(Sales_Details2[[#This Row],[Customer_ID]],Customer_Details[#All],4,0)</f>
        <v>Adult</v>
      </c>
      <c r="F1609" s="2" t="str">
        <f>VLOOKUP(Sales_Details2[[#This Row],[Customer_ID]],Customer_Details[#All],5,0)</f>
        <v>Male</v>
      </c>
      <c r="G1609" s="2" t="str">
        <f>VLOOKUP(Sales_Details2[[#This Row],[Customer_ID]],Customer_Details[#All],9,0)</f>
        <v>Gold</v>
      </c>
      <c r="H1609" s="2" t="s">
        <v>1653</v>
      </c>
      <c r="I1609" s="2" t="str">
        <f>VLOOKUP(Sales_Details2[[#This Row],[Product_ID]],Product_details[[#All],[Product_ID]:[Cost]],3,0)</f>
        <v>Sports</v>
      </c>
      <c r="J1609" s="2" t="str">
        <f>VLOOKUP(Sales_Details2[[#This Row],[Product_ID]],Product_details[[#All],[Product_ID]:[Cost]],4,0)</f>
        <v>Equipment</v>
      </c>
      <c r="K1609" s="2" t="s">
        <v>1787</v>
      </c>
      <c r="L1609" s="2" t="str">
        <f>_xlfn.XLOOKUP(Sales_Details2[[#This Row],[Store_ID]],Table2[Store_ID],Table2[Region],"Region not found")</f>
        <v>West</v>
      </c>
      <c r="M1609" s="25">
        <v>2</v>
      </c>
      <c r="N1609" s="36">
        <v>780.57</v>
      </c>
      <c r="O1609" s="29">
        <v>0.26</v>
      </c>
      <c r="P1609" s="2" t="s">
        <v>1807</v>
      </c>
      <c r="Q1609" s="36">
        <v>1155.2436</v>
      </c>
    </row>
    <row r="1610" spans="1:17" x14ac:dyDescent="0.3">
      <c r="A1610" s="2" t="s">
        <v>3417</v>
      </c>
      <c r="B1610" s="14">
        <v>45390</v>
      </c>
      <c r="C1610" s="2">
        <f>YEAR(Sales_Details2[[#This Row],[Order_Date]])</f>
        <v>2024</v>
      </c>
      <c r="D1610" s="2" t="s">
        <v>1183</v>
      </c>
      <c r="E1610" s="2" t="str">
        <f>VLOOKUP(Sales_Details2[[#This Row],[Customer_ID]],Customer_Details[#All],4,0)</f>
        <v>Adult</v>
      </c>
      <c r="F1610" s="2" t="str">
        <f>VLOOKUP(Sales_Details2[[#This Row],[Customer_ID]],Customer_Details[#All],5,0)</f>
        <v>Female</v>
      </c>
      <c r="G1610" s="2" t="str">
        <f>VLOOKUP(Sales_Details2[[#This Row],[Customer_ID]],Customer_Details[#All],9,0)</f>
        <v>Silver</v>
      </c>
      <c r="H1610" s="2" t="s">
        <v>1721</v>
      </c>
      <c r="I1610" s="2" t="str">
        <f>VLOOKUP(Sales_Details2[[#This Row],[Product_ID]],Product_details[[#All],[Product_ID]:[Cost]],3,0)</f>
        <v>Sports</v>
      </c>
      <c r="J1610" s="2" t="str">
        <f>VLOOKUP(Sales_Details2[[#This Row],[Product_ID]],Product_details[[#All],[Product_ID]:[Cost]],4,0)</f>
        <v>Accessories</v>
      </c>
      <c r="K1610" s="2" t="s">
        <v>1796</v>
      </c>
      <c r="L1610" s="2" t="str">
        <f>_xlfn.XLOOKUP(Sales_Details2[[#This Row],[Store_ID]],Table2[Store_ID],Table2[Region],"Region not found")</f>
        <v>East</v>
      </c>
      <c r="M1610" s="25">
        <v>1</v>
      </c>
      <c r="N1610" s="36">
        <v>511.35</v>
      </c>
      <c r="O1610" s="29">
        <v>0</v>
      </c>
      <c r="P1610" s="2" t="s">
        <v>1807</v>
      </c>
      <c r="Q1610" s="36">
        <v>511.35</v>
      </c>
    </row>
    <row r="1611" spans="1:17" x14ac:dyDescent="0.3">
      <c r="A1611" s="2" t="s">
        <v>3418</v>
      </c>
      <c r="B1611" s="14">
        <v>45803</v>
      </c>
      <c r="C1611" s="2">
        <f>YEAR(Sales_Details2[[#This Row],[Order_Date]])</f>
        <v>2025</v>
      </c>
      <c r="D1611" s="2" t="s">
        <v>75</v>
      </c>
      <c r="E1611" s="2" t="str">
        <f>VLOOKUP(Sales_Details2[[#This Row],[Customer_ID]],Customer_Details[#All],4,0)</f>
        <v>Adult</v>
      </c>
      <c r="F1611" s="2" t="str">
        <f>VLOOKUP(Sales_Details2[[#This Row],[Customer_ID]],Customer_Details[#All],5,0)</f>
        <v>Female</v>
      </c>
      <c r="G1611" s="2" t="str">
        <f>VLOOKUP(Sales_Details2[[#This Row],[Customer_ID]],Customer_Details[#All],9,0)</f>
        <v>Bronze</v>
      </c>
      <c r="H1611" s="2" t="s">
        <v>1725</v>
      </c>
      <c r="I1611" s="2" t="str">
        <f>VLOOKUP(Sales_Details2[[#This Row],[Product_ID]],Product_details[[#All],[Product_ID]:[Cost]],3,0)</f>
        <v>Sports</v>
      </c>
      <c r="J1611" s="2" t="str">
        <f>VLOOKUP(Sales_Details2[[#This Row],[Product_ID]],Product_details[[#All],[Product_ID]:[Cost]],4,0)</f>
        <v>Team Sports</v>
      </c>
      <c r="K1611" s="2" t="s">
        <v>1749</v>
      </c>
      <c r="L1611" s="2" t="str">
        <f>_xlfn.XLOOKUP(Sales_Details2[[#This Row],[Store_ID]],Table2[Store_ID],Table2[Region],"Region not found")</f>
        <v>North</v>
      </c>
      <c r="M1611" s="25">
        <v>4</v>
      </c>
      <c r="N1611" s="36">
        <v>44.07</v>
      </c>
      <c r="O1611" s="29">
        <v>0.28999999999999998</v>
      </c>
      <c r="P1611" s="2" t="s">
        <v>1812</v>
      </c>
      <c r="Q1611" s="36">
        <v>125.1588</v>
      </c>
    </row>
    <row r="1612" spans="1:17" x14ac:dyDescent="0.3">
      <c r="A1612" s="2" t="s">
        <v>3419</v>
      </c>
      <c r="B1612" s="14">
        <v>45320</v>
      </c>
      <c r="C1612" s="2">
        <f>YEAR(Sales_Details2[[#This Row],[Order_Date]])</f>
        <v>2024</v>
      </c>
      <c r="D1612" s="2" t="s">
        <v>640</v>
      </c>
      <c r="E1612" s="2" t="str">
        <f>VLOOKUP(Sales_Details2[[#This Row],[Customer_ID]],Customer_Details[#All],4,0)</f>
        <v>Mid-Adult</v>
      </c>
      <c r="F1612" s="2" t="str">
        <f>VLOOKUP(Sales_Details2[[#This Row],[Customer_ID]],Customer_Details[#All],5,0)</f>
        <v>Female</v>
      </c>
      <c r="G1612" s="2" t="str">
        <f>VLOOKUP(Sales_Details2[[#This Row],[Customer_ID]],Customer_Details[#All],9,0)</f>
        <v>Platinum</v>
      </c>
      <c r="H1612" s="2" t="s">
        <v>1669</v>
      </c>
      <c r="I1612" s="2" t="str">
        <f>VLOOKUP(Sales_Details2[[#This Row],[Product_ID]],Product_details[[#All],[Product_ID]:[Cost]],3,0)</f>
        <v>Clothing</v>
      </c>
      <c r="J1612" s="2" t="str">
        <f>VLOOKUP(Sales_Details2[[#This Row],[Product_ID]],Product_details[[#All],[Product_ID]:[Cost]],4,0)</f>
        <v>Bottoms</v>
      </c>
      <c r="K1612" s="2" t="s">
        <v>1775</v>
      </c>
      <c r="L1612" s="2" t="str">
        <f>_xlfn.XLOOKUP(Sales_Details2[[#This Row],[Store_ID]],Table2[Store_ID],Table2[Region],"Region not found")</f>
        <v>South</v>
      </c>
      <c r="M1612" s="25">
        <v>2</v>
      </c>
      <c r="N1612" s="36">
        <v>895.92</v>
      </c>
      <c r="O1612" s="29">
        <v>0.15</v>
      </c>
      <c r="P1612" s="2" t="s">
        <v>1807</v>
      </c>
      <c r="Q1612" s="36">
        <v>1523.0640000000001</v>
      </c>
    </row>
    <row r="1613" spans="1:17" x14ac:dyDescent="0.3">
      <c r="A1613" s="2" t="s">
        <v>3420</v>
      </c>
      <c r="B1613" s="14">
        <v>45619</v>
      </c>
      <c r="C1613" s="2">
        <f>YEAR(Sales_Details2[[#This Row],[Order_Date]])</f>
        <v>2024</v>
      </c>
      <c r="D1613" s="2" t="s">
        <v>953</v>
      </c>
      <c r="E1613" s="2" t="str">
        <f>VLOOKUP(Sales_Details2[[#This Row],[Customer_ID]],Customer_Details[#All],4,0)</f>
        <v>Senior</v>
      </c>
      <c r="F1613" s="2" t="str">
        <f>VLOOKUP(Sales_Details2[[#This Row],[Customer_ID]],Customer_Details[#All],5,0)</f>
        <v>Male</v>
      </c>
      <c r="G1613" s="2" t="str">
        <f>VLOOKUP(Sales_Details2[[#This Row],[Customer_ID]],Customer_Details[#All],9,0)</f>
        <v>Platinum</v>
      </c>
      <c r="H1613" s="2" t="s">
        <v>1637</v>
      </c>
      <c r="I1613" s="2" t="str">
        <f>VLOOKUP(Sales_Details2[[#This Row],[Product_ID]],Product_details[[#All],[Product_ID]:[Cost]],3,0)</f>
        <v>Clothing</v>
      </c>
      <c r="J1613" s="2" t="str">
        <f>VLOOKUP(Sales_Details2[[#This Row],[Product_ID]],Product_details[[#All],[Product_ID]:[Cost]],4,0)</f>
        <v>Bottoms</v>
      </c>
      <c r="K1613" s="2" t="s">
        <v>1744</v>
      </c>
      <c r="L1613" s="2" t="str">
        <f>_xlfn.XLOOKUP(Sales_Details2[[#This Row],[Store_ID]],Table2[Store_ID],Table2[Region],"Region not found")</f>
        <v>South</v>
      </c>
      <c r="M1613" s="25">
        <v>4</v>
      </c>
      <c r="N1613" s="36">
        <v>456.32</v>
      </c>
      <c r="O1613" s="29">
        <v>0.22</v>
      </c>
      <c r="P1613" s="2" t="s">
        <v>1812</v>
      </c>
      <c r="Q1613" s="36">
        <v>1423.7184</v>
      </c>
    </row>
    <row r="1614" spans="1:17" x14ac:dyDescent="0.3">
      <c r="A1614" s="2" t="s">
        <v>3421</v>
      </c>
      <c r="B1614" s="14">
        <v>45777</v>
      </c>
      <c r="C1614" s="2">
        <f>YEAR(Sales_Details2[[#This Row],[Order_Date]])</f>
        <v>2025</v>
      </c>
      <c r="D1614" s="2" t="s">
        <v>1290</v>
      </c>
      <c r="E1614" s="2" t="str">
        <f>VLOOKUP(Sales_Details2[[#This Row],[Customer_ID]],Customer_Details[#All],4,0)</f>
        <v>Senior</v>
      </c>
      <c r="F1614" s="2" t="str">
        <f>VLOOKUP(Sales_Details2[[#This Row],[Customer_ID]],Customer_Details[#All],5,0)</f>
        <v>Male</v>
      </c>
      <c r="G1614" s="2" t="str">
        <f>VLOOKUP(Sales_Details2[[#This Row],[Customer_ID]],Customer_Details[#All],9,0)</f>
        <v>Bronze</v>
      </c>
      <c r="H1614" s="2" t="s">
        <v>1599</v>
      </c>
      <c r="I1614" s="2" t="str">
        <f>VLOOKUP(Sales_Details2[[#This Row],[Product_ID]],Product_details[[#All],[Product_ID]:[Cost]],3,0)</f>
        <v>Electronics</v>
      </c>
      <c r="J1614" s="2" t="str">
        <f>VLOOKUP(Sales_Details2[[#This Row],[Product_ID]],Product_details[[#All],[Product_ID]:[Cost]],4,0)</f>
        <v>Computer</v>
      </c>
      <c r="K1614" s="2" t="s">
        <v>1735</v>
      </c>
      <c r="L1614" s="2" t="str">
        <f>_xlfn.XLOOKUP(Sales_Details2[[#This Row],[Store_ID]],Table2[Store_ID],Table2[Region],"Region not found")</f>
        <v>East</v>
      </c>
      <c r="M1614" s="25">
        <v>1</v>
      </c>
      <c r="N1614" s="36">
        <v>905.5</v>
      </c>
      <c r="O1614" s="29">
        <v>0.28999999999999998</v>
      </c>
      <c r="P1614" s="2" t="s">
        <v>1812</v>
      </c>
      <c r="Q1614" s="36">
        <v>642.90499999999997</v>
      </c>
    </row>
    <row r="1615" spans="1:17" x14ac:dyDescent="0.3">
      <c r="A1615" s="2" t="s">
        <v>3422</v>
      </c>
      <c r="B1615" s="14">
        <v>45523</v>
      </c>
      <c r="C1615" s="2">
        <f>YEAR(Sales_Details2[[#This Row],[Order_Date]])</f>
        <v>2024</v>
      </c>
      <c r="D1615" s="2" t="s">
        <v>660</v>
      </c>
      <c r="E1615" s="2" t="str">
        <f>VLOOKUP(Sales_Details2[[#This Row],[Customer_ID]],Customer_Details[#All],4,0)</f>
        <v>Senior</v>
      </c>
      <c r="F1615" s="2" t="str">
        <f>VLOOKUP(Sales_Details2[[#This Row],[Customer_ID]],Customer_Details[#All],5,0)</f>
        <v>Male</v>
      </c>
      <c r="G1615" s="2" t="str">
        <f>VLOOKUP(Sales_Details2[[#This Row],[Customer_ID]],Customer_Details[#All],9,0)</f>
        <v>Platinum</v>
      </c>
      <c r="H1615" s="2" t="s">
        <v>1563</v>
      </c>
      <c r="I1615" s="2" t="str">
        <f>VLOOKUP(Sales_Details2[[#This Row],[Product_ID]],Product_details[[#All],[Product_ID]:[Cost]],3,0)</f>
        <v>Beauty</v>
      </c>
      <c r="J1615" s="2" t="str">
        <f>VLOOKUP(Sales_Details2[[#This Row],[Product_ID]],Product_details[[#All],[Product_ID]:[Cost]],4,0)</f>
        <v>Grooming</v>
      </c>
      <c r="K1615" s="2" t="s">
        <v>1780</v>
      </c>
      <c r="L1615" s="2" t="str">
        <f>_xlfn.XLOOKUP(Sales_Details2[[#This Row],[Store_ID]],Table2[Store_ID],Table2[Region],"Region not found")</f>
        <v>East</v>
      </c>
      <c r="M1615" s="25">
        <v>3</v>
      </c>
      <c r="N1615" s="36">
        <v>63.19</v>
      </c>
      <c r="O1615" s="29">
        <v>0.08</v>
      </c>
      <c r="P1615" s="2" t="s">
        <v>1807</v>
      </c>
      <c r="Q1615" s="36">
        <v>174.40440000000001</v>
      </c>
    </row>
    <row r="1616" spans="1:17" x14ac:dyDescent="0.3">
      <c r="A1616" s="2" t="s">
        <v>3423</v>
      </c>
      <c r="B1616" s="14">
        <v>45628</v>
      </c>
      <c r="C1616" s="2">
        <f>YEAR(Sales_Details2[[#This Row],[Order_Date]])</f>
        <v>2024</v>
      </c>
      <c r="D1616" s="2" t="s">
        <v>188</v>
      </c>
      <c r="E1616" s="2" t="str">
        <f>VLOOKUP(Sales_Details2[[#This Row],[Customer_ID]],Customer_Details[#All],4,0)</f>
        <v>Senior</v>
      </c>
      <c r="F1616" s="2" t="str">
        <f>VLOOKUP(Sales_Details2[[#This Row],[Customer_ID]],Customer_Details[#All],5,0)</f>
        <v>Female</v>
      </c>
      <c r="G1616" s="2" t="str">
        <f>VLOOKUP(Sales_Details2[[#This Row],[Customer_ID]],Customer_Details[#All],9,0)</f>
        <v>Gold</v>
      </c>
      <c r="H1616" s="2" t="s">
        <v>1671</v>
      </c>
      <c r="I1616" s="2" t="str">
        <f>VLOOKUP(Sales_Details2[[#This Row],[Product_ID]],Product_details[[#All],[Product_ID]:[Cost]],3,0)</f>
        <v>Home</v>
      </c>
      <c r="J1616" s="2" t="str">
        <f>VLOOKUP(Sales_Details2[[#This Row],[Product_ID]],Product_details[[#All],[Product_ID]:[Cost]],4,0)</f>
        <v>Storage</v>
      </c>
      <c r="K1616" s="2" t="s">
        <v>1762</v>
      </c>
      <c r="L1616" s="2" t="str">
        <f>_xlfn.XLOOKUP(Sales_Details2[[#This Row],[Store_ID]],Table2[Store_ID],Table2[Region],"Region not found")</f>
        <v>South</v>
      </c>
      <c r="M1616" s="25">
        <v>3</v>
      </c>
      <c r="N1616" s="36">
        <v>687.66</v>
      </c>
      <c r="O1616" s="29">
        <v>0.06</v>
      </c>
      <c r="P1616" s="2" t="s">
        <v>1809</v>
      </c>
      <c r="Q1616" s="36">
        <v>1939.2012</v>
      </c>
    </row>
    <row r="1617" spans="1:17" x14ac:dyDescent="0.3">
      <c r="A1617" s="2" t="s">
        <v>3424</v>
      </c>
      <c r="B1617" s="14">
        <v>45742</v>
      </c>
      <c r="C1617" s="2">
        <f>YEAR(Sales_Details2[[#This Row],[Order_Date]])</f>
        <v>2025</v>
      </c>
      <c r="D1617" s="2" t="s">
        <v>705</v>
      </c>
      <c r="E1617" s="2" t="str">
        <f>VLOOKUP(Sales_Details2[[#This Row],[Customer_ID]],Customer_Details[#All],4,0)</f>
        <v>Mid-Adult</v>
      </c>
      <c r="F1617" s="2" t="str">
        <f>VLOOKUP(Sales_Details2[[#This Row],[Customer_ID]],Customer_Details[#All],5,0)</f>
        <v>Female</v>
      </c>
      <c r="G1617" s="2" t="str">
        <f>VLOOKUP(Sales_Details2[[#This Row],[Customer_ID]],Customer_Details[#All],9,0)</f>
        <v>Gold</v>
      </c>
      <c r="H1617" s="2" t="s">
        <v>1617</v>
      </c>
      <c r="I1617" s="2" t="str">
        <f>VLOOKUP(Sales_Details2[[#This Row],[Product_ID]],Product_details[[#All],[Product_ID]:[Cost]],3,0)</f>
        <v>Electronics</v>
      </c>
      <c r="J1617" s="2" t="str">
        <f>VLOOKUP(Sales_Details2[[#This Row],[Product_ID]],Product_details[[#All],[Product_ID]:[Cost]],4,0)</f>
        <v>Computer</v>
      </c>
      <c r="K1617" s="2" t="s">
        <v>1769</v>
      </c>
      <c r="L1617" s="2" t="str">
        <f>_xlfn.XLOOKUP(Sales_Details2[[#This Row],[Store_ID]],Table2[Store_ID],Table2[Region],"Region not found")</f>
        <v>South</v>
      </c>
      <c r="M1617" s="25">
        <v>4</v>
      </c>
      <c r="N1617" s="36">
        <v>639.05999999999995</v>
      </c>
      <c r="O1617" s="29">
        <v>0.12</v>
      </c>
      <c r="P1617" s="2" t="s">
        <v>1809</v>
      </c>
      <c r="Q1617" s="36">
        <v>2249.4911999999999</v>
      </c>
    </row>
    <row r="1618" spans="1:17" x14ac:dyDescent="0.3">
      <c r="A1618" s="2" t="s">
        <v>3425</v>
      </c>
      <c r="B1618" s="14">
        <v>45456</v>
      </c>
      <c r="C1618" s="2">
        <f>YEAR(Sales_Details2[[#This Row],[Order_Date]])</f>
        <v>2024</v>
      </c>
      <c r="D1618" s="2" t="s">
        <v>244</v>
      </c>
      <c r="E1618" s="2" t="str">
        <f>VLOOKUP(Sales_Details2[[#This Row],[Customer_ID]],Customer_Details[#All],4,0)</f>
        <v>Senior</v>
      </c>
      <c r="F1618" s="2" t="str">
        <f>VLOOKUP(Sales_Details2[[#This Row],[Customer_ID]],Customer_Details[#All],5,0)</f>
        <v>Male</v>
      </c>
      <c r="G1618" s="2" t="str">
        <f>VLOOKUP(Sales_Details2[[#This Row],[Customer_ID]],Customer_Details[#All],9,0)</f>
        <v>Silver</v>
      </c>
      <c r="H1618" s="2" t="s">
        <v>1673</v>
      </c>
      <c r="I1618" s="2" t="str">
        <f>VLOOKUP(Sales_Details2[[#This Row],[Product_ID]],Product_details[[#All],[Product_ID]:[Cost]],3,0)</f>
        <v>Beauty</v>
      </c>
      <c r="J1618" s="2" t="str">
        <f>VLOOKUP(Sales_Details2[[#This Row],[Product_ID]],Product_details[[#All],[Product_ID]:[Cost]],4,0)</f>
        <v>Haircare</v>
      </c>
      <c r="K1618" s="2" t="s">
        <v>1762</v>
      </c>
      <c r="L1618" s="2" t="str">
        <f>_xlfn.XLOOKUP(Sales_Details2[[#This Row],[Store_ID]],Table2[Store_ID],Table2[Region],"Region not found")</f>
        <v>South</v>
      </c>
      <c r="M1618" s="25">
        <v>1</v>
      </c>
      <c r="N1618" s="36">
        <v>475.15</v>
      </c>
      <c r="O1618" s="29">
        <v>0.04</v>
      </c>
      <c r="P1618" s="2" t="s">
        <v>1812</v>
      </c>
      <c r="Q1618" s="36">
        <v>456.14399999999989</v>
      </c>
    </row>
    <row r="1619" spans="1:17" x14ac:dyDescent="0.3">
      <c r="A1619" s="2" t="s">
        <v>3426</v>
      </c>
      <c r="B1619" s="14">
        <v>45534</v>
      </c>
      <c r="C1619" s="2">
        <f>YEAR(Sales_Details2[[#This Row],[Order_Date]])</f>
        <v>2024</v>
      </c>
      <c r="D1619" s="2" t="s">
        <v>619</v>
      </c>
      <c r="E1619" s="2" t="str">
        <f>VLOOKUP(Sales_Details2[[#This Row],[Customer_ID]],Customer_Details[#All],4,0)</f>
        <v>Adult</v>
      </c>
      <c r="F1619" s="2" t="str">
        <f>VLOOKUP(Sales_Details2[[#This Row],[Customer_ID]],Customer_Details[#All],5,0)</f>
        <v>Male</v>
      </c>
      <c r="G1619" s="2" t="str">
        <f>VLOOKUP(Sales_Details2[[#This Row],[Customer_ID]],Customer_Details[#All],9,0)</f>
        <v>Bronze</v>
      </c>
      <c r="H1619" s="2" t="s">
        <v>1619</v>
      </c>
      <c r="I1619" s="2" t="str">
        <f>VLOOKUP(Sales_Details2[[#This Row],[Product_ID]],Product_details[[#All],[Product_ID]:[Cost]],3,0)</f>
        <v>Sports</v>
      </c>
      <c r="J1619" s="2" t="str">
        <f>VLOOKUP(Sales_Details2[[#This Row],[Product_ID]],Product_details[[#All],[Product_ID]:[Cost]],4,0)</f>
        <v>Fitness</v>
      </c>
      <c r="K1619" s="2" t="s">
        <v>1759</v>
      </c>
      <c r="L1619" s="2" t="str">
        <f>_xlfn.XLOOKUP(Sales_Details2[[#This Row],[Store_ID]],Table2[Store_ID],Table2[Region],"Region not found")</f>
        <v>East</v>
      </c>
      <c r="M1619" s="25">
        <v>1</v>
      </c>
      <c r="N1619" s="36">
        <v>62.38</v>
      </c>
      <c r="O1619" s="29">
        <v>0.08</v>
      </c>
      <c r="P1619" s="2" t="s">
        <v>1812</v>
      </c>
      <c r="Q1619" s="36">
        <v>57.389600000000002</v>
      </c>
    </row>
    <row r="1620" spans="1:17" x14ac:dyDescent="0.3">
      <c r="A1620" s="2" t="s">
        <v>3427</v>
      </c>
      <c r="B1620" s="14">
        <v>45375</v>
      </c>
      <c r="C1620" s="2">
        <f>YEAR(Sales_Details2[[#This Row],[Order_Date]])</f>
        <v>2024</v>
      </c>
      <c r="D1620" s="2" t="s">
        <v>1097</v>
      </c>
      <c r="E1620" s="2" t="str">
        <f>VLOOKUP(Sales_Details2[[#This Row],[Customer_ID]],Customer_Details[#All],4,0)</f>
        <v>Mid-Adult</v>
      </c>
      <c r="F1620" s="2" t="str">
        <f>VLOOKUP(Sales_Details2[[#This Row],[Customer_ID]],Customer_Details[#All],5,0)</f>
        <v>Male</v>
      </c>
      <c r="G1620" s="2" t="str">
        <f>VLOOKUP(Sales_Details2[[#This Row],[Customer_ID]],Customer_Details[#All],9,0)</f>
        <v>Silver</v>
      </c>
      <c r="H1620" s="2" t="s">
        <v>1561</v>
      </c>
      <c r="I1620" s="2" t="str">
        <f>VLOOKUP(Sales_Details2[[#This Row],[Product_ID]],Product_details[[#All],[Product_ID]:[Cost]],3,0)</f>
        <v>Electronics</v>
      </c>
      <c r="J1620" s="2" t="str">
        <f>VLOOKUP(Sales_Details2[[#This Row],[Product_ID]],Product_details[[#All],[Product_ID]:[Cost]],4,0)</f>
        <v>Appliances</v>
      </c>
      <c r="K1620" s="2" t="s">
        <v>1762</v>
      </c>
      <c r="L1620" s="2" t="str">
        <f>_xlfn.XLOOKUP(Sales_Details2[[#This Row],[Store_ID]],Table2[Store_ID],Table2[Region],"Region not found")</f>
        <v>South</v>
      </c>
      <c r="M1620" s="25">
        <v>1</v>
      </c>
      <c r="N1620" s="36">
        <v>977.02</v>
      </c>
      <c r="O1620" s="29">
        <v>0.2</v>
      </c>
      <c r="P1620" s="2" t="s">
        <v>1812</v>
      </c>
      <c r="Q1620" s="36">
        <v>781.61599999999999</v>
      </c>
    </row>
    <row r="1621" spans="1:17" x14ac:dyDescent="0.3">
      <c r="A1621" s="2" t="s">
        <v>3428</v>
      </c>
      <c r="B1621" s="14">
        <v>45546</v>
      </c>
      <c r="C1621" s="2">
        <f>YEAR(Sales_Details2[[#This Row],[Order_Date]])</f>
        <v>2024</v>
      </c>
      <c r="D1621" s="2" t="s">
        <v>268</v>
      </c>
      <c r="E1621" s="2" t="str">
        <f>VLOOKUP(Sales_Details2[[#This Row],[Customer_ID]],Customer_Details[#All],4,0)</f>
        <v>Senior</v>
      </c>
      <c r="F1621" s="2" t="str">
        <f>VLOOKUP(Sales_Details2[[#This Row],[Customer_ID]],Customer_Details[#All],5,0)</f>
        <v>Male</v>
      </c>
      <c r="G1621" s="2" t="str">
        <f>VLOOKUP(Sales_Details2[[#This Row],[Customer_ID]],Customer_Details[#All],9,0)</f>
        <v>Bronze</v>
      </c>
      <c r="H1621" s="2" t="s">
        <v>1697</v>
      </c>
      <c r="I1621" s="2" t="str">
        <f>VLOOKUP(Sales_Details2[[#This Row],[Product_ID]],Product_details[[#All],[Product_ID]:[Cost]],3,0)</f>
        <v>Beauty</v>
      </c>
      <c r="J1621" s="2" t="str">
        <f>VLOOKUP(Sales_Details2[[#This Row],[Product_ID]],Product_details[[#All],[Product_ID]:[Cost]],4,0)</f>
        <v>Skincare</v>
      </c>
      <c r="K1621" s="2" t="s">
        <v>1752</v>
      </c>
      <c r="L1621" s="2" t="str">
        <f>_xlfn.XLOOKUP(Sales_Details2[[#This Row],[Store_ID]],Table2[Store_ID],Table2[Region],"Region not found")</f>
        <v>South</v>
      </c>
      <c r="M1621" s="25">
        <v>2</v>
      </c>
      <c r="N1621" s="36">
        <v>898.81</v>
      </c>
      <c r="O1621" s="29">
        <v>0.25</v>
      </c>
      <c r="P1621" s="2" t="s">
        <v>1807</v>
      </c>
      <c r="Q1621" s="36">
        <v>1348.2149999999999</v>
      </c>
    </row>
    <row r="1622" spans="1:17" x14ac:dyDescent="0.3">
      <c r="A1622" s="2" t="s">
        <v>3429</v>
      </c>
      <c r="B1622" s="14">
        <v>45769</v>
      </c>
      <c r="C1622" s="2">
        <f>YEAR(Sales_Details2[[#This Row],[Order_Date]])</f>
        <v>2025</v>
      </c>
      <c r="D1622" s="2" t="s">
        <v>1089</v>
      </c>
      <c r="E1622" s="2" t="str">
        <f>VLOOKUP(Sales_Details2[[#This Row],[Customer_ID]],Customer_Details[#All],4,0)</f>
        <v>Adult</v>
      </c>
      <c r="F1622" s="2" t="str">
        <f>VLOOKUP(Sales_Details2[[#This Row],[Customer_ID]],Customer_Details[#All],5,0)</f>
        <v>Female</v>
      </c>
      <c r="G1622" s="2" t="str">
        <f>VLOOKUP(Sales_Details2[[#This Row],[Customer_ID]],Customer_Details[#All],9,0)</f>
        <v>Bronze</v>
      </c>
      <c r="H1622" s="2" t="s">
        <v>1645</v>
      </c>
      <c r="I1622" s="2" t="str">
        <f>VLOOKUP(Sales_Details2[[#This Row],[Product_ID]],Product_details[[#All],[Product_ID]:[Cost]],3,0)</f>
        <v>Sports</v>
      </c>
      <c r="J1622" s="2" t="str">
        <f>VLOOKUP(Sales_Details2[[#This Row],[Product_ID]],Product_details[[#All],[Product_ID]:[Cost]],4,0)</f>
        <v>Fitness</v>
      </c>
      <c r="K1622" s="2" t="s">
        <v>1749</v>
      </c>
      <c r="L1622" s="2" t="str">
        <f>_xlfn.XLOOKUP(Sales_Details2[[#This Row],[Store_ID]],Table2[Store_ID],Table2[Region],"Region not found")</f>
        <v>North</v>
      </c>
      <c r="M1622" s="25">
        <v>2</v>
      </c>
      <c r="N1622" s="36">
        <v>422.13</v>
      </c>
      <c r="O1622" s="29">
        <v>0.28000000000000003</v>
      </c>
      <c r="P1622" s="2" t="s">
        <v>1807</v>
      </c>
      <c r="Q1622" s="36">
        <v>607.86720000000003</v>
      </c>
    </row>
    <row r="1623" spans="1:17" x14ac:dyDescent="0.3">
      <c r="A1623" s="2" t="s">
        <v>3430</v>
      </c>
      <c r="B1623" s="14">
        <v>45524</v>
      </c>
      <c r="C1623" s="2">
        <f>YEAR(Sales_Details2[[#This Row],[Order_Date]])</f>
        <v>2024</v>
      </c>
      <c r="D1623" s="2" t="s">
        <v>188</v>
      </c>
      <c r="E1623" s="2" t="str">
        <f>VLOOKUP(Sales_Details2[[#This Row],[Customer_ID]],Customer_Details[#All],4,0)</f>
        <v>Senior</v>
      </c>
      <c r="F1623" s="2" t="str">
        <f>VLOOKUP(Sales_Details2[[#This Row],[Customer_ID]],Customer_Details[#All],5,0)</f>
        <v>Female</v>
      </c>
      <c r="G1623" s="2" t="str">
        <f>VLOOKUP(Sales_Details2[[#This Row],[Customer_ID]],Customer_Details[#All],9,0)</f>
        <v>Gold</v>
      </c>
      <c r="H1623" s="2" t="s">
        <v>1599</v>
      </c>
      <c r="I1623" s="2" t="str">
        <f>VLOOKUP(Sales_Details2[[#This Row],[Product_ID]],Product_details[[#All],[Product_ID]:[Cost]],3,0)</f>
        <v>Electronics</v>
      </c>
      <c r="J1623" s="2" t="str">
        <f>VLOOKUP(Sales_Details2[[#This Row],[Product_ID]],Product_details[[#All],[Product_ID]:[Cost]],4,0)</f>
        <v>Computer</v>
      </c>
      <c r="K1623" s="2" t="s">
        <v>1775</v>
      </c>
      <c r="L1623" s="2" t="str">
        <f>_xlfn.XLOOKUP(Sales_Details2[[#This Row],[Store_ID]],Table2[Store_ID],Table2[Region],"Region not found")</f>
        <v>South</v>
      </c>
      <c r="M1623" s="25">
        <v>1</v>
      </c>
      <c r="N1623" s="36">
        <v>324.56</v>
      </c>
      <c r="O1623" s="29">
        <v>0.03</v>
      </c>
      <c r="P1623" s="2" t="s">
        <v>1812</v>
      </c>
      <c r="Q1623" s="36">
        <v>314.82319999999999</v>
      </c>
    </row>
    <row r="1624" spans="1:17" x14ac:dyDescent="0.3">
      <c r="A1624" s="2" t="s">
        <v>3431</v>
      </c>
      <c r="B1624" s="14">
        <v>45531</v>
      </c>
      <c r="C1624" s="2">
        <f>YEAR(Sales_Details2[[#This Row],[Order_Date]])</f>
        <v>2024</v>
      </c>
      <c r="D1624" s="2" t="s">
        <v>1427</v>
      </c>
      <c r="E1624" s="2" t="str">
        <f>VLOOKUP(Sales_Details2[[#This Row],[Customer_ID]],Customer_Details[#All],4,0)</f>
        <v>Mid-Adult</v>
      </c>
      <c r="F1624" s="2" t="str">
        <f>VLOOKUP(Sales_Details2[[#This Row],[Customer_ID]],Customer_Details[#All],5,0)</f>
        <v>Male</v>
      </c>
      <c r="G1624" s="2" t="str">
        <f>VLOOKUP(Sales_Details2[[#This Row],[Customer_ID]],Customer_Details[#All],9,0)</f>
        <v>Bronze</v>
      </c>
      <c r="H1624" s="2" t="s">
        <v>1641</v>
      </c>
      <c r="I1624" s="2" t="str">
        <f>VLOOKUP(Sales_Details2[[#This Row],[Product_ID]],Product_details[[#All],[Product_ID]:[Cost]],3,0)</f>
        <v>Home</v>
      </c>
      <c r="J1624" s="2" t="str">
        <f>VLOOKUP(Sales_Details2[[#This Row],[Product_ID]],Product_details[[#All],[Product_ID]:[Cost]],4,0)</f>
        <v>Decor</v>
      </c>
      <c r="K1624" s="2" t="s">
        <v>1787</v>
      </c>
      <c r="L1624" s="2" t="str">
        <f>_xlfn.XLOOKUP(Sales_Details2[[#This Row],[Store_ID]],Table2[Store_ID],Table2[Region],"Region not found")</f>
        <v>West</v>
      </c>
      <c r="M1624" s="25">
        <v>4</v>
      </c>
      <c r="N1624" s="36">
        <v>570.38</v>
      </c>
      <c r="O1624" s="29">
        <v>0.26</v>
      </c>
      <c r="P1624" s="2" t="s">
        <v>1809</v>
      </c>
      <c r="Q1624" s="36">
        <v>1688.3248000000001</v>
      </c>
    </row>
    <row r="1625" spans="1:17" x14ac:dyDescent="0.3">
      <c r="A1625" s="2" t="s">
        <v>3432</v>
      </c>
      <c r="B1625" s="14">
        <v>45479</v>
      </c>
      <c r="C1625" s="2">
        <f>YEAR(Sales_Details2[[#This Row],[Order_Date]])</f>
        <v>2024</v>
      </c>
      <c r="D1625" s="2" t="s">
        <v>1216</v>
      </c>
      <c r="E1625" s="2" t="str">
        <f>VLOOKUP(Sales_Details2[[#This Row],[Customer_ID]],Customer_Details[#All],4,0)</f>
        <v>Mid-Adult</v>
      </c>
      <c r="F1625" s="2" t="str">
        <f>VLOOKUP(Sales_Details2[[#This Row],[Customer_ID]],Customer_Details[#All],5,0)</f>
        <v>Female</v>
      </c>
      <c r="G1625" s="2" t="str">
        <f>VLOOKUP(Sales_Details2[[#This Row],[Customer_ID]],Customer_Details[#All],9,0)</f>
        <v>Bronze</v>
      </c>
      <c r="H1625" s="2" t="s">
        <v>1599</v>
      </c>
      <c r="I1625" s="2" t="str">
        <f>VLOOKUP(Sales_Details2[[#This Row],[Product_ID]],Product_details[[#All],[Product_ID]:[Cost]],3,0)</f>
        <v>Electronics</v>
      </c>
      <c r="J1625" s="2" t="str">
        <f>VLOOKUP(Sales_Details2[[#This Row],[Product_ID]],Product_details[[#All],[Product_ID]:[Cost]],4,0)</f>
        <v>Computer</v>
      </c>
      <c r="K1625" s="2" t="s">
        <v>1784</v>
      </c>
      <c r="L1625" s="2" t="str">
        <f>_xlfn.XLOOKUP(Sales_Details2[[#This Row],[Store_ID]],Table2[Store_ID],Table2[Region],"Region not found")</f>
        <v>North</v>
      </c>
      <c r="M1625" s="25">
        <v>2</v>
      </c>
      <c r="N1625" s="36">
        <v>223.73</v>
      </c>
      <c r="O1625" s="29">
        <v>0.11</v>
      </c>
      <c r="P1625" s="2" t="s">
        <v>1809</v>
      </c>
      <c r="Q1625" s="36">
        <v>398.23939999999999</v>
      </c>
    </row>
    <row r="1626" spans="1:17" x14ac:dyDescent="0.3">
      <c r="A1626" s="2" t="s">
        <v>3433</v>
      </c>
      <c r="B1626" s="14">
        <v>45868</v>
      </c>
      <c r="C1626" s="2">
        <f>YEAR(Sales_Details2[[#This Row],[Order_Date]])</f>
        <v>2025</v>
      </c>
      <c r="D1626" s="2" t="s">
        <v>1089</v>
      </c>
      <c r="E1626" s="2" t="str">
        <f>VLOOKUP(Sales_Details2[[#This Row],[Customer_ID]],Customer_Details[#All],4,0)</f>
        <v>Adult</v>
      </c>
      <c r="F1626" s="2" t="str">
        <f>VLOOKUP(Sales_Details2[[#This Row],[Customer_ID]],Customer_Details[#All],5,0)</f>
        <v>Female</v>
      </c>
      <c r="G1626" s="2" t="str">
        <f>VLOOKUP(Sales_Details2[[#This Row],[Customer_ID]],Customer_Details[#All],9,0)</f>
        <v>Bronze</v>
      </c>
      <c r="H1626" s="2" t="s">
        <v>1703</v>
      </c>
      <c r="I1626" s="2" t="str">
        <f>VLOOKUP(Sales_Details2[[#This Row],[Product_ID]],Product_details[[#All],[Product_ID]:[Cost]],3,0)</f>
        <v>Home</v>
      </c>
      <c r="J1626" s="2" t="str">
        <f>VLOOKUP(Sales_Details2[[#This Row],[Product_ID]],Product_details[[#All],[Product_ID]:[Cost]],4,0)</f>
        <v>Kitchen</v>
      </c>
      <c r="K1626" s="2" t="s">
        <v>1787</v>
      </c>
      <c r="L1626" s="2" t="str">
        <f>_xlfn.XLOOKUP(Sales_Details2[[#This Row],[Store_ID]],Table2[Store_ID],Table2[Region],"Region not found")</f>
        <v>West</v>
      </c>
      <c r="M1626" s="25">
        <v>4</v>
      </c>
      <c r="N1626" s="36">
        <v>164.93</v>
      </c>
      <c r="O1626" s="29">
        <v>0.11</v>
      </c>
      <c r="P1626" s="2" t="s">
        <v>1807</v>
      </c>
      <c r="Q1626" s="36">
        <v>587.1508</v>
      </c>
    </row>
    <row r="1627" spans="1:17" x14ac:dyDescent="0.3">
      <c r="A1627" s="2" t="s">
        <v>3434</v>
      </c>
      <c r="B1627" s="14">
        <v>45569</v>
      </c>
      <c r="C1627" s="2">
        <f>YEAR(Sales_Details2[[#This Row],[Order_Date]])</f>
        <v>2024</v>
      </c>
      <c r="D1627" s="2" t="s">
        <v>791</v>
      </c>
      <c r="E1627" s="2" t="str">
        <f>VLOOKUP(Sales_Details2[[#This Row],[Customer_ID]],Customer_Details[#All],4,0)</f>
        <v>Mid-Adult</v>
      </c>
      <c r="F1627" s="2" t="str">
        <f>VLOOKUP(Sales_Details2[[#This Row],[Customer_ID]],Customer_Details[#All],5,0)</f>
        <v>Female</v>
      </c>
      <c r="G1627" s="2" t="str">
        <f>VLOOKUP(Sales_Details2[[#This Row],[Customer_ID]],Customer_Details[#All],9,0)</f>
        <v>Gold</v>
      </c>
      <c r="H1627" s="2" t="s">
        <v>1561</v>
      </c>
      <c r="I1627" s="2" t="str">
        <f>VLOOKUP(Sales_Details2[[#This Row],[Product_ID]],Product_details[[#All],[Product_ID]:[Cost]],3,0)</f>
        <v>Electronics</v>
      </c>
      <c r="J1627" s="2" t="str">
        <f>VLOOKUP(Sales_Details2[[#This Row],[Product_ID]],Product_details[[#All],[Product_ID]:[Cost]],4,0)</f>
        <v>Appliances</v>
      </c>
      <c r="K1627" s="2" t="s">
        <v>1762</v>
      </c>
      <c r="L1627" s="2" t="str">
        <f>_xlfn.XLOOKUP(Sales_Details2[[#This Row],[Store_ID]],Table2[Store_ID],Table2[Region],"Region not found")</f>
        <v>South</v>
      </c>
      <c r="M1627" s="25">
        <v>3</v>
      </c>
      <c r="N1627" s="36">
        <v>326.66000000000003</v>
      </c>
      <c r="O1627" s="29">
        <v>0.28000000000000003</v>
      </c>
      <c r="P1627" s="2" t="s">
        <v>1812</v>
      </c>
      <c r="Q1627" s="36">
        <v>705.5856</v>
      </c>
    </row>
    <row r="1628" spans="1:17" x14ac:dyDescent="0.3">
      <c r="A1628" s="2" t="s">
        <v>3435</v>
      </c>
      <c r="B1628" s="14">
        <v>45382</v>
      </c>
      <c r="C1628" s="2">
        <f>YEAR(Sales_Details2[[#This Row],[Order_Date]])</f>
        <v>2024</v>
      </c>
      <c r="D1628" s="2" t="s">
        <v>595</v>
      </c>
      <c r="E1628" s="2" t="str">
        <f>VLOOKUP(Sales_Details2[[#This Row],[Customer_ID]],Customer_Details[#All],4,0)</f>
        <v>Adult</v>
      </c>
      <c r="F1628" s="2" t="str">
        <f>VLOOKUP(Sales_Details2[[#This Row],[Customer_ID]],Customer_Details[#All],5,0)</f>
        <v>Female</v>
      </c>
      <c r="G1628" s="2" t="str">
        <f>VLOOKUP(Sales_Details2[[#This Row],[Customer_ID]],Customer_Details[#All],9,0)</f>
        <v>Silver</v>
      </c>
      <c r="H1628" s="2" t="s">
        <v>1529</v>
      </c>
      <c r="I1628" s="2" t="str">
        <f>VLOOKUP(Sales_Details2[[#This Row],[Product_ID]],Product_details[[#All],[Product_ID]:[Cost]],3,0)</f>
        <v>Clothing</v>
      </c>
      <c r="J1628" s="2" t="str">
        <f>VLOOKUP(Sales_Details2[[#This Row],[Product_ID]],Product_details[[#All],[Product_ID]:[Cost]],4,0)</f>
        <v>Tops</v>
      </c>
      <c r="K1628" s="2" t="s">
        <v>1784</v>
      </c>
      <c r="L1628" s="2" t="str">
        <f>_xlfn.XLOOKUP(Sales_Details2[[#This Row],[Store_ID]],Table2[Store_ID],Table2[Region],"Region not found")</f>
        <v>North</v>
      </c>
      <c r="M1628" s="25">
        <v>2</v>
      </c>
      <c r="N1628" s="36">
        <v>462.93</v>
      </c>
      <c r="O1628" s="29">
        <v>0.17</v>
      </c>
      <c r="P1628" s="2" t="s">
        <v>1809</v>
      </c>
      <c r="Q1628" s="36">
        <v>768.46379999999999</v>
      </c>
    </row>
    <row r="1629" spans="1:17" x14ac:dyDescent="0.3">
      <c r="A1629" s="2" t="s">
        <v>3436</v>
      </c>
      <c r="B1629" s="14">
        <v>45885</v>
      </c>
      <c r="C1629" s="2">
        <f>YEAR(Sales_Details2[[#This Row],[Order_Date]])</f>
        <v>2025</v>
      </c>
      <c r="D1629" s="2" t="s">
        <v>491</v>
      </c>
      <c r="E1629" s="2" t="str">
        <f>VLOOKUP(Sales_Details2[[#This Row],[Customer_ID]],Customer_Details[#All],4,0)</f>
        <v>Mid-Adult</v>
      </c>
      <c r="F1629" s="2" t="str">
        <f>VLOOKUP(Sales_Details2[[#This Row],[Customer_ID]],Customer_Details[#All],5,0)</f>
        <v>Female</v>
      </c>
      <c r="G1629" s="2" t="str">
        <f>VLOOKUP(Sales_Details2[[#This Row],[Customer_ID]],Customer_Details[#All],9,0)</f>
        <v>Platinum</v>
      </c>
      <c r="H1629" s="2" t="s">
        <v>1526</v>
      </c>
      <c r="I1629" s="2" t="str">
        <f>VLOOKUP(Sales_Details2[[#This Row],[Product_ID]],Product_details[[#All],[Product_ID]:[Cost]],3,0)</f>
        <v>Electronics</v>
      </c>
      <c r="J1629" s="2" t="str">
        <f>VLOOKUP(Sales_Details2[[#This Row],[Product_ID]],Product_details[[#All],[Product_ID]:[Cost]],4,0)</f>
        <v>Computer</v>
      </c>
      <c r="K1629" s="2" t="s">
        <v>1787</v>
      </c>
      <c r="L1629" s="2" t="str">
        <f>_xlfn.XLOOKUP(Sales_Details2[[#This Row],[Store_ID]],Table2[Store_ID],Table2[Region],"Region not found")</f>
        <v>West</v>
      </c>
      <c r="M1629" s="25">
        <v>3</v>
      </c>
      <c r="N1629" s="36">
        <v>60.26</v>
      </c>
      <c r="O1629" s="29">
        <v>0.04</v>
      </c>
      <c r="P1629" s="2" t="s">
        <v>1807</v>
      </c>
      <c r="Q1629" s="36">
        <v>173.5488</v>
      </c>
    </row>
    <row r="1630" spans="1:17" x14ac:dyDescent="0.3">
      <c r="A1630" s="2" t="s">
        <v>3437</v>
      </c>
      <c r="B1630" s="14">
        <v>45829</v>
      </c>
      <c r="C1630" s="2">
        <f>YEAR(Sales_Details2[[#This Row],[Order_Date]])</f>
        <v>2025</v>
      </c>
      <c r="D1630" s="2" t="s">
        <v>258</v>
      </c>
      <c r="E1630" s="2" t="str">
        <f>VLOOKUP(Sales_Details2[[#This Row],[Customer_ID]],Customer_Details[#All],4,0)</f>
        <v>Senior</v>
      </c>
      <c r="F1630" s="2" t="str">
        <f>VLOOKUP(Sales_Details2[[#This Row],[Customer_ID]],Customer_Details[#All],5,0)</f>
        <v>Female</v>
      </c>
      <c r="G1630" s="2" t="str">
        <f>VLOOKUP(Sales_Details2[[#This Row],[Customer_ID]],Customer_Details[#All],9,0)</f>
        <v>Gold</v>
      </c>
      <c r="H1630" s="2" t="s">
        <v>1599</v>
      </c>
      <c r="I1630" s="2" t="str">
        <f>VLOOKUP(Sales_Details2[[#This Row],[Product_ID]],Product_details[[#All],[Product_ID]:[Cost]],3,0)</f>
        <v>Electronics</v>
      </c>
      <c r="J1630" s="2" t="str">
        <f>VLOOKUP(Sales_Details2[[#This Row],[Product_ID]],Product_details[[#All],[Product_ID]:[Cost]],4,0)</f>
        <v>Computer</v>
      </c>
      <c r="K1630" s="2" t="s">
        <v>1769</v>
      </c>
      <c r="L1630" s="2" t="str">
        <f>_xlfn.XLOOKUP(Sales_Details2[[#This Row],[Store_ID]],Table2[Store_ID],Table2[Region],"Region not found")</f>
        <v>South</v>
      </c>
      <c r="M1630" s="25">
        <v>3</v>
      </c>
      <c r="N1630" s="36">
        <v>109.5</v>
      </c>
      <c r="O1630" s="29">
        <v>0.06</v>
      </c>
      <c r="P1630" s="2" t="s">
        <v>1812</v>
      </c>
      <c r="Q1630" s="36">
        <v>308.79000000000002</v>
      </c>
    </row>
    <row r="1631" spans="1:17" x14ac:dyDescent="0.3">
      <c r="A1631" s="2" t="s">
        <v>3438</v>
      </c>
      <c r="B1631" s="14">
        <v>45721</v>
      </c>
      <c r="C1631" s="2">
        <f>YEAR(Sales_Details2[[#This Row],[Order_Date]])</f>
        <v>2025</v>
      </c>
      <c r="D1631" s="2" t="s">
        <v>1180</v>
      </c>
      <c r="E1631" s="2" t="str">
        <f>VLOOKUP(Sales_Details2[[#This Row],[Customer_ID]],Customer_Details[#All],4,0)</f>
        <v>Adult</v>
      </c>
      <c r="F1631" s="2" t="str">
        <f>VLOOKUP(Sales_Details2[[#This Row],[Customer_ID]],Customer_Details[#All],5,0)</f>
        <v>Female</v>
      </c>
      <c r="G1631" s="2" t="str">
        <f>VLOOKUP(Sales_Details2[[#This Row],[Customer_ID]],Customer_Details[#All],9,0)</f>
        <v>Gold</v>
      </c>
      <c r="H1631" s="2" t="s">
        <v>1671</v>
      </c>
      <c r="I1631" s="2" t="str">
        <f>VLOOKUP(Sales_Details2[[#This Row],[Product_ID]],Product_details[[#All],[Product_ID]:[Cost]],3,0)</f>
        <v>Home</v>
      </c>
      <c r="J1631" s="2" t="str">
        <f>VLOOKUP(Sales_Details2[[#This Row],[Product_ID]],Product_details[[#All],[Product_ID]:[Cost]],4,0)</f>
        <v>Storage</v>
      </c>
      <c r="K1631" s="2" t="s">
        <v>1787</v>
      </c>
      <c r="L1631" s="2" t="str">
        <f>_xlfn.XLOOKUP(Sales_Details2[[#This Row],[Store_ID]],Table2[Store_ID],Table2[Region],"Region not found")</f>
        <v>West</v>
      </c>
      <c r="M1631" s="25">
        <v>1</v>
      </c>
      <c r="N1631" s="36">
        <v>505.83</v>
      </c>
      <c r="O1631" s="29">
        <v>0.14000000000000001</v>
      </c>
      <c r="P1631" s="2" t="s">
        <v>1812</v>
      </c>
      <c r="Q1631" s="36">
        <v>435.0138</v>
      </c>
    </row>
    <row r="1632" spans="1:17" x14ac:dyDescent="0.3">
      <c r="A1632" s="2" t="s">
        <v>3439</v>
      </c>
      <c r="B1632" s="14">
        <v>45511</v>
      </c>
      <c r="C1632" s="2">
        <f>YEAR(Sales_Details2[[#This Row],[Order_Date]])</f>
        <v>2024</v>
      </c>
      <c r="D1632" s="2" t="s">
        <v>539</v>
      </c>
      <c r="E1632" s="2" t="str">
        <f>VLOOKUP(Sales_Details2[[#This Row],[Customer_ID]],Customer_Details[#All],4,0)</f>
        <v>Adult</v>
      </c>
      <c r="F1632" s="2" t="str">
        <f>VLOOKUP(Sales_Details2[[#This Row],[Customer_ID]],Customer_Details[#All],5,0)</f>
        <v>Male</v>
      </c>
      <c r="G1632" s="2" t="str">
        <f>VLOOKUP(Sales_Details2[[#This Row],[Customer_ID]],Customer_Details[#All],9,0)</f>
        <v>Bronze</v>
      </c>
      <c r="H1632" s="2" t="s">
        <v>1727</v>
      </c>
      <c r="I1632" s="2" t="str">
        <f>VLOOKUP(Sales_Details2[[#This Row],[Product_ID]],Product_details[[#All],[Product_ID]:[Cost]],3,0)</f>
        <v>Electronics</v>
      </c>
      <c r="J1632" s="2" t="str">
        <f>VLOOKUP(Sales_Details2[[#This Row],[Product_ID]],Product_details[[#All],[Product_ID]:[Cost]],4,0)</f>
        <v>Audio</v>
      </c>
      <c r="K1632" s="2" t="s">
        <v>1772</v>
      </c>
      <c r="L1632" s="2" t="str">
        <f>_xlfn.XLOOKUP(Sales_Details2[[#This Row],[Store_ID]],Table2[Store_ID],Table2[Region],"Region not found")</f>
        <v>East</v>
      </c>
      <c r="M1632" s="25">
        <v>2</v>
      </c>
      <c r="N1632" s="36">
        <v>443.15</v>
      </c>
      <c r="O1632" s="29">
        <v>0.27</v>
      </c>
      <c r="P1632" s="2" t="s">
        <v>1809</v>
      </c>
      <c r="Q1632" s="36">
        <v>646.99899999999991</v>
      </c>
    </row>
    <row r="1633" spans="1:17" x14ac:dyDescent="0.3">
      <c r="A1633" s="2" t="s">
        <v>3440</v>
      </c>
      <c r="B1633" s="14">
        <v>45739</v>
      </c>
      <c r="C1633" s="2">
        <f>YEAR(Sales_Details2[[#This Row],[Order_Date]])</f>
        <v>2025</v>
      </c>
      <c r="D1633" s="2" t="s">
        <v>1510</v>
      </c>
      <c r="E1633" s="2" t="str">
        <f>VLOOKUP(Sales_Details2[[#This Row],[Customer_ID]],Customer_Details[#All],4,0)</f>
        <v>Mid-Adult</v>
      </c>
      <c r="F1633" s="2" t="str">
        <f>VLOOKUP(Sales_Details2[[#This Row],[Customer_ID]],Customer_Details[#All],5,0)</f>
        <v>Female</v>
      </c>
      <c r="G1633" s="2" t="str">
        <f>VLOOKUP(Sales_Details2[[#This Row],[Customer_ID]],Customer_Details[#All],9,0)</f>
        <v>Gold</v>
      </c>
      <c r="H1633" s="2" t="s">
        <v>1543</v>
      </c>
      <c r="I1633" s="2" t="str">
        <f>VLOOKUP(Sales_Details2[[#This Row],[Product_ID]],Product_details[[#All],[Product_ID]:[Cost]],3,0)</f>
        <v>Home</v>
      </c>
      <c r="J1633" s="2" t="str">
        <f>VLOOKUP(Sales_Details2[[#This Row],[Product_ID]],Product_details[[#All],[Product_ID]:[Cost]],4,0)</f>
        <v>Lighting</v>
      </c>
      <c r="K1633" s="2" t="s">
        <v>1762</v>
      </c>
      <c r="L1633" s="2" t="str">
        <f>_xlfn.XLOOKUP(Sales_Details2[[#This Row],[Store_ID]],Table2[Store_ID],Table2[Region],"Region not found")</f>
        <v>South</v>
      </c>
      <c r="M1633" s="25">
        <v>2</v>
      </c>
      <c r="N1633" s="36">
        <v>784.26</v>
      </c>
      <c r="O1633" s="29">
        <v>0.23</v>
      </c>
      <c r="P1633" s="2" t="s">
        <v>1809</v>
      </c>
      <c r="Q1633" s="36">
        <v>1207.7603999999999</v>
      </c>
    </row>
    <row r="1634" spans="1:17" x14ac:dyDescent="0.3">
      <c r="A1634" s="2" t="s">
        <v>3441</v>
      </c>
      <c r="B1634" s="14">
        <v>45533</v>
      </c>
      <c r="C1634" s="2">
        <f>YEAR(Sales_Details2[[#This Row],[Order_Date]])</f>
        <v>2024</v>
      </c>
      <c r="D1634" s="2" t="s">
        <v>1389</v>
      </c>
      <c r="E1634" s="2" t="str">
        <f>VLOOKUP(Sales_Details2[[#This Row],[Customer_ID]],Customer_Details[#All],4,0)</f>
        <v>Senior</v>
      </c>
      <c r="F1634" s="2" t="str">
        <f>VLOOKUP(Sales_Details2[[#This Row],[Customer_ID]],Customer_Details[#All],5,0)</f>
        <v>Male</v>
      </c>
      <c r="G1634" s="2" t="str">
        <f>VLOOKUP(Sales_Details2[[#This Row],[Customer_ID]],Customer_Details[#All],9,0)</f>
        <v>Gold</v>
      </c>
      <c r="H1634" s="2" t="s">
        <v>1609</v>
      </c>
      <c r="I1634" s="2" t="str">
        <f>VLOOKUP(Sales_Details2[[#This Row],[Product_ID]],Product_details[[#All],[Product_ID]:[Cost]],3,0)</f>
        <v>Electronics</v>
      </c>
      <c r="J1634" s="2" t="str">
        <f>VLOOKUP(Sales_Details2[[#This Row],[Product_ID]],Product_details[[#All],[Product_ID]:[Cost]],4,0)</f>
        <v>Mobile</v>
      </c>
      <c r="K1634" s="2" t="s">
        <v>1775</v>
      </c>
      <c r="L1634" s="2" t="str">
        <f>_xlfn.XLOOKUP(Sales_Details2[[#This Row],[Store_ID]],Table2[Store_ID],Table2[Region],"Region not found")</f>
        <v>South</v>
      </c>
      <c r="M1634" s="25">
        <v>3</v>
      </c>
      <c r="N1634" s="36">
        <v>590.30999999999995</v>
      </c>
      <c r="O1634" s="29">
        <v>0.17</v>
      </c>
      <c r="P1634" s="2" t="s">
        <v>1809</v>
      </c>
      <c r="Q1634" s="36">
        <v>1469.8719000000001</v>
      </c>
    </row>
    <row r="1635" spans="1:17" x14ac:dyDescent="0.3">
      <c r="A1635" s="2" t="s">
        <v>3442</v>
      </c>
      <c r="B1635" s="14">
        <v>45553</v>
      </c>
      <c r="C1635" s="2">
        <f>YEAR(Sales_Details2[[#This Row],[Order_Date]])</f>
        <v>2024</v>
      </c>
      <c r="D1635" s="2" t="s">
        <v>412</v>
      </c>
      <c r="E1635" s="2" t="str">
        <f>VLOOKUP(Sales_Details2[[#This Row],[Customer_ID]],Customer_Details[#All],4,0)</f>
        <v>Mid-Adult</v>
      </c>
      <c r="F1635" s="2" t="str">
        <f>VLOOKUP(Sales_Details2[[#This Row],[Customer_ID]],Customer_Details[#All],5,0)</f>
        <v>Female</v>
      </c>
      <c r="G1635" s="2" t="str">
        <f>VLOOKUP(Sales_Details2[[#This Row],[Customer_ID]],Customer_Details[#All],9,0)</f>
        <v>Platinum</v>
      </c>
      <c r="H1635" s="2" t="s">
        <v>1669</v>
      </c>
      <c r="I1635" s="2" t="str">
        <f>VLOOKUP(Sales_Details2[[#This Row],[Product_ID]],Product_details[[#All],[Product_ID]:[Cost]],3,0)</f>
        <v>Clothing</v>
      </c>
      <c r="J1635" s="2" t="str">
        <f>VLOOKUP(Sales_Details2[[#This Row],[Product_ID]],Product_details[[#All],[Product_ID]:[Cost]],4,0)</f>
        <v>Bottoms</v>
      </c>
      <c r="K1635" s="2" t="s">
        <v>1787</v>
      </c>
      <c r="L1635" s="2" t="str">
        <f>_xlfn.XLOOKUP(Sales_Details2[[#This Row],[Store_ID]],Table2[Store_ID],Table2[Region],"Region not found")</f>
        <v>West</v>
      </c>
      <c r="M1635" s="25">
        <v>1</v>
      </c>
      <c r="N1635" s="36">
        <v>696.13</v>
      </c>
      <c r="O1635" s="29">
        <v>0.06</v>
      </c>
      <c r="P1635" s="2" t="s">
        <v>1812</v>
      </c>
      <c r="Q1635" s="36">
        <v>654.36219999999992</v>
      </c>
    </row>
    <row r="1636" spans="1:17" x14ac:dyDescent="0.3">
      <c r="A1636" s="2" t="s">
        <v>3443</v>
      </c>
      <c r="B1636" s="14">
        <v>45341</v>
      </c>
      <c r="C1636" s="2">
        <f>YEAR(Sales_Details2[[#This Row],[Order_Date]])</f>
        <v>2024</v>
      </c>
      <c r="D1636" s="2" t="s">
        <v>364</v>
      </c>
      <c r="E1636" s="2" t="str">
        <f>VLOOKUP(Sales_Details2[[#This Row],[Customer_ID]],Customer_Details[#All],4,0)</f>
        <v>Senior</v>
      </c>
      <c r="F1636" s="2" t="str">
        <f>VLOOKUP(Sales_Details2[[#This Row],[Customer_ID]],Customer_Details[#All],5,0)</f>
        <v>Male</v>
      </c>
      <c r="G1636" s="2" t="str">
        <f>VLOOKUP(Sales_Details2[[#This Row],[Customer_ID]],Customer_Details[#All],9,0)</f>
        <v>Silver</v>
      </c>
      <c r="H1636" s="2" t="s">
        <v>1633</v>
      </c>
      <c r="I1636" s="2" t="str">
        <f>VLOOKUP(Sales_Details2[[#This Row],[Product_ID]],Product_details[[#All],[Product_ID]:[Cost]],3,0)</f>
        <v>Electronics</v>
      </c>
      <c r="J1636" s="2" t="str">
        <f>VLOOKUP(Sales_Details2[[#This Row],[Product_ID]],Product_details[[#All],[Product_ID]:[Cost]],4,0)</f>
        <v>Accessories</v>
      </c>
      <c r="K1636" s="2" t="s">
        <v>1759</v>
      </c>
      <c r="L1636" s="2" t="str">
        <f>_xlfn.XLOOKUP(Sales_Details2[[#This Row],[Store_ID]],Table2[Store_ID],Table2[Region],"Region not found")</f>
        <v>East</v>
      </c>
      <c r="M1636" s="25">
        <v>4</v>
      </c>
      <c r="N1636" s="36">
        <v>194.39</v>
      </c>
      <c r="O1636" s="29">
        <v>0.25</v>
      </c>
      <c r="P1636" s="2" t="s">
        <v>1807</v>
      </c>
      <c r="Q1636" s="36">
        <v>583.16999999999996</v>
      </c>
    </row>
    <row r="1637" spans="1:17" x14ac:dyDescent="0.3">
      <c r="A1637" s="2" t="s">
        <v>3444</v>
      </c>
      <c r="B1637" s="14">
        <v>45430</v>
      </c>
      <c r="C1637" s="2">
        <f>YEAR(Sales_Details2[[#This Row],[Order_Date]])</f>
        <v>2024</v>
      </c>
      <c r="D1637" s="2" t="s">
        <v>1027</v>
      </c>
      <c r="E1637" s="2" t="str">
        <f>VLOOKUP(Sales_Details2[[#This Row],[Customer_ID]],Customer_Details[#All],4,0)</f>
        <v>Senior</v>
      </c>
      <c r="F1637" s="2" t="str">
        <f>VLOOKUP(Sales_Details2[[#This Row],[Customer_ID]],Customer_Details[#All],5,0)</f>
        <v>Male</v>
      </c>
      <c r="G1637" s="2" t="str">
        <f>VLOOKUP(Sales_Details2[[#This Row],[Customer_ID]],Customer_Details[#All],9,0)</f>
        <v>Platinum</v>
      </c>
      <c r="H1637" s="2" t="s">
        <v>1597</v>
      </c>
      <c r="I1637" s="2" t="str">
        <f>VLOOKUP(Sales_Details2[[#This Row],[Product_ID]],Product_details[[#All],[Product_ID]:[Cost]],3,0)</f>
        <v>Home</v>
      </c>
      <c r="J1637" s="2" t="str">
        <f>VLOOKUP(Sales_Details2[[#This Row],[Product_ID]],Product_details[[#All],[Product_ID]:[Cost]],4,0)</f>
        <v>Decor</v>
      </c>
      <c r="K1637" s="2" t="s">
        <v>1740</v>
      </c>
      <c r="L1637" s="2" t="str">
        <f>_xlfn.XLOOKUP(Sales_Details2[[#This Row],[Store_ID]],Table2[Store_ID],Table2[Region],"Region not found")</f>
        <v>North</v>
      </c>
      <c r="M1637" s="25">
        <v>1</v>
      </c>
      <c r="N1637" s="36">
        <v>339.7</v>
      </c>
      <c r="O1637" s="29">
        <v>0.1</v>
      </c>
      <c r="P1637" s="2" t="s">
        <v>1807</v>
      </c>
      <c r="Q1637" s="36">
        <v>305.73</v>
      </c>
    </row>
    <row r="1638" spans="1:17" x14ac:dyDescent="0.3">
      <c r="A1638" s="2" t="s">
        <v>3445</v>
      </c>
      <c r="B1638" s="14">
        <v>45912</v>
      </c>
      <c r="C1638" s="2">
        <f>YEAR(Sales_Details2[[#This Row],[Order_Date]])</f>
        <v>2025</v>
      </c>
      <c r="D1638" s="2" t="s">
        <v>182</v>
      </c>
      <c r="E1638" s="2" t="str">
        <f>VLOOKUP(Sales_Details2[[#This Row],[Customer_ID]],Customer_Details[#All],4,0)</f>
        <v>Senior</v>
      </c>
      <c r="F1638" s="2" t="str">
        <f>VLOOKUP(Sales_Details2[[#This Row],[Customer_ID]],Customer_Details[#All],5,0)</f>
        <v>Male</v>
      </c>
      <c r="G1638" s="2" t="str">
        <f>VLOOKUP(Sales_Details2[[#This Row],[Customer_ID]],Customer_Details[#All],9,0)</f>
        <v>Platinum</v>
      </c>
      <c r="H1638" s="2" t="s">
        <v>1667</v>
      </c>
      <c r="I1638" s="2" t="str">
        <f>VLOOKUP(Sales_Details2[[#This Row],[Product_ID]],Product_details[[#All],[Product_ID]:[Cost]],3,0)</f>
        <v>Home</v>
      </c>
      <c r="J1638" s="2" t="str">
        <f>VLOOKUP(Sales_Details2[[#This Row],[Product_ID]],Product_details[[#All],[Product_ID]:[Cost]],4,0)</f>
        <v>Furniture</v>
      </c>
      <c r="K1638" s="2" t="s">
        <v>1780</v>
      </c>
      <c r="L1638" s="2" t="str">
        <f>_xlfn.XLOOKUP(Sales_Details2[[#This Row],[Store_ID]],Table2[Store_ID],Table2[Region],"Region not found")</f>
        <v>East</v>
      </c>
      <c r="M1638" s="25">
        <v>4</v>
      </c>
      <c r="N1638" s="36">
        <v>463.16</v>
      </c>
      <c r="O1638" s="29">
        <v>0.27</v>
      </c>
      <c r="P1638" s="2" t="s">
        <v>1809</v>
      </c>
      <c r="Q1638" s="36">
        <v>1352.4272000000001</v>
      </c>
    </row>
    <row r="1639" spans="1:17" x14ac:dyDescent="0.3">
      <c r="A1639" s="2" t="s">
        <v>3446</v>
      </c>
      <c r="B1639" s="14">
        <v>45709</v>
      </c>
      <c r="C1639" s="2">
        <f>YEAR(Sales_Details2[[#This Row],[Order_Date]])</f>
        <v>2025</v>
      </c>
      <c r="D1639" s="2" t="s">
        <v>373</v>
      </c>
      <c r="E1639" s="2" t="str">
        <f>VLOOKUP(Sales_Details2[[#This Row],[Customer_ID]],Customer_Details[#All],4,0)</f>
        <v>Senior</v>
      </c>
      <c r="F1639" s="2" t="str">
        <f>VLOOKUP(Sales_Details2[[#This Row],[Customer_ID]],Customer_Details[#All],5,0)</f>
        <v>Female</v>
      </c>
      <c r="G1639" s="2" t="str">
        <f>VLOOKUP(Sales_Details2[[#This Row],[Customer_ID]],Customer_Details[#All],9,0)</f>
        <v>Platinum</v>
      </c>
      <c r="H1639" s="2" t="s">
        <v>1538</v>
      </c>
      <c r="I1639" s="2" t="str">
        <f>VLOOKUP(Sales_Details2[[#This Row],[Product_ID]],Product_details[[#All],[Product_ID]:[Cost]],3,0)</f>
        <v>Clothing</v>
      </c>
      <c r="J1639" s="2" t="str">
        <f>VLOOKUP(Sales_Details2[[#This Row],[Product_ID]],Product_details[[#All],[Product_ID]:[Cost]],4,0)</f>
        <v>Accessories</v>
      </c>
      <c r="K1639" s="2" t="s">
        <v>1772</v>
      </c>
      <c r="L1639" s="2" t="str">
        <f>_xlfn.XLOOKUP(Sales_Details2[[#This Row],[Store_ID]],Table2[Store_ID],Table2[Region],"Region not found")</f>
        <v>East</v>
      </c>
      <c r="M1639" s="25">
        <v>2</v>
      </c>
      <c r="N1639" s="36">
        <v>824.91</v>
      </c>
      <c r="O1639" s="29">
        <v>0.09</v>
      </c>
      <c r="P1639" s="2" t="s">
        <v>1807</v>
      </c>
      <c r="Q1639" s="36">
        <v>1501.3362</v>
      </c>
    </row>
    <row r="1640" spans="1:17" x14ac:dyDescent="0.3">
      <c r="A1640" s="2" t="s">
        <v>3447</v>
      </c>
      <c r="B1640" s="14">
        <v>45520</v>
      </c>
      <c r="C1640" s="2">
        <f>YEAR(Sales_Details2[[#This Row],[Order_Date]])</f>
        <v>2024</v>
      </c>
      <c r="D1640" s="2" t="s">
        <v>255</v>
      </c>
      <c r="E1640" s="2" t="str">
        <f>VLOOKUP(Sales_Details2[[#This Row],[Customer_ID]],Customer_Details[#All],4,0)</f>
        <v>Adult</v>
      </c>
      <c r="F1640" s="2" t="str">
        <f>VLOOKUP(Sales_Details2[[#This Row],[Customer_ID]],Customer_Details[#All],5,0)</f>
        <v>Female</v>
      </c>
      <c r="G1640" s="2" t="str">
        <f>VLOOKUP(Sales_Details2[[#This Row],[Customer_ID]],Customer_Details[#All],9,0)</f>
        <v>Gold</v>
      </c>
      <c r="H1640" s="2" t="s">
        <v>1538</v>
      </c>
      <c r="I1640" s="2" t="str">
        <f>VLOOKUP(Sales_Details2[[#This Row],[Product_ID]],Product_details[[#All],[Product_ID]:[Cost]],3,0)</f>
        <v>Clothing</v>
      </c>
      <c r="J1640" s="2" t="str">
        <f>VLOOKUP(Sales_Details2[[#This Row],[Product_ID]],Product_details[[#All],[Product_ID]:[Cost]],4,0)</f>
        <v>Accessories</v>
      </c>
      <c r="K1640" s="2" t="s">
        <v>1744</v>
      </c>
      <c r="L1640" s="2" t="str">
        <f>_xlfn.XLOOKUP(Sales_Details2[[#This Row],[Store_ID]],Table2[Store_ID],Table2[Region],"Region not found")</f>
        <v>South</v>
      </c>
      <c r="M1640" s="25">
        <v>4</v>
      </c>
      <c r="N1640" s="36">
        <v>796.89</v>
      </c>
      <c r="O1640" s="29">
        <v>0.17</v>
      </c>
      <c r="P1640" s="2" t="s">
        <v>1807</v>
      </c>
      <c r="Q1640" s="36">
        <v>2645.6747999999998</v>
      </c>
    </row>
    <row r="1641" spans="1:17" x14ac:dyDescent="0.3">
      <c r="A1641" s="2" t="s">
        <v>3448</v>
      </c>
      <c r="B1641" s="14">
        <v>45478</v>
      </c>
      <c r="C1641" s="2">
        <f>YEAR(Sales_Details2[[#This Row],[Order_Date]])</f>
        <v>2024</v>
      </c>
      <c r="D1641" s="2" t="s">
        <v>764</v>
      </c>
      <c r="E1641" s="2" t="str">
        <f>VLOOKUP(Sales_Details2[[#This Row],[Customer_ID]],Customer_Details[#All],4,0)</f>
        <v>Senior</v>
      </c>
      <c r="F1641" s="2" t="str">
        <f>VLOOKUP(Sales_Details2[[#This Row],[Customer_ID]],Customer_Details[#All],5,0)</f>
        <v>Female</v>
      </c>
      <c r="G1641" s="2" t="str">
        <f>VLOOKUP(Sales_Details2[[#This Row],[Customer_ID]],Customer_Details[#All],9,0)</f>
        <v>Platinum</v>
      </c>
      <c r="H1641" s="2" t="s">
        <v>1583</v>
      </c>
      <c r="I1641" s="2" t="str">
        <f>VLOOKUP(Sales_Details2[[#This Row],[Product_ID]],Product_details[[#All],[Product_ID]:[Cost]],3,0)</f>
        <v>Electronics</v>
      </c>
      <c r="J1641" s="2" t="str">
        <f>VLOOKUP(Sales_Details2[[#This Row],[Product_ID]],Product_details[[#All],[Product_ID]:[Cost]],4,0)</f>
        <v>Audio</v>
      </c>
      <c r="K1641" s="2" t="s">
        <v>1790</v>
      </c>
      <c r="L1641" s="2" t="str">
        <f>_xlfn.XLOOKUP(Sales_Details2[[#This Row],[Store_ID]],Table2[Store_ID],Table2[Region],"Region not found")</f>
        <v>North</v>
      </c>
      <c r="M1641" s="25">
        <v>3</v>
      </c>
      <c r="N1641" s="36">
        <v>543.92999999999995</v>
      </c>
      <c r="O1641" s="29">
        <v>0.3</v>
      </c>
      <c r="P1641" s="2" t="s">
        <v>1812</v>
      </c>
      <c r="Q1641" s="36">
        <v>1142.2529999999999</v>
      </c>
    </row>
    <row r="1642" spans="1:17" x14ac:dyDescent="0.3">
      <c r="A1642" s="2" t="s">
        <v>3449</v>
      </c>
      <c r="B1642" s="14">
        <v>45496</v>
      </c>
      <c r="C1642" s="2">
        <f>YEAR(Sales_Details2[[#This Row],[Order_Date]])</f>
        <v>2024</v>
      </c>
      <c r="D1642" s="2" t="s">
        <v>568</v>
      </c>
      <c r="E1642" s="2" t="str">
        <f>VLOOKUP(Sales_Details2[[#This Row],[Customer_ID]],Customer_Details[#All],4,0)</f>
        <v>Mid-Adult</v>
      </c>
      <c r="F1642" s="2" t="str">
        <f>VLOOKUP(Sales_Details2[[#This Row],[Customer_ID]],Customer_Details[#All],5,0)</f>
        <v>Female</v>
      </c>
      <c r="G1642" s="2" t="str">
        <f>VLOOKUP(Sales_Details2[[#This Row],[Customer_ID]],Customer_Details[#All],9,0)</f>
        <v>Platinum</v>
      </c>
      <c r="H1642" s="2" t="s">
        <v>1559</v>
      </c>
      <c r="I1642" s="2" t="str">
        <f>VLOOKUP(Sales_Details2[[#This Row],[Product_ID]],Product_details[[#All],[Product_ID]:[Cost]],3,0)</f>
        <v>Home</v>
      </c>
      <c r="J1642" s="2" t="str">
        <f>VLOOKUP(Sales_Details2[[#This Row],[Product_ID]],Product_details[[#All],[Product_ID]:[Cost]],4,0)</f>
        <v>Decor</v>
      </c>
      <c r="K1642" s="2" t="s">
        <v>1762</v>
      </c>
      <c r="L1642" s="2" t="str">
        <f>_xlfn.XLOOKUP(Sales_Details2[[#This Row],[Store_ID]],Table2[Store_ID],Table2[Region],"Region not found")</f>
        <v>South</v>
      </c>
      <c r="M1642" s="25">
        <v>2</v>
      </c>
      <c r="N1642" s="36">
        <v>44.65</v>
      </c>
      <c r="O1642" s="29">
        <v>0.03</v>
      </c>
      <c r="P1642" s="2" t="s">
        <v>1809</v>
      </c>
      <c r="Q1642" s="36">
        <v>86.620999999999995</v>
      </c>
    </row>
    <row r="1643" spans="1:17" x14ac:dyDescent="0.3">
      <c r="A1643" s="2" t="s">
        <v>3450</v>
      </c>
      <c r="B1643" s="14">
        <v>45742</v>
      </c>
      <c r="C1643" s="2">
        <f>YEAR(Sales_Details2[[#This Row],[Order_Date]])</f>
        <v>2025</v>
      </c>
      <c r="D1643" s="2" t="s">
        <v>794</v>
      </c>
      <c r="E1643" s="2" t="str">
        <f>VLOOKUP(Sales_Details2[[#This Row],[Customer_ID]],Customer_Details[#All],4,0)</f>
        <v>Mid-Adult</v>
      </c>
      <c r="F1643" s="2" t="str">
        <f>VLOOKUP(Sales_Details2[[#This Row],[Customer_ID]],Customer_Details[#All],5,0)</f>
        <v>Male</v>
      </c>
      <c r="G1643" s="2" t="str">
        <f>VLOOKUP(Sales_Details2[[#This Row],[Customer_ID]],Customer_Details[#All],9,0)</f>
        <v>Platinum</v>
      </c>
      <c r="H1643" s="2" t="s">
        <v>1643</v>
      </c>
      <c r="I1643" s="2" t="str">
        <f>VLOOKUP(Sales_Details2[[#This Row],[Product_ID]],Product_details[[#All],[Product_ID]:[Cost]],3,0)</f>
        <v>Home</v>
      </c>
      <c r="J1643" s="2" t="str">
        <f>VLOOKUP(Sales_Details2[[#This Row],[Product_ID]],Product_details[[#All],[Product_ID]:[Cost]],4,0)</f>
        <v>Decor</v>
      </c>
      <c r="K1643" s="2" t="s">
        <v>1735</v>
      </c>
      <c r="L1643" s="2" t="str">
        <f>_xlfn.XLOOKUP(Sales_Details2[[#This Row],[Store_ID]],Table2[Store_ID],Table2[Region],"Region not found")</f>
        <v>East</v>
      </c>
      <c r="M1643" s="25">
        <v>4</v>
      </c>
      <c r="N1643" s="36">
        <v>827.39</v>
      </c>
      <c r="O1643" s="29">
        <v>0.06</v>
      </c>
      <c r="P1643" s="2" t="s">
        <v>1812</v>
      </c>
      <c r="Q1643" s="36">
        <v>3110.9863999999998</v>
      </c>
    </row>
    <row r="1644" spans="1:17" x14ac:dyDescent="0.3">
      <c r="A1644" s="2" t="s">
        <v>3451</v>
      </c>
      <c r="B1644" s="14">
        <v>45301</v>
      </c>
      <c r="C1644" s="2">
        <f>YEAR(Sales_Details2[[#This Row],[Order_Date]])</f>
        <v>2024</v>
      </c>
      <c r="D1644" s="2" t="s">
        <v>962</v>
      </c>
      <c r="E1644" s="2" t="str">
        <f>VLOOKUP(Sales_Details2[[#This Row],[Customer_ID]],Customer_Details[#All],4,0)</f>
        <v>Senior</v>
      </c>
      <c r="F1644" s="2" t="str">
        <f>VLOOKUP(Sales_Details2[[#This Row],[Customer_ID]],Customer_Details[#All],5,0)</f>
        <v>Female</v>
      </c>
      <c r="G1644" s="2" t="str">
        <f>VLOOKUP(Sales_Details2[[#This Row],[Customer_ID]],Customer_Details[#All],9,0)</f>
        <v>Gold</v>
      </c>
      <c r="H1644" s="2" t="s">
        <v>1559</v>
      </c>
      <c r="I1644" s="2" t="str">
        <f>VLOOKUP(Sales_Details2[[#This Row],[Product_ID]],Product_details[[#All],[Product_ID]:[Cost]],3,0)</f>
        <v>Home</v>
      </c>
      <c r="J1644" s="2" t="str">
        <f>VLOOKUP(Sales_Details2[[#This Row],[Product_ID]],Product_details[[#All],[Product_ID]:[Cost]],4,0)</f>
        <v>Decor</v>
      </c>
      <c r="K1644" s="2" t="s">
        <v>1777</v>
      </c>
      <c r="L1644" s="2" t="str">
        <f>_xlfn.XLOOKUP(Sales_Details2[[#This Row],[Store_ID]],Table2[Store_ID],Table2[Region],"Region not found")</f>
        <v>North</v>
      </c>
      <c r="M1644" s="25">
        <v>2</v>
      </c>
      <c r="N1644" s="36">
        <v>403.2</v>
      </c>
      <c r="O1644" s="29">
        <v>0.21</v>
      </c>
      <c r="P1644" s="2" t="s">
        <v>1809</v>
      </c>
      <c r="Q1644" s="36">
        <v>637.05600000000004</v>
      </c>
    </row>
    <row r="1645" spans="1:17" x14ac:dyDescent="0.3">
      <c r="A1645" s="2" t="s">
        <v>3452</v>
      </c>
      <c r="B1645" s="14">
        <v>45547</v>
      </c>
      <c r="C1645" s="2">
        <f>YEAR(Sales_Details2[[#This Row],[Order_Date]])</f>
        <v>2024</v>
      </c>
      <c r="D1645" s="2" t="s">
        <v>78</v>
      </c>
      <c r="E1645" s="2" t="str">
        <f>VLOOKUP(Sales_Details2[[#This Row],[Customer_ID]],Customer_Details[#All],4,0)</f>
        <v>Senior</v>
      </c>
      <c r="F1645" s="2" t="str">
        <f>VLOOKUP(Sales_Details2[[#This Row],[Customer_ID]],Customer_Details[#All],5,0)</f>
        <v>Female</v>
      </c>
      <c r="G1645" s="2" t="str">
        <f>VLOOKUP(Sales_Details2[[#This Row],[Customer_ID]],Customer_Details[#All],9,0)</f>
        <v>Platinum</v>
      </c>
      <c r="H1645" s="2" t="s">
        <v>1703</v>
      </c>
      <c r="I1645" s="2" t="str">
        <f>VLOOKUP(Sales_Details2[[#This Row],[Product_ID]],Product_details[[#All],[Product_ID]:[Cost]],3,0)</f>
        <v>Home</v>
      </c>
      <c r="J1645" s="2" t="str">
        <f>VLOOKUP(Sales_Details2[[#This Row],[Product_ID]],Product_details[[#All],[Product_ID]:[Cost]],4,0)</f>
        <v>Kitchen</v>
      </c>
      <c r="K1645" s="2" t="s">
        <v>1780</v>
      </c>
      <c r="L1645" s="2" t="str">
        <f>_xlfn.XLOOKUP(Sales_Details2[[#This Row],[Store_ID]],Table2[Store_ID],Table2[Region],"Region not found")</f>
        <v>East</v>
      </c>
      <c r="M1645" s="25">
        <v>4</v>
      </c>
      <c r="N1645" s="36">
        <v>292.31</v>
      </c>
      <c r="O1645" s="29">
        <v>0.27</v>
      </c>
      <c r="P1645" s="2" t="s">
        <v>1809</v>
      </c>
      <c r="Q1645" s="36">
        <v>853.54520000000002</v>
      </c>
    </row>
    <row r="1646" spans="1:17" x14ac:dyDescent="0.3">
      <c r="A1646" s="2" t="s">
        <v>3453</v>
      </c>
      <c r="B1646" s="14">
        <v>45806</v>
      </c>
      <c r="C1646" s="2">
        <f>YEAR(Sales_Details2[[#This Row],[Order_Date]])</f>
        <v>2025</v>
      </c>
      <c r="D1646" s="2" t="s">
        <v>1496</v>
      </c>
      <c r="E1646" s="2" t="str">
        <f>VLOOKUP(Sales_Details2[[#This Row],[Customer_ID]],Customer_Details[#All],4,0)</f>
        <v>Senior</v>
      </c>
      <c r="F1646" s="2" t="str">
        <f>VLOOKUP(Sales_Details2[[#This Row],[Customer_ID]],Customer_Details[#All],5,0)</f>
        <v>Female</v>
      </c>
      <c r="G1646" s="2" t="str">
        <f>VLOOKUP(Sales_Details2[[#This Row],[Customer_ID]],Customer_Details[#All],9,0)</f>
        <v>Platinum</v>
      </c>
      <c r="H1646" s="2" t="s">
        <v>1532</v>
      </c>
      <c r="I1646" s="2" t="str">
        <f>VLOOKUP(Sales_Details2[[#This Row],[Product_ID]],Product_details[[#All],[Product_ID]:[Cost]],3,0)</f>
        <v>Clothing</v>
      </c>
      <c r="J1646" s="2" t="str">
        <f>VLOOKUP(Sales_Details2[[#This Row],[Product_ID]],Product_details[[#All],[Product_ID]:[Cost]],4,0)</f>
        <v>Outerwear</v>
      </c>
      <c r="K1646" s="2" t="s">
        <v>1772</v>
      </c>
      <c r="L1646" s="2" t="str">
        <f>_xlfn.XLOOKUP(Sales_Details2[[#This Row],[Store_ID]],Table2[Store_ID],Table2[Region],"Region not found")</f>
        <v>East</v>
      </c>
      <c r="M1646" s="25">
        <v>1</v>
      </c>
      <c r="N1646" s="36">
        <v>948.33</v>
      </c>
      <c r="O1646" s="29">
        <v>0.11</v>
      </c>
      <c r="P1646" s="2" t="s">
        <v>1807</v>
      </c>
      <c r="Q1646" s="36">
        <v>844.01370000000009</v>
      </c>
    </row>
    <row r="1647" spans="1:17" x14ac:dyDescent="0.3">
      <c r="A1647" s="2" t="s">
        <v>3454</v>
      </c>
      <c r="B1647" s="14">
        <v>45294</v>
      </c>
      <c r="C1647" s="2">
        <f>YEAR(Sales_Details2[[#This Row],[Order_Date]])</f>
        <v>2024</v>
      </c>
      <c r="D1647" s="2" t="s">
        <v>1066</v>
      </c>
      <c r="E1647" s="2" t="str">
        <f>VLOOKUP(Sales_Details2[[#This Row],[Customer_ID]],Customer_Details[#All],4,0)</f>
        <v>Mid-Adult</v>
      </c>
      <c r="F1647" s="2" t="str">
        <f>VLOOKUP(Sales_Details2[[#This Row],[Customer_ID]],Customer_Details[#All],5,0)</f>
        <v>Male</v>
      </c>
      <c r="G1647" s="2" t="str">
        <f>VLOOKUP(Sales_Details2[[#This Row],[Customer_ID]],Customer_Details[#All],9,0)</f>
        <v>Bronze</v>
      </c>
      <c r="H1647" s="2" t="s">
        <v>1609</v>
      </c>
      <c r="I1647" s="2" t="str">
        <f>VLOOKUP(Sales_Details2[[#This Row],[Product_ID]],Product_details[[#All],[Product_ID]:[Cost]],3,0)</f>
        <v>Electronics</v>
      </c>
      <c r="J1647" s="2" t="str">
        <f>VLOOKUP(Sales_Details2[[#This Row],[Product_ID]],Product_details[[#All],[Product_ID]:[Cost]],4,0)</f>
        <v>Mobile</v>
      </c>
      <c r="K1647" s="2" t="s">
        <v>1756</v>
      </c>
      <c r="L1647" s="2" t="str">
        <f>_xlfn.XLOOKUP(Sales_Details2[[#This Row],[Store_ID]],Table2[Store_ID],Table2[Region],"Region not found")</f>
        <v>North</v>
      </c>
      <c r="M1647" s="25">
        <v>1</v>
      </c>
      <c r="N1647" s="36">
        <v>702.27</v>
      </c>
      <c r="O1647" s="29">
        <v>0.17</v>
      </c>
      <c r="P1647" s="2" t="s">
        <v>1812</v>
      </c>
      <c r="Q1647" s="36">
        <v>582.88409999999999</v>
      </c>
    </row>
    <row r="1648" spans="1:17" x14ac:dyDescent="0.3">
      <c r="A1648" s="2" t="s">
        <v>3455</v>
      </c>
      <c r="B1648" s="14">
        <v>45875</v>
      </c>
      <c r="C1648" s="2">
        <f>YEAR(Sales_Details2[[#This Row],[Order_Date]])</f>
        <v>2025</v>
      </c>
      <c r="D1648" s="2" t="s">
        <v>159</v>
      </c>
      <c r="E1648" s="2" t="str">
        <f>VLOOKUP(Sales_Details2[[#This Row],[Customer_ID]],Customer_Details[#All],4,0)</f>
        <v>Adult</v>
      </c>
      <c r="F1648" s="2" t="str">
        <f>VLOOKUP(Sales_Details2[[#This Row],[Customer_ID]],Customer_Details[#All],5,0)</f>
        <v>Male</v>
      </c>
      <c r="G1648" s="2" t="str">
        <f>VLOOKUP(Sales_Details2[[#This Row],[Customer_ID]],Customer_Details[#All],9,0)</f>
        <v>Platinum</v>
      </c>
      <c r="H1648" s="2" t="s">
        <v>1591</v>
      </c>
      <c r="I1648" s="2" t="str">
        <f>VLOOKUP(Sales_Details2[[#This Row],[Product_ID]],Product_details[[#All],[Product_ID]:[Cost]],3,0)</f>
        <v>Home</v>
      </c>
      <c r="J1648" s="2" t="str">
        <f>VLOOKUP(Sales_Details2[[#This Row],[Product_ID]],Product_details[[#All],[Product_ID]:[Cost]],4,0)</f>
        <v>Kitchen</v>
      </c>
      <c r="K1648" s="2" t="s">
        <v>1749</v>
      </c>
      <c r="L1648" s="2" t="str">
        <f>_xlfn.XLOOKUP(Sales_Details2[[#This Row],[Store_ID]],Table2[Store_ID],Table2[Region],"Region not found")</f>
        <v>North</v>
      </c>
      <c r="M1648" s="25">
        <v>2</v>
      </c>
      <c r="N1648" s="36">
        <v>379.28</v>
      </c>
      <c r="O1648" s="29">
        <v>0.26</v>
      </c>
      <c r="P1648" s="2" t="s">
        <v>1807</v>
      </c>
      <c r="Q1648" s="36">
        <v>561.33439999999996</v>
      </c>
    </row>
    <row r="1649" spans="1:17" x14ac:dyDescent="0.3">
      <c r="A1649" s="2" t="s">
        <v>3456</v>
      </c>
      <c r="B1649" s="14">
        <v>45669</v>
      </c>
      <c r="C1649" s="2">
        <f>YEAR(Sales_Details2[[#This Row],[Order_Date]])</f>
        <v>2025</v>
      </c>
      <c r="D1649" s="2" t="s">
        <v>447</v>
      </c>
      <c r="E1649" s="2" t="str">
        <f>VLOOKUP(Sales_Details2[[#This Row],[Customer_ID]],Customer_Details[#All],4,0)</f>
        <v>Senior</v>
      </c>
      <c r="F1649" s="2" t="str">
        <f>VLOOKUP(Sales_Details2[[#This Row],[Customer_ID]],Customer_Details[#All],5,0)</f>
        <v>Female</v>
      </c>
      <c r="G1649" s="2" t="str">
        <f>VLOOKUP(Sales_Details2[[#This Row],[Customer_ID]],Customer_Details[#All],9,0)</f>
        <v>Gold</v>
      </c>
      <c r="H1649" s="2" t="s">
        <v>1625</v>
      </c>
      <c r="I1649" s="2" t="str">
        <f>VLOOKUP(Sales_Details2[[#This Row],[Product_ID]],Product_details[[#All],[Product_ID]:[Cost]],3,0)</f>
        <v>Beauty</v>
      </c>
      <c r="J1649" s="2" t="str">
        <f>VLOOKUP(Sales_Details2[[#This Row],[Product_ID]],Product_details[[#All],[Product_ID]:[Cost]],4,0)</f>
        <v>Makeup</v>
      </c>
      <c r="K1649" s="2" t="s">
        <v>1735</v>
      </c>
      <c r="L1649" s="2" t="str">
        <f>_xlfn.XLOOKUP(Sales_Details2[[#This Row],[Store_ID]],Table2[Store_ID],Table2[Region],"Region not found")</f>
        <v>East</v>
      </c>
      <c r="M1649" s="25">
        <v>4</v>
      </c>
      <c r="N1649" s="36">
        <v>92.35</v>
      </c>
      <c r="O1649" s="29">
        <v>0.15</v>
      </c>
      <c r="P1649" s="2" t="s">
        <v>1807</v>
      </c>
      <c r="Q1649" s="36">
        <v>313.99</v>
      </c>
    </row>
    <row r="1650" spans="1:17" x14ac:dyDescent="0.3">
      <c r="A1650" s="2" t="s">
        <v>3457</v>
      </c>
      <c r="B1650" s="14">
        <v>45606</v>
      </c>
      <c r="C1650" s="2">
        <f>YEAR(Sales_Details2[[#This Row],[Order_Date]])</f>
        <v>2024</v>
      </c>
      <c r="D1650" s="2" t="s">
        <v>705</v>
      </c>
      <c r="E1650" s="2" t="str">
        <f>VLOOKUP(Sales_Details2[[#This Row],[Customer_ID]],Customer_Details[#All],4,0)</f>
        <v>Mid-Adult</v>
      </c>
      <c r="F1650" s="2" t="str">
        <f>VLOOKUP(Sales_Details2[[#This Row],[Customer_ID]],Customer_Details[#All],5,0)</f>
        <v>Female</v>
      </c>
      <c r="G1650" s="2" t="str">
        <f>VLOOKUP(Sales_Details2[[#This Row],[Customer_ID]],Customer_Details[#All],9,0)</f>
        <v>Gold</v>
      </c>
      <c r="H1650" s="2" t="s">
        <v>1609</v>
      </c>
      <c r="I1650" s="2" t="str">
        <f>VLOOKUP(Sales_Details2[[#This Row],[Product_ID]],Product_details[[#All],[Product_ID]:[Cost]],3,0)</f>
        <v>Electronics</v>
      </c>
      <c r="J1650" s="2" t="str">
        <f>VLOOKUP(Sales_Details2[[#This Row],[Product_ID]],Product_details[[#All],[Product_ID]:[Cost]],4,0)</f>
        <v>Mobile</v>
      </c>
      <c r="K1650" s="2" t="s">
        <v>1777</v>
      </c>
      <c r="L1650" s="2" t="str">
        <f>_xlfn.XLOOKUP(Sales_Details2[[#This Row],[Store_ID]],Table2[Store_ID],Table2[Region],"Region not found")</f>
        <v>North</v>
      </c>
      <c r="M1650" s="25">
        <v>4</v>
      </c>
      <c r="N1650" s="36">
        <v>721.54</v>
      </c>
      <c r="O1650" s="29">
        <v>0.21</v>
      </c>
      <c r="P1650" s="2" t="s">
        <v>1807</v>
      </c>
      <c r="Q1650" s="36">
        <v>2280.0664000000002</v>
      </c>
    </row>
    <row r="1651" spans="1:17" x14ac:dyDescent="0.3">
      <c r="A1651" s="2" t="s">
        <v>3458</v>
      </c>
      <c r="B1651" s="14">
        <v>45787</v>
      </c>
      <c r="C1651" s="2">
        <f>YEAR(Sales_Details2[[#This Row],[Order_Date]])</f>
        <v>2025</v>
      </c>
      <c r="D1651" s="2" t="s">
        <v>199</v>
      </c>
      <c r="E1651" s="2" t="str">
        <f>VLOOKUP(Sales_Details2[[#This Row],[Customer_ID]],Customer_Details[#All],4,0)</f>
        <v>Mid-Adult</v>
      </c>
      <c r="F1651" s="2" t="str">
        <f>VLOOKUP(Sales_Details2[[#This Row],[Customer_ID]],Customer_Details[#All],5,0)</f>
        <v>Female</v>
      </c>
      <c r="G1651" s="2" t="str">
        <f>VLOOKUP(Sales_Details2[[#This Row],[Customer_ID]],Customer_Details[#All],9,0)</f>
        <v>Gold</v>
      </c>
      <c r="H1651" s="2" t="s">
        <v>1607</v>
      </c>
      <c r="I1651" s="2" t="str">
        <f>VLOOKUP(Sales_Details2[[#This Row],[Product_ID]],Product_details[[#All],[Product_ID]:[Cost]],3,0)</f>
        <v>Sports</v>
      </c>
      <c r="J1651" s="2" t="str">
        <f>VLOOKUP(Sales_Details2[[#This Row],[Product_ID]],Product_details[[#All],[Product_ID]:[Cost]],4,0)</f>
        <v>Outdoor</v>
      </c>
      <c r="K1651" s="2" t="s">
        <v>1769</v>
      </c>
      <c r="L1651" s="2" t="str">
        <f>_xlfn.XLOOKUP(Sales_Details2[[#This Row],[Store_ID]],Table2[Store_ID],Table2[Region],"Region not found")</f>
        <v>South</v>
      </c>
      <c r="M1651" s="25">
        <v>1</v>
      </c>
      <c r="N1651" s="36">
        <v>228.69</v>
      </c>
      <c r="O1651" s="29">
        <v>0.14000000000000001</v>
      </c>
      <c r="P1651" s="2" t="s">
        <v>1807</v>
      </c>
      <c r="Q1651" s="36">
        <v>196.67339999999999</v>
      </c>
    </row>
    <row r="1652" spans="1:17" x14ac:dyDescent="0.3">
      <c r="A1652" s="2" t="s">
        <v>3459</v>
      </c>
      <c r="B1652" s="14">
        <v>45929</v>
      </c>
      <c r="C1652" s="2">
        <f>YEAR(Sales_Details2[[#This Row],[Order_Date]])</f>
        <v>2025</v>
      </c>
      <c r="D1652" s="2" t="s">
        <v>1100</v>
      </c>
      <c r="E1652" s="2" t="str">
        <f>VLOOKUP(Sales_Details2[[#This Row],[Customer_ID]],Customer_Details[#All],4,0)</f>
        <v>Adult</v>
      </c>
      <c r="F1652" s="2" t="str">
        <f>VLOOKUP(Sales_Details2[[#This Row],[Customer_ID]],Customer_Details[#All],5,0)</f>
        <v>Male</v>
      </c>
      <c r="G1652" s="2" t="str">
        <f>VLOOKUP(Sales_Details2[[#This Row],[Customer_ID]],Customer_Details[#All],9,0)</f>
        <v>Gold</v>
      </c>
      <c r="H1652" s="2" t="s">
        <v>1637</v>
      </c>
      <c r="I1652" s="2" t="str">
        <f>VLOOKUP(Sales_Details2[[#This Row],[Product_ID]],Product_details[[#All],[Product_ID]:[Cost]],3,0)</f>
        <v>Clothing</v>
      </c>
      <c r="J1652" s="2" t="str">
        <f>VLOOKUP(Sales_Details2[[#This Row],[Product_ID]],Product_details[[#All],[Product_ID]:[Cost]],4,0)</f>
        <v>Bottoms</v>
      </c>
      <c r="K1652" s="2" t="s">
        <v>1772</v>
      </c>
      <c r="L1652" s="2" t="str">
        <f>_xlfn.XLOOKUP(Sales_Details2[[#This Row],[Store_ID]],Table2[Store_ID],Table2[Region],"Region not found")</f>
        <v>East</v>
      </c>
      <c r="M1652" s="25">
        <v>1</v>
      </c>
      <c r="N1652" s="36">
        <v>899.09</v>
      </c>
      <c r="O1652" s="29">
        <v>0.2</v>
      </c>
      <c r="P1652" s="2" t="s">
        <v>1809</v>
      </c>
      <c r="Q1652" s="36">
        <v>719.27200000000005</v>
      </c>
    </row>
    <row r="1653" spans="1:17" x14ac:dyDescent="0.3">
      <c r="A1653" s="2" t="s">
        <v>3460</v>
      </c>
      <c r="B1653" s="14">
        <v>45379</v>
      </c>
      <c r="C1653" s="2">
        <f>YEAR(Sales_Details2[[#This Row],[Order_Date]])</f>
        <v>2024</v>
      </c>
      <c r="D1653" s="2" t="s">
        <v>1186</v>
      </c>
      <c r="E1653" s="2" t="str">
        <f>VLOOKUP(Sales_Details2[[#This Row],[Customer_ID]],Customer_Details[#All],4,0)</f>
        <v>Senior</v>
      </c>
      <c r="F1653" s="2" t="str">
        <f>VLOOKUP(Sales_Details2[[#This Row],[Customer_ID]],Customer_Details[#All],5,0)</f>
        <v>Female</v>
      </c>
      <c r="G1653" s="2" t="str">
        <f>VLOOKUP(Sales_Details2[[#This Row],[Customer_ID]],Customer_Details[#All],9,0)</f>
        <v>Bronze</v>
      </c>
      <c r="H1653" s="2" t="s">
        <v>1545</v>
      </c>
      <c r="I1653" s="2" t="str">
        <f>VLOOKUP(Sales_Details2[[#This Row],[Product_ID]],Product_details[[#All],[Product_ID]:[Cost]],3,0)</f>
        <v>Electronics</v>
      </c>
      <c r="J1653" s="2" t="str">
        <f>VLOOKUP(Sales_Details2[[#This Row],[Product_ID]],Product_details[[#All],[Product_ID]:[Cost]],4,0)</f>
        <v>Audio</v>
      </c>
      <c r="K1653" s="2" t="s">
        <v>1765</v>
      </c>
      <c r="L1653" s="2" t="str">
        <f>_xlfn.XLOOKUP(Sales_Details2[[#This Row],[Store_ID]],Table2[Store_ID],Table2[Region],"Region not found")</f>
        <v>West</v>
      </c>
      <c r="M1653" s="25">
        <v>4</v>
      </c>
      <c r="N1653" s="36">
        <v>195.75</v>
      </c>
      <c r="O1653" s="29">
        <v>0.17</v>
      </c>
      <c r="P1653" s="2" t="s">
        <v>1807</v>
      </c>
      <c r="Q1653" s="36">
        <v>649.89</v>
      </c>
    </row>
    <row r="1654" spans="1:17" x14ac:dyDescent="0.3">
      <c r="A1654" s="2" t="s">
        <v>3461</v>
      </c>
      <c r="B1654" s="14">
        <v>45532</v>
      </c>
      <c r="C1654" s="2">
        <f>YEAR(Sales_Details2[[#This Row],[Order_Date]])</f>
        <v>2024</v>
      </c>
      <c r="D1654" s="2" t="s">
        <v>1306</v>
      </c>
      <c r="E1654" s="2" t="str">
        <f>VLOOKUP(Sales_Details2[[#This Row],[Customer_ID]],Customer_Details[#All],4,0)</f>
        <v>Adult</v>
      </c>
      <c r="F1654" s="2" t="str">
        <f>VLOOKUP(Sales_Details2[[#This Row],[Customer_ID]],Customer_Details[#All],5,0)</f>
        <v>Male</v>
      </c>
      <c r="G1654" s="2" t="str">
        <f>VLOOKUP(Sales_Details2[[#This Row],[Customer_ID]],Customer_Details[#All],9,0)</f>
        <v>Platinum</v>
      </c>
      <c r="H1654" s="2" t="s">
        <v>1717</v>
      </c>
      <c r="I1654" s="2" t="str">
        <f>VLOOKUP(Sales_Details2[[#This Row],[Product_ID]],Product_details[[#All],[Product_ID]:[Cost]],3,0)</f>
        <v>Electronics</v>
      </c>
      <c r="J1654" s="2" t="str">
        <f>VLOOKUP(Sales_Details2[[#This Row],[Product_ID]],Product_details[[#All],[Product_ID]:[Cost]],4,0)</f>
        <v>Computer</v>
      </c>
      <c r="K1654" s="2" t="s">
        <v>1784</v>
      </c>
      <c r="L1654" s="2" t="str">
        <f>_xlfn.XLOOKUP(Sales_Details2[[#This Row],[Store_ID]],Table2[Store_ID],Table2[Region],"Region not found")</f>
        <v>North</v>
      </c>
      <c r="M1654" s="25">
        <v>3</v>
      </c>
      <c r="N1654" s="36">
        <v>199.13</v>
      </c>
      <c r="O1654" s="29">
        <v>0.24</v>
      </c>
      <c r="P1654" s="2" t="s">
        <v>1807</v>
      </c>
      <c r="Q1654" s="36">
        <v>454.01639999999998</v>
      </c>
    </row>
    <row r="1655" spans="1:17" x14ac:dyDescent="0.3">
      <c r="A1655" s="2" t="s">
        <v>3462</v>
      </c>
      <c r="B1655" s="14">
        <v>45466</v>
      </c>
      <c r="C1655" s="2">
        <f>YEAR(Sales_Details2[[#This Row],[Order_Date]])</f>
        <v>2024</v>
      </c>
      <c r="D1655" s="2" t="s">
        <v>530</v>
      </c>
      <c r="E1655" s="2" t="str">
        <f>VLOOKUP(Sales_Details2[[#This Row],[Customer_ID]],Customer_Details[#All],4,0)</f>
        <v>Mid-Adult</v>
      </c>
      <c r="F1655" s="2" t="str">
        <f>VLOOKUP(Sales_Details2[[#This Row],[Customer_ID]],Customer_Details[#All],5,0)</f>
        <v>Female</v>
      </c>
      <c r="G1655" s="2" t="str">
        <f>VLOOKUP(Sales_Details2[[#This Row],[Customer_ID]],Customer_Details[#All],9,0)</f>
        <v>Platinum</v>
      </c>
      <c r="H1655" s="2" t="s">
        <v>1575</v>
      </c>
      <c r="I1655" s="2" t="str">
        <f>VLOOKUP(Sales_Details2[[#This Row],[Product_ID]],Product_details[[#All],[Product_ID]:[Cost]],3,0)</f>
        <v>Sports</v>
      </c>
      <c r="J1655" s="2" t="str">
        <f>VLOOKUP(Sales_Details2[[#This Row],[Product_ID]],Product_details[[#All],[Product_ID]:[Cost]],4,0)</f>
        <v>Equipment</v>
      </c>
      <c r="K1655" s="2" t="s">
        <v>1782</v>
      </c>
      <c r="L1655" s="2" t="str">
        <f>_xlfn.XLOOKUP(Sales_Details2[[#This Row],[Store_ID]],Table2[Store_ID],Table2[Region],"Region not found")</f>
        <v>South</v>
      </c>
      <c r="M1655" s="25">
        <v>2</v>
      </c>
      <c r="N1655" s="36">
        <v>833.62</v>
      </c>
      <c r="O1655" s="29">
        <v>0.18</v>
      </c>
      <c r="P1655" s="2" t="s">
        <v>1807</v>
      </c>
      <c r="Q1655" s="36">
        <v>1367.1368</v>
      </c>
    </row>
    <row r="1656" spans="1:17" x14ac:dyDescent="0.3">
      <c r="A1656" s="2" t="s">
        <v>3463</v>
      </c>
      <c r="B1656" s="14">
        <v>45395</v>
      </c>
      <c r="C1656" s="2">
        <f>YEAR(Sales_Details2[[#This Row],[Order_Date]])</f>
        <v>2024</v>
      </c>
      <c r="D1656" s="2" t="s">
        <v>1472</v>
      </c>
      <c r="E1656" s="2" t="str">
        <f>VLOOKUP(Sales_Details2[[#This Row],[Customer_ID]],Customer_Details[#All],4,0)</f>
        <v>Mid-Adult</v>
      </c>
      <c r="F1656" s="2" t="str">
        <f>VLOOKUP(Sales_Details2[[#This Row],[Customer_ID]],Customer_Details[#All],5,0)</f>
        <v>Male</v>
      </c>
      <c r="G1656" s="2" t="str">
        <f>VLOOKUP(Sales_Details2[[#This Row],[Customer_ID]],Customer_Details[#All],9,0)</f>
        <v>Bronze</v>
      </c>
      <c r="H1656" s="2" t="s">
        <v>1681</v>
      </c>
      <c r="I1656" s="2" t="str">
        <f>VLOOKUP(Sales_Details2[[#This Row],[Product_ID]],Product_details[[#All],[Product_ID]:[Cost]],3,0)</f>
        <v>Clothing</v>
      </c>
      <c r="J1656" s="2" t="str">
        <f>VLOOKUP(Sales_Details2[[#This Row],[Product_ID]],Product_details[[#All],[Product_ID]:[Cost]],4,0)</f>
        <v>Footwear</v>
      </c>
      <c r="K1656" s="2" t="s">
        <v>1735</v>
      </c>
      <c r="L1656" s="2" t="str">
        <f>_xlfn.XLOOKUP(Sales_Details2[[#This Row],[Store_ID]],Table2[Store_ID],Table2[Region],"Region not found")</f>
        <v>East</v>
      </c>
      <c r="M1656" s="25">
        <v>1</v>
      </c>
      <c r="N1656" s="36">
        <v>676.26</v>
      </c>
      <c r="O1656" s="29">
        <v>0.14000000000000001</v>
      </c>
      <c r="P1656" s="2" t="s">
        <v>1807</v>
      </c>
      <c r="Q1656" s="36">
        <v>581.58359999999993</v>
      </c>
    </row>
    <row r="1657" spans="1:17" x14ac:dyDescent="0.3">
      <c r="A1657" s="2" t="s">
        <v>3464</v>
      </c>
      <c r="B1657" s="14">
        <v>45708</v>
      </c>
      <c r="C1657" s="2">
        <f>YEAR(Sales_Details2[[#This Row],[Order_Date]])</f>
        <v>2025</v>
      </c>
      <c r="D1657" s="2" t="s">
        <v>130</v>
      </c>
      <c r="E1657" s="2" t="str">
        <f>VLOOKUP(Sales_Details2[[#This Row],[Customer_ID]],Customer_Details[#All],4,0)</f>
        <v>Mid-Adult</v>
      </c>
      <c r="F1657" s="2" t="str">
        <f>VLOOKUP(Sales_Details2[[#This Row],[Customer_ID]],Customer_Details[#All],5,0)</f>
        <v>Female</v>
      </c>
      <c r="G1657" s="2" t="str">
        <f>VLOOKUP(Sales_Details2[[#This Row],[Customer_ID]],Customer_Details[#All],9,0)</f>
        <v>Gold</v>
      </c>
      <c r="H1657" s="2" t="s">
        <v>1651</v>
      </c>
      <c r="I1657" s="2" t="str">
        <f>VLOOKUP(Sales_Details2[[#This Row],[Product_ID]],Product_details[[#All],[Product_ID]:[Cost]],3,0)</f>
        <v>Beauty</v>
      </c>
      <c r="J1657" s="2" t="str">
        <f>VLOOKUP(Sales_Details2[[#This Row],[Product_ID]],Product_details[[#All],[Product_ID]:[Cost]],4,0)</f>
        <v>Fragrance</v>
      </c>
      <c r="K1657" s="2" t="s">
        <v>1769</v>
      </c>
      <c r="L1657" s="2" t="str">
        <f>_xlfn.XLOOKUP(Sales_Details2[[#This Row],[Store_ID]],Table2[Store_ID],Table2[Region],"Region not found")</f>
        <v>South</v>
      </c>
      <c r="M1657" s="25">
        <v>2</v>
      </c>
      <c r="N1657" s="36">
        <v>666.49</v>
      </c>
      <c r="O1657" s="29">
        <v>0.06</v>
      </c>
      <c r="P1657" s="2" t="s">
        <v>1807</v>
      </c>
      <c r="Q1657" s="36">
        <v>1253.0011999999999</v>
      </c>
    </row>
    <row r="1658" spans="1:17" x14ac:dyDescent="0.3">
      <c r="A1658" s="2" t="s">
        <v>3465</v>
      </c>
      <c r="B1658" s="14">
        <v>45735</v>
      </c>
      <c r="C1658" s="2">
        <f>YEAR(Sales_Details2[[#This Row],[Order_Date]])</f>
        <v>2025</v>
      </c>
      <c r="D1658" s="2" t="s">
        <v>1403</v>
      </c>
      <c r="E1658" s="2" t="str">
        <f>VLOOKUP(Sales_Details2[[#This Row],[Customer_ID]],Customer_Details[#All],4,0)</f>
        <v>Mid-Adult</v>
      </c>
      <c r="F1658" s="2" t="str">
        <f>VLOOKUP(Sales_Details2[[#This Row],[Customer_ID]],Customer_Details[#All],5,0)</f>
        <v>Male</v>
      </c>
      <c r="G1658" s="2" t="str">
        <f>VLOOKUP(Sales_Details2[[#This Row],[Customer_ID]],Customer_Details[#All],9,0)</f>
        <v>Gold</v>
      </c>
      <c r="H1658" s="2" t="s">
        <v>1561</v>
      </c>
      <c r="I1658" s="2" t="str">
        <f>VLOOKUP(Sales_Details2[[#This Row],[Product_ID]],Product_details[[#All],[Product_ID]:[Cost]],3,0)</f>
        <v>Electronics</v>
      </c>
      <c r="J1658" s="2" t="str">
        <f>VLOOKUP(Sales_Details2[[#This Row],[Product_ID]],Product_details[[#All],[Product_ID]:[Cost]],4,0)</f>
        <v>Appliances</v>
      </c>
      <c r="K1658" s="2" t="s">
        <v>1752</v>
      </c>
      <c r="L1658" s="2" t="str">
        <f>_xlfn.XLOOKUP(Sales_Details2[[#This Row],[Store_ID]],Table2[Store_ID],Table2[Region],"Region not found")</f>
        <v>South</v>
      </c>
      <c r="M1658" s="25">
        <v>3</v>
      </c>
      <c r="N1658" s="36">
        <v>471.19</v>
      </c>
      <c r="O1658" s="29">
        <v>0.28000000000000003</v>
      </c>
      <c r="P1658" s="2" t="s">
        <v>1812</v>
      </c>
      <c r="Q1658" s="36">
        <v>1017.7704</v>
      </c>
    </row>
    <row r="1659" spans="1:17" x14ac:dyDescent="0.3">
      <c r="A1659" s="2" t="s">
        <v>3466</v>
      </c>
      <c r="B1659" s="14">
        <v>45237</v>
      </c>
      <c r="C1659" s="2">
        <f>YEAR(Sales_Details2[[#This Row],[Order_Date]])</f>
        <v>2023</v>
      </c>
      <c r="D1659" s="2" t="s">
        <v>409</v>
      </c>
      <c r="E1659" s="2" t="str">
        <f>VLOOKUP(Sales_Details2[[#This Row],[Customer_ID]],Customer_Details[#All],4,0)</f>
        <v>Mid-Adult</v>
      </c>
      <c r="F1659" s="2" t="str">
        <f>VLOOKUP(Sales_Details2[[#This Row],[Customer_ID]],Customer_Details[#All],5,0)</f>
        <v>Male</v>
      </c>
      <c r="G1659" s="2" t="str">
        <f>VLOOKUP(Sales_Details2[[#This Row],[Customer_ID]],Customer_Details[#All],9,0)</f>
        <v>Bronze</v>
      </c>
      <c r="H1659" s="2" t="s">
        <v>1545</v>
      </c>
      <c r="I1659" s="2" t="str">
        <f>VLOOKUP(Sales_Details2[[#This Row],[Product_ID]],Product_details[[#All],[Product_ID]:[Cost]],3,0)</f>
        <v>Electronics</v>
      </c>
      <c r="J1659" s="2" t="str">
        <f>VLOOKUP(Sales_Details2[[#This Row],[Product_ID]],Product_details[[#All],[Product_ID]:[Cost]],4,0)</f>
        <v>Audio</v>
      </c>
      <c r="K1659" s="2" t="s">
        <v>1749</v>
      </c>
      <c r="L1659" s="2" t="str">
        <f>_xlfn.XLOOKUP(Sales_Details2[[#This Row],[Store_ID]],Table2[Store_ID],Table2[Region],"Region not found")</f>
        <v>North</v>
      </c>
      <c r="M1659" s="25">
        <v>4</v>
      </c>
      <c r="N1659" s="36">
        <v>555.65</v>
      </c>
      <c r="O1659" s="29">
        <v>0.25</v>
      </c>
      <c r="P1659" s="2" t="s">
        <v>1812</v>
      </c>
      <c r="Q1659" s="36">
        <v>1666.95</v>
      </c>
    </row>
    <row r="1660" spans="1:17" x14ac:dyDescent="0.3">
      <c r="A1660" s="2" t="s">
        <v>3467</v>
      </c>
      <c r="B1660" s="14">
        <v>45282</v>
      </c>
      <c r="C1660" s="2">
        <f>YEAR(Sales_Details2[[#This Row],[Order_Date]])</f>
        <v>2023</v>
      </c>
      <c r="D1660" s="2" t="s">
        <v>140</v>
      </c>
      <c r="E1660" s="2" t="str">
        <f>VLOOKUP(Sales_Details2[[#This Row],[Customer_ID]],Customer_Details[#All],4,0)</f>
        <v>Senior</v>
      </c>
      <c r="F1660" s="2" t="str">
        <f>VLOOKUP(Sales_Details2[[#This Row],[Customer_ID]],Customer_Details[#All],5,0)</f>
        <v>Male</v>
      </c>
      <c r="G1660" s="2" t="str">
        <f>VLOOKUP(Sales_Details2[[#This Row],[Customer_ID]],Customer_Details[#All],9,0)</f>
        <v>Silver</v>
      </c>
      <c r="H1660" s="2" t="s">
        <v>1721</v>
      </c>
      <c r="I1660" s="2" t="str">
        <f>VLOOKUP(Sales_Details2[[#This Row],[Product_ID]],Product_details[[#All],[Product_ID]:[Cost]],3,0)</f>
        <v>Sports</v>
      </c>
      <c r="J1660" s="2" t="str">
        <f>VLOOKUP(Sales_Details2[[#This Row],[Product_ID]],Product_details[[#All],[Product_ID]:[Cost]],4,0)</f>
        <v>Accessories</v>
      </c>
      <c r="K1660" s="2" t="s">
        <v>1782</v>
      </c>
      <c r="L1660" s="2" t="str">
        <f>_xlfn.XLOOKUP(Sales_Details2[[#This Row],[Store_ID]],Table2[Store_ID],Table2[Region],"Region not found")</f>
        <v>South</v>
      </c>
      <c r="M1660" s="25">
        <v>2</v>
      </c>
      <c r="N1660" s="36">
        <v>100.42</v>
      </c>
      <c r="O1660" s="29">
        <v>0.06</v>
      </c>
      <c r="P1660" s="2" t="s">
        <v>1807</v>
      </c>
      <c r="Q1660" s="36">
        <v>188.78960000000001</v>
      </c>
    </row>
    <row r="1661" spans="1:17" x14ac:dyDescent="0.3">
      <c r="A1661" s="2" t="s">
        <v>3468</v>
      </c>
      <c r="B1661" s="14">
        <v>45337</v>
      </c>
      <c r="C1661" s="2">
        <f>YEAR(Sales_Details2[[#This Row],[Order_Date]])</f>
        <v>2024</v>
      </c>
      <c r="D1661" s="2" t="s">
        <v>188</v>
      </c>
      <c r="E1661" s="2" t="str">
        <f>VLOOKUP(Sales_Details2[[#This Row],[Customer_ID]],Customer_Details[#All],4,0)</f>
        <v>Senior</v>
      </c>
      <c r="F1661" s="2" t="str">
        <f>VLOOKUP(Sales_Details2[[#This Row],[Customer_ID]],Customer_Details[#All],5,0)</f>
        <v>Female</v>
      </c>
      <c r="G1661" s="2" t="str">
        <f>VLOOKUP(Sales_Details2[[#This Row],[Customer_ID]],Customer_Details[#All],9,0)</f>
        <v>Gold</v>
      </c>
      <c r="H1661" s="2" t="s">
        <v>1727</v>
      </c>
      <c r="I1661" s="2" t="str">
        <f>VLOOKUP(Sales_Details2[[#This Row],[Product_ID]],Product_details[[#All],[Product_ID]:[Cost]],3,0)</f>
        <v>Electronics</v>
      </c>
      <c r="J1661" s="2" t="str">
        <f>VLOOKUP(Sales_Details2[[#This Row],[Product_ID]],Product_details[[#All],[Product_ID]:[Cost]],4,0)</f>
        <v>Audio</v>
      </c>
      <c r="K1661" s="2" t="s">
        <v>1793</v>
      </c>
      <c r="L1661" s="2" t="str">
        <f>_xlfn.XLOOKUP(Sales_Details2[[#This Row],[Store_ID]],Table2[Store_ID],Table2[Region],"Region not found")</f>
        <v>East</v>
      </c>
      <c r="M1661" s="25">
        <v>3</v>
      </c>
      <c r="N1661" s="36">
        <v>981.69</v>
      </c>
      <c r="O1661" s="29">
        <v>0.05</v>
      </c>
      <c r="P1661" s="2" t="s">
        <v>1812</v>
      </c>
      <c r="Q1661" s="36">
        <v>2797.8164999999999</v>
      </c>
    </row>
    <row r="1662" spans="1:17" x14ac:dyDescent="0.3">
      <c r="A1662" s="2" t="s">
        <v>3469</v>
      </c>
      <c r="B1662" s="14">
        <v>45310</v>
      </c>
      <c r="C1662" s="2">
        <f>YEAR(Sales_Details2[[#This Row],[Order_Date]])</f>
        <v>2024</v>
      </c>
      <c r="D1662" s="2" t="s">
        <v>1018</v>
      </c>
      <c r="E1662" s="2" t="str">
        <f>VLOOKUP(Sales_Details2[[#This Row],[Customer_ID]],Customer_Details[#All],4,0)</f>
        <v>Senior</v>
      </c>
      <c r="F1662" s="2" t="str">
        <f>VLOOKUP(Sales_Details2[[#This Row],[Customer_ID]],Customer_Details[#All],5,0)</f>
        <v>Female</v>
      </c>
      <c r="G1662" s="2" t="str">
        <f>VLOOKUP(Sales_Details2[[#This Row],[Customer_ID]],Customer_Details[#All],9,0)</f>
        <v>Bronze</v>
      </c>
      <c r="H1662" s="2" t="s">
        <v>1551</v>
      </c>
      <c r="I1662" s="2" t="str">
        <f>VLOOKUP(Sales_Details2[[#This Row],[Product_ID]],Product_details[[#All],[Product_ID]:[Cost]],3,0)</f>
        <v>Home</v>
      </c>
      <c r="J1662" s="2" t="str">
        <f>VLOOKUP(Sales_Details2[[#This Row],[Product_ID]],Product_details[[#All],[Product_ID]:[Cost]],4,0)</f>
        <v>Kitchen</v>
      </c>
      <c r="K1662" s="2" t="s">
        <v>1787</v>
      </c>
      <c r="L1662" s="2" t="str">
        <f>_xlfn.XLOOKUP(Sales_Details2[[#This Row],[Store_ID]],Table2[Store_ID],Table2[Region],"Region not found")</f>
        <v>West</v>
      </c>
      <c r="M1662" s="25">
        <v>2</v>
      </c>
      <c r="N1662" s="36">
        <v>848.87</v>
      </c>
      <c r="O1662" s="29">
        <v>0.09</v>
      </c>
      <c r="P1662" s="2" t="s">
        <v>1812</v>
      </c>
      <c r="Q1662" s="36">
        <v>1544.9434000000001</v>
      </c>
    </row>
    <row r="1663" spans="1:17" x14ac:dyDescent="0.3">
      <c r="A1663" s="2" t="s">
        <v>3470</v>
      </c>
      <c r="B1663" s="14">
        <v>45230</v>
      </c>
      <c r="C1663" s="2">
        <f>YEAR(Sales_Details2[[#This Row],[Order_Date]])</f>
        <v>2023</v>
      </c>
      <c r="D1663" s="2" t="s">
        <v>1159</v>
      </c>
      <c r="E1663" s="2" t="str">
        <f>VLOOKUP(Sales_Details2[[#This Row],[Customer_ID]],Customer_Details[#All],4,0)</f>
        <v>Adult</v>
      </c>
      <c r="F1663" s="2" t="str">
        <f>VLOOKUP(Sales_Details2[[#This Row],[Customer_ID]],Customer_Details[#All],5,0)</f>
        <v>Male</v>
      </c>
      <c r="G1663" s="2" t="str">
        <f>VLOOKUP(Sales_Details2[[#This Row],[Customer_ID]],Customer_Details[#All],9,0)</f>
        <v>Platinum</v>
      </c>
      <c r="H1663" s="2" t="s">
        <v>1723</v>
      </c>
      <c r="I1663" s="2" t="str">
        <f>VLOOKUP(Sales_Details2[[#This Row],[Product_ID]],Product_details[[#All],[Product_ID]:[Cost]],3,0)</f>
        <v>Clothing</v>
      </c>
      <c r="J1663" s="2" t="str">
        <f>VLOOKUP(Sales_Details2[[#This Row],[Product_ID]],Product_details[[#All],[Product_ID]:[Cost]],4,0)</f>
        <v>Outerwear</v>
      </c>
      <c r="K1663" s="2" t="s">
        <v>1772</v>
      </c>
      <c r="L1663" s="2" t="str">
        <f>_xlfn.XLOOKUP(Sales_Details2[[#This Row],[Store_ID]],Table2[Store_ID],Table2[Region],"Region not found")</f>
        <v>East</v>
      </c>
      <c r="M1663" s="25">
        <v>3</v>
      </c>
      <c r="N1663" s="36">
        <v>582.32000000000005</v>
      </c>
      <c r="O1663" s="29">
        <v>0</v>
      </c>
      <c r="P1663" s="2" t="s">
        <v>1809</v>
      </c>
      <c r="Q1663" s="36">
        <v>1746.96</v>
      </c>
    </row>
    <row r="1664" spans="1:17" x14ac:dyDescent="0.3">
      <c r="A1664" s="2" t="s">
        <v>3471</v>
      </c>
      <c r="B1664" s="14">
        <v>45341</v>
      </c>
      <c r="C1664" s="2">
        <f>YEAR(Sales_Details2[[#This Row],[Order_Date]])</f>
        <v>2024</v>
      </c>
      <c r="D1664" s="2" t="s">
        <v>562</v>
      </c>
      <c r="E1664" s="2" t="str">
        <f>VLOOKUP(Sales_Details2[[#This Row],[Customer_ID]],Customer_Details[#All],4,0)</f>
        <v>Mid-Adult</v>
      </c>
      <c r="F1664" s="2" t="str">
        <f>VLOOKUP(Sales_Details2[[#This Row],[Customer_ID]],Customer_Details[#All],5,0)</f>
        <v>Female</v>
      </c>
      <c r="G1664" s="2" t="str">
        <f>VLOOKUP(Sales_Details2[[#This Row],[Customer_ID]],Customer_Details[#All],9,0)</f>
        <v>Platinum</v>
      </c>
      <c r="H1664" s="2" t="s">
        <v>1629</v>
      </c>
      <c r="I1664" s="2" t="str">
        <f>VLOOKUP(Sales_Details2[[#This Row],[Product_ID]],Product_details[[#All],[Product_ID]:[Cost]],3,0)</f>
        <v>Beauty</v>
      </c>
      <c r="J1664" s="2" t="str">
        <f>VLOOKUP(Sales_Details2[[#This Row],[Product_ID]],Product_details[[#All],[Product_ID]:[Cost]],4,0)</f>
        <v>Fragrance</v>
      </c>
      <c r="K1664" s="2" t="s">
        <v>1790</v>
      </c>
      <c r="L1664" s="2" t="str">
        <f>_xlfn.XLOOKUP(Sales_Details2[[#This Row],[Store_ID]],Table2[Store_ID],Table2[Region],"Region not found")</f>
        <v>North</v>
      </c>
      <c r="M1664" s="25">
        <v>2</v>
      </c>
      <c r="N1664" s="36">
        <v>869.43</v>
      </c>
      <c r="O1664" s="29">
        <v>0.24</v>
      </c>
      <c r="P1664" s="2" t="s">
        <v>1812</v>
      </c>
      <c r="Q1664" s="36">
        <v>1321.5336</v>
      </c>
    </row>
    <row r="1665" spans="1:17" x14ac:dyDescent="0.3">
      <c r="A1665" s="2" t="s">
        <v>3472</v>
      </c>
      <c r="B1665" s="14">
        <v>45440</v>
      </c>
      <c r="C1665" s="2">
        <f>YEAR(Sales_Details2[[#This Row],[Order_Date]])</f>
        <v>2024</v>
      </c>
      <c r="D1665" s="2" t="s">
        <v>93</v>
      </c>
      <c r="E1665" s="2" t="str">
        <f>VLOOKUP(Sales_Details2[[#This Row],[Customer_ID]],Customer_Details[#All],4,0)</f>
        <v>Mid-Adult</v>
      </c>
      <c r="F1665" s="2" t="str">
        <f>VLOOKUP(Sales_Details2[[#This Row],[Customer_ID]],Customer_Details[#All],5,0)</f>
        <v>Female</v>
      </c>
      <c r="G1665" s="2" t="str">
        <f>VLOOKUP(Sales_Details2[[#This Row],[Customer_ID]],Customer_Details[#All],9,0)</f>
        <v>Gold</v>
      </c>
      <c r="H1665" s="2" t="s">
        <v>1639</v>
      </c>
      <c r="I1665" s="2" t="str">
        <f>VLOOKUP(Sales_Details2[[#This Row],[Product_ID]],Product_details[[#All],[Product_ID]:[Cost]],3,0)</f>
        <v>Sports</v>
      </c>
      <c r="J1665" s="2" t="str">
        <f>VLOOKUP(Sales_Details2[[#This Row],[Product_ID]],Product_details[[#All],[Product_ID]:[Cost]],4,0)</f>
        <v>Accessories</v>
      </c>
      <c r="K1665" s="2" t="s">
        <v>1752</v>
      </c>
      <c r="L1665" s="2" t="str">
        <f>_xlfn.XLOOKUP(Sales_Details2[[#This Row],[Store_ID]],Table2[Store_ID],Table2[Region],"Region not found")</f>
        <v>South</v>
      </c>
      <c r="M1665" s="25">
        <v>1</v>
      </c>
      <c r="N1665" s="36">
        <v>62.26</v>
      </c>
      <c r="O1665" s="29">
        <v>0.03</v>
      </c>
      <c r="P1665" s="2" t="s">
        <v>1812</v>
      </c>
      <c r="Q1665" s="36">
        <v>60.392200000000003</v>
      </c>
    </row>
    <row r="1666" spans="1:17" x14ac:dyDescent="0.3">
      <c r="A1666" s="2" t="s">
        <v>3473</v>
      </c>
      <c r="B1666" s="14">
        <v>45798</v>
      </c>
      <c r="C1666" s="2">
        <f>YEAR(Sales_Details2[[#This Row],[Order_Date]])</f>
        <v>2025</v>
      </c>
      <c r="D1666" s="2" t="s">
        <v>506</v>
      </c>
      <c r="E1666" s="2" t="str">
        <f>VLOOKUP(Sales_Details2[[#This Row],[Customer_ID]],Customer_Details[#All],4,0)</f>
        <v>Mid-Adult</v>
      </c>
      <c r="F1666" s="2" t="str">
        <f>VLOOKUP(Sales_Details2[[#This Row],[Customer_ID]],Customer_Details[#All],5,0)</f>
        <v>Female</v>
      </c>
      <c r="G1666" s="2" t="str">
        <f>VLOOKUP(Sales_Details2[[#This Row],[Customer_ID]],Customer_Details[#All],9,0)</f>
        <v>Platinum</v>
      </c>
      <c r="H1666" s="2" t="s">
        <v>1609</v>
      </c>
      <c r="I1666" s="2" t="str">
        <f>VLOOKUP(Sales_Details2[[#This Row],[Product_ID]],Product_details[[#All],[Product_ID]:[Cost]],3,0)</f>
        <v>Electronics</v>
      </c>
      <c r="J1666" s="2" t="str">
        <f>VLOOKUP(Sales_Details2[[#This Row],[Product_ID]],Product_details[[#All],[Product_ID]:[Cost]],4,0)</f>
        <v>Mobile</v>
      </c>
      <c r="K1666" s="2" t="s">
        <v>1782</v>
      </c>
      <c r="L1666" s="2" t="str">
        <f>_xlfn.XLOOKUP(Sales_Details2[[#This Row],[Store_ID]],Table2[Store_ID],Table2[Region],"Region not found")</f>
        <v>South</v>
      </c>
      <c r="M1666" s="25">
        <v>3</v>
      </c>
      <c r="N1666" s="36">
        <v>343.97</v>
      </c>
      <c r="O1666" s="29">
        <v>0.04</v>
      </c>
      <c r="P1666" s="2" t="s">
        <v>1812</v>
      </c>
      <c r="Q1666" s="36">
        <v>990.6336</v>
      </c>
    </row>
    <row r="1667" spans="1:17" x14ac:dyDescent="0.3">
      <c r="A1667" s="2" t="s">
        <v>3474</v>
      </c>
      <c r="B1667" s="14">
        <v>45293</v>
      </c>
      <c r="C1667" s="2">
        <f>YEAR(Sales_Details2[[#This Row],[Order_Date]])</f>
        <v>2024</v>
      </c>
      <c r="D1667" s="2" t="s">
        <v>948</v>
      </c>
      <c r="E1667" s="2" t="str">
        <f>VLOOKUP(Sales_Details2[[#This Row],[Customer_ID]],Customer_Details[#All],4,0)</f>
        <v>Adult</v>
      </c>
      <c r="F1667" s="2" t="str">
        <f>VLOOKUP(Sales_Details2[[#This Row],[Customer_ID]],Customer_Details[#All],5,0)</f>
        <v>Female</v>
      </c>
      <c r="G1667" s="2" t="str">
        <f>VLOOKUP(Sales_Details2[[#This Row],[Customer_ID]],Customer_Details[#All],9,0)</f>
        <v>Platinum</v>
      </c>
      <c r="H1667" s="2" t="s">
        <v>1579</v>
      </c>
      <c r="I1667" s="2" t="str">
        <f>VLOOKUP(Sales_Details2[[#This Row],[Product_ID]],Product_details[[#All],[Product_ID]:[Cost]],3,0)</f>
        <v>Sports</v>
      </c>
      <c r="J1667" s="2" t="str">
        <f>VLOOKUP(Sales_Details2[[#This Row],[Product_ID]],Product_details[[#All],[Product_ID]:[Cost]],4,0)</f>
        <v>Outdoor</v>
      </c>
      <c r="K1667" s="2" t="s">
        <v>1777</v>
      </c>
      <c r="L1667" s="2" t="str">
        <f>_xlfn.XLOOKUP(Sales_Details2[[#This Row],[Store_ID]],Table2[Store_ID],Table2[Region],"Region not found")</f>
        <v>North</v>
      </c>
      <c r="M1667" s="25">
        <v>3</v>
      </c>
      <c r="N1667" s="36">
        <v>304.67</v>
      </c>
      <c r="O1667" s="29">
        <v>0.11</v>
      </c>
      <c r="P1667" s="2" t="s">
        <v>1807</v>
      </c>
      <c r="Q1667" s="36">
        <v>813.46889999999996</v>
      </c>
    </row>
    <row r="1668" spans="1:17" x14ac:dyDescent="0.3">
      <c r="A1668" s="2" t="s">
        <v>3475</v>
      </c>
      <c r="B1668" s="14">
        <v>45296</v>
      </c>
      <c r="C1668" s="2">
        <f>YEAR(Sales_Details2[[#This Row],[Order_Date]])</f>
        <v>2024</v>
      </c>
      <c r="D1668" s="2" t="s">
        <v>1129</v>
      </c>
      <c r="E1668" s="2" t="str">
        <f>VLOOKUP(Sales_Details2[[#This Row],[Customer_ID]],Customer_Details[#All],4,0)</f>
        <v>Senior</v>
      </c>
      <c r="F1668" s="2" t="str">
        <f>VLOOKUP(Sales_Details2[[#This Row],[Customer_ID]],Customer_Details[#All],5,0)</f>
        <v>Female</v>
      </c>
      <c r="G1668" s="2" t="str">
        <f>VLOOKUP(Sales_Details2[[#This Row],[Customer_ID]],Customer_Details[#All],9,0)</f>
        <v>Platinum</v>
      </c>
      <c r="H1668" s="2" t="s">
        <v>1585</v>
      </c>
      <c r="I1668" s="2" t="str">
        <f>VLOOKUP(Sales_Details2[[#This Row],[Product_ID]],Product_details[[#All],[Product_ID]:[Cost]],3,0)</f>
        <v>Home</v>
      </c>
      <c r="J1668" s="2" t="str">
        <f>VLOOKUP(Sales_Details2[[#This Row],[Product_ID]],Product_details[[#All],[Product_ID]:[Cost]],4,0)</f>
        <v>Decor</v>
      </c>
      <c r="K1668" s="2" t="s">
        <v>1769</v>
      </c>
      <c r="L1668" s="2" t="str">
        <f>_xlfn.XLOOKUP(Sales_Details2[[#This Row],[Store_ID]],Table2[Store_ID],Table2[Region],"Region not found")</f>
        <v>South</v>
      </c>
      <c r="M1668" s="25">
        <v>4</v>
      </c>
      <c r="N1668" s="36">
        <v>208.34</v>
      </c>
      <c r="O1668" s="29">
        <v>0.01</v>
      </c>
      <c r="P1668" s="2" t="s">
        <v>1809</v>
      </c>
      <c r="Q1668" s="36">
        <v>825.02639999999997</v>
      </c>
    </row>
    <row r="1669" spans="1:17" x14ac:dyDescent="0.3">
      <c r="A1669" s="2" t="s">
        <v>3476</v>
      </c>
      <c r="B1669" s="14">
        <v>45860</v>
      </c>
      <c r="C1669" s="2">
        <f>YEAR(Sales_Details2[[#This Row],[Order_Date]])</f>
        <v>2025</v>
      </c>
      <c r="D1669" s="2" t="s">
        <v>974</v>
      </c>
      <c r="E1669" s="2" t="str">
        <f>VLOOKUP(Sales_Details2[[#This Row],[Customer_ID]],Customer_Details[#All],4,0)</f>
        <v>Mid-Adult</v>
      </c>
      <c r="F1669" s="2" t="str">
        <f>VLOOKUP(Sales_Details2[[#This Row],[Customer_ID]],Customer_Details[#All],5,0)</f>
        <v>Female</v>
      </c>
      <c r="G1669" s="2" t="str">
        <f>VLOOKUP(Sales_Details2[[#This Row],[Customer_ID]],Customer_Details[#All],9,0)</f>
        <v>Silver</v>
      </c>
      <c r="H1669" s="2" t="s">
        <v>1703</v>
      </c>
      <c r="I1669" s="2" t="str">
        <f>VLOOKUP(Sales_Details2[[#This Row],[Product_ID]],Product_details[[#All],[Product_ID]:[Cost]],3,0)</f>
        <v>Home</v>
      </c>
      <c r="J1669" s="2" t="str">
        <f>VLOOKUP(Sales_Details2[[#This Row],[Product_ID]],Product_details[[#All],[Product_ID]:[Cost]],4,0)</f>
        <v>Kitchen</v>
      </c>
      <c r="K1669" s="2" t="s">
        <v>1740</v>
      </c>
      <c r="L1669" s="2" t="str">
        <f>_xlfn.XLOOKUP(Sales_Details2[[#This Row],[Store_ID]],Table2[Store_ID],Table2[Region],"Region not found")</f>
        <v>North</v>
      </c>
      <c r="M1669" s="25">
        <v>1</v>
      </c>
      <c r="N1669" s="36">
        <v>119.04</v>
      </c>
      <c r="O1669" s="29">
        <v>0.13</v>
      </c>
      <c r="P1669" s="2" t="s">
        <v>1812</v>
      </c>
      <c r="Q1669" s="36">
        <v>103.56480000000001</v>
      </c>
    </row>
    <row r="1670" spans="1:17" x14ac:dyDescent="0.3">
      <c r="A1670" s="2" t="s">
        <v>3477</v>
      </c>
      <c r="B1670" s="14">
        <v>45843</v>
      </c>
      <c r="C1670" s="2">
        <f>YEAR(Sales_Details2[[#This Row],[Order_Date]])</f>
        <v>2025</v>
      </c>
      <c r="D1670" s="2" t="s">
        <v>1001</v>
      </c>
      <c r="E1670" s="2" t="str">
        <f>VLOOKUP(Sales_Details2[[#This Row],[Customer_ID]],Customer_Details[#All],4,0)</f>
        <v>Adult</v>
      </c>
      <c r="F1670" s="2" t="str">
        <f>VLOOKUP(Sales_Details2[[#This Row],[Customer_ID]],Customer_Details[#All],5,0)</f>
        <v>Female</v>
      </c>
      <c r="G1670" s="2" t="str">
        <f>VLOOKUP(Sales_Details2[[#This Row],[Customer_ID]],Customer_Details[#All],9,0)</f>
        <v>Bronze</v>
      </c>
      <c r="H1670" s="2" t="s">
        <v>1619</v>
      </c>
      <c r="I1670" s="2" t="str">
        <f>VLOOKUP(Sales_Details2[[#This Row],[Product_ID]],Product_details[[#All],[Product_ID]:[Cost]],3,0)</f>
        <v>Sports</v>
      </c>
      <c r="J1670" s="2" t="str">
        <f>VLOOKUP(Sales_Details2[[#This Row],[Product_ID]],Product_details[[#All],[Product_ID]:[Cost]],4,0)</f>
        <v>Fitness</v>
      </c>
      <c r="K1670" s="2" t="s">
        <v>1769</v>
      </c>
      <c r="L1670" s="2" t="str">
        <f>_xlfn.XLOOKUP(Sales_Details2[[#This Row],[Store_ID]],Table2[Store_ID],Table2[Region],"Region not found")</f>
        <v>South</v>
      </c>
      <c r="M1670" s="25">
        <v>4</v>
      </c>
      <c r="N1670" s="36">
        <v>791.65</v>
      </c>
      <c r="O1670" s="29">
        <v>0.06</v>
      </c>
      <c r="P1670" s="2" t="s">
        <v>1812</v>
      </c>
      <c r="Q1670" s="36">
        <v>2976.6039999999998</v>
      </c>
    </row>
    <row r="1671" spans="1:17" x14ac:dyDescent="0.3">
      <c r="A1671" s="2" t="s">
        <v>3478</v>
      </c>
      <c r="B1671" s="14">
        <v>45862</v>
      </c>
      <c r="C1671" s="2">
        <f>YEAR(Sales_Details2[[#This Row],[Order_Date]])</f>
        <v>2025</v>
      </c>
      <c r="D1671" s="2" t="s">
        <v>195</v>
      </c>
      <c r="E1671" s="2" t="str">
        <f>VLOOKUP(Sales_Details2[[#This Row],[Customer_ID]],Customer_Details[#All],4,0)</f>
        <v>Senior</v>
      </c>
      <c r="F1671" s="2" t="str">
        <f>VLOOKUP(Sales_Details2[[#This Row],[Customer_ID]],Customer_Details[#All],5,0)</f>
        <v>Male</v>
      </c>
      <c r="G1671" s="2" t="str">
        <f>VLOOKUP(Sales_Details2[[#This Row],[Customer_ID]],Customer_Details[#All],9,0)</f>
        <v>Bronze</v>
      </c>
      <c r="H1671" s="2" t="s">
        <v>1559</v>
      </c>
      <c r="I1671" s="2" t="str">
        <f>VLOOKUP(Sales_Details2[[#This Row],[Product_ID]],Product_details[[#All],[Product_ID]:[Cost]],3,0)</f>
        <v>Home</v>
      </c>
      <c r="J1671" s="2" t="str">
        <f>VLOOKUP(Sales_Details2[[#This Row],[Product_ID]],Product_details[[#All],[Product_ID]:[Cost]],4,0)</f>
        <v>Decor</v>
      </c>
      <c r="K1671" s="2" t="s">
        <v>1744</v>
      </c>
      <c r="L1671" s="2" t="str">
        <f>_xlfn.XLOOKUP(Sales_Details2[[#This Row],[Store_ID]],Table2[Store_ID],Table2[Region],"Region not found")</f>
        <v>South</v>
      </c>
      <c r="M1671" s="25">
        <v>2</v>
      </c>
      <c r="N1671" s="36">
        <v>414.86</v>
      </c>
      <c r="O1671" s="29">
        <v>0.23</v>
      </c>
      <c r="P1671" s="2" t="s">
        <v>1807</v>
      </c>
      <c r="Q1671" s="36">
        <v>638.88440000000003</v>
      </c>
    </row>
    <row r="1672" spans="1:17" x14ac:dyDescent="0.3">
      <c r="A1672" s="2" t="s">
        <v>3479</v>
      </c>
      <c r="B1672" s="14">
        <v>45385</v>
      </c>
      <c r="C1672" s="2">
        <f>YEAR(Sales_Details2[[#This Row],[Order_Date]])</f>
        <v>2024</v>
      </c>
      <c r="D1672" s="2" t="s">
        <v>1456</v>
      </c>
      <c r="E1672" s="2" t="str">
        <f>VLOOKUP(Sales_Details2[[#This Row],[Customer_ID]],Customer_Details[#All],4,0)</f>
        <v>Senior</v>
      </c>
      <c r="F1672" s="2" t="str">
        <f>VLOOKUP(Sales_Details2[[#This Row],[Customer_ID]],Customer_Details[#All],5,0)</f>
        <v>Male</v>
      </c>
      <c r="G1672" s="2" t="str">
        <f>VLOOKUP(Sales_Details2[[#This Row],[Customer_ID]],Customer_Details[#All],9,0)</f>
        <v>Gold</v>
      </c>
      <c r="H1672" s="2" t="s">
        <v>1607</v>
      </c>
      <c r="I1672" s="2" t="str">
        <f>VLOOKUP(Sales_Details2[[#This Row],[Product_ID]],Product_details[[#All],[Product_ID]:[Cost]],3,0)</f>
        <v>Sports</v>
      </c>
      <c r="J1672" s="2" t="str">
        <f>VLOOKUP(Sales_Details2[[#This Row],[Product_ID]],Product_details[[#All],[Product_ID]:[Cost]],4,0)</f>
        <v>Outdoor</v>
      </c>
      <c r="K1672" s="2" t="s">
        <v>1777</v>
      </c>
      <c r="L1672" s="2" t="str">
        <f>_xlfn.XLOOKUP(Sales_Details2[[#This Row],[Store_ID]],Table2[Store_ID],Table2[Region],"Region not found")</f>
        <v>North</v>
      </c>
      <c r="M1672" s="25">
        <v>2</v>
      </c>
      <c r="N1672" s="36">
        <v>960.81</v>
      </c>
      <c r="O1672" s="29">
        <v>0.28000000000000003</v>
      </c>
      <c r="P1672" s="2" t="s">
        <v>1809</v>
      </c>
      <c r="Q1672" s="36">
        <v>1383.5663999999999</v>
      </c>
    </row>
    <row r="1673" spans="1:17" x14ac:dyDescent="0.3">
      <c r="A1673" s="2" t="s">
        <v>3480</v>
      </c>
      <c r="B1673" s="14">
        <v>45668</v>
      </c>
      <c r="C1673" s="2">
        <f>YEAR(Sales_Details2[[#This Row],[Order_Date]])</f>
        <v>2025</v>
      </c>
      <c r="D1673" s="2" t="s">
        <v>684</v>
      </c>
      <c r="E1673" s="2" t="str">
        <f>VLOOKUP(Sales_Details2[[#This Row],[Customer_ID]],Customer_Details[#All],4,0)</f>
        <v>Senior</v>
      </c>
      <c r="F1673" s="2" t="str">
        <f>VLOOKUP(Sales_Details2[[#This Row],[Customer_ID]],Customer_Details[#All],5,0)</f>
        <v>Female</v>
      </c>
      <c r="G1673" s="2" t="str">
        <f>VLOOKUP(Sales_Details2[[#This Row],[Customer_ID]],Customer_Details[#All],9,0)</f>
        <v>Platinum</v>
      </c>
      <c r="H1673" s="2" t="s">
        <v>1631</v>
      </c>
      <c r="I1673" s="2" t="str">
        <f>VLOOKUP(Sales_Details2[[#This Row],[Product_ID]],Product_details[[#All],[Product_ID]:[Cost]],3,0)</f>
        <v>Sports</v>
      </c>
      <c r="J1673" s="2" t="str">
        <f>VLOOKUP(Sales_Details2[[#This Row],[Product_ID]],Product_details[[#All],[Product_ID]:[Cost]],4,0)</f>
        <v>Fitness</v>
      </c>
      <c r="K1673" s="2" t="s">
        <v>1752</v>
      </c>
      <c r="L1673" s="2" t="str">
        <f>_xlfn.XLOOKUP(Sales_Details2[[#This Row],[Store_ID]],Table2[Store_ID],Table2[Region],"Region not found")</f>
        <v>South</v>
      </c>
      <c r="M1673" s="25">
        <v>4</v>
      </c>
      <c r="N1673" s="36">
        <v>943.36</v>
      </c>
      <c r="O1673" s="29">
        <v>0.18</v>
      </c>
      <c r="P1673" s="2" t="s">
        <v>1809</v>
      </c>
      <c r="Q1673" s="36">
        <v>3094.2208000000001</v>
      </c>
    </row>
    <row r="1674" spans="1:17" x14ac:dyDescent="0.3">
      <c r="A1674" s="2" t="s">
        <v>3481</v>
      </c>
      <c r="B1674" s="14">
        <v>45561</v>
      </c>
      <c r="C1674" s="2">
        <f>YEAR(Sales_Details2[[#This Row],[Order_Date]])</f>
        <v>2024</v>
      </c>
      <c r="D1674" s="2" t="s">
        <v>687</v>
      </c>
      <c r="E1674" s="2" t="str">
        <f>VLOOKUP(Sales_Details2[[#This Row],[Customer_ID]],Customer_Details[#All],4,0)</f>
        <v>Mid-Adult</v>
      </c>
      <c r="F1674" s="2" t="str">
        <f>VLOOKUP(Sales_Details2[[#This Row],[Customer_ID]],Customer_Details[#All],5,0)</f>
        <v>Female</v>
      </c>
      <c r="G1674" s="2" t="str">
        <f>VLOOKUP(Sales_Details2[[#This Row],[Customer_ID]],Customer_Details[#All],9,0)</f>
        <v>Platinum</v>
      </c>
      <c r="H1674" s="2" t="s">
        <v>1534</v>
      </c>
      <c r="I1674" s="2" t="str">
        <f>VLOOKUP(Sales_Details2[[#This Row],[Product_ID]],Product_details[[#All],[Product_ID]:[Cost]],3,0)</f>
        <v>Clothing</v>
      </c>
      <c r="J1674" s="2" t="str">
        <f>VLOOKUP(Sales_Details2[[#This Row],[Product_ID]],Product_details[[#All],[Product_ID]:[Cost]],4,0)</f>
        <v>Outerwear</v>
      </c>
      <c r="K1674" s="2" t="s">
        <v>1780</v>
      </c>
      <c r="L1674" s="2" t="str">
        <f>_xlfn.XLOOKUP(Sales_Details2[[#This Row],[Store_ID]],Table2[Store_ID],Table2[Region],"Region not found")</f>
        <v>East</v>
      </c>
      <c r="M1674" s="25">
        <v>1</v>
      </c>
      <c r="N1674" s="36">
        <v>830.42</v>
      </c>
      <c r="O1674" s="29">
        <v>0.26</v>
      </c>
      <c r="P1674" s="2" t="s">
        <v>1812</v>
      </c>
      <c r="Q1674" s="36">
        <v>614.51080000000002</v>
      </c>
    </row>
    <row r="1675" spans="1:17" x14ac:dyDescent="0.3">
      <c r="A1675" s="2" t="s">
        <v>3482</v>
      </c>
      <c r="B1675" s="14">
        <v>45637</v>
      </c>
      <c r="C1675" s="2">
        <f>YEAR(Sales_Details2[[#This Row],[Order_Date]])</f>
        <v>2024</v>
      </c>
      <c r="D1675" s="2" t="s">
        <v>1095</v>
      </c>
      <c r="E1675" s="2" t="str">
        <f>VLOOKUP(Sales_Details2[[#This Row],[Customer_ID]],Customer_Details[#All],4,0)</f>
        <v>Senior</v>
      </c>
      <c r="F1675" s="2" t="str">
        <f>VLOOKUP(Sales_Details2[[#This Row],[Customer_ID]],Customer_Details[#All],5,0)</f>
        <v>Female</v>
      </c>
      <c r="G1675" s="2" t="str">
        <f>VLOOKUP(Sales_Details2[[#This Row],[Customer_ID]],Customer_Details[#All],9,0)</f>
        <v>Platinum</v>
      </c>
      <c r="H1675" s="2" t="s">
        <v>1665</v>
      </c>
      <c r="I1675" s="2" t="str">
        <f>VLOOKUP(Sales_Details2[[#This Row],[Product_ID]],Product_details[[#All],[Product_ID]:[Cost]],3,0)</f>
        <v>Electronics</v>
      </c>
      <c r="J1675" s="2" t="str">
        <f>VLOOKUP(Sales_Details2[[#This Row],[Product_ID]],Product_details[[#All],[Product_ID]:[Cost]],4,0)</f>
        <v>Accessories</v>
      </c>
      <c r="K1675" s="2" t="s">
        <v>1790</v>
      </c>
      <c r="L1675" s="2" t="str">
        <f>_xlfn.XLOOKUP(Sales_Details2[[#This Row],[Store_ID]],Table2[Store_ID],Table2[Region],"Region not found")</f>
        <v>North</v>
      </c>
      <c r="M1675" s="25">
        <v>1</v>
      </c>
      <c r="N1675" s="36">
        <v>762.55</v>
      </c>
      <c r="O1675" s="29">
        <v>0.19</v>
      </c>
      <c r="P1675" s="2" t="s">
        <v>1807</v>
      </c>
      <c r="Q1675" s="36">
        <v>617.66549999999995</v>
      </c>
    </row>
    <row r="1676" spans="1:17" x14ac:dyDescent="0.3">
      <c r="A1676" s="2" t="s">
        <v>3483</v>
      </c>
      <c r="B1676" s="14">
        <v>45839</v>
      </c>
      <c r="C1676" s="2">
        <f>YEAR(Sales_Details2[[#This Row],[Order_Date]])</f>
        <v>2025</v>
      </c>
      <c r="D1676" s="2" t="s">
        <v>1066</v>
      </c>
      <c r="E1676" s="2" t="str">
        <f>VLOOKUP(Sales_Details2[[#This Row],[Customer_ID]],Customer_Details[#All],4,0)</f>
        <v>Mid-Adult</v>
      </c>
      <c r="F1676" s="2" t="str">
        <f>VLOOKUP(Sales_Details2[[#This Row],[Customer_ID]],Customer_Details[#All],5,0)</f>
        <v>Male</v>
      </c>
      <c r="G1676" s="2" t="str">
        <f>VLOOKUP(Sales_Details2[[#This Row],[Customer_ID]],Customer_Details[#All],9,0)</f>
        <v>Bronze</v>
      </c>
      <c r="H1676" s="2" t="s">
        <v>1679</v>
      </c>
      <c r="I1676" s="2" t="str">
        <f>VLOOKUP(Sales_Details2[[#This Row],[Product_ID]],Product_details[[#All],[Product_ID]:[Cost]],3,0)</f>
        <v>Electronics</v>
      </c>
      <c r="J1676" s="2" t="str">
        <f>VLOOKUP(Sales_Details2[[#This Row],[Product_ID]],Product_details[[#All],[Product_ID]:[Cost]],4,0)</f>
        <v>Audio</v>
      </c>
      <c r="K1676" s="2" t="s">
        <v>1793</v>
      </c>
      <c r="L1676" s="2" t="str">
        <f>_xlfn.XLOOKUP(Sales_Details2[[#This Row],[Store_ID]],Table2[Store_ID],Table2[Region],"Region not found")</f>
        <v>East</v>
      </c>
      <c r="M1676" s="25">
        <v>2</v>
      </c>
      <c r="N1676" s="36">
        <v>464.43</v>
      </c>
      <c r="O1676" s="29">
        <v>0.24</v>
      </c>
      <c r="P1676" s="2" t="s">
        <v>1812</v>
      </c>
      <c r="Q1676" s="36">
        <v>705.93360000000007</v>
      </c>
    </row>
    <row r="1677" spans="1:17" x14ac:dyDescent="0.3">
      <c r="A1677" s="2" t="s">
        <v>3484</v>
      </c>
      <c r="B1677" s="14">
        <v>45851</v>
      </c>
      <c r="C1677" s="2">
        <f>YEAR(Sales_Details2[[#This Row],[Order_Date]])</f>
        <v>2025</v>
      </c>
      <c r="D1677" s="2" t="s">
        <v>75</v>
      </c>
      <c r="E1677" s="2" t="str">
        <f>VLOOKUP(Sales_Details2[[#This Row],[Customer_ID]],Customer_Details[#All],4,0)</f>
        <v>Adult</v>
      </c>
      <c r="F1677" s="2" t="str">
        <f>VLOOKUP(Sales_Details2[[#This Row],[Customer_ID]],Customer_Details[#All],5,0)</f>
        <v>Female</v>
      </c>
      <c r="G1677" s="2" t="str">
        <f>VLOOKUP(Sales_Details2[[#This Row],[Customer_ID]],Customer_Details[#All],9,0)</f>
        <v>Bronze</v>
      </c>
      <c r="H1677" s="2" t="s">
        <v>1659</v>
      </c>
      <c r="I1677" s="2" t="str">
        <f>VLOOKUP(Sales_Details2[[#This Row],[Product_ID]],Product_details[[#All],[Product_ID]:[Cost]],3,0)</f>
        <v>Beauty</v>
      </c>
      <c r="J1677" s="2" t="str">
        <f>VLOOKUP(Sales_Details2[[#This Row],[Product_ID]],Product_details[[#All],[Product_ID]:[Cost]],4,0)</f>
        <v>Makeup</v>
      </c>
      <c r="K1677" s="2" t="s">
        <v>1793</v>
      </c>
      <c r="L1677" s="2" t="str">
        <f>_xlfn.XLOOKUP(Sales_Details2[[#This Row],[Store_ID]],Table2[Store_ID],Table2[Region],"Region not found")</f>
        <v>East</v>
      </c>
      <c r="M1677" s="25">
        <v>1</v>
      </c>
      <c r="N1677" s="36">
        <v>711.08</v>
      </c>
      <c r="O1677" s="29">
        <v>0.24</v>
      </c>
      <c r="P1677" s="2" t="s">
        <v>1809</v>
      </c>
      <c r="Q1677" s="36">
        <v>540.42079999999999</v>
      </c>
    </row>
    <row r="1678" spans="1:17" x14ac:dyDescent="0.3">
      <c r="A1678" s="2" t="s">
        <v>3485</v>
      </c>
      <c r="B1678" s="14">
        <v>45656</v>
      </c>
      <c r="C1678" s="2">
        <f>YEAR(Sales_Details2[[#This Row],[Order_Date]])</f>
        <v>2024</v>
      </c>
      <c r="D1678" s="2" t="s">
        <v>797</v>
      </c>
      <c r="E1678" s="2" t="str">
        <f>VLOOKUP(Sales_Details2[[#This Row],[Customer_ID]],Customer_Details[#All],4,0)</f>
        <v>Senior</v>
      </c>
      <c r="F1678" s="2" t="str">
        <f>VLOOKUP(Sales_Details2[[#This Row],[Customer_ID]],Customer_Details[#All],5,0)</f>
        <v>Male</v>
      </c>
      <c r="G1678" s="2" t="str">
        <f>VLOOKUP(Sales_Details2[[#This Row],[Customer_ID]],Customer_Details[#All],9,0)</f>
        <v>Silver</v>
      </c>
      <c r="H1678" s="2" t="s">
        <v>1621</v>
      </c>
      <c r="I1678" s="2" t="str">
        <f>VLOOKUP(Sales_Details2[[#This Row],[Product_ID]],Product_details[[#All],[Product_ID]:[Cost]],3,0)</f>
        <v>Sports</v>
      </c>
      <c r="J1678" s="2" t="str">
        <f>VLOOKUP(Sales_Details2[[#This Row],[Product_ID]],Product_details[[#All],[Product_ID]:[Cost]],4,0)</f>
        <v>Team Sports</v>
      </c>
      <c r="K1678" s="2" t="s">
        <v>1782</v>
      </c>
      <c r="L1678" s="2" t="str">
        <f>_xlfn.XLOOKUP(Sales_Details2[[#This Row],[Store_ID]],Table2[Store_ID],Table2[Region],"Region not found")</f>
        <v>South</v>
      </c>
      <c r="M1678" s="25">
        <v>2</v>
      </c>
      <c r="N1678" s="36">
        <v>984.96</v>
      </c>
      <c r="O1678" s="29">
        <v>0.16</v>
      </c>
      <c r="P1678" s="2" t="s">
        <v>1809</v>
      </c>
      <c r="Q1678" s="36">
        <v>1654.7328</v>
      </c>
    </row>
    <row r="1679" spans="1:17" x14ac:dyDescent="0.3">
      <c r="A1679" s="2" t="s">
        <v>3486</v>
      </c>
      <c r="B1679" s="14">
        <v>45759</v>
      </c>
      <c r="C1679" s="2">
        <f>YEAR(Sales_Details2[[#This Row],[Order_Date]])</f>
        <v>2025</v>
      </c>
      <c r="D1679" s="2" t="s">
        <v>1066</v>
      </c>
      <c r="E1679" s="2" t="str">
        <f>VLOOKUP(Sales_Details2[[#This Row],[Customer_ID]],Customer_Details[#All],4,0)</f>
        <v>Mid-Adult</v>
      </c>
      <c r="F1679" s="2" t="str">
        <f>VLOOKUP(Sales_Details2[[#This Row],[Customer_ID]],Customer_Details[#All],5,0)</f>
        <v>Male</v>
      </c>
      <c r="G1679" s="2" t="str">
        <f>VLOOKUP(Sales_Details2[[#This Row],[Customer_ID]],Customer_Details[#All],9,0)</f>
        <v>Bronze</v>
      </c>
      <c r="H1679" s="2" t="s">
        <v>1607</v>
      </c>
      <c r="I1679" s="2" t="str">
        <f>VLOOKUP(Sales_Details2[[#This Row],[Product_ID]],Product_details[[#All],[Product_ID]:[Cost]],3,0)</f>
        <v>Sports</v>
      </c>
      <c r="J1679" s="2" t="str">
        <f>VLOOKUP(Sales_Details2[[#This Row],[Product_ID]],Product_details[[#All],[Product_ID]:[Cost]],4,0)</f>
        <v>Outdoor</v>
      </c>
      <c r="K1679" s="2" t="s">
        <v>1777</v>
      </c>
      <c r="L1679" s="2" t="str">
        <f>_xlfn.XLOOKUP(Sales_Details2[[#This Row],[Store_ID]],Table2[Store_ID],Table2[Region],"Region not found")</f>
        <v>North</v>
      </c>
      <c r="M1679" s="25">
        <v>1</v>
      </c>
      <c r="N1679" s="36">
        <v>21.14</v>
      </c>
      <c r="O1679" s="29">
        <v>0.06</v>
      </c>
      <c r="P1679" s="2" t="s">
        <v>1812</v>
      </c>
      <c r="Q1679" s="36">
        <v>19.871600000000001</v>
      </c>
    </row>
    <row r="1680" spans="1:17" x14ac:dyDescent="0.3">
      <c r="A1680" s="2" t="s">
        <v>3487</v>
      </c>
      <c r="B1680" s="14">
        <v>45679</v>
      </c>
      <c r="C1680" s="2">
        <f>YEAR(Sales_Details2[[#This Row],[Order_Date]])</f>
        <v>2025</v>
      </c>
      <c r="D1680" s="2" t="s">
        <v>370</v>
      </c>
      <c r="E1680" s="2" t="str">
        <f>VLOOKUP(Sales_Details2[[#This Row],[Customer_ID]],Customer_Details[#All],4,0)</f>
        <v>Senior</v>
      </c>
      <c r="F1680" s="2" t="str">
        <f>VLOOKUP(Sales_Details2[[#This Row],[Customer_ID]],Customer_Details[#All],5,0)</f>
        <v>Female</v>
      </c>
      <c r="G1680" s="2" t="str">
        <f>VLOOKUP(Sales_Details2[[#This Row],[Customer_ID]],Customer_Details[#All],9,0)</f>
        <v>Bronze</v>
      </c>
      <c r="H1680" s="2" t="s">
        <v>1727</v>
      </c>
      <c r="I1680" s="2" t="str">
        <f>VLOOKUP(Sales_Details2[[#This Row],[Product_ID]],Product_details[[#All],[Product_ID]:[Cost]],3,0)</f>
        <v>Electronics</v>
      </c>
      <c r="J1680" s="2" t="str">
        <f>VLOOKUP(Sales_Details2[[#This Row],[Product_ID]],Product_details[[#All],[Product_ID]:[Cost]],4,0)</f>
        <v>Audio</v>
      </c>
      <c r="K1680" s="2" t="s">
        <v>1765</v>
      </c>
      <c r="L1680" s="2" t="str">
        <f>_xlfn.XLOOKUP(Sales_Details2[[#This Row],[Store_ID]],Table2[Store_ID],Table2[Region],"Region not found")</f>
        <v>West</v>
      </c>
      <c r="M1680" s="25">
        <v>1</v>
      </c>
      <c r="N1680" s="36">
        <v>343.03</v>
      </c>
      <c r="O1680" s="29">
        <v>0.16</v>
      </c>
      <c r="P1680" s="2" t="s">
        <v>1807</v>
      </c>
      <c r="Q1680" s="36">
        <v>288.14519999999999</v>
      </c>
    </row>
    <row r="1681" spans="1:17" x14ac:dyDescent="0.3">
      <c r="A1681" s="2" t="s">
        <v>3488</v>
      </c>
      <c r="B1681" s="14">
        <v>45237</v>
      </c>
      <c r="C1681" s="2">
        <f>YEAR(Sales_Details2[[#This Row],[Order_Date]])</f>
        <v>2023</v>
      </c>
      <c r="D1681" s="2" t="s">
        <v>785</v>
      </c>
      <c r="E1681" s="2" t="str">
        <f>VLOOKUP(Sales_Details2[[#This Row],[Customer_ID]],Customer_Details[#All],4,0)</f>
        <v>Mid-Adult</v>
      </c>
      <c r="F1681" s="2" t="str">
        <f>VLOOKUP(Sales_Details2[[#This Row],[Customer_ID]],Customer_Details[#All],5,0)</f>
        <v>Male</v>
      </c>
      <c r="G1681" s="2" t="str">
        <f>VLOOKUP(Sales_Details2[[#This Row],[Customer_ID]],Customer_Details[#All],9,0)</f>
        <v>Platinum</v>
      </c>
      <c r="H1681" s="2" t="s">
        <v>1571</v>
      </c>
      <c r="I1681" s="2" t="str">
        <f>VLOOKUP(Sales_Details2[[#This Row],[Product_ID]],Product_details[[#All],[Product_ID]:[Cost]],3,0)</f>
        <v>Sports</v>
      </c>
      <c r="J1681" s="2" t="str">
        <f>VLOOKUP(Sales_Details2[[#This Row],[Product_ID]],Product_details[[#All],[Product_ID]:[Cost]],4,0)</f>
        <v>Accessories</v>
      </c>
      <c r="K1681" s="2" t="s">
        <v>1793</v>
      </c>
      <c r="L1681" s="2" t="str">
        <f>_xlfn.XLOOKUP(Sales_Details2[[#This Row],[Store_ID]],Table2[Store_ID],Table2[Region],"Region not found")</f>
        <v>East</v>
      </c>
      <c r="M1681" s="25">
        <v>3</v>
      </c>
      <c r="N1681" s="36">
        <v>94.83</v>
      </c>
      <c r="O1681" s="29">
        <v>0.16</v>
      </c>
      <c r="P1681" s="2" t="s">
        <v>1812</v>
      </c>
      <c r="Q1681" s="36">
        <v>238.9716</v>
      </c>
    </row>
    <row r="1682" spans="1:17" x14ac:dyDescent="0.3">
      <c r="A1682" s="2" t="s">
        <v>3489</v>
      </c>
      <c r="B1682" s="14">
        <v>45790</v>
      </c>
      <c r="C1682" s="2">
        <f>YEAR(Sales_Details2[[#This Row],[Order_Date]])</f>
        <v>2025</v>
      </c>
      <c r="D1682" s="2" t="s">
        <v>82</v>
      </c>
      <c r="E1682" s="2" t="str">
        <f>VLOOKUP(Sales_Details2[[#This Row],[Customer_ID]],Customer_Details[#All],4,0)</f>
        <v>Mid-Adult</v>
      </c>
      <c r="F1682" s="2" t="str">
        <f>VLOOKUP(Sales_Details2[[#This Row],[Customer_ID]],Customer_Details[#All],5,0)</f>
        <v>Male</v>
      </c>
      <c r="G1682" s="2" t="str">
        <f>VLOOKUP(Sales_Details2[[#This Row],[Customer_ID]],Customer_Details[#All],9,0)</f>
        <v>Platinum</v>
      </c>
      <c r="H1682" s="2" t="s">
        <v>1669</v>
      </c>
      <c r="I1682" s="2" t="str">
        <f>VLOOKUP(Sales_Details2[[#This Row],[Product_ID]],Product_details[[#All],[Product_ID]:[Cost]],3,0)</f>
        <v>Clothing</v>
      </c>
      <c r="J1682" s="2" t="str">
        <f>VLOOKUP(Sales_Details2[[#This Row],[Product_ID]],Product_details[[#All],[Product_ID]:[Cost]],4,0)</f>
        <v>Bottoms</v>
      </c>
      <c r="K1682" s="2" t="s">
        <v>1796</v>
      </c>
      <c r="L1682" s="2" t="str">
        <f>_xlfn.XLOOKUP(Sales_Details2[[#This Row],[Store_ID]],Table2[Store_ID],Table2[Region],"Region not found")</f>
        <v>East</v>
      </c>
      <c r="M1682" s="25">
        <v>3</v>
      </c>
      <c r="N1682" s="36">
        <v>74.66</v>
      </c>
      <c r="O1682" s="29">
        <v>0.03</v>
      </c>
      <c r="P1682" s="2" t="s">
        <v>1809</v>
      </c>
      <c r="Q1682" s="36">
        <v>217.26060000000001</v>
      </c>
    </row>
    <row r="1683" spans="1:17" x14ac:dyDescent="0.3">
      <c r="A1683" s="2" t="s">
        <v>3490</v>
      </c>
      <c r="B1683" s="14">
        <v>45268</v>
      </c>
      <c r="C1683" s="2">
        <f>YEAR(Sales_Details2[[#This Row],[Order_Date]])</f>
        <v>2023</v>
      </c>
      <c r="D1683" s="2" t="s">
        <v>459</v>
      </c>
      <c r="E1683" s="2" t="str">
        <f>VLOOKUP(Sales_Details2[[#This Row],[Customer_ID]],Customer_Details[#All],4,0)</f>
        <v>Adult</v>
      </c>
      <c r="F1683" s="2" t="str">
        <f>VLOOKUP(Sales_Details2[[#This Row],[Customer_ID]],Customer_Details[#All],5,0)</f>
        <v>Male</v>
      </c>
      <c r="G1683" s="2" t="str">
        <f>VLOOKUP(Sales_Details2[[#This Row],[Customer_ID]],Customer_Details[#All],9,0)</f>
        <v>Silver</v>
      </c>
      <c r="H1683" s="2" t="s">
        <v>1605</v>
      </c>
      <c r="I1683" s="2" t="str">
        <f>VLOOKUP(Sales_Details2[[#This Row],[Product_ID]],Product_details[[#All],[Product_ID]:[Cost]],3,0)</f>
        <v>Clothing</v>
      </c>
      <c r="J1683" s="2" t="str">
        <f>VLOOKUP(Sales_Details2[[#This Row],[Product_ID]],Product_details[[#All],[Product_ID]:[Cost]],4,0)</f>
        <v>Footwear</v>
      </c>
      <c r="K1683" s="2" t="s">
        <v>1784</v>
      </c>
      <c r="L1683" s="2" t="str">
        <f>_xlfn.XLOOKUP(Sales_Details2[[#This Row],[Store_ID]],Table2[Store_ID],Table2[Region],"Region not found")</f>
        <v>North</v>
      </c>
      <c r="M1683" s="25">
        <v>3</v>
      </c>
      <c r="N1683" s="36">
        <v>281.95999999999998</v>
      </c>
      <c r="O1683" s="29">
        <v>0.01</v>
      </c>
      <c r="P1683" s="2" t="s">
        <v>1812</v>
      </c>
      <c r="Q1683" s="36">
        <v>837.42119999999989</v>
      </c>
    </row>
    <row r="1684" spans="1:17" x14ac:dyDescent="0.3">
      <c r="A1684" s="2" t="s">
        <v>3491</v>
      </c>
      <c r="B1684" s="14">
        <v>45664</v>
      </c>
      <c r="C1684" s="2">
        <f>YEAR(Sales_Details2[[#This Row],[Order_Date]])</f>
        <v>2025</v>
      </c>
      <c r="D1684" s="2" t="s">
        <v>752</v>
      </c>
      <c r="E1684" s="2" t="str">
        <f>VLOOKUP(Sales_Details2[[#This Row],[Customer_ID]],Customer_Details[#All],4,0)</f>
        <v>Mid-Adult</v>
      </c>
      <c r="F1684" s="2" t="str">
        <f>VLOOKUP(Sales_Details2[[#This Row],[Customer_ID]],Customer_Details[#All],5,0)</f>
        <v>Female</v>
      </c>
      <c r="G1684" s="2" t="str">
        <f>VLOOKUP(Sales_Details2[[#This Row],[Customer_ID]],Customer_Details[#All],9,0)</f>
        <v>Bronze</v>
      </c>
      <c r="H1684" s="2" t="s">
        <v>1673</v>
      </c>
      <c r="I1684" s="2" t="str">
        <f>VLOOKUP(Sales_Details2[[#This Row],[Product_ID]],Product_details[[#All],[Product_ID]:[Cost]],3,0)</f>
        <v>Beauty</v>
      </c>
      <c r="J1684" s="2" t="str">
        <f>VLOOKUP(Sales_Details2[[#This Row],[Product_ID]],Product_details[[#All],[Product_ID]:[Cost]],4,0)</f>
        <v>Haircare</v>
      </c>
      <c r="K1684" s="2" t="s">
        <v>1793</v>
      </c>
      <c r="L1684" s="2" t="str">
        <f>_xlfn.XLOOKUP(Sales_Details2[[#This Row],[Store_ID]],Table2[Store_ID],Table2[Region],"Region not found")</f>
        <v>East</v>
      </c>
      <c r="M1684" s="25">
        <v>4</v>
      </c>
      <c r="N1684" s="36">
        <v>622.27</v>
      </c>
      <c r="O1684" s="29">
        <v>0.02</v>
      </c>
      <c r="P1684" s="2" t="s">
        <v>1809</v>
      </c>
      <c r="Q1684" s="36">
        <v>2439.2984000000001</v>
      </c>
    </row>
    <row r="1685" spans="1:17" x14ac:dyDescent="0.3">
      <c r="A1685" s="2" t="s">
        <v>3492</v>
      </c>
      <c r="B1685" s="14">
        <v>45475</v>
      </c>
      <c r="C1685" s="2">
        <f>YEAR(Sales_Details2[[#This Row],[Order_Date]])</f>
        <v>2024</v>
      </c>
      <c r="D1685" s="2" t="s">
        <v>358</v>
      </c>
      <c r="E1685" s="2" t="str">
        <f>VLOOKUP(Sales_Details2[[#This Row],[Customer_ID]],Customer_Details[#All],4,0)</f>
        <v>Mid-Adult</v>
      </c>
      <c r="F1685" s="2" t="str">
        <f>VLOOKUP(Sales_Details2[[#This Row],[Customer_ID]],Customer_Details[#All],5,0)</f>
        <v>Female</v>
      </c>
      <c r="G1685" s="2" t="str">
        <f>VLOOKUP(Sales_Details2[[#This Row],[Customer_ID]],Customer_Details[#All],9,0)</f>
        <v>Bronze</v>
      </c>
      <c r="H1685" s="2" t="s">
        <v>1605</v>
      </c>
      <c r="I1685" s="2" t="str">
        <f>VLOOKUP(Sales_Details2[[#This Row],[Product_ID]],Product_details[[#All],[Product_ID]:[Cost]],3,0)</f>
        <v>Clothing</v>
      </c>
      <c r="J1685" s="2" t="str">
        <f>VLOOKUP(Sales_Details2[[#This Row],[Product_ID]],Product_details[[#All],[Product_ID]:[Cost]],4,0)</f>
        <v>Footwear</v>
      </c>
      <c r="K1685" s="2" t="s">
        <v>1762</v>
      </c>
      <c r="L1685" s="2" t="str">
        <f>_xlfn.XLOOKUP(Sales_Details2[[#This Row],[Store_ID]],Table2[Store_ID],Table2[Region],"Region not found")</f>
        <v>South</v>
      </c>
      <c r="M1685" s="25">
        <v>2</v>
      </c>
      <c r="N1685" s="36">
        <v>78.27</v>
      </c>
      <c r="O1685" s="29">
        <v>0.28999999999999998</v>
      </c>
      <c r="P1685" s="2" t="s">
        <v>1812</v>
      </c>
      <c r="Q1685" s="36">
        <v>111.1434</v>
      </c>
    </row>
    <row r="1686" spans="1:17" x14ac:dyDescent="0.3">
      <c r="A1686" s="2" t="s">
        <v>3493</v>
      </c>
      <c r="B1686" s="14">
        <v>45845</v>
      </c>
      <c r="C1686" s="2">
        <f>YEAR(Sales_Details2[[#This Row],[Order_Date]])</f>
        <v>2025</v>
      </c>
      <c r="D1686" s="2" t="s">
        <v>59</v>
      </c>
      <c r="E1686" s="2" t="str">
        <f>VLOOKUP(Sales_Details2[[#This Row],[Customer_ID]],Customer_Details[#All],4,0)</f>
        <v>Senior</v>
      </c>
      <c r="F1686" s="2" t="str">
        <f>VLOOKUP(Sales_Details2[[#This Row],[Customer_ID]],Customer_Details[#All],5,0)</f>
        <v>Female</v>
      </c>
      <c r="G1686" s="2" t="str">
        <f>VLOOKUP(Sales_Details2[[#This Row],[Customer_ID]],Customer_Details[#All],9,0)</f>
        <v>Platinum</v>
      </c>
      <c r="H1686" s="2" t="s">
        <v>1655</v>
      </c>
      <c r="I1686" s="2" t="str">
        <f>VLOOKUP(Sales_Details2[[#This Row],[Product_ID]],Product_details[[#All],[Product_ID]:[Cost]],3,0)</f>
        <v>Electronics</v>
      </c>
      <c r="J1686" s="2" t="str">
        <f>VLOOKUP(Sales_Details2[[#This Row],[Product_ID]],Product_details[[#All],[Product_ID]:[Cost]],4,0)</f>
        <v>Computer</v>
      </c>
      <c r="K1686" s="2" t="s">
        <v>1780</v>
      </c>
      <c r="L1686" s="2" t="str">
        <f>_xlfn.XLOOKUP(Sales_Details2[[#This Row],[Store_ID]],Table2[Store_ID],Table2[Region],"Region not found")</f>
        <v>East</v>
      </c>
      <c r="M1686" s="25">
        <v>4</v>
      </c>
      <c r="N1686" s="36">
        <v>676.58</v>
      </c>
      <c r="O1686" s="29">
        <v>0.23</v>
      </c>
      <c r="P1686" s="2" t="s">
        <v>1812</v>
      </c>
      <c r="Q1686" s="36">
        <v>2083.8663999999999</v>
      </c>
    </row>
    <row r="1687" spans="1:17" x14ac:dyDescent="0.3">
      <c r="A1687" s="2" t="s">
        <v>3494</v>
      </c>
      <c r="B1687" s="14">
        <v>45446</v>
      </c>
      <c r="C1687" s="2">
        <f>YEAR(Sales_Details2[[#This Row],[Order_Date]])</f>
        <v>2024</v>
      </c>
      <c r="D1687" s="2" t="s">
        <v>1478</v>
      </c>
      <c r="E1687" s="2" t="str">
        <f>VLOOKUP(Sales_Details2[[#This Row],[Customer_ID]],Customer_Details[#All],4,0)</f>
        <v>Adult</v>
      </c>
      <c r="F1687" s="2" t="str">
        <f>VLOOKUP(Sales_Details2[[#This Row],[Customer_ID]],Customer_Details[#All],5,0)</f>
        <v>Female</v>
      </c>
      <c r="G1687" s="2" t="str">
        <f>VLOOKUP(Sales_Details2[[#This Row],[Customer_ID]],Customer_Details[#All],9,0)</f>
        <v>Bronze</v>
      </c>
      <c r="H1687" s="2" t="s">
        <v>1593</v>
      </c>
      <c r="I1687" s="2" t="str">
        <f>VLOOKUP(Sales_Details2[[#This Row],[Product_ID]],Product_details[[#All],[Product_ID]:[Cost]],3,0)</f>
        <v>Sports</v>
      </c>
      <c r="J1687" s="2" t="str">
        <f>VLOOKUP(Sales_Details2[[#This Row],[Product_ID]],Product_details[[#All],[Product_ID]:[Cost]],4,0)</f>
        <v>Team Sports</v>
      </c>
      <c r="K1687" s="2" t="s">
        <v>1740</v>
      </c>
      <c r="L1687" s="2" t="str">
        <f>_xlfn.XLOOKUP(Sales_Details2[[#This Row],[Store_ID]],Table2[Store_ID],Table2[Region],"Region not found")</f>
        <v>North</v>
      </c>
      <c r="M1687" s="25">
        <v>2</v>
      </c>
      <c r="N1687" s="36">
        <v>938.6</v>
      </c>
      <c r="O1687" s="29">
        <v>0.04</v>
      </c>
      <c r="P1687" s="2" t="s">
        <v>1809</v>
      </c>
      <c r="Q1687" s="36">
        <v>1802.1120000000001</v>
      </c>
    </row>
    <row r="1688" spans="1:17" x14ac:dyDescent="0.3">
      <c r="A1688" s="2" t="s">
        <v>3495</v>
      </c>
      <c r="B1688" s="14">
        <v>45761</v>
      </c>
      <c r="C1688" s="2">
        <f>YEAR(Sales_Details2[[#This Row],[Order_Date]])</f>
        <v>2025</v>
      </c>
      <c r="D1688" s="2" t="s">
        <v>1100</v>
      </c>
      <c r="E1688" s="2" t="str">
        <f>VLOOKUP(Sales_Details2[[#This Row],[Customer_ID]],Customer_Details[#All],4,0)</f>
        <v>Adult</v>
      </c>
      <c r="F1688" s="2" t="str">
        <f>VLOOKUP(Sales_Details2[[#This Row],[Customer_ID]],Customer_Details[#All],5,0)</f>
        <v>Male</v>
      </c>
      <c r="G1688" s="2" t="str">
        <f>VLOOKUP(Sales_Details2[[#This Row],[Customer_ID]],Customer_Details[#All],9,0)</f>
        <v>Gold</v>
      </c>
      <c r="H1688" s="2" t="s">
        <v>1557</v>
      </c>
      <c r="I1688" s="2" t="str">
        <f>VLOOKUP(Sales_Details2[[#This Row],[Product_ID]],Product_details[[#All],[Product_ID]:[Cost]],3,0)</f>
        <v>Electronics</v>
      </c>
      <c r="J1688" s="2" t="str">
        <f>VLOOKUP(Sales_Details2[[#This Row],[Product_ID]],Product_details[[#All],[Product_ID]:[Cost]],4,0)</f>
        <v>Accessories</v>
      </c>
      <c r="K1688" s="2" t="s">
        <v>1782</v>
      </c>
      <c r="L1688" s="2" t="str">
        <f>_xlfn.XLOOKUP(Sales_Details2[[#This Row],[Store_ID]],Table2[Store_ID],Table2[Region],"Region not found")</f>
        <v>South</v>
      </c>
      <c r="M1688" s="25">
        <v>2</v>
      </c>
      <c r="N1688" s="36">
        <v>859.47</v>
      </c>
      <c r="O1688" s="29">
        <v>0.01</v>
      </c>
      <c r="P1688" s="2" t="s">
        <v>1807</v>
      </c>
      <c r="Q1688" s="36">
        <v>1701.7506000000001</v>
      </c>
    </row>
    <row r="1689" spans="1:17" x14ac:dyDescent="0.3">
      <c r="A1689" s="2" t="s">
        <v>3496</v>
      </c>
      <c r="B1689" s="14">
        <v>45363</v>
      </c>
      <c r="C1689" s="2">
        <f>YEAR(Sales_Details2[[#This Row],[Order_Date]])</f>
        <v>2024</v>
      </c>
      <c r="D1689" s="2" t="s">
        <v>211</v>
      </c>
      <c r="E1689" s="2" t="str">
        <f>VLOOKUP(Sales_Details2[[#This Row],[Customer_ID]],Customer_Details[#All],4,0)</f>
        <v>Mid-Adult</v>
      </c>
      <c r="F1689" s="2" t="str">
        <f>VLOOKUP(Sales_Details2[[#This Row],[Customer_ID]],Customer_Details[#All],5,0)</f>
        <v>Female</v>
      </c>
      <c r="G1689" s="2" t="str">
        <f>VLOOKUP(Sales_Details2[[#This Row],[Customer_ID]],Customer_Details[#All],9,0)</f>
        <v>Platinum</v>
      </c>
      <c r="H1689" s="2" t="s">
        <v>1585</v>
      </c>
      <c r="I1689" s="2" t="str">
        <f>VLOOKUP(Sales_Details2[[#This Row],[Product_ID]],Product_details[[#All],[Product_ID]:[Cost]],3,0)</f>
        <v>Home</v>
      </c>
      <c r="J1689" s="2" t="str">
        <f>VLOOKUP(Sales_Details2[[#This Row],[Product_ID]],Product_details[[#All],[Product_ID]:[Cost]],4,0)</f>
        <v>Decor</v>
      </c>
      <c r="K1689" s="2" t="s">
        <v>1782</v>
      </c>
      <c r="L1689" s="2" t="str">
        <f>_xlfn.XLOOKUP(Sales_Details2[[#This Row],[Store_ID]],Table2[Store_ID],Table2[Region],"Region not found")</f>
        <v>South</v>
      </c>
      <c r="M1689" s="25">
        <v>3</v>
      </c>
      <c r="N1689" s="36">
        <v>672.98</v>
      </c>
      <c r="O1689" s="29">
        <v>0.23</v>
      </c>
      <c r="P1689" s="2" t="s">
        <v>1809</v>
      </c>
      <c r="Q1689" s="36">
        <v>1554.5838000000001</v>
      </c>
    </row>
    <row r="1690" spans="1:17" x14ac:dyDescent="0.3">
      <c r="A1690" s="2" t="s">
        <v>3497</v>
      </c>
      <c r="B1690" s="14">
        <v>45420</v>
      </c>
      <c r="C1690" s="2">
        <f>YEAR(Sales_Details2[[#This Row],[Order_Date]])</f>
        <v>2024</v>
      </c>
      <c r="D1690" s="2" t="s">
        <v>666</v>
      </c>
      <c r="E1690" s="2" t="str">
        <f>VLOOKUP(Sales_Details2[[#This Row],[Customer_ID]],Customer_Details[#All],4,0)</f>
        <v>Adult</v>
      </c>
      <c r="F1690" s="2" t="str">
        <f>VLOOKUP(Sales_Details2[[#This Row],[Customer_ID]],Customer_Details[#All],5,0)</f>
        <v>Female</v>
      </c>
      <c r="G1690" s="2" t="str">
        <f>VLOOKUP(Sales_Details2[[#This Row],[Customer_ID]],Customer_Details[#All],9,0)</f>
        <v>Silver</v>
      </c>
      <c r="H1690" s="2" t="s">
        <v>1643</v>
      </c>
      <c r="I1690" s="2" t="str">
        <f>VLOOKUP(Sales_Details2[[#This Row],[Product_ID]],Product_details[[#All],[Product_ID]:[Cost]],3,0)</f>
        <v>Home</v>
      </c>
      <c r="J1690" s="2" t="str">
        <f>VLOOKUP(Sales_Details2[[#This Row],[Product_ID]],Product_details[[#All],[Product_ID]:[Cost]],4,0)</f>
        <v>Decor</v>
      </c>
      <c r="K1690" s="2" t="s">
        <v>1793</v>
      </c>
      <c r="L1690" s="2" t="str">
        <f>_xlfn.XLOOKUP(Sales_Details2[[#This Row],[Store_ID]],Table2[Store_ID],Table2[Region],"Region not found")</f>
        <v>East</v>
      </c>
      <c r="M1690" s="25">
        <v>1</v>
      </c>
      <c r="N1690" s="36">
        <v>75.8</v>
      </c>
      <c r="O1690" s="29">
        <v>0.28999999999999998</v>
      </c>
      <c r="P1690" s="2" t="s">
        <v>1809</v>
      </c>
      <c r="Q1690" s="36">
        <v>53.817999999999998</v>
      </c>
    </row>
    <row r="1691" spans="1:17" x14ac:dyDescent="0.3">
      <c r="A1691" s="2" t="s">
        <v>3498</v>
      </c>
      <c r="B1691" s="14">
        <v>45536</v>
      </c>
      <c r="C1691" s="2">
        <f>YEAR(Sales_Details2[[#This Row],[Order_Date]])</f>
        <v>2024</v>
      </c>
      <c r="D1691" s="2" t="s">
        <v>136</v>
      </c>
      <c r="E1691" s="2" t="str">
        <f>VLOOKUP(Sales_Details2[[#This Row],[Customer_ID]],Customer_Details[#All],4,0)</f>
        <v>Adult</v>
      </c>
      <c r="F1691" s="2" t="str">
        <f>VLOOKUP(Sales_Details2[[#This Row],[Customer_ID]],Customer_Details[#All],5,0)</f>
        <v>Female</v>
      </c>
      <c r="G1691" s="2" t="str">
        <f>VLOOKUP(Sales_Details2[[#This Row],[Customer_ID]],Customer_Details[#All],9,0)</f>
        <v>Platinum</v>
      </c>
      <c r="H1691" s="2" t="s">
        <v>1565</v>
      </c>
      <c r="I1691" s="2" t="str">
        <f>VLOOKUP(Sales_Details2[[#This Row],[Product_ID]],Product_details[[#All],[Product_ID]:[Cost]],3,0)</f>
        <v>Sports</v>
      </c>
      <c r="J1691" s="2" t="str">
        <f>VLOOKUP(Sales_Details2[[#This Row],[Product_ID]],Product_details[[#All],[Product_ID]:[Cost]],4,0)</f>
        <v>Accessories</v>
      </c>
      <c r="K1691" s="2" t="s">
        <v>1784</v>
      </c>
      <c r="L1691" s="2" t="str">
        <f>_xlfn.XLOOKUP(Sales_Details2[[#This Row],[Store_ID]],Table2[Store_ID],Table2[Region],"Region not found")</f>
        <v>North</v>
      </c>
      <c r="M1691" s="25">
        <v>4</v>
      </c>
      <c r="N1691" s="36">
        <v>742.15</v>
      </c>
      <c r="O1691" s="29">
        <v>0.1</v>
      </c>
      <c r="P1691" s="2" t="s">
        <v>1812</v>
      </c>
      <c r="Q1691" s="36">
        <v>2671.74</v>
      </c>
    </row>
    <row r="1692" spans="1:17" x14ac:dyDescent="0.3">
      <c r="A1692" s="2" t="s">
        <v>3499</v>
      </c>
      <c r="B1692" s="14">
        <v>45445</v>
      </c>
      <c r="C1692" s="2">
        <f>YEAR(Sales_Details2[[#This Row],[Order_Date]])</f>
        <v>2024</v>
      </c>
      <c r="D1692" s="2" t="s">
        <v>261</v>
      </c>
      <c r="E1692" s="2" t="str">
        <f>VLOOKUP(Sales_Details2[[#This Row],[Customer_ID]],Customer_Details[#All],4,0)</f>
        <v>Mid-Adult</v>
      </c>
      <c r="F1692" s="2" t="str">
        <f>VLOOKUP(Sales_Details2[[#This Row],[Customer_ID]],Customer_Details[#All],5,0)</f>
        <v>Female</v>
      </c>
      <c r="G1692" s="2" t="str">
        <f>VLOOKUP(Sales_Details2[[#This Row],[Customer_ID]],Customer_Details[#All],9,0)</f>
        <v>Gold</v>
      </c>
      <c r="H1692" s="2" t="s">
        <v>1591</v>
      </c>
      <c r="I1692" s="2" t="str">
        <f>VLOOKUP(Sales_Details2[[#This Row],[Product_ID]],Product_details[[#All],[Product_ID]:[Cost]],3,0)</f>
        <v>Home</v>
      </c>
      <c r="J1692" s="2" t="str">
        <f>VLOOKUP(Sales_Details2[[#This Row],[Product_ID]],Product_details[[#All],[Product_ID]:[Cost]],4,0)</f>
        <v>Kitchen</v>
      </c>
      <c r="K1692" s="2" t="s">
        <v>1762</v>
      </c>
      <c r="L1692" s="2" t="str">
        <f>_xlfn.XLOOKUP(Sales_Details2[[#This Row],[Store_ID]],Table2[Store_ID],Table2[Region],"Region not found")</f>
        <v>South</v>
      </c>
      <c r="M1692" s="25">
        <v>1</v>
      </c>
      <c r="N1692" s="36">
        <v>637.39</v>
      </c>
      <c r="O1692" s="29">
        <v>0.22</v>
      </c>
      <c r="P1692" s="2" t="s">
        <v>1809</v>
      </c>
      <c r="Q1692" s="36">
        <v>497.16419999999999</v>
      </c>
    </row>
    <row r="1693" spans="1:17" x14ac:dyDescent="0.3">
      <c r="A1693" s="2" t="s">
        <v>3500</v>
      </c>
      <c r="B1693" s="14">
        <v>45230</v>
      </c>
      <c r="C1693" s="2">
        <f>YEAR(Sales_Details2[[#This Row],[Order_Date]])</f>
        <v>2023</v>
      </c>
      <c r="D1693" s="2" t="s">
        <v>1207</v>
      </c>
      <c r="E1693" s="2" t="str">
        <f>VLOOKUP(Sales_Details2[[#This Row],[Customer_ID]],Customer_Details[#All],4,0)</f>
        <v>Mid-Adult</v>
      </c>
      <c r="F1693" s="2" t="str">
        <f>VLOOKUP(Sales_Details2[[#This Row],[Customer_ID]],Customer_Details[#All],5,0)</f>
        <v>Female</v>
      </c>
      <c r="G1693" s="2" t="str">
        <f>VLOOKUP(Sales_Details2[[#This Row],[Customer_ID]],Customer_Details[#All],9,0)</f>
        <v>Bronze</v>
      </c>
      <c r="H1693" s="2" t="s">
        <v>1540</v>
      </c>
      <c r="I1693" s="2" t="str">
        <f>VLOOKUP(Sales_Details2[[#This Row],[Product_ID]],Product_details[[#All],[Product_ID]:[Cost]],3,0)</f>
        <v>Beauty</v>
      </c>
      <c r="J1693" s="2" t="str">
        <f>VLOOKUP(Sales_Details2[[#This Row],[Product_ID]],Product_details[[#All],[Product_ID]:[Cost]],4,0)</f>
        <v>Skincare</v>
      </c>
      <c r="K1693" s="2" t="s">
        <v>1790</v>
      </c>
      <c r="L1693" s="2" t="str">
        <f>_xlfn.XLOOKUP(Sales_Details2[[#This Row],[Store_ID]],Table2[Store_ID],Table2[Region],"Region not found")</f>
        <v>North</v>
      </c>
      <c r="M1693" s="25">
        <v>1</v>
      </c>
      <c r="N1693" s="36">
        <v>631</v>
      </c>
      <c r="O1693" s="29">
        <v>0.04</v>
      </c>
      <c r="P1693" s="2" t="s">
        <v>1807</v>
      </c>
      <c r="Q1693" s="36">
        <v>605.76</v>
      </c>
    </row>
    <row r="1694" spans="1:17" x14ac:dyDescent="0.3">
      <c r="A1694" s="2" t="s">
        <v>3501</v>
      </c>
      <c r="B1694" s="14">
        <v>45916</v>
      </c>
      <c r="C1694" s="2">
        <f>YEAR(Sales_Details2[[#This Row],[Order_Date]])</f>
        <v>2025</v>
      </c>
      <c r="D1694" s="2" t="s">
        <v>1213</v>
      </c>
      <c r="E1694" s="2" t="str">
        <f>VLOOKUP(Sales_Details2[[#This Row],[Customer_ID]],Customer_Details[#All],4,0)</f>
        <v>Mid-Adult</v>
      </c>
      <c r="F1694" s="2" t="str">
        <f>VLOOKUP(Sales_Details2[[#This Row],[Customer_ID]],Customer_Details[#All],5,0)</f>
        <v>Male</v>
      </c>
      <c r="G1694" s="2" t="str">
        <f>VLOOKUP(Sales_Details2[[#This Row],[Customer_ID]],Customer_Details[#All],9,0)</f>
        <v>Bronze</v>
      </c>
      <c r="H1694" s="2" t="s">
        <v>1691</v>
      </c>
      <c r="I1694" s="2" t="str">
        <f>VLOOKUP(Sales_Details2[[#This Row],[Product_ID]],Product_details[[#All],[Product_ID]:[Cost]],3,0)</f>
        <v>Home</v>
      </c>
      <c r="J1694" s="2" t="str">
        <f>VLOOKUP(Sales_Details2[[#This Row],[Product_ID]],Product_details[[#All],[Product_ID]:[Cost]],4,0)</f>
        <v>Kitchen</v>
      </c>
      <c r="K1694" s="2" t="s">
        <v>1749</v>
      </c>
      <c r="L1694" s="2" t="str">
        <f>_xlfn.XLOOKUP(Sales_Details2[[#This Row],[Store_ID]],Table2[Store_ID],Table2[Region],"Region not found")</f>
        <v>North</v>
      </c>
      <c r="M1694" s="25">
        <v>4</v>
      </c>
      <c r="N1694" s="36">
        <v>983.98</v>
      </c>
      <c r="O1694" s="29">
        <v>0.11</v>
      </c>
      <c r="P1694" s="2" t="s">
        <v>1812</v>
      </c>
      <c r="Q1694" s="36">
        <v>3502.9688000000001</v>
      </c>
    </row>
    <row r="1695" spans="1:17" x14ac:dyDescent="0.3">
      <c r="A1695" s="2" t="s">
        <v>3502</v>
      </c>
      <c r="B1695" s="14">
        <v>45353</v>
      </c>
      <c r="C1695" s="2">
        <f>YEAR(Sales_Details2[[#This Row],[Order_Date]])</f>
        <v>2024</v>
      </c>
      <c r="D1695" s="2" t="s">
        <v>202</v>
      </c>
      <c r="E1695" s="2" t="str">
        <f>VLOOKUP(Sales_Details2[[#This Row],[Customer_ID]],Customer_Details[#All],4,0)</f>
        <v>Adult</v>
      </c>
      <c r="F1695" s="2" t="str">
        <f>VLOOKUP(Sales_Details2[[#This Row],[Customer_ID]],Customer_Details[#All],5,0)</f>
        <v>Male</v>
      </c>
      <c r="G1695" s="2" t="str">
        <f>VLOOKUP(Sales_Details2[[#This Row],[Customer_ID]],Customer_Details[#All],9,0)</f>
        <v>Platinum</v>
      </c>
      <c r="H1695" s="2" t="s">
        <v>1641</v>
      </c>
      <c r="I1695" s="2" t="str">
        <f>VLOOKUP(Sales_Details2[[#This Row],[Product_ID]],Product_details[[#All],[Product_ID]:[Cost]],3,0)</f>
        <v>Home</v>
      </c>
      <c r="J1695" s="2" t="str">
        <f>VLOOKUP(Sales_Details2[[#This Row],[Product_ID]],Product_details[[#All],[Product_ID]:[Cost]],4,0)</f>
        <v>Decor</v>
      </c>
      <c r="K1695" s="2" t="s">
        <v>1775</v>
      </c>
      <c r="L1695" s="2" t="str">
        <f>_xlfn.XLOOKUP(Sales_Details2[[#This Row],[Store_ID]],Table2[Store_ID],Table2[Region],"Region not found")</f>
        <v>South</v>
      </c>
      <c r="M1695" s="25">
        <v>4</v>
      </c>
      <c r="N1695" s="36">
        <v>73.69</v>
      </c>
      <c r="O1695" s="29">
        <v>0.08</v>
      </c>
      <c r="P1695" s="2" t="s">
        <v>1807</v>
      </c>
      <c r="Q1695" s="36">
        <v>271.17919999999998</v>
      </c>
    </row>
    <row r="1696" spans="1:17" x14ac:dyDescent="0.3">
      <c r="A1696" s="2" t="s">
        <v>3503</v>
      </c>
      <c r="B1696" s="14">
        <v>45490</v>
      </c>
      <c r="C1696" s="2">
        <f>YEAR(Sales_Details2[[#This Row],[Order_Date]])</f>
        <v>2024</v>
      </c>
      <c r="D1696" s="2" t="s">
        <v>1327</v>
      </c>
      <c r="E1696" s="2" t="str">
        <f>VLOOKUP(Sales_Details2[[#This Row],[Customer_ID]],Customer_Details[#All],4,0)</f>
        <v>Senior</v>
      </c>
      <c r="F1696" s="2" t="str">
        <f>VLOOKUP(Sales_Details2[[#This Row],[Customer_ID]],Customer_Details[#All],5,0)</f>
        <v>Female</v>
      </c>
      <c r="G1696" s="2" t="str">
        <f>VLOOKUP(Sales_Details2[[#This Row],[Customer_ID]],Customer_Details[#All],9,0)</f>
        <v>Silver</v>
      </c>
      <c r="H1696" s="2" t="s">
        <v>1553</v>
      </c>
      <c r="I1696" s="2" t="str">
        <f>VLOOKUP(Sales_Details2[[#This Row],[Product_ID]],Product_details[[#All],[Product_ID]:[Cost]],3,0)</f>
        <v>Electronics</v>
      </c>
      <c r="J1696" s="2" t="str">
        <f>VLOOKUP(Sales_Details2[[#This Row],[Product_ID]],Product_details[[#All],[Product_ID]:[Cost]],4,0)</f>
        <v>Accessories</v>
      </c>
      <c r="K1696" s="2" t="s">
        <v>1762</v>
      </c>
      <c r="L1696" s="2" t="str">
        <f>_xlfn.XLOOKUP(Sales_Details2[[#This Row],[Store_ID]],Table2[Store_ID],Table2[Region],"Region not found")</f>
        <v>South</v>
      </c>
      <c r="M1696" s="25">
        <v>3</v>
      </c>
      <c r="N1696" s="36">
        <v>110.99</v>
      </c>
      <c r="O1696" s="29">
        <v>0.21</v>
      </c>
      <c r="P1696" s="2" t="s">
        <v>1807</v>
      </c>
      <c r="Q1696" s="36">
        <v>263.04629999999997</v>
      </c>
    </row>
    <row r="1697" spans="1:17" x14ac:dyDescent="0.3">
      <c r="A1697" s="2" t="s">
        <v>3504</v>
      </c>
      <c r="B1697" s="14">
        <v>45850</v>
      </c>
      <c r="C1697" s="2">
        <f>YEAR(Sales_Details2[[#This Row],[Order_Date]])</f>
        <v>2025</v>
      </c>
      <c r="D1697" s="2" t="s">
        <v>298</v>
      </c>
      <c r="E1697" s="2" t="str">
        <f>VLOOKUP(Sales_Details2[[#This Row],[Customer_ID]],Customer_Details[#All],4,0)</f>
        <v>Mid-Adult</v>
      </c>
      <c r="F1697" s="2" t="str">
        <f>VLOOKUP(Sales_Details2[[#This Row],[Customer_ID]],Customer_Details[#All],5,0)</f>
        <v>Female</v>
      </c>
      <c r="G1697" s="2" t="str">
        <f>VLOOKUP(Sales_Details2[[#This Row],[Customer_ID]],Customer_Details[#All],9,0)</f>
        <v>Bronze</v>
      </c>
      <c r="H1697" s="2" t="s">
        <v>1551</v>
      </c>
      <c r="I1697" s="2" t="str">
        <f>VLOOKUP(Sales_Details2[[#This Row],[Product_ID]],Product_details[[#All],[Product_ID]:[Cost]],3,0)</f>
        <v>Home</v>
      </c>
      <c r="J1697" s="2" t="str">
        <f>VLOOKUP(Sales_Details2[[#This Row],[Product_ID]],Product_details[[#All],[Product_ID]:[Cost]],4,0)</f>
        <v>Kitchen</v>
      </c>
      <c r="K1697" s="2" t="s">
        <v>1762</v>
      </c>
      <c r="L1697" s="2" t="str">
        <f>_xlfn.XLOOKUP(Sales_Details2[[#This Row],[Store_ID]],Table2[Store_ID],Table2[Region],"Region not found")</f>
        <v>South</v>
      </c>
      <c r="M1697" s="25">
        <v>1</v>
      </c>
      <c r="N1697" s="36">
        <v>66.86</v>
      </c>
      <c r="O1697" s="29">
        <v>0.22</v>
      </c>
      <c r="P1697" s="2" t="s">
        <v>1812</v>
      </c>
      <c r="Q1697" s="36">
        <v>52.150799999999997</v>
      </c>
    </row>
    <row r="1698" spans="1:17" x14ac:dyDescent="0.3">
      <c r="A1698" s="2" t="s">
        <v>3505</v>
      </c>
      <c r="B1698" s="14">
        <v>45515</v>
      </c>
      <c r="C1698" s="2">
        <f>YEAR(Sales_Details2[[#This Row],[Order_Date]])</f>
        <v>2024</v>
      </c>
      <c r="D1698" s="2" t="s">
        <v>1281</v>
      </c>
      <c r="E1698" s="2" t="str">
        <f>VLOOKUP(Sales_Details2[[#This Row],[Customer_ID]],Customer_Details[#All],4,0)</f>
        <v>Senior</v>
      </c>
      <c r="F1698" s="2" t="str">
        <f>VLOOKUP(Sales_Details2[[#This Row],[Customer_ID]],Customer_Details[#All],5,0)</f>
        <v>Female</v>
      </c>
      <c r="G1698" s="2" t="str">
        <f>VLOOKUP(Sales_Details2[[#This Row],[Customer_ID]],Customer_Details[#All],9,0)</f>
        <v>Bronze</v>
      </c>
      <c r="H1698" s="2" t="s">
        <v>1665</v>
      </c>
      <c r="I1698" s="2" t="str">
        <f>VLOOKUP(Sales_Details2[[#This Row],[Product_ID]],Product_details[[#All],[Product_ID]:[Cost]],3,0)</f>
        <v>Electronics</v>
      </c>
      <c r="J1698" s="2" t="str">
        <f>VLOOKUP(Sales_Details2[[#This Row],[Product_ID]],Product_details[[#All],[Product_ID]:[Cost]],4,0)</f>
        <v>Accessories</v>
      </c>
      <c r="K1698" s="2" t="s">
        <v>1793</v>
      </c>
      <c r="L1698" s="2" t="str">
        <f>_xlfn.XLOOKUP(Sales_Details2[[#This Row],[Store_ID]],Table2[Store_ID],Table2[Region],"Region not found")</f>
        <v>East</v>
      </c>
      <c r="M1698" s="25">
        <v>1</v>
      </c>
      <c r="N1698" s="36">
        <v>980.26</v>
      </c>
      <c r="O1698" s="29">
        <v>0.14000000000000001</v>
      </c>
      <c r="P1698" s="2" t="s">
        <v>1809</v>
      </c>
      <c r="Q1698" s="36">
        <v>843.02359999999999</v>
      </c>
    </row>
    <row r="1699" spans="1:17" x14ac:dyDescent="0.3">
      <c r="A1699" s="2" t="s">
        <v>3506</v>
      </c>
      <c r="B1699" s="14">
        <v>45322</v>
      </c>
      <c r="C1699" s="2">
        <f>YEAR(Sales_Details2[[#This Row],[Order_Date]])</f>
        <v>2024</v>
      </c>
      <c r="D1699" s="2" t="s">
        <v>146</v>
      </c>
      <c r="E1699" s="2" t="str">
        <f>VLOOKUP(Sales_Details2[[#This Row],[Customer_ID]],Customer_Details[#All],4,0)</f>
        <v>Adult</v>
      </c>
      <c r="F1699" s="2" t="str">
        <f>VLOOKUP(Sales_Details2[[#This Row],[Customer_ID]],Customer_Details[#All],5,0)</f>
        <v>Female</v>
      </c>
      <c r="G1699" s="2" t="str">
        <f>VLOOKUP(Sales_Details2[[#This Row],[Customer_ID]],Customer_Details[#All],9,0)</f>
        <v>Platinum</v>
      </c>
      <c r="H1699" s="2" t="s">
        <v>1567</v>
      </c>
      <c r="I1699" s="2" t="str">
        <f>VLOOKUP(Sales_Details2[[#This Row],[Product_ID]],Product_details[[#All],[Product_ID]:[Cost]],3,0)</f>
        <v>Clothing</v>
      </c>
      <c r="J1699" s="2" t="str">
        <f>VLOOKUP(Sales_Details2[[#This Row],[Product_ID]],Product_details[[#All],[Product_ID]:[Cost]],4,0)</f>
        <v>Bottoms</v>
      </c>
      <c r="K1699" s="2" t="s">
        <v>1793</v>
      </c>
      <c r="L1699" s="2" t="str">
        <f>_xlfn.XLOOKUP(Sales_Details2[[#This Row],[Store_ID]],Table2[Store_ID],Table2[Region],"Region not found")</f>
        <v>East</v>
      </c>
      <c r="M1699" s="25">
        <v>1</v>
      </c>
      <c r="N1699" s="36">
        <v>235.28</v>
      </c>
      <c r="O1699" s="29">
        <v>0.05</v>
      </c>
      <c r="P1699" s="2" t="s">
        <v>1809</v>
      </c>
      <c r="Q1699" s="36">
        <v>223.51599999999999</v>
      </c>
    </row>
    <row r="1700" spans="1:17" x14ac:dyDescent="0.3">
      <c r="A1700" s="2" t="s">
        <v>3507</v>
      </c>
      <c r="B1700" s="14">
        <v>45542</v>
      </c>
      <c r="C1700" s="2">
        <f>YEAR(Sales_Details2[[#This Row],[Order_Date]])</f>
        <v>2024</v>
      </c>
      <c r="D1700" s="2" t="s">
        <v>1278</v>
      </c>
      <c r="E1700" s="2" t="str">
        <f>VLOOKUP(Sales_Details2[[#This Row],[Customer_ID]],Customer_Details[#All],4,0)</f>
        <v>Mid-Adult</v>
      </c>
      <c r="F1700" s="2" t="str">
        <f>VLOOKUP(Sales_Details2[[#This Row],[Customer_ID]],Customer_Details[#All],5,0)</f>
        <v>Male</v>
      </c>
      <c r="G1700" s="2" t="str">
        <f>VLOOKUP(Sales_Details2[[#This Row],[Customer_ID]],Customer_Details[#All],9,0)</f>
        <v>Platinum</v>
      </c>
      <c r="H1700" s="2" t="s">
        <v>1526</v>
      </c>
      <c r="I1700" s="2" t="str">
        <f>VLOOKUP(Sales_Details2[[#This Row],[Product_ID]],Product_details[[#All],[Product_ID]:[Cost]],3,0)</f>
        <v>Electronics</v>
      </c>
      <c r="J1700" s="2" t="str">
        <f>VLOOKUP(Sales_Details2[[#This Row],[Product_ID]],Product_details[[#All],[Product_ID]:[Cost]],4,0)</f>
        <v>Computer</v>
      </c>
      <c r="K1700" s="2" t="s">
        <v>1784</v>
      </c>
      <c r="L1700" s="2" t="str">
        <f>_xlfn.XLOOKUP(Sales_Details2[[#This Row],[Store_ID]],Table2[Store_ID],Table2[Region],"Region not found")</f>
        <v>North</v>
      </c>
      <c r="M1700" s="25">
        <v>3</v>
      </c>
      <c r="N1700" s="36">
        <v>407.39</v>
      </c>
      <c r="O1700" s="29">
        <v>0.08</v>
      </c>
      <c r="P1700" s="2" t="s">
        <v>1809</v>
      </c>
      <c r="Q1700" s="36">
        <v>1124.3964000000001</v>
      </c>
    </row>
    <row r="1701" spans="1:17" x14ac:dyDescent="0.3">
      <c r="A1701" s="2" t="s">
        <v>3508</v>
      </c>
      <c r="B1701" s="14">
        <v>45675</v>
      </c>
      <c r="C1701" s="2">
        <f>YEAR(Sales_Details2[[#This Row],[Order_Date]])</f>
        <v>2025</v>
      </c>
      <c r="D1701" s="2" t="s">
        <v>248</v>
      </c>
      <c r="E1701" s="2" t="str">
        <f>VLOOKUP(Sales_Details2[[#This Row],[Customer_ID]],Customer_Details[#All],4,0)</f>
        <v>Adult</v>
      </c>
      <c r="F1701" s="2" t="str">
        <f>VLOOKUP(Sales_Details2[[#This Row],[Customer_ID]],Customer_Details[#All],5,0)</f>
        <v>Female</v>
      </c>
      <c r="G1701" s="2" t="str">
        <f>VLOOKUP(Sales_Details2[[#This Row],[Customer_ID]],Customer_Details[#All],9,0)</f>
        <v>Silver</v>
      </c>
      <c r="H1701" s="2" t="s">
        <v>1585</v>
      </c>
      <c r="I1701" s="2" t="str">
        <f>VLOOKUP(Sales_Details2[[#This Row],[Product_ID]],Product_details[[#All],[Product_ID]:[Cost]],3,0)</f>
        <v>Home</v>
      </c>
      <c r="J1701" s="2" t="str">
        <f>VLOOKUP(Sales_Details2[[#This Row],[Product_ID]],Product_details[[#All],[Product_ID]:[Cost]],4,0)</f>
        <v>Decor</v>
      </c>
      <c r="K1701" s="2" t="s">
        <v>1782</v>
      </c>
      <c r="L1701" s="2" t="str">
        <f>_xlfn.XLOOKUP(Sales_Details2[[#This Row],[Store_ID]],Table2[Store_ID],Table2[Region],"Region not found")</f>
        <v>South</v>
      </c>
      <c r="M1701" s="25">
        <v>4</v>
      </c>
      <c r="N1701" s="36">
        <v>459.83</v>
      </c>
      <c r="O1701" s="29">
        <v>0.12</v>
      </c>
      <c r="P1701" s="2" t="s">
        <v>1812</v>
      </c>
      <c r="Q1701" s="36">
        <v>1618.6016</v>
      </c>
    </row>
    <row r="1702" spans="1:17" x14ac:dyDescent="0.3">
      <c r="A1702" s="2" t="s">
        <v>3509</v>
      </c>
      <c r="B1702" s="14">
        <v>45333</v>
      </c>
      <c r="C1702" s="2">
        <f>YEAR(Sales_Details2[[#This Row],[Order_Date]])</f>
        <v>2024</v>
      </c>
      <c r="D1702" s="2" t="s">
        <v>491</v>
      </c>
      <c r="E1702" s="2" t="str">
        <f>VLOOKUP(Sales_Details2[[#This Row],[Customer_ID]],Customer_Details[#All],4,0)</f>
        <v>Mid-Adult</v>
      </c>
      <c r="F1702" s="2" t="str">
        <f>VLOOKUP(Sales_Details2[[#This Row],[Customer_ID]],Customer_Details[#All],5,0)</f>
        <v>Female</v>
      </c>
      <c r="G1702" s="2" t="str">
        <f>VLOOKUP(Sales_Details2[[#This Row],[Customer_ID]],Customer_Details[#All],9,0)</f>
        <v>Platinum</v>
      </c>
      <c r="H1702" s="2" t="s">
        <v>1717</v>
      </c>
      <c r="I1702" s="2" t="str">
        <f>VLOOKUP(Sales_Details2[[#This Row],[Product_ID]],Product_details[[#All],[Product_ID]:[Cost]],3,0)</f>
        <v>Electronics</v>
      </c>
      <c r="J1702" s="2" t="str">
        <f>VLOOKUP(Sales_Details2[[#This Row],[Product_ID]],Product_details[[#All],[Product_ID]:[Cost]],4,0)</f>
        <v>Computer</v>
      </c>
      <c r="K1702" s="2" t="s">
        <v>1752</v>
      </c>
      <c r="L1702" s="2" t="str">
        <f>_xlfn.XLOOKUP(Sales_Details2[[#This Row],[Store_ID]],Table2[Store_ID],Table2[Region],"Region not found")</f>
        <v>South</v>
      </c>
      <c r="M1702" s="25">
        <v>3</v>
      </c>
      <c r="N1702" s="36">
        <v>706.6</v>
      </c>
      <c r="O1702" s="29">
        <v>0.17</v>
      </c>
      <c r="P1702" s="2" t="s">
        <v>1809</v>
      </c>
      <c r="Q1702" s="36">
        <v>1759.434</v>
      </c>
    </row>
    <row r="1703" spans="1:17" x14ac:dyDescent="0.3">
      <c r="A1703" s="2" t="s">
        <v>3510</v>
      </c>
      <c r="B1703" s="14">
        <v>45819</v>
      </c>
      <c r="C1703" s="2">
        <f>YEAR(Sales_Details2[[#This Row],[Order_Date]])</f>
        <v>2025</v>
      </c>
      <c r="D1703" s="2" t="s">
        <v>1409</v>
      </c>
      <c r="E1703" s="2" t="str">
        <f>VLOOKUP(Sales_Details2[[#This Row],[Customer_ID]],Customer_Details[#All],4,0)</f>
        <v>Mid-Adult</v>
      </c>
      <c r="F1703" s="2" t="str">
        <f>VLOOKUP(Sales_Details2[[#This Row],[Customer_ID]],Customer_Details[#All],5,0)</f>
        <v>Female</v>
      </c>
      <c r="G1703" s="2" t="str">
        <f>VLOOKUP(Sales_Details2[[#This Row],[Customer_ID]],Customer_Details[#All],9,0)</f>
        <v>Silver</v>
      </c>
      <c r="H1703" s="2" t="s">
        <v>1713</v>
      </c>
      <c r="I1703" s="2" t="str">
        <f>VLOOKUP(Sales_Details2[[#This Row],[Product_ID]],Product_details[[#All],[Product_ID]:[Cost]],3,0)</f>
        <v>Clothing</v>
      </c>
      <c r="J1703" s="2" t="str">
        <f>VLOOKUP(Sales_Details2[[#This Row],[Product_ID]],Product_details[[#All],[Product_ID]:[Cost]],4,0)</f>
        <v>Footwear</v>
      </c>
      <c r="K1703" s="2" t="s">
        <v>1796</v>
      </c>
      <c r="L1703" s="2" t="str">
        <f>_xlfn.XLOOKUP(Sales_Details2[[#This Row],[Store_ID]],Table2[Store_ID],Table2[Region],"Region not found")</f>
        <v>East</v>
      </c>
      <c r="M1703" s="25">
        <v>3</v>
      </c>
      <c r="N1703" s="36">
        <v>811.16</v>
      </c>
      <c r="O1703" s="29">
        <v>0.1</v>
      </c>
      <c r="P1703" s="2" t="s">
        <v>1812</v>
      </c>
      <c r="Q1703" s="36">
        <v>2190.1320000000001</v>
      </c>
    </row>
    <row r="1704" spans="1:17" x14ac:dyDescent="0.3">
      <c r="A1704" s="2" t="s">
        <v>3511</v>
      </c>
      <c r="B1704" s="14">
        <v>45268</v>
      </c>
      <c r="C1704" s="2">
        <f>YEAR(Sales_Details2[[#This Row],[Order_Date]])</f>
        <v>2023</v>
      </c>
      <c r="D1704" s="2" t="s">
        <v>699</v>
      </c>
      <c r="E1704" s="2" t="str">
        <f>VLOOKUP(Sales_Details2[[#This Row],[Customer_ID]],Customer_Details[#All],4,0)</f>
        <v>Mid-Adult</v>
      </c>
      <c r="F1704" s="2" t="str">
        <f>VLOOKUP(Sales_Details2[[#This Row],[Customer_ID]],Customer_Details[#All],5,0)</f>
        <v>Male</v>
      </c>
      <c r="G1704" s="2" t="str">
        <f>VLOOKUP(Sales_Details2[[#This Row],[Customer_ID]],Customer_Details[#All],9,0)</f>
        <v>Silver</v>
      </c>
      <c r="H1704" s="2" t="s">
        <v>1605</v>
      </c>
      <c r="I1704" s="2" t="str">
        <f>VLOOKUP(Sales_Details2[[#This Row],[Product_ID]],Product_details[[#All],[Product_ID]:[Cost]],3,0)</f>
        <v>Clothing</v>
      </c>
      <c r="J1704" s="2" t="str">
        <f>VLOOKUP(Sales_Details2[[#This Row],[Product_ID]],Product_details[[#All],[Product_ID]:[Cost]],4,0)</f>
        <v>Footwear</v>
      </c>
      <c r="K1704" s="2" t="s">
        <v>1762</v>
      </c>
      <c r="L1704" s="2" t="str">
        <f>_xlfn.XLOOKUP(Sales_Details2[[#This Row],[Store_ID]],Table2[Store_ID],Table2[Region],"Region not found")</f>
        <v>South</v>
      </c>
      <c r="M1704" s="25">
        <v>2</v>
      </c>
      <c r="N1704" s="36">
        <v>985.79</v>
      </c>
      <c r="O1704" s="29">
        <v>0.04</v>
      </c>
      <c r="P1704" s="2" t="s">
        <v>1809</v>
      </c>
      <c r="Q1704" s="36">
        <v>1892.7167999999999</v>
      </c>
    </row>
    <row r="1705" spans="1:17" x14ac:dyDescent="0.3">
      <c r="A1705" s="2" t="s">
        <v>3512</v>
      </c>
      <c r="B1705" s="14">
        <v>45521</v>
      </c>
      <c r="C1705" s="2">
        <f>YEAR(Sales_Details2[[#This Row],[Order_Date]])</f>
        <v>2024</v>
      </c>
      <c r="D1705" s="2" t="s">
        <v>610</v>
      </c>
      <c r="E1705" s="2" t="str">
        <f>VLOOKUP(Sales_Details2[[#This Row],[Customer_ID]],Customer_Details[#All],4,0)</f>
        <v>Senior</v>
      </c>
      <c r="F1705" s="2" t="str">
        <f>VLOOKUP(Sales_Details2[[#This Row],[Customer_ID]],Customer_Details[#All],5,0)</f>
        <v>Female</v>
      </c>
      <c r="G1705" s="2" t="str">
        <f>VLOOKUP(Sales_Details2[[#This Row],[Customer_ID]],Customer_Details[#All],9,0)</f>
        <v>Platinum</v>
      </c>
      <c r="H1705" s="2" t="s">
        <v>1597</v>
      </c>
      <c r="I1705" s="2" t="str">
        <f>VLOOKUP(Sales_Details2[[#This Row],[Product_ID]],Product_details[[#All],[Product_ID]:[Cost]],3,0)</f>
        <v>Home</v>
      </c>
      <c r="J1705" s="2" t="str">
        <f>VLOOKUP(Sales_Details2[[#This Row],[Product_ID]],Product_details[[#All],[Product_ID]:[Cost]],4,0)</f>
        <v>Decor</v>
      </c>
      <c r="K1705" s="2" t="s">
        <v>1782</v>
      </c>
      <c r="L1705" s="2" t="str">
        <f>_xlfn.XLOOKUP(Sales_Details2[[#This Row],[Store_ID]],Table2[Store_ID],Table2[Region],"Region not found")</f>
        <v>South</v>
      </c>
      <c r="M1705" s="25">
        <v>1</v>
      </c>
      <c r="N1705" s="36">
        <v>255.02</v>
      </c>
      <c r="O1705" s="29">
        <v>0.3</v>
      </c>
      <c r="P1705" s="2" t="s">
        <v>1807</v>
      </c>
      <c r="Q1705" s="36">
        <v>178.51400000000001</v>
      </c>
    </row>
    <row r="1706" spans="1:17" x14ac:dyDescent="0.3">
      <c r="A1706" s="2" t="s">
        <v>3513</v>
      </c>
      <c r="B1706" s="14">
        <v>45693</v>
      </c>
      <c r="C1706" s="2">
        <f>YEAR(Sales_Details2[[#This Row],[Order_Date]])</f>
        <v>2025</v>
      </c>
      <c r="D1706" s="2" t="s">
        <v>336</v>
      </c>
      <c r="E1706" s="2" t="str">
        <f>VLOOKUP(Sales_Details2[[#This Row],[Customer_ID]],Customer_Details[#All],4,0)</f>
        <v>Senior</v>
      </c>
      <c r="F1706" s="2" t="str">
        <f>VLOOKUP(Sales_Details2[[#This Row],[Customer_ID]],Customer_Details[#All],5,0)</f>
        <v>Female</v>
      </c>
      <c r="G1706" s="2" t="str">
        <f>VLOOKUP(Sales_Details2[[#This Row],[Customer_ID]],Customer_Details[#All],9,0)</f>
        <v>Platinum</v>
      </c>
      <c r="H1706" s="2" t="s">
        <v>1569</v>
      </c>
      <c r="I1706" s="2" t="str">
        <f>VLOOKUP(Sales_Details2[[#This Row],[Product_ID]],Product_details[[#All],[Product_ID]:[Cost]],3,0)</f>
        <v>Sports</v>
      </c>
      <c r="J1706" s="2" t="str">
        <f>VLOOKUP(Sales_Details2[[#This Row],[Product_ID]],Product_details[[#All],[Product_ID]:[Cost]],4,0)</f>
        <v>Equipment</v>
      </c>
      <c r="K1706" s="2" t="s">
        <v>1765</v>
      </c>
      <c r="L1706" s="2" t="str">
        <f>_xlfn.XLOOKUP(Sales_Details2[[#This Row],[Store_ID]],Table2[Store_ID],Table2[Region],"Region not found")</f>
        <v>West</v>
      </c>
      <c r="M1706" s="25">
        <v>1</v>
      </c>
      <c r="N1706" s="36">
        <v>153.57</v>
      </c>
      <c r="O1706" s="29">
        <v>0.01</v>
      </c>
      <c r="P1706" s="2" t="s">
        <v>1809</v>
      </c>
      <c r="Q1706" s="36">
        <v>152.0343</v>
      </c>
    </row>
    <row r="1707" spans="1:17" x14ac:dyDescent="0.3">
      <c r="A1707" s="2" t="s">
        <v>3514</v>
      </c>
      <c r="B1707" s="14">
        <v>45734</v>
      </c>
      <c r="C1707" s="2">
        <f>YEAR(Sales_Details2[[#This Row],[Order_Date]])</f>
        <v>2025</v>
      </c>
      <c r="D1707" s="2" t="s">
        <v>803</v>
      </c>
      <c r="E1707" s="2" t="str">
        <f>VLOOKUP(Sales_Details2[[#This Row],[Customer_ID]],Customer_Details[#All],4,0)</f>
        <v>Mid-Adult</v>
      </c>
      <c r="F1707" s="2" t="str">
        <f>VLOOKUP(Sales_Details2[[#This Row],[Customer_ID]],Customer_Details[#All],5,0)</f>
        <v>Male</v>
      </c>
      <c r="G1707" s="2" t="str">
        <f>VLOOKUP(Sales_Details2[[#This Row],[Customer_ID]],Customer_Details[#All],9,0)</f>
        <v>Bronze</v>
      </c>
      <c r="H1707" s="2" t="s">
        <v>1617</v>
      </c>
      <c r="I1707" s="2" t="str">
        <f>VLOOKUP(Sales_Details2[[#This Row],[Product_ID]],Product_details[[#All],[Product_ID]:[Cost]],3,0)</f>
        <v>Electronics</v>
      </c>
      <c r="J1707" s="2" t="str">
        <f>VLOOKUP(Sales_Details2[[#This Row],[Product_ID]],Product_details[[#All],[Product_ID]:[Cost]],4,0)</f>
        <v>Computer</v>
      </c>
      <c r="K1707" s="2" t="s">
        <v>1793</v>
      </c>
      <c r="L1707" s="2" t="str">
        <f>_xlfn.XLOOKUP(Sales_Details2[[#This Row],[Store_ID]],Table2[Store_ID],Table2[Region],"Region not found")</f>
        <v>East</v>
      </c>
      <c r="M1707" s="25">
        <v>3</v>
      </c>
      <c r="N1707" s="36">
        <v>962.98</v>
      </c>
      <c r="O1707" s="29">
        <v>0.21</v>
      </c>
      <c r="P1707" s="2" t="s">
        <v>1807</v>
      </c>
      <c r="Q1707" s="36">
        <v>2282.2626</v>
      </c>
    </row>
    <row r="1708" spans="1:17" x14ac:dyDescent="0.3">
      <c r="A1708" s="2" t="s">
        <v>3515</v>
      </c>
      <c r="B1708" s="14">
        <v>45377</v>
      </c>
      <c r="C1708" s="2">
        <f>YEAR(Sales_Details2[[#This Row],[Order_Date]])</f>
        <v>2024</v>
      </c>
      <c r="D1708" s="2" t="s">
        <v>211</v>
      </c>
      <c r="E1708" s="2" t="str">
        <f>VLOOKUP(Sales_Details2[[#This Row],[Customer_ID]],Customer_Details[#All],4,0)</f>
        <v>Mid-Adult</v>
      </c>
      <c r="F1708" s="2" t="str">
        <f>VLOOKUP(Sales_Details2[[#This Row],[Customer_ID]],Customer_Details[#All],5,0)</f>
        <v>Female</v>
      </c>
      <c r="G1708" s="2" t="str">
        <f>VLOOKUP(Sales_Details2[[#This Row],[Customer_ID]],Customer_Details[#All],9,0)</f>
        <v>Platinum</v>
      </c>
      <c r="H1708" s="2" t="s">
        <v>1619</v>
      </c>
      <c r="I1708" s="2" t="str">
        <f>VLOOKUP(Sales_Details2[[#This Row],[Product_ID]],Product_details[[#All],[Product_ID]:[Cost]],3,0)</f>
        <v>Sports</v>
      </c>
      <c r="J1708" s="2" t="str">
        <f>VLOOKUP(Sales_Details2[[#This Row],[Product_ID]],Product_details[[#All],[Product_ID]:[Cost]],4,0)</f>
        <v>Fitness</v>
      </c>
      <c r="K1708" s="2" t="s">
        <v>1765</v>
      </c>
      <c r="L1708" s="2" t="str">
        <f>_xlfn.XLOOKUP(Sales_Details2[[#This Row],[Store_ID]],Table2[Store_ID],Table2[Region],"Region not found")</f>
        <v>West</v>
      </c>
      <c r="M1708" s="25">
        <v>3</v>
      </c>
      <c r="N1708" s="36">
        <v>884.46</v>
      </c>
      <c r="O1708" s="29">
        <v>0.25</v>
      </c>
      <c r="P1708" s="2" t="s">
        <v>1807</v>
      </c>
      <c r="Q1708" s="36">
        <v>1990.0350000000001</v>
      </c>
    </row>
    <row r="1709" spans="1:17" x14ac:dyDescent="0.3">
      <c r="A1709" s="2" t="s">
        <v>3516</v>
      </c>
      <c r="B1709" s="14">
        <v>45778</v>
      </c>
      <c r="C1709" s="2">
        <f>YEAR(Sales_Details2[[#This Row],[Order_Date]])</f>
        <v>2025</v>
      </c>
      <c r="D1709" s="2" t="s">
        <v>1339</v>
      </c>
      <c r="E1709" s="2" t="str">
        <f>VLOOKUP(Sales_Details2[[#This Row],[Customer_ID]],Customer_Details[#All],4,0)</f>
        <v>Mid-Adult</v>
      </c>
      <c r="F1709" s="2" t="str">
        <f>VLOOKUP(Sales_Details2[[#This Row],[Customer_ID]],Customer_Details[#All],5,0)</f>
        <v>Female</v>
      </c>
      <c r="G1709" s="2" t="str">
        <f>VLOOKUP(Sales_Details2[[#This Row],[Customer_ID]],Customer_Details[#All],9,0)</f>
        <v>Platinum</v>
      </c>
      <c r="H1709" s="2" t="s">
        <v>1665</v>
      </c>
      <c r="I1709" s="2" t="str">
        <f>VLOOKUP(Sales_Details2[[#This Row],[Product_ID]],Product_details[[#All],[Product_ID]:[Cost]],3,0)</f>
        <v>Electronics</v>
      </c>
      <c r="J1709" s="2" t="str">
        <f>VLOOKUP(Sales_Details2[[#This Row],[Product_ID]],Product_details[[#All],[Product_ID]:[Cost]],4,0)</f>
        <v>Accessories</v>
      </c>
      <c r="K1709" s="2" t="s">
        <v>1772</v>
      </c>
      <c r="L1709" s="2" t="str">
        <f>_xlfn.XLOOKUP(Sales_Details2[[#This Row],[Store_ID]],Table2[Store_ID],Table2[Region],"Region not found")</f>
        <v>East</v>
      </c>
      <c r="M1709" s="25">
        <v>4</v>
      </c>
      <c r="N1709" s="36">
        <v>359.71</v>
      </c>
      <c r="O1709" s="29">
        <v>0.05</v>
      </c>
      <c r="P1709" s="2" t="s">
        <v>1809</v>
      </c>
      <c r="Q1709" s="36">
        <v>1366.8979999999999</v>
      </c>
    </row>
    <row r="1710" spans="1:17" x14ac:dyDescent="0.3">
      <c r="A1710" s="2" t="s">
        <v>3517</v>
      </c>
      <c r="B1710" s="14">
        <v>45715</v>
      </c>
      <c r="C1710" s="2">
        <f>YEAR(Sales_Details2[[#This Row],[Order_Date]])</f>
        <v>2025</v>
      </c>
      <c r="D1710" s="2" t="s">
        <v>192</v>
      </c>
      <c r="E1710" s="2" t="str">
        <f>VLOOKUP(Sales_Details2[[#This Row],[Customer_ID]],Customer_Details[#All],4,0)</f>
        <v>Adult</v>
      </c>
      <c r="F1710" s="2" t="str">
        <f>VLOOKUP(Sales_Details2[[#This Row],[Customer_ID]],Customer_Details[#All],5,0)</f>
        <v>Female</v>
      </c>
      <c r="G1710" s="2" t="str">
        <f>VLOOKUP(Sales_Details2[[#This Row],[Customer_ID]],Customer_Details[#All],9,0)</f>
        <v>Gold</v>
      </c>
      <c r="H1710" s="2" t="s">
        <v>1631</v>
      </c>
      <c r="I1710" s="2" t="str">
        <f>VLOOKUP(Sales_Details2[[#This Row],[Product_ID]],Product_details[[#All],[Product_ID]:[Cost]],3,0)</f>
        <v>Sports</v>
      </c>
      <c r="J1710" s="2" t="str">
        <f>VLOOKUP(Sales_Details2[[#This Row],[Product_ID]],Product_details[[#All],[Product_ID]:[Cost]],4,0)</f>
        <v>Fitness</v>
      </c>
      <c r="K1710" s="2" t="s">
        <v>1752</v>
      </c>
      <c r="L1710" s="2" t="str">
        <f>_xlfn.XLOOKUP(Sales_Details2[[#This Row],[Store_ID]],Table2[Store_ID],Table2[Region],"Region not found")</f>
        <v>South</v>
      </c>
      <c r="M1710" s="25">
        <v>3</v>
      </c>
      <c r="N1710" s="36">
        <v>766.47</v>
      </c>
      <c r="O1710" s="29">
        <v>0.18</v>
      </c>
      <c r="P1710" s="2" t="s">
        <v>1807</v>
      </c>
      <c r="Q1710" s="36">
        <v>1885.5162</v>
      </c>
    </row>
    <row r="1711" spans="1:17" x14ac:dyDescent="0.3">
      <c r="A1711" s="2" t="s">
        <v>3518</v>
      </c>
      <c r="B1711" s="14">
        <v>45492</v>
      </c>
      <c r="C1711" s="2">
        <f>YEAR(Sales_Details2[[#This Row],[Order_Date]])</f>
        <v>2024</v>
      </c>
      <c r="D1711" s="2" t="s">
        <v>716</v>
      </c>
      <c r="E1711" s="2" t="str">
        <f>VLOOKUP(Sales_Details2[[#This Row],[Customer_ID]],Customer_Details[#All],4,0)</f>
        <v>Mid-Adult</v>
      </c>
      <c r="F1711" s="2" t="str">
        <f>VLOOKUP(Sales_Details2[[#This Row],[Customer_ID]],Customer_Details[#All],5,0)</f>
        <v>Male</v>
      </c>
      <c r="G1711" s="2" t="str">
        <f>VLOOKUP(Sales_Details2[[#This Row],[Customer_ID]],Customer_Details[#All],9,0)</f>
        <v>Platinum</v>
      </c>
      <c r="H1711" s="2" t="s">
        <v>1643</v>
      </c>
      <c r="I1711" s="2" t="str">
        <f>VLOOKUP(Sales_Details2[[#This Row],[Product_ID]],Product_details[[#All],[Product_ID]:[Cost]],3,0)</f>
        <v>Home</v>
      </c>
      <c r="J1711" s="2" t="str">
        <f>VLOOKUP(Sales_Details2[[#This Row],[Product_ID]],Product_details[[#All],[Product_ID]:[Cost]],4,0)</f>
        <v>Decor</v>
      </c>
      <c r="K1711" s="2" t="s">
        <v>1793</v>
      </c>
      <c r="L1711" s="2" t="str">
        <f>_xlfn.XLOOKUP(Sales_Details2[[#This Row],[Store_ID]],Table2[Store_ID],Table2[Region],"Region not found")</f>
        <v>East</v>
      </c>
      <c r="M1711" s="25">
        <v>1</v>
      </c>
      <c r="N1711" s="36">
        <v>772.07</v>
      </c>
      <c r="O1711" s="29">
        <v>0.26</v>
      </c>
      <c r="P1711" s="2" t="s">
        <v>1809</v>
      </c>
      <c r="Q1711" s="36">
        <v>571.33180000000004</v>
      </c>
    </row>
    <row r="1712" spans="1:17" x14ac:dyDescent="0.3">
      <c r="A1712" s="2" t="s">
        <v>3519</v>
      </c>
      <c r="B1712" s="14">
        <v>45292</v>
      </c>
      <c r="C1712" s="2">
        <f>YEAR(Sales_Details2[[#This Row],[Order_Date]])</f>
        <v>2024</v>
      </c>
      <c r="D1712" s="2" t="s">
        <v>873</v>
      </c>
      <c r="E1712" s="2" t="str">
        <f>VLOOKUP(Sales_Details2[[#This Row],[Customer_ID]],Customer_Details[#All],4,0)</f>
        <v>Adult</v>
      </c>
      <c r="F1712" s="2" t="str">
        <f>VLOOKUP(Sales_Details2[[#This Row],[Customer_ID]],Customer_Details[#All],5,0)</f>
        <v>Female</v>
      </c>
      <c r="G1712" s="2" t="str">
        <f>VLOOKUP(Sales_Details2[[#This Row],[Customer_ID]],Customer_Details[#All],9,0)</f>
        <v>Platinum</v>
      </c>
      <c r="H1712" s="2" t="s">
        <v>1569</v>
      </c>
      <c r="I1712" s="2" t="str">
        <f>VLOOKUP(Sales_Details2[[#This Row],[Product_ID]],Product_details[[#All],[Product_ID]:[Cost]],3,0)</f>
        <v>Sports</v>
      </c>
      <c r="J1712" s="2" t="str">
        <f>VLOOKUP(Sales_Details2[[#This Row],[Product_ID]],Product_details[[#All],[Product_ID]:[Cost]],4,0)</f>
        <v>Equipment</v>
      </c>
      <c r="K1712" s="2" t="s">
        <v>1756</v>
      </c>
      <c r="L1712" s="2" t="str">
        <f>_xlfn.XLOOKUP(Sales_Details2[[#This Row],[Store_ID]],Table2[Store_ID],Table2[Region],"Region not found")</f>
        <v>North</v>
      </c>
      <c r="M1712" s="25">
        <v>3</v>
      </c>
      <c r="N1712" s="36">
        <v>108.31</v>
      </c>
      <c r="O1712" s="29">
        <v>0.26</v>
      </c>
      <c r="P1712" s="2" t="s">
        <v>1812</v>
      </c>
      <c r="Q1712" s="36">
        <v>240.44820000000001</v>
      </c>
    </row>
    <row r="1713" spans="1:17" x14ac:dyDescent="0.3">
      <c r="A1713" s="2" t="s">
        <v>3520</v>
      </c>
      <c r="B1713" s="14">
        <v>45316</v>
      </c>
      <c r="C1713" s="2">
        <f>YEAR(Sales_Details2[[#This Row],[Order_Date]])</f>
        <v>2024</v>
      </c>
      <c r="D1713" s="2" t="s">
        <v>702</v>
      </c>
      <c r="E1713" s="2" t="str">
        <f>VLOOKUP(Sales_Details2[[#This Row],[Customer_ID]],Customer_Details[#All],4,0)</f>
        <v>Mid-Adult</v>
      </c>
      <c r="F1713" s="2" t="str">
        <f>VLOOKUP(Sales_Details2[[#This Row],[Customer_ID]],Customer_Details[#All],5,0)</f>
        <v>Male</v>
      </c>
      <c r="G1713" s="2" t="str">
        <f>VLOOKUP(Sales_Details2[[#This Row],[Customer_ID]],Customer_Details[#All],9,0)</f>
        <v>Platinum</v>
      </c>
      <c r="H1713" s="2" t="s">
        <v>1689</v>
      </c>
      <c r="I1713" s="2" t="str">
        <f>VLOOKUP(Sales_Details2[[#This Row],[Product_ID]],Product_details[[#All],[Product_ID]:[Cost]],3,0)</f>
        <v>Home</v>
      </c>
      <c r="J1713" s="2" t="str">
        <f>VLOOKUP(Sales_Details2[[#This Row],[Product_ID]],Product_details[[#All],[Product_ID]:[Cost]],4,0)</f>
        <v>Lighting</v>
      </c>
      <c r="K1713" s="2" t="s">
        <v>1759</v>
      </c>
      <c r="L1713" s="2" t="str">
        <f>_xlfn.XLOOKUP(Sales_Details2[[#This Row],[Store_ID]],Table2[Store_ID],Table2[Region],"Region not found")</f>
        <v>East</v>
      </c>
      <c r="M1713" s="25">
        <v>1</v>
      </c>
      <c r="N1713" s="36">
        <v>502.53</v>
      </c>
      <c r="O1713" s="29">
        <v>0</v>
      </c>
      <c r="P1713" s="2" t="s">
        <v>1809</v>
      </c>
      <c r="Q1713" s="36">
        <v>502.53</v>
      </c>
    </row>
    <row r="1714" spans="1:17" x14ac:dyDescent="0.3">
      <c r="A1714" s="2" t="s">
        <v>3521</v>
      </c>
      <c r="B1714" s="14">
        <v>45548</v>
      </c>
      <c r="C1714" s="2">
        <f>YEAR(Sales_Details2[[#This Row],[Order_Date]])</f>
        <v>2024</v>
      </c>
      <c r="D1714" s="2" t="s">
        <v>275</v>
      </c>
      <c r="E1714" s="2" t="str">
        <f>VLOOKUP(Sales_Details2[[#This Row],[Customer_ID]],Customer_Details[#All],4,0)</f>
        <v>Mid-Adult</v>
      </c>
      <c r="F1714" s="2" t="str">
        <f>VLOOKUP(Sales_Details2[[#This Row],[Customer_ID]],Customer_Details[#All],5,0)</f>
        <v>Male</v>
      </c>
      <c r="G1714" s="2" t="str">
        <f>VLOOKUP(Sales_Details2[[#This Row],[Customer_ID]],Customer_Details[#All],9,0)</f>
        <v>Gold</v>
      </c>
      <c r="H1714" s="2" t="s">
        <v>1529</v>
      </c>
      <c r="I1714" s="2" t="str">
        <f>VLOOKUP(Sales_Details2[[#This Row],[Product_ID]],Product_details[[#All],[Product_ID]:[Cost]],3,0)</f>
        <v>Clothing</v>
      </c>
      <c r="J1714" s="2" t="str">
        <f>VLOOKUP(Sales_Details2[[#This Row],[Product_ID]],Product_details[[#All],[Product_ID]:[Cost]],4,0)</f>
        <v>Tops</v>
      </c>
      <c r="K1714" s="2" t="s">
        <v>1787</v>
      </c>
      <c r="L1714" s="2" t="str">
        <f>_xlfn.XLOOKUP(Sales_Details2[[#This Row],[Store_ID]],Table2[Store_ID],Table2[Region],"Region not found")</f>
        <v>West</v>
      </c>
      <c r="M1714" s="25">
        <v>2</v>
      </c>
      <c r="N1714" s="36">
        <v>508.52</v>
      </c>
      <c r="O1714" s="29">
        <v>0.11</v>
      </c>
      <c r="P1714" s="2" t="s">
        <v>1812</v>
      </c>
      <c r="Q1714" s="36">
        <v>905.16559999999993</v>
      </c>
    </row>
    <row r="1715" spans="1:17" x14ac:dyDescent="0.3">
      <c r="A1715" s="2" t="s">
        <v>3522</v>
      </c>
      <c r="B1715" s="14">
        <v>45572</v>
      </c>
      <c r="C1715" s="2">
        <f>YEAR(Sales_Details2[[#This Row],[Order_Date]])</f>
        <v>2024</v>
      </c>
      <c r="D1715" s="2" t="s">
        <v>1427</v>
      </c>
      <c r="E1715" s="2" t="str">
        <f>VLOOKUP(Sales_Details2[[#This Row],[Customer_ID]],Customer_Details[#All],4,0)</f>
        <v>Mid-Adult</v>
      </c>
      <c r="F1715" s="2" t="str">
        <f>VLOOKUP(Sales_Details2[[#This Row],[Customer_ID]],Customer_Details[#All],5,0)</f>
        <v>Male</v>
      </c>
      <c r="G1715" s="2" t="str">
        <f>VLOOKUP(Sales_Details2[[#This Row],[Customer_ID]],Customer_Details[#All],9,0)</f>
        <v>Bronze</v>
      </c>
      <c r="H1715" s="2" t="s">
        <v>1679</v>
      </c>
      <c r="I1715" s="2" t="str">
        <f>VLOOKUP(Sales_Details2[[#This Row],[Product_ID]],Product_details[[#All],[Product_ID]:[Cost]],3,0)</f>
        <v>Electronics</v>
      </c>
      <c r="J1715" s="2" t="str">
        <f>VLOOKUP(Sales_Details2[[#This Row],[Product_ID]],Product_details[[#All],[Product_ID]:[Cost]],4,0)</f>
        <v>Audio</v>
      </c>
      <c r="K1715" s="2" t="s">
        <v>1749</v>
      </c>
      <c r="L1715" s="2" t="str">
        <f>_xlfn.XLOOKUP(Sales_Details2[[#This Row],[Store_ID]],Table2[Store_ID],Table2[Region],"Region not found")</f>
        <v>North</v>
      </c>
      <c r="M1715" s="25">
        <v>1</v>
      </c>
      <c r="N1715" s="36">
        <v>492</v>
      </c>
      <c r="O1715" s="29">
        <v>0.26</v>
      </c>
      <c r="P1715" s="2" t="s">
        <v>1809</v>
      </c>
      <c r="Q1715" s="36">
        <v>364.08</v>
      </c>
    </row>
    <row r="1716" spans="1:17" x14ac:dyDescent="0.3">
      <c r="A1716" s="2" t="s">
        <v>3523</v>
      </c>
      <c r="B1716" s="14">
        <v>45347</v>
      </c>
      <c r="C1716" s="2">
        <f>YEAR(Sales_Details2[[#This Row],[Order_Date]])</f>
        <v>2024</v>
      </c>
      <c r="D1716" s="2" t="s">
        <v>1475</v>
      </c>
      <c r="E1716" s="2" t="str">
        <f>VLOOKUP(Sales_Details2[[#This Row],[Customer_ID]],Customer_Details[#All],4,0)</f>
        <v>Mid-Adult</v>
      </c>
      <c r="F1716" s="2" t="str">
        <f>VLOOKUP(Sales_Details2[[#This Row],[Customer_ID]],Customer_Details[#All],5,0)</f>
        <v>Female</v>
      </c>
      <c r="G1716" s="2" t="str">
        <f>VLOOKUP(Sales_Details2[[#This Row],[Customer_ID]],Customer_Details[#All],9,0)</f>
        <v>Bronze</v>
      </c>
      <c r="H1716" s="2" t="s">
        <v>1605</v>
      </c>
      <c r="I1716" s="2" t="str">
        <f>VLOOKUP(Sales_Details2[[#This Row],[Product_ID]],Product_details[[#All],[Product_ID]:[Cost]],3,0)</f>
        <v>Clothing</v>
      </c>
      <c r="J1716" s="2" t="str">
        <f>VLOOKUP(Sales_Details2[[#This Row],[Product_ID]],Product_details[[#All],[Product_ID]:[Cost]],4,0)</f>
        <v>Footwear</v>
      </c>
      <c r="K1716" s="2" t="s">
        <v>1782</v>
      </c>
      <c r="L1716" s="2" t="str">
        <f>_xlfn.XLOOKUP(Sales_Details2[[#This Row],[Store_ID]],Table2[Store_ID],Table2[Region],"Region not found")</f>
        <v>South</v>
      </c>
      <c r="M1716" s="25">
        <v>4</v>
      </c>
      <c r="N1716" s="36">
        <v>746.36</v>
      </c>
      <c r="O1716" s="29">
        <v>0.02</v>
      </c>
      <c r="P1716" s="2" t="s">
        <v>1807</v>
      </c>
      <c r="Q1716" s="36">
        <v>2925.7312000000002</v>
      </c>
    </row>
    <row r="1717" spans="1:17" x14ac:dyDescent="0.3">
      <c r="A1717" s="2" t="s">
        <v>3524</v>
      </c>
      <c r="B1717" s="14">
        <v>45823</v>
      </c>
      <c r="C1717" s="2">
        <f>YEAR(Sales_Details2[[#This Row],[Order_Date]])</f>
        <v>2025</v>
      </c>
      <c r="D1717" s="2" t="s">
        <v>1327</v>
      </c>
      <c r="E1717" s="2" t="str">
        <f>VLOOKUP(Sales_Details2[[#This Row],[Customer_ID]],Customer_Details[#All],4,0)</f>
        <v>Senior</v>
      </c>
      <c r="F1717" s="2" t="str">
        <f>VLOOKUP(Sales_Details2[[#This Row],[Customer_ID]],Customer_Details[#All],5,0)</f>
        <v>Female</v>
      </c>
      <c r="G1717" s="2" t="str">
        <f>VLOOKUP(Sales_Details2[[#This Row],[Customer_ID]],Customer_Details[#All],9,0)</f>
        <v>Silver</v>
      </c>
      <c r="H1717" s="2" t="s">
        <v>1555</v>
      </c>
      <c r="I1717" s="2" t="str">
        <f>VLOOKUP(Sales_Details2[[#This Row],[Product_ID]],Product_details[[#All],[Product_ID]:[Cost]],3,0)</f>
        <v>Beauty</v>
      </c>
      <c r="J1717" s="2" t="str">
        <f>VLOOKUP(Sales_Details2[[#This Row],[Product_ID]],Product_details[[#All],[Product_ID]:[Cost]],4,0)</f>
        <v>Haircare</v>
      </c>
      <c r="K1717" s="2" t="s">
        <v>1740</v>
      </c>
      <c r="L1717" s="2" t="str">
        <f>_xlfn.XLOOKUP(Sales_Details2[[#This Row],[Store_ID]],Table2[Store_ID],Table2[Region],"Region not found")</f>
        <v>North</v>
      </c>
      <c r="M1717" s="25">
        <v>1</v>
      </c>
      <c r="N1717" s="36">
        <v>120.83</v>
      </c>
      <c r="O1717" s="29">
        <v>0.08</v>
      </c>
      <c r="P1717" s="2" t="s">
        <v>1807</v>
      </c>
      <c r="Q1717" s="36">
        <v>111.1636</v>
      </c>
    </row>
    <row r="1718" spans="1:17" x14ac:dyDescent="0.3">
      <c r="A1718" s="2" t="s">
        <v>3525</v>
      </c>
      <c r="B1718" s="14">
        <v>45394</v>
      </c>
      <c r="C1718" s="2">
        <f>YEAR(Sales_Details2[[#This Row],[Order_Date]])</f>
        <v>2024</v>
      </c>
      <c r="D1718" s="2" t="s">
        <v>1229</v>
      </c>
      <c r="E1718" s="2" t="str">
        <f>VLOOKUP(Sales_Details2[[#This Row],[Customer_ID]],Customer_Details[#All],4,0)</f>
        <v>Adult</v>
      </c>
      <c r="F1718" s="2" t="str">
        <f>VLOOKUP(Sales_Details2[[#This Row],[Customer_ID]],Customer_Details[#All],5,0)</f>
        <v>Male</v>
      </c>
      <c r="G1718" s="2" t="str">
        <f>VLOOKUP(Sales_Details2[[#This Row],[Customer_ID]],Customer_Details[#All],9,0)</f>
        <v>Bronze</v>
      </c>
      <c r="H1718" s="2" t="s">
        <v>1685</v>
      </c>
      <c r="I1718" s="2" t="str">
        <f>VLOOKUP(Sales_Details2[[#This Row],[Product_ID]],Product_details[[#All],[Product_ID]:[Cost]],3,0)</f>
        <v>Electronics</v>
      </c>
      <c r="J1718" s="2" t="str">
        <f>VLOOKUP(Sales_Details2[[#This Row],[Product_ID]],Product_details[[#All],[Product_ID]:[Cost]],4,0)</f>
        <v>Appliances</v>
      </c>
      <c r="K1718" s="2" t="s">
        <v>1793</v>
      </c>
      <c r="L1718" s="2" t="str">
        <f>_xlfn.XLOOKUP(Sales_Details2[[#This Row],[Store_ID]],Table2[Store_ID],Table2[Region],"Region not found")</f>
        <v>East</v>
      </c>
      <c r="M1718" s="25">
        <v>2</v>
      </c>
      <c r="N1718" s="36">
        <v>68.31</v>
      </c>
      <c r="O1718" s="29">
        <v>0.28999999999999998</v>
      </c>
      <c r="P1718" s="2" t="s">
        <v>1812</v>
      </c>
      <c r="Q1718" s="36">
        <v>97.000199999999992</v>
      </c>
    </row>
    <row r="1719" spans="1:17" x14ac:dyDescent="0.3">
      <c r="A1719" s="2" t="s">
        <v>3526</v>
      </c>
      <c r="B1719" s="14">
        <v>45265</v>
      </c>
      <c r="C1719" s="2">
        <f>YEAR(Sales_Details2[[#This Row],[Order_Date]])</f>
        <v>2023</v>
      </c>
      <c r="D1719" s="2" t="s">
        <v>227</v>
      </c>
      <c r="E1719" s="2" t="str">
        <f>VLOOKUP(Sales_Details2[[#This Row],[Customer_ID]],Customer_Details[#All],4,0)</f>
        <v>Mid-Adult</v>
      </c>
      <c r="F1719" s="2" t="str">
        <f>VLOOKUP(Sales_Details2[[#This Row],[Customer_ID]],Customer_Details[#All],5,0)</f>
        <v>Male</v>
      </c>
      <c r="G1719" s="2" t="str">
        <f>VLOOKUP(Sales_Details2[[#This Row],[Customer_ID]],Customer_Details[#All],9,0)</f>
        <v>Bronze</v>
      </c>
      <c r="H1719" s="2" t="s">
        <v>1575</v>
      </c>
      <c r="I1719" s="2" t="str">
        <f>VLOOKUP(Sales_Details2[[#This Row],[Product_ID]],Product_details[[#All],[Product_ID]:[Cost]],3,0)</f>
        <v>Sports</v>
      </c>
      <c r="J1719" s="2" t="str">
        <f>VLOOKUP(Sales_Details2[[#This Row],[Product_ID]],Product_details[[#All],[Product_ID]:[Cost]],4,0)</f>
        <v>Equipment</v>
      </c>
      <c r="K1719" s="2" t="s">
        <v>1793</v>
      </c>
      <c r="L1719" s="2" t="str">
        <f>_xlfn.XLOOKUP(Sales_Details2[[#This Row],[Store_ID]],Table2[Store_ID],Table2[Region],"Region not found")</f>
        <v>East</v>
      </c>
      <c r="M1719" s="25">
        <v>2</v>
      </c>
      <c r="N1719" s="36">
        <v>761.71</v>
      </c>
      <c r="O1719" s="29">
        <v>0.02</v>
      </c>
      <c r="P1719" s="2" t="s">
        <v>1809</v>
      </c>
      <c r="Q1719" s="36">
        <v>1492.9516000000001</v>
      </c>
    </row>
    <row r="1720" spans="1:17" x14ac:dyDescent="0.3">
      <c r="A1720" s="2" t="s">
        <v>3527</v>
      </c>
      <c r="B1720" s="14">
        <v>45261</v>
      </c>
      <c r="C1720" s="2">
        <f>YEAR(Sales_Details2[[#This Row],[Order_Date]])</f>
        <v>2023</v>
      </c>
      <c r="D1720" s="2" t="s">
        <v>241</v>
      </c>
      <c r="E1720" s="2" t="str">
        <f>VLOOKUP(Sales_Details2[[#This Row],[Customer_ID]],Customer_Details[#All],4,0)</f>
        <v>Adult</v>
      </c>
      <c r="F1720" s="2" t="str">
        <f>VLOOKUP(Sales_Details2[[#This Row],[Customer_ID]],Customer_Details[#All],5,0)</f>
        <v>Female</v>
      </c>
      <c r="G1720" s="2" t="str">
        <f>VLOOKUP(Sales_Details2[[#This Row],[Customer_ID]],Customer_Details[#All],9,0)</f>
        <v>Silver</v>
      </c>
      <c r="H1720" s="2" t="s">
        <v>1687</v>
      </c>
      <c r="I1720" s="2" t="str">
        <f>VLOOKUP(Sales_Details2[[#This Row],[Product_ID]],Product_details[[#All],[Product_ID]:[Cost]],3,0)</f>
        <v>Home</v>
      </c>
      <c r="J1720" s="2" t="str">
        <f>VLOOKUP(Sales_Details2[[#This Row],[Product_ID]],Product_details[[#All],[Product_ID]:[Cost]],4,0)</f>
        <v>Decor</v>
      </c>
      <c r="K1720" s="2" t="s">
        <v>1749</v>
      </c>
      <c r="L1720" s="2" t="str">
        <f>_xlfn.XLOOKUP(Sales_Details2[[#This Row],[Store_ID]],Table2[Store_ID],Table2[Region],"Region not found")</f>
        <v>North</v>
      </c>
      <c r="M1720" s="25">
        <v>4</v>
      </c>
      <c r="N1720" s="36">
        <v>346.37</v>
      </c>
      <c r="O1720" s="29">
        <v>0.18</v>
      </c>
      <c r="P1720" s="2" t="s">
        <v>1812</v>
      </c>
      <c r="Q1720" s="36">
        <v>1136.0935999999999</v>
      </c>
    </row>
    <row r="1721" spans="1:17" x14ac:dyDescent="0.3">
      <c r="A1721" s="2" t="s">
        <v>3528</v>
      </c>
      <c r="B1721" s="14">
        <v>45702</v>
      </c>
      <c r="C1721" s="2">
        <f>YEAR(Sales_Details2[[#This Row],[Order_Date]])</f>
        <v>2025</v>
      </c>
      <c r="D1721" s="2" t="s">
        <v>40</v>
      </c>
      <c r="E1721" s="2" t="str">
        <f>VLOOKUP(Sales_Details2[[#This Row],[Customer_ID]],Customer_Details[#All],4,0)</f>
        <v>Adult</v>
      </c>
      <c r="F1721" s="2" t="str">
        <f>VLOOKUP(Sales_Details2[[#This Row],[Customer_ID]],Customer_Details[#All],5,0)</f>
        <v>Female</v>
      </c>
      <c r="G1721" s="2" t="str">
        <f>VLOOKUP(Sales_Details2[[#This Row],[Customer_ID]],Customer_Details[#All],9,0)</f>
        <v>Bronze</v>
      </c>
      <c r="H1721" s="2" t="s">
        <v>1641</v>
      </c>
      <c r="I1721" s="2" t="str">
        <f>VLOOKUP(Sales_Details2[[#This Row],[Product_ID]],Product_details[[#All],[Product_ID]:[Cost]],3,0)</f>
        <v>Home</v>
      </c>
      <c r="J1721" s="2" t="str">
        <f>VLOOKUP(Sales_Details2[[#This Row],[Product_ID]],Product_details[[#All],[Product_ID]:[Cost]],4,0)</f>
        <v>Decor</v>
      </c>
      <c r="K1721" s="2" t="s">
        <v>1777</v>
      </c>
      <c r="L1721" s="2" t="str">
        <f>_xlfn.XLOOKUP(Sales_Details2[[#This Row],[Store_ID]],Table2[Store_ID],Table2[Region],"Region not found")</f>
        <v>North</v>
      </c>
      <c r="M1721" s="25">
        <v>1</v>
      </c>
      <c r="N1721" s="36">
        <v>846.3</v>
      </c>
      <c r="O1721" s="29">
        <v>0.14000000000000001</v>
      </c>
      <c r="P1721" s="2" t="s">
        <v>1809</v>
      </c>
      <c r="Q1721" s="36">
        <v>727.81799999999998</v>
      </c>
    </row>
    <row r="1722" spans="1:17" x14ac:dyDescent="0.3">
      <c r="A1722" s="2" t="s">
        <v>3529</v>
      </c>
      <c r="B1722" s="14">
        <v>45624</v>
      </c>
      <c r="C1722" s="2">
        <f>YEAR(Sales_Details2[[#This Row],[Order_Date]])</f>
        <v>2024</v>
      </c>
      <c r="D1722" s="2" t="s">
        <v>1324</v>
      </c>
      <c r="E1722" s="2" t="str">
        <f>VLOOKUP(Sales_Details2[[#This Row],[Customer_ID]],Customer_Details[#All],4,0)</f>
        <v>Mid-Adult</v>
      </c>
      <c r="F1722" s="2" t="str">
        <f>VLOOKUP(Sales_Details2[[#This Row],[Customer_ID]],Customer_Details[#All],5,0)</f>
        <v>Male</v>
      </c>
      <c r="G1722" s="2" t="str">
        <f>VLOOKUP(Sales_Details2[[#This Row],[Customer_ID]],Customer_Details[#All],9,0)</f>
        <v>Bronze</v>
      </c>
      <c r="H1722" s="2" t="s">
        <v>1526</v>
      </c>
      <c r="I1722" s="2" t="str">
        <f>VLOOKUP(Sales_Details2[[#This Row],[Product_ID]],Product_details[[#All],[Product_ID]:[Cost]],3,0)</f>
        <v>Electronics</v>
      </c>
      <c r="J1722" s="2" t="str">
        <f>VLOOKUP(Sales_Details2[[#This Row],[Product_ID]],Product_details[[#All],[Product_ID]:[Cost]],4,0)</f>
        <v>Computer</v>
      </c>
      <c r="K1722" s="2" t="s">
        <v>1796</v>
      </c>
      <c r="L1722" s="2" t="str">
        <f>_xlfn.XLOOKUP(Sales_Details2[[#This Row],[Store_ID]],Table2[Store_ID],Table2[Region],"Region not found")</f>
        <v>East</v>
      </c>
      <c r="M1722" s="25">
        <v>1</v>
      </c>
      <c r="N1722" s="36">
        <v>458.97</v>
      </c>
      <c r="O1722" s="29">
        <v>0.1</v>
      </c>
      <c r="P1722" s="2" t="s">
        <v>1809</v>
      </c>
      <c r="Q1722" s="36">
        <v>413.07299999999998</v>
      </c>
    </row>
    <row r="1723" spans="1:17" x14ac:dyDescent="0.3">
      <c r="A1723" s="2" t="s">
        <v>3530</v>
      </c>
      <c r="B1723" s="14">
        <v>45736</v>
      </c>
      <c r="C1723" s="2">
        <f>YEAR(Sales_Details2[[#This Row],[Order_Date]])</f>
        <v>2025</v>
      </c>
      <c r="D1723" s="2" t="s">
        <v>909</v>
      </c>
      <c r="E1723" s="2" t="str">
        <f>VLOOKUP(Sales_Details2[[#This Row],[Customer_ID]],Customer_Details[#All],4,0)</f>
        <v>Mid-Adult</v>
      </c>
      <c r="F1723" s="2" t="str">
        <f>VLOOKUP(Sales_Details2[[#This Row],[Customer_ID]],Customer_Details[#All],5,0)</f>
        <v>Male</v>
      </c>
      <c r="G1723" s="2" t="str">
        <f>VLOOKUP(Sales_Details2[[#This Row],[Customer_ID]],Customer_Details[#All],9,0)</f>
        <v>Bronze</v>
      </c>
      <c r="H1723" s="2" t="s">
        <v>1617</v>
      </c>
      <c r="I1723" s="2" t="str">
        <f>VLOOKUP(Sales_Details2[[#This Row],[Product_ID]],Product_details[[#All],[Product_ID]:[Cost]],3,0)</f>
        <v>Electronics</v>
      </c>
      <c r="J1723" s="2" t="str">
        <f>VLOOKUP(Sales_Details2[[#This Row],[Product_ID]],Product_details[[#All],[Product_ID]:[Cost]],4,0)</f>
        <v>Computer</v>
      </c>
      <c r="K1723" s="2" t="s">
        <v>1762</v>
      </c>
      <c r="L1723" s="2" t="str">
        <f>_xlfn.XLOOKUP(Sales_Details2[[#This Row],[Store_ID]],Table2[Store_ID],Table2[Region],"Region not found")</f>
        <v>South</v>
      </c>
      <c r="M1723" s="25">
        <v>2</v>
      </c>
      <c r="N1723" s="36">
        <v>536.61</v>
      </c>
      <c r="O1723" s="29">
        <v>0.14000000000000001</v>
      </c>
      <c r="P1723" s="2" t="s">
        <v>1807</v>
      </c>
      <c r="Q1723" s="36">
        <v>922.9692</v>
      </c>
    </row>
    <row r="1724" spans="1:17" x14ac:dyDescent="0.3">
      <c r="A1724" s="2" t="s">
        <v>3531</v>
      </c>
      <c r="B1724" s="14">
        <v>45709</v>
      </c>
      <c r="C1724" s="2">
        <f>YEAR(Sales_Details2[[#This Row],[Order_Date]])</f>
        <v>2025</v>
      </c>
      <c r="D1724" s="2" t="s">
        <v>1290</v>
      </c>
      <c r="E1724" s="2" t="str">
        <f>VLOOKUP(Sales_Details2[[#This Row],[Customer_ID]],Customer_Details[#All],4,0)</f>
        <v>Senior</v>
      </c>
      <c r="F1724" s="2" t="str">
        <f>VLOOKUP(Sales_Details2[[#This Row],[Customer_ID]],Customer_Details[#All],5,0)</f>
        <v>Male</v>
      </c>
      <c r="G1724" s="2" t="str">
        <f>VLOOKUP(Sales_Details2[[#This Row],[Customer_ID]],Customer_Details[#All],9,0)</f>
        <v>Bronze</v>
      </c>
      <c r="H1724" s="2" t="s">
        <v>1647</v>
      </c>
      <c r="I1724" s="2" t="str">
        <f>VLOOKUP(Sales_Details2[[#This Row],[Product_ID]],Product_details[[#All],[Product_ID]:[Cost]],3,0)</f>
        <v>Clothing</v>
      </c>
      <c r="J1724" s="2" t="str">
        <f>VLOOKUP(Sales_Details2[[#This Row],[Product_ID]],Product_details[[#All],[Product_ID]:[Cost]],4,0)</f>
        <v>Accessories</v>
      </c>
      <c r="K1724" s="2" t="s">
        <v>1735</v>
      </c>
      <c r="L1724" s="2" t="str">
        <f>_xlfn.XLOOKUP(Sales_Details2[[#This Row],[Store_ID]],Table2[Store_ID],Table2[Region],"Region not found")</f>
        <v>East</v>
      </c>
      <c r="M1724" s="25">
        <v>3</v>
      </c>
      <c r="N1724" s="36">
        <v>130.41</v>
      </c>
      <c r="O1724" s="29">
        <v>0.14000000000000001</v>
      </c>
      <c r="P1724" s="2" t="s">
        <v>1809</v>
      </c>
      <c r="Q1724" s="36">
        <v>336.45780000000002</v>
      </c>
    </row>
    <row r="1725" spans="1:17" x14ac:dyDescent="0.3">
      <c r="A1725" s="2" t="s">
        <v>3532</v>
      </c>
      <c r="B1725" s="14">
        <v>45738</v>
      </c>
      <c r="C1725" s="2">
        <f>YEAR(Sales_Details2[[#This Row],[Order_Date]])</f>
        <v>2025</v>
      </c>
      <c r="D1725" s="2" t="s">
        <v>1507</v>
      </c>
      <c r="E1725" s="2" t="str">
        <f>VLOOKUP(Sales_Details2[[#This Row],[Customer_ID]],Customer_Details[#All],4,0)</f>
        <v>Senior</v>
      </c>
      <c r="F1725" s="2" t="str">
        <f>VLOOKUP(Sales_Details2[[#This Row],[Customer_ID]],Customer_Details[#All],5,0)</f>
        <v>Male</v>
      </c>
      <c r="G1725" s="2" t="str">
        <f>VLOOKUP(Sales_Details2[[#This Row],[Customer_ID]],Customer_Details[#All],9,0)</f>
        <v>Bronze</v>
      </c>
      <c r="H1725" s="2" t="s">
        <v>1709</v>
      </c>
      <c r="I1725" s="2" t="str">
        <f>VLOOKUP(Sales_Details2[[#This Row],[Product_ID]],Product_details[[#All],[Product_ID]:[Cost]],3,0)</f>
        <v>Beauty</v>
      </c>
      <c r="J1725" s="2" t="str">
        <f>VLOOKUP(Sales_Details2[[#This Row],[Product_ID]],Product_details[[#All],[Product_ID]:[Cost]],4,0)</f>
        <v>Makeup</v>
      </c>
      <c r="K1725" s="2" t="s">
        <v>1777</v>
      </c>
      <c r="L1725" s="2" t="str">
        <f>_xlfn.XLOOKUP(Sales_Details2[[#This Row],[Store_ID]],Table2[Store_ID],Table2[Region],"Region not found")</f>
        <v>North</v>
      </c>
      <c r="M1725" s="25">
        <v>4</v>
      </c>
      <c r="N1725" s="36">
        <v>706.67</v>
      </c>
      <c r="O1725" s="29">
        <v>0.01</v>
      </c>
      <c r="P1725" s="2" t="s">
        <v>1807</v>
      </c>
      <c r="Q1725" s="36">
        <v>2798.4132</v>
      </c>
    </row>
    <row r="1726" spans="1:17" x14ac:dyDescent="0.3">
      <c r="A1726" s="2" t="s">
        <v>3533</v>
      </c>
      <c r="B1726" s="14">
        <v>45685</v>
      </c>
      <c r="C1726" s="2">
        <f>YEAR(Sales_Details2[[#This Row],[Order_Date]])</f>
        <v>2025</v>
      </c>
      <c r="D1726" s="2" t="s">
        <v>1210</v>
      </c>
      <c r="E1726" s="2" t="str">
        <f>VLOOKUP(Sales_Details2[[#This Row],[Customer_ID]],Customer_Details[#All],4,0)</f>
        <v>Mid-Adult</v>
      </c>
      <c r="F1726" s="2" t="str">
        <f>VLOOKUP(Sales_Details2[[#This Row],[Customer_ID]],Customer_Details[#All],5,0)</f>
        <v>Male</v>
      </c>
      <c r="G1726" s="2" t="str">
        <f>VLOOKUP(Sales_Details2[[#This Row],[Customer_ID]],Customer_Details[#All],9,0)</f>
        <v>Gold</v>
      </c>
      <c r="H1726" s="2" t="s">
        <v>1585</v>
      </c>
      <c r="I1726" s="2" t="str">
        <f>VLOOKUP(Sales_Details2[[#This Row],[Product_ID]],Product_details[[#All],[Product_ID]:[Cost]],3,0)</f>
        <v>Home</v>
      </c>
      <c r="J1726" s="2" t="str">
        <f>VLOOKUP(Sales_Details2[[#This Row],[Product_ID]],Product_details[[#All],[Product_ID]:[Cost]],4,0)</f>
        <v>Decor</v>
      </c>
      <c r="K1726" s="2" t="s">
        <v>1749</v>
      </c>
      <c r="L1726" s="2" t="str">
        <f>_xlfn.XLOOKUP(Sales_Details2[[#This Row],[Store_ID]],Table2[Store_ID],Table2[Region],"Region not found")</f>
        <v>North</v>
      </c>
      <c r="M1726" s="25">
        <v>3</v>
      </c>
      <c r="N1726" s="36">
        <v>523.45000000000005</v>
      </c>
      <c r="O1726" s="29">
        <v>0.17</v>
      </c>
      <c r="P1726" s="2" t="s">
        <v>1807</v>
      </c>
      <c r="Q1726" s="36">
        <v>1303.3905</v>
      </c>
    </row>
    <row r="1727" spans="1:17" x14ac:dyDescent="0.3">
      <c r="A1727" s="2" t="s">
        <v>3534</v>
      </c>
      <c r="B1727" s="14">
        <v>45701</v>
      </c>
      <c r="C1727" s="2">
        <f>YEAR(Sales_Details2[[#This Row],[Order_Date]])</f>
        <v>2025</v>
      </c>
      <c r="D1727" s="2" t="s">
        <v>48</v>
      </c>
      <c r="E1727" s="2" t="str">
        <f>VLOOKUP(Sales_Details2[[#This Row],[Customer_ID]],Customer_Details[#All],4,0)</f>
        <v>Senior</v>
      </c>
      <c r="F1727" s="2" t="str">
        <f>VLOOKUP(Sales_Details2[[#This Row],[Customer_ID]],Customer_Details[#All],5,0)</f>
        <v>Male</v>
      </c>
      <c r="G1727" s="2" t="str">
        <f>VLOOKUP(Sales_Details2[[#This Row],[Customer_ID]],Customer_Details[#All],9,0)</f>
        <v>Platinum</v>
      </c>
      <c r="H1727" s="2" t="s">
        <v>1713</v>
      </c>
      <c r="I1727" s="2" t="str">
        <f>VLOOKUP(Sales_Details2[[#This Row],[Product_ID]],Product_details[[#All],[Product_ID]:[Cost]],3,0)</f>
        <v>Clothing</v>
      </c>
      <c r="J1727" s="2" t="str">
        <f>VLOOKUP(Sales_Details2[[#This Row],[Product_ID]],Product_details[[#All],[Product_ID]:[Cost]],4,0)</f>
        <v>Footwear</v>
      </c>
      <c r="K1727" s="2" t="s">
        <v>1793</v>
      </c>
      <c r="L1727" s="2" t="str">
        <f>_xlfn.XLOOKUP(Sales_Details2[[#This Row],[Store_ID]],Table2[Store_ID],Table2[Region],"Region not found")</f>
        <v>East</v>
      </c>
      <c r="M1727" s="25">
        <v>3</v>
      </c>
      <c r="N1727" s="36">
        <v>482.2</v>
      </c>
      <c r="O1727" s="29">
        <v>0.23</v>
      </c>
      <c r="P1727" s="2" t="s">
        <v>1812</v>
      </c>
      <c r="Q1727" s="36">
        <v>1113.8820000000001</v>
      </c>
    </row>
    <row r="1728" spans="1:17" x14ac:dyDescent="0.3">
      <c r="A1728" s="2" t="s">
        <v>3535</v>
      </c>
      <c r="B1728" s="14">
        <v>45745</v>
      </c>
      <c r="C1728" s="2">
        <f>YEAR(Sales_Details2[[#This Row],[Order_Date]])</f>
        <v>2025</v>
      </c>
      <c r="D1728" s="2" t="s">
        <v>423</v>
      </c>
      <c r="E1728" s="2" t="str">
        <f>VLOOKUP(Sales_Details2[[#This Row],[Customer_ID]],Customer_Details[#All],4,0)</f>
        <v>Adult</v>
      </c>
      <c r="F1728" s="2" t="str">
        <f>VLOOKUP(Sales_Details2[[#This Row],[Customer_ID]],Customer_Details[#All],5,0)</f>
        <v>Male</v>
      </c>
      <c r="G1728" s="2" t="str">
        <f>VLOOKUP(Sales_Details2[[#This Row],[Customer_ID]],Customer_Details[#All],9,0)</f>
        <v>Bronze</v>
      </c>
      <c r="H1728" s="2" t="s">
        <v>1657</v>
      </c>
      <c r="I1728" s="2" t="str">
        <f>VLOOKUP(Sales_Details2[[#This Row],[Product_ID]],Product_details[[#All],[Product_ID]:[Cost]],3,0)</f>
        <v>Beauty</v>
      </c>
      <c r="J1728" s="2" t="str">
        <f>VLOOKUP(Sales_Details2[[#This Row],[Product_ID]],Product_details[[#All],[Product_ID]:[Cost]],4,0)</f>
        <v>Skincare</v>
      </c>
      <c r="K1728" s="2" t="s">
        <v>1756</v>
      </c>
      <c r="L1728" s="2" t="str">
        <f>_xlfn.XLOOKUP(Sales_Details2[[#This Row],[Store_ID]],Table2[Store_ID],Table2[Region],"Region not found")</f>
        <v>North</v>
      </c>
      <c r="M1728" s="25">
        <v>4</v>
      </c>
      <c r="N1728" s="36">
        <v>688.86</v>
      </c>
      <c r="O1728" s="29">
        <v>0.02</v>
      </c>
      <c r="P1728" s="2" t="s">
        <v>1812</v>
      </c>
      <c r="Q1728" s="36">
        <v>2700.3312000000001</v>
      </c>
    </row>
    <row r="1729" spans="1:17" x14ac:dyDescent="0.3">
      <c r="A1729" s="2" t="s">
        <v>3536</v>
      </c>
      <c r="B1729" s="14">
        <v>45214</v>
      </c>
      <c r="C1729" s="2">
        <f>YEAR(Sales_Details2[[#This Row],[Order_Date]])</f>
        <v>2023</v>
      </c>
      <c r="D1729" s="2" t="s">
        <v>100</v>
      </c>
      <c r="E1729" s="2" t="str">
        <f>VLOOKUP(Sales_Details2[[#This Row],[Customer_ID]],Customer_Details[#All],4,0)</f>
        <v>Senior</v>
      </c>
      <c r="F1729" s="2" t="str">
        <f>VLOOKUP(Sales_Details2[[#This Row],[Customer_ID]],Customer_Details[#All],5,0)</f>
        <v>Female</v>
      </c>
      <c r="G1729" s="2" t="str">
        <f>VLOOKUP(Sales_Details2[[#This Row],[Customer_ID]],Customer_Details[#All],9,0)</f>
        <v>Silver</v>
      </c>
      <c r="H1729" s="2" t="s">
        <v>1555</v>
      </c>
      <c r="I1729" s="2" t="str">
        <f>VLOOKUP(Sales_Details2[[#This Row],[Product_ID]],Product_details[[#All],[Product_ID]:[Cost]],3,0)</f>
        <v>Beauty</v>
      </c>
      <c r="J1729" s="2" t="str">
        <f>VLOOKUP(Sales_Details2[[#This Row],[Product_ID]],Product_details[[#All],[Product_ID]:[Cost]],4,0)</f>
        <v>Haircare</v>
      </c>
      <c r="K1729" s="2" t="s">
        <v>1735</v>
      </c>
      <c r="L1729" s="2" t="str">
        <f>_xlfn.XLOOKUP(Sales_Details2[[#This Row],[Store_ID]],Table2[Store_ID],Table2[Region],"Region not found")</f>
        <v>East</v>
      </c>
      <c r="M1729" s="25">
        <v>1</v>
      </c>
      <c r="N1729" s="36">
        <v>145.47999999999999</v>
      </c>
      <c r="O1729" s="29">
        <v>0.1</v>
      </c>
      <c r="P1729" s="2" t="s">
        <v>1812</v>
      </c>
      <c r="Q1729" s="36">
        <v>130.93199999999999</v>
      </c>
    </row>
    <row r="1730" spans="1:17" x14ac:dyDescent="0.3">
      <c r="A1730" s="2" t="s">
        <v>3537</v>
      </c>
      <c r="B1730" s="14">
        <v>45547</v>
      </c>
      <c r="C1730" s="2">
        <f>YEAR(Sales_Details2[[#This Row],[Order_Date]])</f>
        <v>2024</v>
      </c>
      <c r="D1730" s="2" t="s">
        <v>195</v>
      </c>
      <c r="E1730" s="2" t="str">
        <f>VLOOKUP(Sales_Details2[[#This Row],[Customer_ID]],Customer_Details[#All],4,0)</f>
        <v>Senior</v>
      </c>
      <c r="F1730" s="2" t="str">
        <f>VLOOKUP(Sales_Details2[[#This Row],[Customer_ID]],Customer_Details[#All],5,0)</f>
        <v>Male</v>
      </c>
      <c r="G1730" s="2" t="str">
        <f>VLOOKUP(Sales_Details2[[#This Row],[Customer_ID]],Customer_Details[#All],9,0)</f>
        <v>Bronze</v>
      </c>
      <c r="H1730" s="2" t="s">
        <v>1593</v>
      </c>
      <c r="I1730" s="2" t="str">
        <f>VLOOKUP(Sales_Details2[[#This Row],[Product_ID]],Product_details[[#All],[Product_ID]:[Cost]],3,0)</f>
        <v>Sports</v>
      </c>
      <c r="J1730" s="2" t="str">
        <f>VLOOKUP(Sales_Details2[[#This Row],[Product_ID]],Product_details[[#All],[Product_ID]:[Cost]],4,0)</f>
        <v>Team Sports</v>
      </c>
      <c r="K1730" s="2" t="s">
        <v>1775</v>
      </c>
      <c r="L1730" s="2" t="str">
        <f>_xlfn.XLOOKUP(Sales_Details2[[#This Row],[Store_ID]],Table2[Store_ID],Table2[Region],"Region not found")</f>
        <v>South</v>
      </c>
      <c r="M1730" s="25">
        <v>4</v>
      </c>
      <c r="N1730" s="36">
        <v>862.25</v>
      </c>
      <c r="O1730" s="29">
        <v>0.28000000000000003</v>
      </c>
      <c r="P1730" s="2" t="s">
        <v>1809</v>
      </c>
      <c r="Q1730" s="36">
        <v>2483.2800000000002</v>
      </c>
    </row>
    <row r="1731" spans="1:17" x14ac:dyDescent="0.3">
      <c r="A1731" s="2" t="s">
        <v>3538</v>
      </c>
      <c r="B1731" s="14">
        <v>45296</v>
      </c>
      <c r="C1731" s="2">
        <f>YEAR(Sales_Details2[[#This Row],[Order_Date]])</f>
        <v>2024</v>
      </c>
      <c r="D1731" s="2" t="s">
        <v>917</v>
      </c>
      <c r="E1731" s="2" t="str">
        <f>VLOOKUP(Sales_Details2[[#This Row],[Customer_ID]],Customer_Details[#All],4,0)</f>
        <v>Adult</v>
      </c>
      <c r="F1731" s="2" t="str">
        <f>VLOOKUP(Sales_Details2[[#This Row],[Customer_ID]],Customer_Details[#All],5,0)</f>
        <v>Male</v>
      </c>
      <c r="G1731" s="2" t="str">
        <f>VLOOKUP(Sales_Details2[[#This Row],[Customer_ID]],Customer_Details[#All],9,0)</f>
        <v>Silver</v>
      </c>
      <c r="H1731" s="2" t="s">
        <v>1529</v>
      </c>
      <c r="I1731" s="2" t="str">
        <f>VLOOKUP(Sales_Details2[[#This Row],[Product_ID]],Product_details[[#All],[Product_ID]:[Cost]],3,0)</f>
        <v>Clothing</v>
      </c>
      <c r="J1731" s="2" t="str">
        <f>VLOOKUP(Sales_Details2[[#This Row],[Product_ID]],Product_details[[#All],[Product_ID]:[Cost]],4,0)</f>
        <v>Tops</v>
      </c>
      <c r="K1731" s="2" t="s">
        <v>1782</v>
      </c>
      <c r="L1731" s="2" t="str">
        <f>_xlfn.XLOOKUP(Sales_Details2[[#This Row],[Store_ID]],Table2[Store_ID],Table2[Region],"Region not found")</f>
        <v>South</v>
      </c>
      <c r="M1731" s="25">
        <v>4</v>
      </c>
      <c r="N1731" s="36">
        <v>146.12</v>
      </c>
      <c r="O1731" s="29">
        <v>0.12</v>
      </c>
      <c r="P1731" s="2" t="s">
        <v>1812</v>
      </c>
      <c r="Q1731" s="36">
        <v>514.3424</v>
      </c>
    </row>
    <row r="1732" spans="1:17" x14ac:dyDescent="0.3">
      <c r="A1732" s="2" t="s">
        <v>3539</v>
      </c>
      <c r="B1732" s="14">
        <v>45549</v>
      </c>
      <c r="C1732" s="2">
        <f>YEAR(Sales_Details2[[#This Row],[Order_Date]])</f>
        <v>2024</v>
      </c>
      <c r="D1732" s="2" t="s">
        <v>1456</v>
      </c>
      <c r="E1732" s="2" t="str">
        <f>VLOOKUP(Sales_Details2[[#This Row],[Customer_ID]],Customer_Details[#All],4,0)</f>
        <v>Senior</v>
      </c>
      <c r="F1732" s="2" t="str">
        <f>VLOOKUP(Sales_Details2[[#This Row],[Customer_ID]],Customer_Details[#All],5,0)</f>
        <v>Male</v>
      </c>
      <c r="G1732" s="2" t="str">
        <f>VLOOKUP(Sales_Details2[[#This Row],[Customer_ID]],Customer_Details[#All],9,0)</f>
        <v>Gold</v>
      </c>
      <c r="H1732" s="2" t="s">
        <v>1593</v>
      </c>
      <c r="I1732" s="2" t="str">
        <f>VLOOKUP(Sales_Details2[[#This Row],[Product_ID]],Product_details[[#All],[Product_ID]:[Cost]],3,0)</f>
        <v>Sports</v>
      </c>
      <c r="J1732" s="2" t="str">
        <f>VLOOKUP(Sales_Details2[[#This Row],[Product_ID]],Product_details[[#All],[Product_ID]:[Cost]],4,0)</f>
        <v>Team Sports</v>
      </c>
      <c r="K1732" s="2" t="s">
        <v>1793</v>
      </c>
      <c r="L1732" s="2" t="str">
        <f>_xlfn.XLOOKUP(Sales_Details2[[#This Row],[Store_ID]],Table2[Store_ID],Table2[Region],"Region not found")</f>
        <v>East</v>
      </c>
      <c r="M1732" s="25">
        <v>2</v>
      </c>
      <c r="N1732" s="36">
        <v>695.02</v>
      </c>
      <c r="O1732" s="29">
        <v>0.3</v>
      </c>
      <c r="P1732" s="2" t="s">
        <v>1812</v>
      </c>
      <c r="Q1732" s="36">
        <v>973.02799999999991</v>
      </c>
    </row>
    <row r="1733" spans="1:17" x14ac:dyDescent="0.3">
      <c r="A1733" s="2" t="s">
        <v>3540</v>
      </c>
      <c r="B1733" s="14">
        <v>45231</v>
      </c>
      <c r="C1733" s="2">
        <f>YEAR(Sales_Details2[[#This Row],[Order_Date]])</f>
        <v>2023</v>
      </c>
      <c r="D1733" s="2" t="s">
        <v>705</v>
      </c>
      <c r="E1733" s="2" t="str">
        <f>VLOOKUP(Sales_Details2[[#This Row],[Customer_ID]],Customer_Details[#All],4,0)</f>
        <v>Mid-Adult</v>
      </c>
      <c r="F1733" s="2" t="str">
        <f>VLOOKUP(Sales_Details2[[#This Row],[Customer_ID]],Customer_Details[#All],5,0)</f>
        <v>Female</v>
      </c>
      <c r="G1733" s="2" t="str">
        <f>VLOOKUP(Sales_Details2[[#This Row],[Customer_ID]],Customer_Details[#All],9,0)</f>
        <v>Gold</v>
      </c>
      <c r="H1733" s="2" t="s">
        <v>1719</v>
      </c>
      <c r="I1733" s="2" t="str">
        <f>VLOOKUP(Sales_Details2[[#This Row],[Product_ID]],Product_details[[#All],[Product_ID]:[Cost]],3,0)</f>
        <v>Beauty</v>
      </c>
      <c r="J1733" s="2" t="str">
        <f>VLOOKUP(Sales_Details2[[#This Row],[Product_ID]],Product_details[[#All],[Product_ID]:[Cost]],4,0)</f>
        <v>Skincare</v>
      </c>
      <c r="K1733" s="2" t="s">
        <v>1772</v>
      </c>
      <c r="L1733" s="2" t="str">
        <f>_xlfn.XLOOKUP(Sales_Details2[[#This Row],[Store_ID]],Table2[Store_ID],Table2[Region],"Region not found")</f>
        <v>East</v>
      </c>
      <c r="M1733" s="25">
        <v>2</v>
      </c>
      <c r="N1733" s="36">
        <v>886.67</v>
      </c>
      <c r="O1733" s="29">
        <v>0.24</v>
      </c>
      <c r="P1733" s="2" t="s">
        <v>1809</v>
      </c>
      <c r="Q1733" s="36">
        <v>1347.7384</v>
      </c>
    </row>
    <row r="1734" spans="1:17" x14ac:dyDescent="0.3">
      <c r="A1734" s="2" t="s">
        <v>3541</v>
      </c>
      <c r="B1734" s="14">
        <v>45628</v>
      </c>
      <c r="C1734" s="2">
        <f>YEAR(Sales_Details2[[#This Row],[Order_Date]])</f>
        <v>2024</v>
      </c>
      <c r="D1734" s="2" t="s">
        <v>202</v>
      </c>
      <c r="E1734" s="2" t="str">
        <f>VLOOKUP(Sales_Details2[[#This Row],[Customer_ID]],Customer_Details[#All],4,0)</f>
        <v>Adult</v>
      </c>
      <c r="F1734" s="2" t="str">
        <f>VLOOKUP(Sales_Details2[[#This Row],[Customer_ID]],Customer_Details[#All],5,0)</f>
        <v>Male</v>
      </c>
      <c r="G1734" s="2" t="str">
        <f>VLOOKUP(Sales_Details2[[#This Row],[Customer_ID]],Customer_Details[#All],9,0)</f>
        <v>Platinum</v>
      </c>
      <c r="H1734" s="2" t="s">
        <v>1663</v>
      </c>
      <c r="I1734" s="2" t="str">
        <f>VLOOKUP(Sales_Details2[[#This Row],[Product_ID]],Product_details[[#All],[Product_ID]:[Cost]],3,0)</f>
        <v>Beauty</v>
      </c>
      <c r="J1734" s="2" t="str">
        <f>VLOOKUP(Sales_Details2[[#This Row],[Product_ID]],Product_details[[#All],[Product_ID]:[Cost]],4,0)</f>
        <v>Haircare</v>
      </c>
      <c r="K1734" s="2" t="s">
        <v>1793</v>
      </c>
      <c r="L1734" s="2" t="str">
        <f>_xlfn.XLOOKUP(Sales_Details2[[#This Row],[Store_ID]],Table2[Store_ID],Table2[Region],"Region not found")</f>
        <v>East</v>
      </c>
      <c r="M1734" s="25">
        <v>2</v>
      </c>
      <c r="N1734" s="36">
        <v>864.09</v>
      </c>
      <c r="O1734" s="29">
        <v>0.06</v>
      </c>
      <c r="P1734" s="2" t="s">
        <v>1812</v>
      </c>
      <c r="Q1734" s="36">
        <v>1624.4892</v>
      </c>
    </row>
    <row r="1735" spans="1:17" x14ac:dyDescent="0.3">
      <c r="A1735" s="2" t="s">
        <v>3542</v>
      </c>
      <c r="B1735" s="14">
        <v>45862</v>
      </c>
      <c r="C1735" s="2">
        <f>YEAR(Sales_Details2[[#This Row],[Order_Date]])</f>
        <v>2025</v>
      </c>
      <c r="D1735" s="2" t="s">
        <v>23</v>
      </c>
      <c r="E1735" s="2" t="str">
        <f>VLOOKUP(Sales_Details2[[#This Row],[Customer_ID]],Customer_Details[#All],4,0)</f>
        <v>Senior</v>
      </c>
      <c r="F1735" s="2" t="str">
        <f>VLOOKUP(Sales_Details2[[#This Row],[Customer_ID]],Customer_Details[#All],5,0)</f>
        <v>Female</v>
      </c>
      <c r="G1735" s="2" t="str">
        <f>VLOOKUP(Sales_Details2[[#This Row],[Customer_ID]],Customer_Details[#All],9,0)</f>
        <v>Bronze</v>
      </c>
      <c r="H1735" s="2" t="s">
        <v>1555</v>
      </c>
      <c r="I1735" s="2" t="str">
        <f>VLOOKUP(Sales_Details2[[#This Row],[Product_ID]],Product_details[[#All],[Product_ID]:[Cost]],3,0)</f>
        <v>Beauty</v>
      </c>
      <c r="J1735" s="2" t="str">
        <f>VLOOKUP(Sales_Details2[[#This Row],[Product_ID]],Product_details[[#All],[Product_ID]:[Cost]],4,0)</f>
        <v>Haircare</v>
      </c>
      <c r="K1735" s="2" t="s">
        <v>1769</v>
      </c>
      <c r="L1735" s="2" t="str">
        <f>_xlfn.XLOOKUP(Sales_Details2[[#This Row],[Store_ID]],Table2[Store_ID],Table2[Region],"Region not found")</f>
        <v>South</v>
      </c>
      <c r="M1735" s="25">
        <v>1</v>
      </c>
      <c r="N1735" s="36">
        <v>437.65</v>
      </c>
      <c r="O1735" s="29">
        <v>0.02</v>
      </c>
      <c r="P1735" s="2" t="s">
        <v>1809</v>
      </c>
      <c r="Q1735" s="36">
        <v>428.89699999999999</v>
      </c>
    </row>
    <row r="1736" spans="1:17" x14ac:dyDescent="0.3">
      <c r="A1736" s="2" t="s">
        <v>3543</v>
      </c>
      <c r="B1736" s="14">
        <v>45843</v>
      </c>
      <c r="C1736" s="2">
        <f>YEAR(Sales_Details2[[#This Row],[Order_Date]])</f>
        <v>2025</v>
      </c>
      <c r="D1736" s="2" t="s">
        <v>654</v>
      </c>
      <c r="E1736" s="2" t="str">
        <f>VLOOKUP(Sales_Details2[[#This Row],[Customer_ID]],Customer_Details[#All],4,0)</f>
        <v>Mid-Adult</v>
      </c>
      <c r="F1736" s="2" t="str">
        <f>VLOOKUP(Sales_Details2[[#This Row],[Customer_ID]],Customer_Details[#All],5,0)</f>
        <v>Female</v>
      </c>
      <c r="G1736" s="2" t="str">
        <f>VLOOKUP(Sales_Details2[[#This Row],[Customer_ID]],Customer_Details[#All],9,0)</f>
        <v>Platinum</v>
      </c>
      <c r="H1736" s="2" t="s">
        <v>1603</v>
      </c>
      <c r="I1736" s="2" t="str">
        <f>VLOOKUP(Sales_Details2[[#This Row],[Product_ID]],Product_details[[#All],[Product_ID]:[Cost]],3,0)</f>
        <v>Clothing</v>
      </c>
      <c r="J1736" s="2" t="str">
        <f>VLOOKUP(Sales_Details2[[#This Row],[Product_ID]],Product_details[[#All],[Product_ID]:[Cost]],4,0)</f>
        <v>Tops</v>
      </c>
      <c r="K1736" s="2" t="s">
        <v>1780</v>
      </c>
      <c r="L1736" s="2" t="str">
        <f>_xlfn.XLOOKUP(Sales_Details2[[#This Row],[Store_ID]],Table2[Store_ID],Table2[Region],"Region not found")</f>
        <v>East</v>
      </c>
      <c r="M1736" s="25">
        <v>2</v>
      </c>
      <c r="N1736" s="36">
        <v>208.09</v>
      </c>
      <c r="O1736" s="29">
        <v>0.27</v>
      </c>
      <c r="P1736" s="2" t="s">
        <v>1807</v>
      </c>
      <c r="Q1736" s="36">
        <v>303.81139999999999</v>
      </c>
    </row>
    <row r="1737" spans="1:17" x14ac:dyDescent="0.3">
      <c r="A1737" s="2" t="s">
        <v>3544</v>
      </c>
      <c r="B1737" s="14">
        <v>45482</v>
      </c>
      <c r="C1737" s="2">
        <f>YEAR(Sales_Details2[[#This Row],[Order_Date]])</f>
        <v>2024</v>
      </c>
      <c r="D1737" s="2" t="s">
        <v>202</v>
      </c>
      <c r="E1737" s="2" t="str">
        <f>VLOOKUP(Sales_Details2[[#This Row],[Customer_ID]],Customer_Details[#All],4,0)</f>
        <v>Adult</v>
      </c>
      <c r="F1737" s="2" t="str">
        <f>VLOOKUP(Sales_Details2[[#This Row],[Customer_ID]],Customer_Details[#All],5,0)</f>
        <v>Male</v>
      </c>
      <c r="G1737" s="2" t="str">
        <f>VLOOKUP(Sales_Details2[[#This Row],[Customer_ID]],Customer_Details[#All],9,0)</f>
        <v>Platinum</v>
      </c>
      <c r="H1737" s="2" t="s">
        <v>1717</v>
      </c>
      <c r="I1737" s="2" t="str">
        <f>VLOOKUP(Sales_Details2[[#This Row],[Product_ID]],Product_details[[#All],[Product_ID]:[Cost]],3,0)</f>
        <v>Electronics</v>
      </c>
      <c r="J1737" s="2" t="str">
        <f>VLOOKUP(Sales_Details2[[#This Row],[Product_ID]],Product_details[[#All],[Product_ID]:[Cost]],4,0)</f>
        <v>Computer</v>
      </c>
      <c r="K1737" s="2" t="s">
        <v>1790</v>
      </c>
      <c r="L1737" s="2" t="str">
        <f>_xlfn.XLOOKUP(Sales_Details2[[#This Row],[Store_ID]],Table2[Store_ID],Table2[Region],"Region not found")</f>
        <v>North</v>
      </c>
      <c r="M1737" s="25">
        <v>4</v>
      </c>
      <c r="N1737" s="36">
        <v>825.78</v>
      </c>
      <c r="O1737" s="29">
        <v>0.02</v>
      </c>
      <c r="P1737" s="2" t="s">
        <v>1807</v>
      </c>
      <c r="Q1737" s="36">
        <v>3237.0576000000001</v>
      </c>
    </row>
    <row r="1738" spans="1:17" x14ac:dyDescent="0.3">
      <c r="A1738" s="2" t="s">
        <v>3545</v>
      </c>
      <c r="B1738" s="14">
        <v>45313</v>
      </c>
      <c r="C1738" s="2">
        <f>YEAR(Sales_Details2[[#This Row],[Order_Date]])</f>
        <v>2024</v>
      </c>
      <c r="D1738" s="2" t="s">
        <v>400</v>
      </c>
      <c r="E1738" s="2" t="str">
        <f>VLOOKUP(Sales_Details2[[#This Row],[Customer_ID]],Customer_Details[#All],4,0)</f>
        <v>Adult</v>
      </c>
      <c r="F1738" s="2" t="str">
        <f>VLOOKUP(Sales_Details2[[#This Row],[Customer_ID]],Customer_Details[#All],5,0)</f>
        <v>Female</v>
      </c>
      <c r="G1738" s="2" t="str">
        <f>VLOOKUP(Sales_Details2[[#This Row],[Customer_ID]],Customer_Details[#All],9,0)</f>
        <v>Platinum</v>
      </c>
      <c r="H1738" s="2" t="s">
        <v>1581</v>
      </c>
      <c r="I1738" s="2" t="str">
        <f>VLOOKUP(Sales_Details2[[#This Row],[Product_ID]],Product_details[[#All],[Product_ID]:[Cost]],3,0)</f>
        <v>Clothing</v>
      </c>
      <c r="J1738" s="2" t="str">
        <f>VLOOKUP(Sales_Details2[[#This Row],[Product_ID]],Product_details[[#All],[Product_ID]:[Cost]],4,0)</f>
        <v>Accessories</v>
      </c>
      <c r="K1738" s="2" t="s">
        <v>1790</v>
      </c>
      <c r="L1738" s="2" t="str">
        <f>_xlfn.XLOOKUP(Sales_Details2[[#This Row],[Store_ID]],Table2[Store_ID],Table2[Region],"Region not found")</f>
        <v>North</v>
      </c>
      <c r="M1738" s="25">
        <v>3</v>
      </c>
      <c r="N1738" s="36">
        <v>849.77</v>
      </c>
      <c r="O1738" s="29">
        <v>0.12</v>
      </c>
      <c r="P1738" s="2" t="s">
        <v>1809</v>
      </c>
      <c r="Q1738" s="36">
        <v>2243.3928000000001</v>
      </c>
    </row>
    <row r="1739" spans="1:17" x14ac:dyDescent="0.3">
      <c r="A1739" s="2" t="s">
        <v>3546</v>
      </c>
      <c r="B1739" s="14">
        <v>45314</v>
      </c>
      <c r="C1739" s="2">
        <f>YEAR(Sales_Details2[[#This Row],[Order_Date]])</f>
        <v>2024</v>
      </c>
      <c r="D1739" s="2" t="s">
        <v>1069</v>
      </c>
      <c r="E1739" s="2" t="str">
        <f>VLOOKUP(Sales_Details2[[#This Row],[Customer_ID]],Customer_Details[#All],4,0)</f>
        <v>Mid-Adult</v>
      </c>
      <c r="F1739" s="2" t="str">
        <f>VLOOKUP(Sales_Details2[[#This Row],[Customer_ID]],Customer_Details[#All],5,0)</f>
        <v>Male</v>
      </c>
      <c r="G1739" s="2" t="str">
        <f>VLOOKUP(Sales_Details2[[#This Row],[Customer_ID]],Customer_Details[#All],9,0)</f>
        <v>Gold</v>
      </c>
      <c r="H1739" s="2" t="s">
        <v>1651</v>
      </c>
      <c r="I1739" s="2" t="str">
        <f>VLOOKUP(Sales_Details2[[#This Row],[Product_ID]],Product_details[[#All],[Product_ID]:[Cost]],3,0)</f>
        <v>Beauty</v>
      </c>
      <c r="J1739" s="2" t="str">
        <f>VLOOKUP(Sales_Details2[[#This Row],[Product_ID]],Product_details[[#All],[Product_ID]:[Cost]],4,0)</f>
        <v>Fragrance</v>
      </c>
      <c r="K1739" s="2" t="s">
        <v>1752</v>
      </c>
      <c r="L1739" s="2" t="str">
        <f>_xlfn.XLOOKUP(Sales_Details2[[#This Row],[Store_ID]],Table2[Store_ID],Table2[Region],"Region not found")</f>
        <v>South</v>
      </c>
      <c r="M1739" s="25">
        <v>1</v>
      </c>
      <c r="N1739" s="36">
        <v>88.78</v>
      </c>
      <c r="O1739" s="29">
        <v>0.18</v>
      </c>
      <c r="P1739" s="2" t="s">
        <v>1807</v>
      </c>
      <c r="Q1739" s="36">
        <v>72.799600000000012</v>
      </c>
    </row>
    <row r="1740" spans="1:17" x14ac:dyDescent="0.3">
      <c r="A1740" s="2" t="s">
        <v>3547</v>
      </c>
      <c r="B1740" s="14">
        <v>45526</v>
      </c>
      <c r="C1740" s="2">
        <f>YEAR(Sales_Details2[[#This Row],[Order_Date]])</f>
        <v>2024</v>
      </c>
      <c r="D1740" s="2" t="s">
        <v>622</v>
      </c>
      <c r="E1740" s="2" t="str">
        <f>VLOOKUP(Sales_Details2[[#This Row],[Customer_ID]],Customer_Details[#All],4,0)</f>
        <v>Adult</v>
      </c>
      <c r="F1740" s="2" t="str">
        <f>VLOOKUP(Sales_Details2[[#This Row],[Customer_ID]],Customer_Details[#All],5,0)</f>
        <v>Female</v>
      </c>
      <c r="G1740" s="2" t="str">
        <f>VLOOKUP(Sales_Details2[[#This Row],[Customer_ID]],Customer_Details[#All],9,0)</f>
        <v>Bronze</v>
      </c>
      <c r="H1740" s="2" t="s">
        <v>1687</v>
      </c>
      <c r="I1740" s="2" t="str">
        <f>VLOOKUP(Sales_Details2[[#This Row],[Product_ID]],Product_details[[#All],[Product_ID]:[Cost]],3,0)</f>
        <v>Home</v>
      </c>
      <c r="J1740" s="2" t="str">
        <f>VLOOKUP(Sales_Details2[[#This Row],[Product_ID]],Product_details[[#All],[Product_ID]:[Cost]],4,0)</f>
        <v>Decor</v>
      </c>
      <c r="K1740" s="2" t="s">
        <v>1752</v>
      </c>
      <c r="L1740" s="2" t="str">
        <f>_xlfn.XLOOKUP(Sales_Details2[[#This Row],[Store_ID]],Table2[Store_ID],Table2[Region],"Region not found")</f>
        <v>South</v>
      </c>
      <c r="M1740" s="25">
        <v>4</v>
      </c>
      <c r="N1740" s="36">
        <v>507.22</v>
      </c>
      <c r="O1740" s="29">
        <v>0.14000000000000001</v>
      </c>
      <c r="P1740" s="2" t="s">
        <v>1809</v>
      </c>
      <c r="Q1740" s="36">
        <v>1744.8368</v>
      </c>
    </row>
    <row r="1741" spans="1:17" x14ac:dyDescent="0.3">
      <c r="A1741" s="2" t="s">
        <v>3548</v>
      </c>
      <c r="B1741" s="14">
        <v>45887</v>
      </c>
      <c r="C1741" s="2">
        <f>YEAR(Sales_Details2[[#This Row],[Order_Date]])</f>
        <v>2025</v>
      </c>
      <c r="D1741" s="2" t="s">
        <v>986</v>
      </c>
      <c r="E1741" s="2" t="str">
        <f>VLOOKUP(Sales_Details2[[#This Row],[Customer_ID]],Customer_Details[#All],4,0)</f>
        <v>Mid-Adult</v>
      </c>
      <c r="F1741" s="2" t="str">
        <f>VLOOKUP(Sales_Details2[[#This Row],[Customer_ID]],Customer_Details[#All],5,0)</f>
        <v>Male</v>
      </c>
      <c r="G1741" s="2" t="str">
        <f>VLOOKUP(Sales_Details2[[#This Row],[Customer_ID]],Customer_Details[#All],9,0)</f>
        <v>Gold</v>
      </c>
      <c r="H1741" s="2" t="s">
        <v>1723</v>
      </c>
      <c r="I1741" s="2" t="str">
        <f>VLOOKUP(Sales_Details2[[#This Row],[Product_ID]],Product_details[[#All],[Product_ID]:[Cost]],3,0)</f>
        <v>Clothing</v>
      </c>
      <c r="J1741" s="2" t="str">
        <f>VLOOKUP(Sales_Details2[[#This Row],[Product_ID]],Product_details[[#All],[Product_ID]:[Cost]],4,0)</f>
        <v>Outerwear</v>
      </c>
      <c r="K1741" s="2" t="s">
        <v>1735</v>
      </c>
      <c r="L1741" s="2" t="str">
        <f>_xlfn.XLOOKUP(Sales_Details2[[#This Row],[Store_ID]],Table2[Store_ID],Table2[Region],"Region not found")</f>
        <v>East</v>
      </c>
      <c r="M1741" s="25">
        <v>3</v>
      </c>
      <c r="N1741" s="36">
        <v>330.98</v>
      </c>
      <c r="O1741" s="29">
        <v>0.11</v>
      </c>
      <c r="P1741" s="2" t="s">
        <v>1807</v>
      </c>
      <c r="Q1741" s="36">
        <v>883.71660000000008</v>
      </c>
    </row>
    <row r="1742" spans="1:17" x14ac:dyDescent="0.3">
      <c r="A1742" s="2" t="s">
        <v>3549</v>
      </c>
      <c r="B1742" s="14">
        <v>45562</v>
      </c>
      <c r="C1742" s="2">
        <f>YEAR(Sales_Details2[[#This Row],[Order_Date]])</f>
        <v>2024</v>
      </c>
      <c r="D1742" s="2" t="s">
        <v>192</v>
      </c>
      <c r="E1742" s="2" t="str">
        <f>VLOOKUP(Sales_Details2[[#This Row],[Customer_ID]],Customer_Details[#All],4,0)</f>
        <v>Adult</v>
      </c>
      <c r="F1742" s="2" t="str">
        <f>VLOOKUP(Sales_Details2[[#This Row],[Customer_ID]],Customer_Details[#All],5,0)</f>
        <v>Female</v>
      </c>
      <c r="G1742" s="2" t="str">
        <f>VLOOKUP(Sales_Details2[[#This Row],[Customer_ID]],Customer_Details[#All],9,0)</f>
        <v>Gold</v>
      </c>
      <c r="H1742" s="2" t="s">
        <v>1605</v>
      </c>
      <c r="I1742" s="2" t="str">
        <f>VLOOKUP(Sales_Details2[[#This Row],[Product_ID]],Product_details[[#All],[Product_ID]:[Cost]],3,0)</f>
        <v>Clothing</v>
      </c>
      <c r="J1742" s="2" t="str">
        <f>VLOOKUP(Sales_Details2[[#This Row],[Product_ID]],Product_details[[#All],[Product_ID]:[Cost]],4,0)</f>
        <v>Footwear</v>
      </c>
      <c r="K1742" s="2" t="s">
        <v>1796</v>
      </c>
      <c r="L1742" s="2" t="str">
        <f>_xlfn.XLOOKUP(Sales_Details2[[#This Row],[Store_ID]],Table2[Store_ID],Table2[Region],"Region not found")</f>
        <v>East</v>
      </c>
      <c r="M1742" s="25">
        <v>4</v>
      </c>
      <c r="N1742" s="36">
        <v>442.87</v>
      </c>
      <c r="O1742" s="29">
        <v>0.08</v>
      </c>
      <c r="P1742" s="2" t="s">
        <v>1807</v>
      </c>
      <c r="Q1742" s="36">
        <v>1629.7616</v>
      </c>
    </row>
    <row r="1743" spans="1:17" x14ac:dyDescent="0.3">
      <c r="A1743" s="2" t="s">
        <v>3550</v>
      </c>
      <c r="B1743" s="14">
        <v>45880</v>
      </c>
      <c r="C1743" s="2">
        <f>YEAR(Sales_Details2[[#This Row],[Order_Date]])</f>
        <v>2025</v>
      </c>
      <c r="D1743" s="2" t="s">
        <v>48</v>
      </c>
      <c r="E1743" s="2" t="str">
        <f>VLOOKUP(Sales_Details2[[#This Row],[Customer_ID]],Customer_Details[#All],4,0)</f>
        <v>Senior</v>
      </c>
      <c r="F1743" s="2" t="str">
        <f>VLOOKUP(Sales_Details2[[#This Row],[Customer_ID]],Customer_Details[#All],5,0)</f>
        <v>Male</v>
      </c>
      <c r="G1743" s="2" t="str">
        <f>VLOOKUP(Sales_Details2[[#This Row],[Customer_ID]],Customer_Details[#All],9,0)</f>
        <v>Platinum</v>
      </c>
      <c r="H1743" s="2" t="s">
        <v>1723</v>
      </c>
      <c r="I1743" s="2" t="str">
        <f>VLOOKUP(Sales_Details2[[#This Row],[Product_ID]],Product_details[[#All],[Product_ID]:[Cost]],3,0)</f>
        <v>Clothing</v>
      </c>
      <c r="J1743" s="2" t="str">
        <f>VLOOKUP(Sales_Details2[[#This Row],[Product_ID]],Product_details[[#All],[Product_ID]:[Cost]],4,0)</f>
        <v>Outerwear</v>
      </c>
      <c r="K1743" s="2" t="s">
        <v>1744</v>
      </c>
      <c r="L1743" s="2" t="str">
        <f>_xlfn.XLOOKUP(Sales_Details2[[#This Row],[Store_ID]],Table2[Store_ID],Table2[Region],"Region not found")</f>
        <v>South</v>
      </c>
      <c r="M1743" s="25">
        <v>2</v>
      </c>
      <c r="N1743" s="36">
        <v>939.66</v>
      </c>
      <c r="O1743" s="29">
        <v>0.14000000000000001</v>
      </c>
      <c r="P1743" s="2" t="s">
        <v>1809</v>
      </c>
      <c r="Q1743" s="36">
        <v>1616.2152000000001</v>
      </c>
    </row>
    <row r="1744" spans="1:17" x14ac:dyDescent="0.3">
      <c r="A1744" s="2" t="s">
        <v>3551</v>
      </c>
      <c r="B1744" s="14">
        <v>45556</v>
      </c>
      <c r="C1744" s="2">
        <f>YEAR(Sales_Details2[[#This Row],[Order_Date]])</f>
        <v>2024</v>
      </c>
      <c r="D1744" s="2" t="s">
        <v>920</v>
      </c>
      <c r="E1744" s="2" t="str">
        <f>VLOOKUP(Sales_Details2[[#This Row],[Customer_ID]],Customer_Details[#All],4,0)</f>
        <v>Senior</v>
      </c>
      <c r="F1744" s="2" t="str">
        <f>VLOOKUP(Sales_Details2[[#This Row],[Customer_ID]],Customer_Details[#All],5,0)</f>
        <v>Female</v>
      </c>
      <c r="G1744" s="2" t="str">
        <f>VLOOKUP(Sales_Details2[[#This Row],[Customer_ID]],Customer_Details[#All],9,0)</f>
        <v>Platinum</v>
      </c>
      <c r="H1744" s="2" t="s">
        <v>1677</v>
      </c>
      <c r="I1744" s="2" t="str">
        <f>VLOOKUP(Sales_Details2[[#This Row],[Product_ID]],Product_details[[#All],[Product_ID]:[Cost]],3,0)</f>
        <v>Sports</v>
      </c>
      <c r="J1744" s="2" t="str">
        <f>VLOOKUP(Sales_Details2[[#This Row],[Product_ID]],Product_details[[#All],[Product_ID]:[Cost]],4,0)</f>
        <v>Team Sports</v>
      </c>
      <c r="K1744" s="2" t="s">
        <v>1749</v>
      </c>
      <c r="L1744" s="2" t="str">
        <f>_xlfn.XLOOKUP(Sales_Details2[[#This Row],[Store_ID]],Table2[Store_ID],Table2[Region],"Region not found")</f>
        <v>North</v>
      </c>
      <c r="M1744" s="25">
        <v>1</v>
      </c>
      <c r="N1744" s="36">
        <v>24.13</v>
      </c>
      <c r="O1744" s="29">
        <v>0</v>
      </c>
      <c r="P1744" s="2" t="s">
        <v>1807</v>
      </c>
      <c r="Q1744" s="36">
        <v>24.13</v>
      </c>
    </row>
    <row r="1745" spans="1:17" x14ac:dyDescent="0.3">
      <c r="A1745" s="2" t="s">
        <v>3552</v>
      </c>
      <c r="B1745" s="14">
        <v>45355</v>
      </c>
      <c r="C1745" s="2">
        <f>YEAR(Sales_Details2[[#This Row],[Order_Date]])</f>
        <v>2024</v>
      </c>
      <c r="D1745" s="2" t="s">
        <v>1126</v>
      </c>
      <c r="E1745" s="2" t="str">
        <f>VLOOKUP(Sales_Details2[[#This Row],[Customer_ID]],Customer_Details[#All],4,0)</f>
        <v>Senior</v>
      </c>
      <c r="F1745" s="2" t="str">
        <f>VLOOKUP(Sales_Details2[[#This Row],[Customer_ID]],Customer_Details[#All],5,0)</f>
        <v>Male</v>
      </c>
      <c r="G1745" s="2" t="str">
        <f>VLOOKUP(Sales_Details2[[#This Row],[Customer_ID]],Customer_Details[#All],9,0)</f>
        <v>Bronze</v>
      </c>
      <c r="H1745" s="2" t="s">
        <v>1613</v>
      </c>
      <c r="I1745" s="2" t="str">
        <f>VLOOKUP(Sales_Details2[[#This Row],[Product_ID]],Product_details[[#All],[Product_ID]:[Cost]],3,0)</f>
        <v>Sports</v>
      </c>
      <c r="J1745" s="2" t="str">
        <f>VLOOKUP(Sales_Details2[[#This Row],[Product_ID]],Product_details[[#All],[Product_ID]:[Cost]],4,0)</f>
        <v>Fitness</v>
      </c>
      <c r="K1745" s="2" t="s">
        <v>1749</v>
      </c>
      <c r="L1745" s="2" t="str">
        <f>_xlfn.XLOOKUP(Sales_Details2[[#This Row],[Store_ID]],Table2[Store_ID],Table2[Region],"Region not found")</f>
        <v>North</v>
      </c>
      <c r="M1745" s="25">
        <v>3</v>
      </c>
      <c r="N1745" s="36">
        <v>239.54</v>
      </c>
      <c r="O1745" s="29">
        <v>0.28999999999999998</v>
      </c>
      <c r="P1745" s="2" t="s">
        <v>1812</v>
      </c>
      <c r="Q1745" s="36">
        <v>510.22019999999998</v>
      </c>
    </row>
    <row r="1746" spans="1:17" x14ac:dyDescent="0.3">
      <c r="A1746" s="2" t="s">
        <v>3553</v>
      </c>
      <c r="B1746" s="14">
        <v>45244</v>
      </c>
      <c r="C1746" s="2">
        <f>YEAR(Sales_Details2[[#This Row],[Order_Date]])</f>
        <v>2023</v>
      </c>
      <c r="D1746" s="2" t="s">
        <v>1467</v>
      </c>
      <c r="E1746" s="2" t="str">
        <f>VLOOKUP(Sales_Details2[[#This Row],[Customer_ID]],Customer_Details[#All],4,0)</f>
        <v>Adult</v>
      </c>
      <c r="F1746" s="2" t="str">
        <f>VLOOKUP(Sales_Details2[[#This Row],[Customer_ID]],Customer_Details[#All],5,0)</f>
        <v>Male</v>
      </c>
      <c r="G1746" s="2" t="str">
        <f>VLOOKUP(Sales_Details2[[#This Row],[Customer_ID]],Customer_Details[#All],9,0)</f>
        <v>Platinum</v>
      </c>
      <c r="H1746" s="2" t="s">
        <v>1623</v>
      </c>
      <c r="I1746" s="2" t="str">
        <f>VLOOKUP(Sales_Details2[[#This Row],[Product_ID]],Product_details[[#All],[Product_ID]:[Cost]],3,0)</f>
        <v>Clothing</v>
      </c>
      <c r="J1746" s="2" t="str">
        <f>VLOOKUP(Sales_Details2[[#This Row],[Product_ID]],Product_details[[#All],[Product_ID]:[Cost]],4,0)</f>
        <v>Outerwear</v>
      </c>
      <c r="K1746" s="2" t="s">
        <v>1782</v>
      </c>
      <c r="L1746" s="2" t="str">
        <f>_xlfn.XLOOKUP(Sales_Details2[[#This Row],[Store_ID]],Table2[Store_ID],Table2[Region],"Region not found")</f>
        <v>South</v>
      </c>
      <c r="M1746" s="25">
        <v>1</v>
      </c>
      <c r="N1746" s="36">
        <v>588.53</v>
      </c>
      <c r="O1746" s="29">
        <v>0.1</v>
      </c>
      <c r="P1746" s="2" t="s">
        <v>1807</v>
      </c>
      <c r="Q1746" s="36">
        <v>529.67700000000002</v>
      </c>
    </row>
    <row r="1747" spans="1:17" x14ac:dyDescent="0.3">
      <c r="A1747" s="2" t="s">
        <v>3554</v>
      </c>
      <c r="B1747" s="14">
        <v>45863</v>
      </c>
      <c r="C1747" s="2">
        <f>YEAR(Sales_Details2[[#This Row],[Order_Date]])</f>
        <v>2025</v>
      </c>
      <c r="D1747" s="2" t="s">
        <v>906</v>
      </c>
      <c r="E1747" s="2" t="str">
        <f>VLOOKUP(Sales_Details2[[#This Row],[Customer_ID]],Customer_Details[#All],4,0)</f>
        <v>Senior</v>
      </c>
      <c r="F1747" s="2" t="str">
        <f>VLOOKUP(Sales_Details2[[#This Row],[Customer_ID]],Customer_Details[#All],5,0)</f>
        <v>Male</v>
      </c>
      <c r="G1747" s="2" t="str">
        <f>VLOOKUP(Sales_Details2[[#This Row],[Customer_ID]],Customer_Details[#All],9,0)</f>
        <v>Gold</v>
      </c>
      <c r="H1747" s="2" t="s">
        <v>1651</v>
      </c>
      <c r="I1747" s="2" t="str">
        <f>VLOOKUP(Sales_Details2[[#This Row],[Product_ID]],Product_details[[#All],[Product_ID]:[Cost]],3,0)</f>
        <v>Beauty</v>
      </c>
      <c r="J1747" s="2" t="str">
        <f>VLOOKUP(Sales_Details2[[#This Row],[Product_ID]],Product_details[[#All],[Product_ID]:[Cost]],4,0)</f>
        <v>Fragrance</v>
      </c>
      <c r="K1747" s="2" t="s">
        <v>1784</v>
      </c>
      <c r="L1747" s="2" t="str">
        <f>_xlfn.XLOOKUP(Sales_Details2[[#This Row],[Store_ID]],Table2[Store_ID],Table2[Region],"Region not found")</f>
        <v>North</v>
      </c>
      <c r="M1747" s="25">
        <v>1</v>
      </c>
      <c r="N1747" s="36">
        <v>145.96</v>
      </c>
      <c r="O1747" s="29">
        <v>0.3</v>
      </c>
      <c r="P1747" s="2" t="s">
        <v>1807</v>
      </c>
      <c r="Q1747" s="36">
        <v>102.172</v>
      </c>
    </row>
    <row r="1748" spans="1:17" x14ac:dyDescent="0.3">
      <c r="A1748" s="2" t="s">
        <v>3555</v>
      </c>
      <c r="B1748" s="14">
        <v>45573</v>
      </c>
      <c r="C1748" s="2">
        <f>YEAR(Sales_Details2[[#This Row],[Order_Date]])</f>
        <v>2024</v>
      </c>
      <c r="D1748" s="2" t="s">
        <v>355</v>
      </c>
      <c r="E1748" s="2" t="str">
        <f>VLOOKUP(Sales_Details2[[#This Row],[Customer_ID]],Customer_Details[#All],4,0)</f>
        <v>Adult</v>
      </c>
      <c r="F1748" s="2" t="str">
        <f>VLOOKUP(Sales_Details2[[#This Row],[Customer_ID]],Customer_Details[#All],5,0)</f>
        <v>Male</v>
      </c>
      <c r="G1748" s="2" t="str">
        <f>VLOOKUP(Sales_Details2[[#This Row],[Customer_ID]],Customer_Details[#All],9,0)</f>
        <v>Gold</v>
      </c>
      <c r="H1748" s="2" t="s">
        <v>1671</v>
      </c>
      <c r="I1748" s="2" t="str">
        <f>VLOOKUP(Sales_Details2[[#This Row],[Product_ID]],Product_details[[#All],[Product_ID]:[Cost]],3,0)</f>
        <v>Home</v>
      </c>
      <c r="J1748" s="2" t="str">
        <f>VLOOKUP(Sales_Details2[[#This Row],[Product_ID]],Product_details[[#All],[Product_ID]:[Cost]],4,0)</f>
        <v>Storage</v>
      </c>
      <c r="K1748" s="2" t="s">
        <v>1752</v>
      </c>
      <c r="L1748" s="2" t="str">
        <f>_xlfn.XLOOKUP(Sales_Details2[[#This Row],[Store_ID]],Table2[Store_ID],Table2[Region],"Region not found")</f>
        <v>South</v>
      </c>
      <c r="M1748" s="25">
        <v>4</v>
      </c>
      <c r="N1748" s="36">
        <v>640.91</v>
      </c>
      <c r="O1748" s="29">
        <v>0.06</v>
      </c>
      <c r="P1748" s="2" t="s">
        <v>1807</v>
      </c>
      <c r="Q1748" s="36">
        <v>2409.8216000000002</v>
      </c>
    </row>
    <row r="1749" spans="1:17" x14ac:dyDescent="0.3">
      <c r="A1749" s="2" t="s">
        <v>3556</v>
      </c>
      <c r="B1749" s="14">
        <v>45792</v>
      </c>
      <c r="C1749" s="2">
        <f>YEAR(Sales_Details2[[#This Row],[Order_Date]])</f>
        <v>2025</v>
      </c>
      <c r="D1749" s="2" t="s">
        <v>163</v>
      </c>
      <c r="E1749" s="2" t="str">
        <f>VLOOKUP(Sales_Details2[[#This Row],[Customer_ID]],Customer_Details[#All],4,0)</f>
        <v>Adult</v>
      </c>
      <c r="F1749" s="2" t="str">
        <f>VLOOKUP(Sales_Details2[[#This Row],[Customer_ID]],Customer_Details[#All],5,0)</f>
        <v>Male</v>
      </c>
      <c r="G1749" s="2" t="str">
        <f>VLOOKUP(Sales_Details2[[#This Row],[Customer_ID]],Customer_Details[#All],9,0)</f>
        <v>Platinum</v>
      </c>
      <c r="H1749" s="2" t="s">
        <v>1659</v>
      </c>
      <c r="I1749" s="2" t="str">
        <f>VLOOKUP(Sales_Details2[[#This Row],[Product_ID]],Product_details[[#All],[Product_ID]:[Cost]],3,0)</f>
        <v>Beauty</v>
      </c>
      <c r="J1749" s="2" t="str">
        <f>VLOOKUP(Sales_Details2[[#This Row],[Product_ID]],Product_details[[#All],[Product_ID]:[Cost]],4,0)</f>
        <v>Makeup</v>
      </c>
      <c r="K1749" s="2" t="s">
        <v>1775</v>
      </c>
      <c r="L1749" s="2" t="str">
        <f>_xlfn.XLOOKUP(Sales_Details2[[#This Row],[Store_ID]],Table2[Store_ID],Table2[Region],"Region not found")</f>
        <v>South</v>
      </c>
      <c r="M1749" s="25">
        <v>3</v>
      </c>
      <c r="N1749" s="36">
        <v>773.86</v>
      </c>
      <c r="O1749" s="29">
        <v>0.22</v>
      </c>
      <c r="P1749" s="2" t="s">
        <v>1807</v>
      </c>
      <c r="Q1749" s="36">
        <v>1810.8324</v>
      </c>
    </row>
    <row r="1750" spans="1:17" x14ac:dyDescent="0.3">
      <c r="A1750" s="2" t="s">
        <v>3557</v>
      </c>
      <c r="B1750" s="14">
        <v>45744</v>
      </c>
      <c r="C1750" s="2">
        <f>YEAR(Sales_Details2[[#This Row],[Order_Date]])</f>
        <v>2025</v>
      </c>
      <c r="D1750" s="2" t="s">
        <v>1412</v>
      </c>
      <c r="E1750" s="2" t="str">
        <f>VLOOKUP(Sales_Details2[[#This Row],[Customer_ID]],Customer_Details[#All],4,0)</f>
        <v>Mid-Adult</v>
      </c>
      <c r="F1750" s="2" t="str">
        <f>VLOOKUP(Sales_Details2[[#This Row],[Customer_ID]],Customer_Details[#All],5,0)</f>
        <v>Female</v>
      </c>
      <c r="G1750" s="2" t="str">
        <f>VLOOKUP(Sales_Details2[[#This Row],[Customer_ID]],Customer_Details[#All],9,0)</f>
        <v>Bronze</v>
      </c>
      <c r="H1750" s="2" t="s">
        <v>1593</v>
      </c>
      <c r="I1750" s="2" t="str">
        <f>VLOOKUP(Sales_Details2[[#This Row],[Product_ID]],Product_details[[#All],[Product_ID]:[Cost]],3,0)</f>
        <v>Sports</v>
      </c>
      <c r="J1750" s="2" t="str">
        <f>VLOOKUP(Sales_Details2[[#This Row],[Product_ID]],Product_details[[#All],[Product_ID]:[Cost]],4,0)</f>
        <v>Team Sports</v>
      </c>
      <c r="K1750" s="2" t="s">
        <v>1784</v>
      </c>
      <c r="L1750" s="2" t="str">
        <f>_xlfn.XLOOKUP(Sales_Details2[[#This Row],[Store_ID]],Table2[Store_ID],Table2[Region],"Region not found")</f>
        <v>North</v>
      </c>
      <c r="M1750" s="25">
        <v>2</v>
      </c>
      <c r="N1750" s="36">
        <v>31.28</v>
      </c>
      <c r="O1750" s="29">
        <v>0.2</v>
      </c>
      <c r="P1750" s="2" t="s">
        <v>1812</v>
      </c>
      <c r="Q1750" s="36">
        <v>50.048000000000002</v>
      </c>
    </row>
    <row r="1751" spans="1:17" x14ac:dyDescent="0.3">
      <c r="A1751" s="2" t="s">
        <v>3558</v>
      </c>
      <c r="B1751" s="14">
        <v>45842</v>
      </c>
      <c r="C1751" s="2">
        <f>YEAR(Sales_Details2[[#This Row],[Order_Date]])</f>
        <v>2025</v>
      </c>
      <c r="D1751" s="2" t="s">
        <v>1153</v>
      </c>
      <c r="E1751" s="2" t="str">
        <f>VLOOKUP(Sales_Details2[[#This Row],[Customer_ID]],Customer_Details[#All],4,0)</f>
        <v>Mid-Adult</v>
      </c>
      <c r="F1751" s="2" t="str">
        <f>VLOOKUP(Sales_Details2[[#This Row],[Customer_ID]],Customer_Details[#All],5,0)</f>
        <v>Female</v>
      </c>
      <c r="G1751" s="2" t="str">
        <f>VLOOKUP(Sales_Details2[[#This Row],[Customer_ID]],Customer_Details[#All],9,0)</f>
        <v>Gold</v>
      </c>
      <c r="H1751" s="2" t="s">
        <v>1695</v>
      </c>
      <c r="I1751" s="2" t="str">
        <f>VLOOKUP(Sales_Details2[[#This Row],[Product_ID]],Product_details[[#All],[Product_ID]:[Cost]],3,0)</f>
        <v>Sports</v>
      </c>
      <c r="J1751" s="2" t="str">
        <f>VLOOKUP(Sales_Details2[[#This Row],[Product_ID]],Product_details[[#All],[Product_ID]:[Cost]],4,0)</f>
        <v>Fitness</v>
      </c>
      <c r="K1751" s="2" t="s">
        <v>1759</v>
      </c>
      <c r="L1751" s="2" t="str">
        <f>_xlfn.XLOOKUP(Sales_Details2[[#This Row],[Store_ID]],Table2[Store_ID],Table2[Region],"Region not found")</f>
        <v>East</v>
      </c>
      <c r="M1751" s="25">
        <v>4</v>
      </c>
      <c r="N1751" s="36">
        <v>389.22</v>
      </c>
      <c r="O1751" s="29">
        <v>0.18</v>
      </c>
      <c r="P1751" s="2" t="s">
        <v>1807</v>
      </c>
      <c r="Q1751" s="36">
        <v>1276.6415999999999</v>
      </c>
    </row>
    <row r="1752" spans="1:17" x14ac:dyDescent="0.3">
      <c r="A1752" s="2" t="s">
        <v>3559</v>
      </c>
      <c r="B1752" s="14">
        <v>45502</v>
      </c>
      <c r="C1752" s="2">
        <f>YEAR(Sales_Details2[[#This Row],[Order_Date]])</f>
        <v>2024</v>
      </c>
      <c r="D1752" s="2" t="s">
        <v>71</v>
      </c>
      <c r="E1752" s="2" t="str">
        <f>VLOOKUP(Sales_Details2[[#This Row],[Customer_ID]],Customer_Details[#All],4,0)</f>
        <v>Mid-Adult</v>
      </c>
      <c r="F1752" s="2" t="str">
        <f>VLOOKUP(Sales_Details2[[#This Row],[Customer_ID]],Customer_Details[#All],5,0)</f>
        <v>Female</v>
      </c>
      <c r="G1752" s="2" t="str">
        <f>VLOOKUP(Sales_Details2[[#This Row],[Customer_ID]],Customer_Details[#All],9,0)</f>
        <v>Platinum</v>
      </c>
      <c r="H1752" s="2" t="s">
        <v>1659</v>
      </c>
      <c r="I1752" s="2" t="str">
        <f>VLOOKUP(Sales_Details2[[#This Row],[Product_ID]],Product_details[[#All],[Product_ID]:[Cost]],3,0)</f>
        <v>Beauty</v>
      </c>
      <c r="J1752" s="2" t="str">
        <f>VLOOKUP(Sales_Details2[[#This Row],[Product_ID]],Product_details[[#All],[Product_ID]:[Cost]],4,0)</f>
        <v>Makeup</v>
      </c>
      <c r="K1752" s="2" t="s">
        <v>1784</v>
      </c>
      <c r="L1752" s="2" t="str">
        <f>_xlfn.XLOOKUP(Sales_Details2[[#This Row],[Store_ID]],Table2[Store_ID],Table2[Region],"Region not found")</f>
        <v>North</v>
      </c>
      <c r="M1752" s="25">
        <v>3</v>
      </c>
      <c r="N1752" s="36">
        <v>543.44000000000005</v>
      </c>
      <c r="O1752" s="29">
        <v>0.13</v>
      </c>
      <c r="P1752" s="2" t="s">
        <v>1809</v>
      </c>
      <c r="Q1752" s="36">
        <v>1418.3784000000001</v>
      </c>
    </row>
    <row r="1753" spans="1:17" x14ac:dyDescent="0.3">
      <c r="A1753" s="2" t="s">
        <v>3560</v>
      </c>
      <c r="B1753" s="14">
        <v>45296</v>
      </c>
      <c r="C1753" s="2">
        <f>YEAR(Sales_Details2[[#This Row],[Order_Date]])</f>
        <v>2024</v>
      </c>
      <c r="D1753" s="2" t="s">
        <v>814</v>
      </c>
      <c r="E1753" s="2" t="str">
        <f>VLOOKUP(Sales_Details2[[#This Row],[Customer_ID]],Customer_Details[#All],4,0)</f>
        <v>Mid-Adult</v>
      </c>
      <c r="F1753" s="2" t="str">
        <f>VLOOKUP(Sales_Details2[[#This Row],[Customer_ID]],Customer_Details[#All],5,0)</f>
        <v>Male</v>
      </c>
      <c r="G1753" s="2" t="str">
        <f>VLOOKUP(Sales_Details2[[#This Row],[Customer_ID]],Customer_Details[#All],9,0)</f>
        <v>Silver</v>
      </c>
      <c r="H1753" s="2" t="s">
        <v>1725</v>
      </c>
      <c r="I1753" s="2" t="str">
        <f>VLOOKUP(Sales_Details2[[#This Row],[Product_ID]],Product_details[[#All],[Product_ID]:[Cost]],3,0)</f>
        <v>Sports</v>
      </c>
      <c r="J1753" s="2" t="str">
        <f>VLOOKUP(Sales_Details2[[#This Row],[Product_ID]],Product_details[[#All],[Product_ID]:[Cost]],4,0)</f>
        <v>Team Sports</v>
      </c>
      <c r="K1753" s="2" t="s">
        <v>1796</v>
      </c>
      <c r="L1753" s="2" t="str">
        <f>_xlfn.XLOOKUP(Sales_Details2[[#This Row],[Store_ID]],Table2[Store_ID],Table2[Region],"Region not found")</f>
        <v>East</v>
      </c>
      <c r="M1753" s="25">
        <v>4</v>
      </c>
      <c r="N1753" s="36">
        <v>715.42</v>
      </c>
      <c r="O1753" s="29">
        <v>0.28999999999999998</v>
      </c>
      <c r="P1753" s="2" t="s">
        <v>1809</v>
      </c>
      <c r="Q1753" s="36">
        <v>2031.7927999999999</v>
      </c>
    </row>
    <row r="1754" spans="1:17" x14ac:dyDescent="0.3">
      <c r="A1754" s="2" t="s">
        <v>3561</v>
      </c>
      <c r="B1754" s="14">
        <v>45886</v>
      </c>
      <c r="C1754" s="2">
        <f>YEAR(Sales_Details2[[#This Row],[Order_Date]])</f>
        <v>2025</v>
      </c>
      <c r="D1754" s="2" t="s">
        <v>192</v>
      </c>
      <c r="E1754" s="2" t="str">
        <f>VLOOKUP(Sales_Details2[[#This Row],[Customer_ID]],Customer_Details[#All],4,0)</f>
        <v>Adult</v>
      </c>
      <c r="F1754" s="2" t="str">
        <f>VLOOKUP(Sales_Details2[[#This Row],[Customer_ID]],Customer_Details[#All],5,0)</f>
        <v>Female</v>
      </c>
      <c r="G1754" s="2" t="str">
        <f>VLOOKUP(Sales_Details2[[#This Row],[Customer_ID]],Customer_Details[#All],9,0)</f>
        <v>Gold</v>
      </c>
      <c r="H1754" s="2" t="s">
        <v>1555</v>
      </c>
      <c r="I1754" s="2" t="str">
        <f>VLOOKUP(Sales_Details2[[#This Row],[Product_ID]],Product_details[[#All],[Product_ID]:[Cost]],3,0)</f>
        <v>Beauty</v>
      </c>
      <c r="J1754" s="2" t="str">
        <f>VLOOKUP(Sales_Details2[[#This Row],[Product_ID]],Product_details[[#All],[Product_ID]:[Cost]],4,0)</f>
        <v>Haircare</v>
      </c>
      <c r="K1754" s="2" t="s">
        <v>1752</v>
      </c>
      <c r="L1754" s="2" t="str">
        <f>_xlfn.XLOOKUP(Sales_Details2[[#This Row],[Store_ID]],Table2[Store_ID],Table2[Region],"Region not found")</f>
        <v>South</v>
      </c>
      <c r="M1754" s="25">
        <v>4</v>
      </c>
      <c r="N1754" s="36">
        <v>676.14</v>
      </c>
      <c r="O1754" s="29">
        <v>0.11</v>
      </c>
      <c r="P1754" s="2" t="s">
        <v>1812</v>
      </c>
      <c r="Q1754" s="36">
        <v>2407.0583999999999</v>
      </c>
    </row>
    <row r="1755" spans="1:17" x14ac:dyDescent="0.3">
      <c r="A1755" s="2" t="s">
        <v>3562</v>
      </c>
      <c r="B1755" s="14">
        <v>45425</v>
      </c>
      <c r="C1755" s="2">
        <f>YEAR(Sales_Details2[[#This Row],[Order_Date]])</f>
        <v>2024</v>
      </c>
      <c r="D1755" s="2" t="s">
        <v>316</v>
      </c>
      <c r="E1755" s="2" t="str">
        <f>VLOOKUP(Sales_Details2[[#This Row],[Customer_ID]],Customer_Details[#All],4,0)</f>
        <v>Mid-Adult</v>
      </c>
      <c r="F1755" s="2" t="str">
        <f>VLOOKUP(Sales_Details2[[#This Row],[Customer_ID]],Customer_Details[#All],5,0)</f>
        <v>Male</v>
      </c>
      <c r="G1755" s="2" t="str">
        <f>VLOOKUP(Sales_Details2[[#This Row],[Customer_ID]],Customer_Details[#All],9,0)</f>
        <v>Platinum</v>
      </c>
      <c r="H1755" s="2" t="s">
        <v>1609</v>
      </c>
      <c r="I1755" s="2" t="str">
        <f>VLOOKUP(Sales_Details2[[#This Row],[Product_ID]],Product_details[[#All],[Product_ID]:[Cost]],3,0)</f>
        <v>Electronics</v>
      </c>
      <c r="J1755" s="2" t="str">
        <f>VLOOKUP(Sales_Details2[[#This Row],[Product_ID]],Product_details[[#All],[Product_ID]:[Cost]],4,0)</f>
        <v>Mobile</v>
      </c>
      <c r="K1755" s="2" t="s">
        <v>1740</v>
      </c>
      <c r="L1755" s="2" t="str">
        <f>_xlfn.XLOOKUP(Sales_Details2[[#This Row],[Store_ID]],Table2[Store_ID],Table2[Region],"Region not found")</f>
        <v>North</v>
      </c>
      <c r="M1755" s="25">
        <v>4</v>
      </c>
      <c r="N1755" s="36">
        <v>352.72</v>
      </c>
      <c r="O1755" s="29">
        <v>0.25</v>
      </c>
      <c r="P1755" s="2" t="s">
        <v>1807</v>
      </c>
      <c r="Q1755" s="36">
        <v>1058.1600000000001</v>
      </c>
    </row>
    <row r="1756" spans="1:17" x14ac:dyDescent="0.3">
      <c r="A1756" s="2" t="s">
        <v>3563</v>
      </c>
      <c r="B1756" s="14">
        <v>45797</v>
      </c>
      <c r="C1756" s="2">
        <f>YEAR(Sales_Details2[[#This Row],[Order_Date]])</f>
        <v>2025</v>
      </c>
      <c r="D1756" s="2" t="s">
        <v>568</v>
      </c>
      <c r="E1756" s="2" t="str">
        <f>VLOOKUP(Sales_Details2[[#This Row],[Customer_ID]],Customer_Details[#All],4,0)</f>
        <v>Mid-Adult</v>
      </c>
      <c r="F1756" s="2" t="str">
        <f>VLOOKUP(Sales_Details2[[#This Row],[Customer_ID]],Customer_Details[#All],5,0)</f>
        <v>Female</v>
      </c>
      <c r="G1756" s="2" t="str">
        <f>VLOOKUP(Sales_Details2[[#This Row],[Customer_ID]],Customer_Details[#All],9,0)</f>
        <v>Platinum</v>
      </c>
      <c r="H1756" s="2" t="s">
        <v>1553</v>
      </c>
      <c r="I1756" s="2" t="str">
        <f>VLOOKUP(Sales_Details2[[#This Row],[Product_ID]],Product_details[[#All],[Product_ID]:[Cost]],3,0)</f>
        <v>Electronics</v>
      </c>
      <c r="J1756" s="2" t="str">
        <f>VLOOKUP(Sales_Details2[[#This Row],[Product_ID]],Product_details[[#All],[Product_ID]:[Cost]],4,0)</f>
        <v>Accessories</v>
      </c>
      <c r="K1756" s="2" t="s">
        <v>1777</v>
      </c>
      <c r="L1756" s="2" t="str">
        <f>_xlfn.XLOOKUP(Sales_Details2[[#This Row],[Store_ID]],Table2[Store_ID],Table2[Region],"Region not found")</f>
        <v>North</v>
      </c>
      <c r="M1756" s="25">
        <v>1</v>
      </c>
      <c r="N1756" s="36">
        <v>470.18</v>
      </c>
      <c r="O1756" s="29">
        <v>0.19</v>
      </c>
      <c r="P1756" s="2" t="s">
        <v>1809</v>
      </c>
      <c r="Q1756" s="36">
        <v>380.84580000000011</v>
      </c>
    </row>
    <row r="1757" spans="1:17" x14ac:dyDescent="0.3">
      <c r="A1757" s="2" t="s">
        <v>3564</v>
      </c>
      <c r="B1757" s="14">
        <v>45898</v>
      </c>
      <c r="C1757" s="2">
        <f>YEAR(Sales_Details2[[#This Row],[Order_Date]])</f>
        <v>2025</v>
      </c>
      <c r="D1757" s="2" t="s">
        <v>734</v>
      </c>
      <c r="E1757" s="2" t="str">
        <f>VLOOKUP(Sales_Details2[[#This Row],[Customer_ID]],Customer_Details[#All],4,0)</f>
        <v>Adult</v>
      </c>
      <c r="F1757" s="2" t="str">
        <f>VLOOKUP(Sales_Details2[[#This Row],[Customer_ID]],Customer_Details[#All],5,0)</f>
        <v>Male</v>
      </c>
      <c r="G1757" s="2" t="str">
        <f>VLOOKUP(Sales_Details2[[#This Row],[Customer_ID]],Customer_Details[#All],9,0)</f>
        <v>Bronze</v>
      </c>
      <c r="H1757" s="2" t="s">
        <v>1663</v>
      </c>
      <c r="I1757" s="2" t="str">
        <f>VLOOKUP(Sales_Details2[[#This Row],[Product_ID]],Product_details[[#All],[Product_ID]:[Cost]],3,0)</f>
        <v>Beauty</v>
      </c>
      <c r="J1757" s="2" t="str">
        <f>VLOOKUP(Sales_Details2[[#This Row],[Product_ID]],Product_details[[#All],[Product_ID]:[Cost]],4,0)</f>
        <v>Haircare</v>
      </c>
      <c r="K1757" s="2" t="s">
        <v>1775</v>
      </c>
      <c r="L1757" s="2" t="str">
        <f>_xlfn.XLOOKUP(Sales_Details2[[#This Row],[Store_ID]],Table2[Store_ID],Table2[Region],"Region not found")</f>
        <v>South</v>
      </c>
      <c r="M1757" s="25">
        <v>1</v>
      </c>
      <c r="N1757" s="36">
        <v>891.79</v>
      </c>
      <c r="O1757" s="29">
        <v>0.03</v>
      </c>
      <c r="P1757" s="2" t="s">
        <v>1807</v>
      </c>
      <c r="Q1757" s="36">
        <v>865.03629999999998</v>
      </c>
    </row>
    <row r="1758" spans="1:17" x14ac:dyDescent="0.3">
      <c r="A1758" s="2" t="s">
        <v>3565</v>
      </c>
      <c r="B1758" s="14">
        <v>45390</v>
      </c>
      <c r="C1758" s="2">
        <f>YEAR(Sales_Details2[[#This Row],[Order_Date]])</f>
        <v>2024</v>
      </c>
      <c r="D1758" s="2" t="s">
        <v>1080</v>
      </c>
      <c r="E1758" s="2" t="str">
        <f>VLOOKUP(Sales_Details2[[#This Row],[Customer_ID]],Customer_Details[#All],4,0)</f>
        <v>Senior</v>
      </c>
      <c r="F1758" s="2" t="str">
        <f>VLOOKUP(Sales_Details2[[#This Row],[Customer_ID]],Customer_Details[#All],5,0)</f>
        <v>Male</v>
      </c>
      <c r="G1758" s="2" t="str">
        <f>VLOOKUP(Sales_Details2[[#This Row],[Customer_ID]],Customer_Details[#All],9,0)</f>
        <v>Silver</v>
      </c>
      <c r="H1758" s="2" t="s">
        <v>1709</v>
      </c>
      <c r="I1758" s="2" t="str">
        <f>VLOOKUP(Sales_Details2[[#This Row],[Product_ID]],Product_details[[#All],[Product_ID]:[Cost]],3,0)</f>
        <v>Beauty</v>
      </c>
      <c r="J1758" s="2" t="str">
        <f>VLOOKUP(Sales_Details2[[#This Row],[Product_ID]],Product_details[[#All],[Product_ID]:[Cost]],4,0)</f>
        <v>Makeup</v>
      </c>
      <c r="K1758" s="2" t="s">
        <v>1790</v>
      </c>
      <c r="L1758" s="2" t="str">
        <f>_xlfn.XLOOKUP(Sales_Details2[[#This Row],[Store_ID]],Table2[Store_ID],Table2[Region],"Region not found")</f>
        <v>North</v>
      </c>
      <c r="M1758" s="25">
        <v>2</v>
      </c>
      <c r="N1758" s="36">
        <v>433.07</v>
      </c>
      <c r="O1758" s="29">
        <v>0.25</v>
      </c>
      <c r="P1758" s="2" t="s">
        <v>1812</v>
      </c>
      <c r="Q1758" s="36">
        <v>649.60500000000002</v>
      </c>
    </row>
    <row r="1759" spans="1:17" x14ac:dyDescent="0.3">
      <c r="A1759" s="2" t="s">
        <v>3566</v>
      </c>
      <c r="B1759" s="14">
        <v>45355</v>
      </c>
      <c r="C1759" s="2">
        <f>YEAR(Sales_Details2[[#This Row],[Order_Date]])</f>
        <v>2024</v>
      </c>
      <c r="D1759" s="2" t="s">
        <v>59</v>
      </c>
      <c r="E1759" s="2" t="str">
        <f>VLOOKUP(Sales_Details2[[#This Row],[Customer_ID]],Customer_Details[#All],4,0)</f>
        <v>Senior</v>
      </c>
      <c r="F1759" s="2" t="str">
        <f>VLOOKUP(Sales_Details2[[#This Row],[Customer_ID]],Customer_Details[#All],5,0)</f>
        <v>Female</v>
      </c>
      <c r="G1759" s="2" t="str">
        <f>VLOOKUP(Sales_Details2[[#This Row],[Customer_ID]],Customer_Details[#All],9,0)</f>
        <v>Platinum</v>
      </c>
      <c r="H1759" s="2" t="s">
        <v>1663</v>
      </c>
      <c r="I1759" s="2" t="str">
        <f>VLOOKUP(Sales_Details2[[#This Row],[Product_ID]],Product_details[[#All],[Product_ID]:[Cost]],3,0)</f>
        <v>Beauty</v>
      </c>
      <c r="J1759" s="2" t="str">
        <f>VLOOKUP(Sales_Details2[[#This Row],[Product_ID]],Product_details[[#All],[Product_ID]:[Cost]],4,0)</f>
        <v>Haircare</v>
      </c>
      <c r="K1759" s="2" t="s">
        <v>1796</v>
      </c>
      <c r="L1759" s="2" t="str">
        <f>_xlfn.XLOOKUP(Sales_Details2[[#This Row],[Store_ID]],Table2[Store_ID],Table2[Region],"Region not found")</f>
        <v>East</v>
      </c>
      <c r="M1759" s="25">
        <v>3</v>
      </c>
      <c r="N1759" s="36">
        <v>626.71</v>
      </c>
      <c r="O1759" s="29">
        <v>7.0000000000000007E-2</v>
      </c>
      <c r="P1759" s="2" t="s">
        <v>1812</v>
      </c>
      <c r="Q1759" s="36">
        <v>1748.5209</v>
      </c>
    </row>
    <row r="1760" spans="1:17" x14ac:dyDescent="0.3">
      <c r="A1760" s="2" t="s">
        <v>3567</v>
      </c>
      <c r="B1760" s="14">
        <v>45916</v>
      </c>
      <c r="C1760" s="2">
        <f>YEAR(Sales_Details2[[#This Row],[Order_Date]])</f>
        <v>2025</v>
      </c>
      <c r="D1760" s="2" t="s">
        <v>275</v>
      </c>
      <c r="E1760" s="2" t="str">
        <f>VLOOKUP(Sales_Details2[[#This Row],[Customer_ID]],Customer_Details[#All],4,0)</f>
        <v>Mid-Adult</v>
      </c>
      <c r="F1760" s="2" t="str">
        <f>VLOOKUP(Sales_Details2[[#This Row],[Customer_ID]],Customer_Details[#All],5,0)</f>
        <v>Male</v>
      </c>
      <c r="G1760" s="2" t="str">
        <f>VLOOKUP(Sales_Details2[[#This Row],[Customer_ID]],Customer_Details[#All],9,0)</f>
        <v>Gold</v>
      </c>
      <c r="H1760" s="2" t="s">
        <v>1603</v>
      </c>
      <c r="I1760" s="2" t="str">
        <f>VLOOKUP(Sales_Details2[[#This Row],[Product_ID]],Product_details[[#All],[Product_ID]:[Cost]],3,0)</f>
        <v>Clothing</v>
      </c>
      <c r="J1760" s="2" t="str">
        <f>VLOOKUP(Sales_Details2[[#This Row],[Product_ID]],Product_details[[#All],[Product_ID]:[Cost]],4,0)</f>
        <v>Tops</v>
      </c>
      <c r="K1760" s="2" t="s">
        <v>1735</v>
      </c>
      <c r="L1760" s="2" t="str">
        <f>_xlfn.XLOOKUP(Sales_Details2[[#This Row],[Store_ID]],Table2[Store_ID],Table2[Region],"Region not found")</f>
        <v>East</v>
      </c>
      <c r="M1760" s="25">
        <v>2</v>
      </c>
      <c r="N1760" s="36">
        <v>324.18</v>
      </c>
      <c r="O1760" s="29">
        <v>0.06</v>
      </c>
      <c r="P1760" s="2" t="s">
        <v>1812</v>
      </c>
      <c r="Q1760" s="36">
        <v>609.45839999999998</v>
      </c>
    </row>
    <row r="1761" spans="1:17" x14ac:dyDescent="0.3">
      <c r="A1761" s="2" t="s">
        <v>3568</v>
      </c>
      <c r="B1761" s="14">
        <v>45448</v>
      </c>
      <c r="C1761" s="2">
        <f>YEAR(Sales_Details2[[#This Row],[Order_Date]])</f>
        <v>2024</v>
      </c>
      <c r="D1761" s="2" t="s">
        <v>63</v>
      </c>
      <c r="E1761" s="2" t="str">
        <f>VLOOKUP(Sales_Details2[[#This Row],[Customer_ID]],Customer_Details[#All],4,0)</f>
        <v>Mid-Adult</v>
      </c>
      <c r="F1761" s="2" t="str">
        <f>VLOOKUP(Sales_Details2[[#This Row],[Customer_ID]],Customer_Details[#All],5,0)</f>
        <v>Female</v>
      </c>
      <c r="G1761" s="2" t="str">
        <f>VLOOKUP(Sales_Details2[[#This Row],[Customer_ID]],Customer_Details[#All],9,0)</f>
        <v>Silver</v>
      </c>
      <c r="H1761" s="2" t="s">
        <v>1559</v>
      </c>
      <c r="I1761" s="2" t="str">
        <f>VLOOKUP(Sales_Details2[[#This Row],[Product_ID]],Product_details[[#All],[Product_ID]:[Cost]],3,0)</f>
        <v>Home</v>
      </c>
      <c r="J1761" s="2" t="str">
        <f>VLOOKUP(Sales_Details2[[#This Row],[Product_ID]],Product_details[[#All],[Product_ID]:[Cost]],4,0)</f>
        <v>Decor</v>
      </c>
      <c r="K1761" s="2" t="s">
        <v>1790</v>
      </c>
      <c r="L1761" s="2" t="str">
        <f>_xlfn.XLOOKUP(Sales_Details2[[#This Row],[Store_ID]],Table2[Store_ID],Table2[Region],"Region not found")</f>
        <v>North</v>
      </c>
      <c r="M1761" s="25">
        <v>4</v>
      </c>
      <c r="N1761" s="36">
        <v>839.74</v>
      </c>
      <c r="O1761" s="29">
        <v>0.13</v>
      </c>
      <c r="P1761" s="2" t="s">
        <v>1809</v>
      </c>
      <c r="Q1761" s="36">
        <v>2922.2952</v>
      </c>
    </row>
    <row r="1762" spans="1:17" x14ac:dyDescent="0.3">
      <c r="A1762" s="2" t="s">
        <v>3569</v>
      </c>
      <c r="B1762" s="14">
        <v>45402</v>
      </c>
      <c r="C1762" s="2">
        <f>YEAR(Sales_Details2[[#This Row],[Order_Date]])</f>
        <v>2024</v>
      </c>
      <c r="D1762" s="2" t="s">
        <v>518</v>
      </c>
      <c r="E1762" s="2" t="str">
        <f>VLOOKUP(Sales_Details2[[#This Row],[Customer_ID]],Customer_Details[#All],4,0)</f>
        <v>Mid-Adult</v>
      </c>
      <c r="F1762" s="2" t="str">
        <f>VLOOKUP(Sales_Details2[[#This Row],[Customer_ID]],Customer_Details[#All],5,0)</f>
        <v>Male</v>
      </c>
      <c r="G1762" s="2" t="str">
        <f>VLOOKUP(Sales_Details2[[#This Row],[Customer_ID]],Customer_Details[#All],9,0)</f>
        <v>Bronze</v>
      </c>
      <c r="H1762" s="2" t="s">
        <v>1655</v>
      </c>
      <c r="I1762" s="2" t="str">
        <f>VLOOKUP(Sales_Details2[[#This Row],[Product_ID]],Product_details[[#All],[Product_ID]:[Cost]],3,0)</f>
        <v>Electronics</v>
      </c>
      <c r="J1762" s="2" t="str">
        <f>VLOOKUP(Sales_Details2[[#This Row],[Product_ID]],Product_details[[#All],[Product_ID]:[Cost]],4,0)</f>
        <v>Computer</v>
      </c>
      <c r="K1762" s="2" t="s">
        <v>1784</v>
      </c>
      <c r="L1762" s="2" t="str">
        <f>_xlfn.XLOOKUP(Sales_Details2[[#This Row],[Store_ID]],Table2[Store_ID],Table2[Region],"Region not found")</f>
        <v>North</v>
      </c>
      <c r="M1762" s="25">
        <v>3</v>
      </c>
      <c r="N1762" s="36">
        <v>252.63</v>
      </c>
      <c r="O1762" s="29">
        <v>0.28000000000000003</v>
      </c>
      <c r="P1762" s="2" t="s">
        <v>1807</v>
      </c>
      <c r="Q1762" s="36">
        <v>545.68079999999998</v>
      </c>
    </row>
    <row r="1763" spans="1:17" x14ac:dyDescent="0.3">
      <c r="A1763" s="2" t="s">
        <v>3570</v>
      </c>
      <c r="B1763" s="14">
        <v>45581</v>
      </c>
      <c r="C1763" s="2">
        <f>YEAR(Sales_Details2[[#This Row],[Order_Date]])</f>
        <v>2024</v>
      </c>
      <c r="D1763" s="2" t="s">
        <v>808</v>
      </c>
      <c r="E1763" s="2" t="str">
        <f>VLOOKUP(Sales_Details2[[#This Row],[Customer_ID]],Customer_Details[#All],4,0)</f>
        <v>Adult</v>
      </c>
      <c r="F1763" s="2" t="str">
        <f>VLOOKUP(Sales_Details2[[#This Row],[Customer_ID]],Customer_Details[#All],5,0)</f>
        <v>Male</v>
      </c>
      <c r="G1763" s="2" t="str">
        <f>VLOOKUP(Sales_Details2[[#This Row],[Customer_ID]],Customer_Details[#All],9,0)</f>
        <v>Gold</v>
      </c>
      <c r="H1763" s="2" t="s">
        <v>1689</v>
      </c>
      <c r="I1763" s="2" t="str">
        <f>VLOOKUP(Sales_Details2[[#This Row],[Product_ID]],Product_details[[#All],[Product_ID]:[Cost]],3,0)</f>
        <v>Home</v>
      </c>
      <c r="J1763" s="2" t="str">
        <f>VLOOKUP(Sales_Details2[[#This Row],[Product_ID]],Product_details[[#All],[Product_ID]:[Cost]],4,0)</f>
        <v>Lighting</v>
      </c>
      <c r="K1763" s="2" t="s">
        <v>1796</v>
      </c>
      <c r="L1763" s="2" t="str">
        <f>_xlfn.XLOOKUP(Sales_Details2[[#This Row],[Store_ID]],Table2[Store_ID],Table2[Region],"Region not found")</f>
        <v>East</v>
      </c>
      <c r="M1763" s="25">
        <v>2</v>
      </c>
      <c r="N1763" s="36">
        <v>60.53</v>
      </c>
      <c r="O1763" s="29">
        <v>0.18</v>
      </c>
      <c r="P1763" s="2" t="s">
        <v>1807</v>
      </c>
      <c r="Q1763" s="36">
        <v>99.269200000000012</v>
      </c>
    </row>
    <row r="1764" spans="1:17" x14ac:dyDescent="0.3">
      <c r="A1764" s="2" t="s">
        <v>3571</v>
      </c>
      <c r="B1764" s="14">
        <v>45610</v>
      </c>
      <c r="C1764" s="2">
        <f>YEAR(Sales_Details2[[#This Row],[Order_Date]])</f>
        <v>2024</v>
      </c>
      <c r="D1764" s="2" t="s">
        <v>202</v>
      </c>
      <c r="E1764" s="2" t="str">
        <f>VLOOKUP(Sales_Details2[[#This Row],[Customer_ID]],Customer_Details[#All],4,0)</f>
        <v>Adult</v>
      </c>
      <c r="F1764" s="2" t="str">
        <f>VLOOKUP(Sales_Details2[[#This Row],[Customer_ID]],Customer_Details[#All],5,0)</f>
        <v>Male</v>
      </c>
      <c r="G1764" s="2" t="str">
        <f>VLOOKUP(Sales_Details2[[#This Row],[Customer_ID]],Customer_Details[#All],9,0)</f>
        <v>Platinum</v>
      </c>
      <c r="H1764" s="2" t="s">
        <v>1699</v>
      </c>
      <c r="I1764" s="2" t="str">
        <f>VLOOKUP(Sales_Details2[[#This Row],[Product_ID]],Product_details[[#All],[Product_ID]:[Cost]],3,0)</f>
        <v>Home</v>
      </c>
      <c r="J1764" s="2" t="str">
        <f>VLOOKUP(Sales_Details2[[#This Row],[Product_ID]],Product_details[[#All],[Product_ID]:[Cost]],4,0)</f>
        <v>Furniture</v>
      </c>
      <c r="K1764" s="2" t="s">
        <v>1780</v>
      </c>
      <c r="L1764" s="2" t="str">
        <f>_xlfn.XLOOKUP(Sales_Details2[[#This Row],[Store_ID]],Table2[Store_ID],Table2[Region],"Region not found")</f>
        <v>East</v>
      </c>
      <c r="M1764" s="25">
        <v>4</v>
      </c>
      <c r="N1764" s="36">
        <v>341.95</v>
      </c>
      <c r="O1764" s="29">
        <v>0.25</v>
      </c>
      <c r="P1764" s="2" t="s">
        <v>1807</v>
      </c>
      <c r="Q1764" s="36">
        <v>1025.8499999999999</v>
      </c>
    </row>
    <row r="1765" spans="1:17" x14ac:dyDescent="0.3">
      <c r="A1765" s="2" t="s">
        <v>3572</v>
      </c>
      <c r="B1765" s="14">
        <v>45438</v>
      </c>
      <c r="C1765" s="2">
        <f>YEAR(Sales_Details2[[#This Row],[Order_Date]])</f>
        <v>2024</v>
      </c>
      <c r="D1765" s="2" t="s">
        <v>891</v>
      </c>
      <c r="E1765" s="2" t="str">
        <f>VLOOKUP(Sales_Details2[[#This Row],[Customer_ID]],Customer_Details[#All],4,0)</f>
        <v>Senior</v>
      </c>
      <c r="F1765" s="2" t="str">
        <f>VLOOKUP(Sales_Details2[[#This Row],[Customer_ID]],Customer_Details[#All],5,0)</f>
        <v>Female</v>
      </c>
      <c r="G1765" s="2" t="str">
        <f>VLOOKUP(Sales_Details2[[#This Row],[Customer_ID]],Customer_Details[#All],9,0)</f>
        <v>Silver</v>
      </c>
      <c r="H1765" s="2" t="s">
        <v>1575</v>
      </c>
      <c r="I1765" s="2" t="str">
        <f>VLOOKUP(Sales_Details2[[#This Row],[Product_ID]],Product_details[[#All],[Product_ID]:[Cost]],3,0)</f>
        <v>Sports</v>
      </c>
      <c r="J1765" s="2" t="str">
        <f>VLOOKUP(Sales_Details2[[#This Row],[Product_ID]],Product_details[[#All],[Product_ID]:[Cost]],4,0)</f>
        <v>Equipment</v>
      </c>
      <c r="K1765" s="2" t="s">
        <v>1787</v>
      </c>
      <c r="L1765" s="2" t="str">
        <f>_xlfn.XLOOKUP(Sales_Details2[[#This Row],[Store_ID]],Table2[Store_ID],Table2[Region],"Region not found")</f>
        <v>West</v>
      </c>
      <c r="M1765" s="25">
        <v>4</v>
      </c>
      <c r="N1765" s="36">
        <v>300.12</v>
      </c>
      <c r="O1765" s="29">
        <v>0.05</v>
      </c>
      <c r="P1765" s="2" t="s">
        <v>1809</v>
      </c>
      <c r="Q1765" s="36">
        <v>1140.4559999999999</v>
      </c>
    </row>
    <row r="1766" spans="1:17" x14ac:dyDescent="0.3">
      <c r="A1766" s="2" t="s">
        <v>3573</v>
      </c>
      <c r="B1766" s="14">
        <v>45705</v>
      </c>
      <c r="C1766" s="2">
        <f>YEAR(Sales_Details2[[#This Row],[Order_Date]])</f>
        <v>2025</v>
      </c>
      <c r="D1766" s="2" t="s">
        <v>397</v>
      </c>
      <c r="E1766" s="2" t="str">
        <f>VLOOKUP(Sales_Details2[[#This Row],[Customer_ID]],Customer_Details[#All],4,0)</f>
        <v>Senior</v>
      </c>
      <c r="F1766" s="2" t="str">
        <f>VLOOKUP(Sales_Details2[[#This Row],[Customer_ID]],Customer_Details[#All],5,0)</f>
        <v>Female</v>
      </c>
      <c r="G1766" s="2" t="str">
        <f>VLOOKUP(Sales_Details2[[#This Row],[Customer_ID]],Customer_Details[#All],9,0)</f>
        <v>Platinum</v>
      </c>
      <c r="H1766" s="2" t="s">
        <v>1587</v>
      </c>
      <c r="I1766" s="2" t="str">
        <f>VLOOKUP(Sales_Details2[[#This Row],[Product_ID]],Product_details[[#All],[Product_ID]:[Cost]],3,0)</f>
        <v>Sports</v>
      </c>
      <c r="J1766" s="2" t="str">
        <f>VLOOKUP(Sales_Details2[[#This Row],[Product_ID]],Product_details[[#All],[Product_ID]:[Cost]],4,0)</f>
        <v>Accessories</v>
      </c>
      <c r="K1766" s="2" t="s">
        <v>1790</v>
      </c>
      <c r="L1766" s="2" t="str">
        <f>_xlfn.XLOOKUP(Sales_Details2[[#This Row],[Store_ID]],Table2[Store_ID],Table2[Region],"Region not found")</f>
        <v>North</v>
      </c>
      <c r="M1766" s="25">
        <v>2</v>
      </c>
      <c r="N1766" s="36">
        <v>289.14</v>
      </c>
      <c r="O1766" s="29">
        <v>0.12</v>
      </c>
      <c r="P1766" s="2" t="s">
        <v>1812</v>
      </c>
      <c r="Q1766" s="36">
        <v>508.88639999999998</v>
      </c>
    </row>
    <row r="1767" spans="1:17" x14ac:dyDescent="0.3">
      <c r="A1767" s="2" t="s">
        <v>3574</v>
      </c>
      <c r="B1767" s="14">
        <v>45695</v>
      </c>
      <c r="C1767" s="2">
        <f>YEAR(Sales_Details2[[#This Row],[Order_Date]])</f>
        <v>2025</v>
      </c>
      <c r="D1767" s="2" t="s">
        <v>174</v>
      </c>
      <c r="E1767" s="2" t="str">
        <f>VLOOKUP(Sales_Details2[[#This Row],[Customer_ID]],Customer_Details[#All],4,0)</f>
        <v>Senior</v>
      </c>
      <c r="F1767" s="2" t="str">
        <f>VLOOKUP(Sales_Details2[[#This Row],[Customer_ID]],Customer_Details[#All],5,0)</f>
        <v>Male</v>
      </c>
      <c r="G1767" s="2" t="str">
        <f>VLOOKUP(Sales_Details2[[#This Row],[Customer_ID]],Customer_Details[#All],9,0)</f>
        <v>Gold</v>
      </c>
      <c r="H1767" s="2" t="s">
        <v>1581</v>
      </c>
      <c r="I1767" s="2" t="str">
        <f>VLOOKUP(Sales_Details2[[#This Row],[Product_ID]],Product_details[[#All],[Product_ID]:[Cost]],3,0)</f>
        <v>Clothing</v>
      </c>
      <c r="J1767" s="2" t="str">
        <f>VLOOKUP(Sales_Details2[[#This Row],[Product_ID]],Product_details[[#All],[Product_ID]:[Cost]],4,0)</f>
        <v>Accessories</v>
      </c>
      <c r="K1767" s="2" t="s">
        <v>1735</v>
      </c>
      <c r="L1767" s="2" t="str">
        <f>_xlfn.XLOOKUP(Sales_Details2[[#This Row],[Store_ID]],Table2[Store_ID],Table2[Region],"Region not found")</f>
        <v>East</v>
      </c>
      <c r="M1767" s="25">
        <v>2</v>
      </c>
      <c r="N1767" s="36">
        <v>596.84</v>
      </c>
      <c r="O1767" s="29">
        <v>0.01</v>
      </c>
      <c r="P1767" s="2" t="s">
        <v>1809</v>
      </c>
      <c r="Q1767" s="36">
        <v>1181.7431999999999</v>
      </c>
    </row>
    <row r="1768" spans="1:17" x14ac:dyDescent="0.3">
      <c r="A1768" s="2" t="s">
        <v>3575</v>
      </c>
      <c r="B1768" s="14">
        <v>45571</v>
      </c>
      <c r="C1768" s="2">
        <f>YEAR(Sales_Details2[[#This Row],[Order_Date]])</f>
        <v>2024</v>
      </c>
      <c r="D1768" s="2" t="s">
        <v>1336</v>
      </c>
      <c r="E1768" s="2" t="str">
        <f>VLOOKUP(Sales_Details2[[#This Row],[Customer_ID]],Customer_Details[#All],4,0)</f>
        <v>Senior</v>
      </c>
      <c r="F1768" s="2" t="str">
        <f>VLOOKUP(Sales_Details2[[#This Row],[Customer_ID]],Customer_Details[#All],5,0)</f>
        <v>Male</v>
      </c>
      <c r="G1768" s="2" t="str">
        <f>VLOOKUP(Sales_Details2[[#This Row],[Customer_ID]],Customer_Details[#All],9,0)</f>
        <v>Gold</v>
      </c>
      <c r="H1768" s="2" t="s">
        <v>1569</v>
      </c>
      <c r="I1768" s="2" t="str">
        <f>VLOOKUP(Sales_Details2[[#This Row],[Product_ID]],Product_details[[#All],[Product_ID]:[Cost]],3,0)</f>
        <v>Sports</v>
      </c>
      <c r="J1768" s="2" t="str">
        <f>VLOOKUP(Sales_Details2[[#This Row],[Product_ID]],Product_details[[#All],[Product_ID]:[Cost]],4,0)</f>
        <v>Equipment</v>
      </c>
      <c r="K1768" s="2" t="s">
        <v>1765</v>
      </c>
      <c r="L1768" s="2" t="str">
        <f>_xlfn.XLOOKUP(Sales_Details2[[#This Row],[Store_ID]],Table2[Store_ID],Table2[Region],"Region not found")</f>
        <v>West</v>
      </c>
      <c r="M1768" s="25">
        <v>4</v>
      </c>
      <c r="N1768" s="36">
        <v>466.24</v>
      </c>
      <c r="O1768" s="29">
        <v>0.16</v>
      </c>
      <c r="P1768" s="2" t="s">
        <v>1807</v>
      </c>
      <c r="Q1768" s="36">
        <v>1566.5663999999999</v>
      </c>
    </row>
    <row r="1769" spans="1:17" x14ac:dyDescent="0.3">
      <c r="A1769" s="2" t="s">
        <v>3576</v>
      </c>
      <c r="B1769" s="14">
        <v>45544</v>
      </c>
      <c r="C1769" s="2">
        <f>YEAR(Sales_Details2[[#This Row],[Order_Date]])</f>
        <v>2024</v>
      </c>
      <c r="D1769" s="2" t="s">
        <v>800</v>
      </c>
      <c r="E1769" s="2" t="str">
        <f>VLOOKUP(Sales_Details2[[#This Row],[Customer_ID]],Customer_Details[#All],4,0)</f>
        <v>Adult</v>
      </c>
      <c r="F1769" s="2" t="str">
        <f>VLOOKUP(Sales_Details2[[#This Row],[Customer_ID]],Customer_Details[#All],5,0)</f>
        <v>Male</v>
      </c>
      <c r="G1769" s="2" t="str">
        <f>VLOOKUP(Sales_Details2[[#This Row],[Customer_ID]],Customer_Details[#All],9,0)</f>
        <v>Silver</v>
      </c>
      <c r="H1769" s="2" t="s">
        <v>1557</v>
      </c>
      <c r="I1769" s="2" t="str">
        <f>VLOOKUP(Sales_Details2[[#This Row],[Product_ID]],Product_details[[#All],[Product_ID]:[Cost]],3,0)</f>
        <v>Electronics</v>
      </c>
      <c r="J1769" s="2" t="str">
        <f>VLOOKUP(Sales_Details2[[#This Row],[Product_ID]],Product_details[[#All],[Product_ID]:[Cost]],4,0)</f>
        <v>Accessories</v>
      </c>
      <c r="K1769" s="2" t="s">
        <v>1787</v>
      </c>
      <c r="L1769" s="2" t="str">
        <f>_xlfn.XLOOKUP(Sales_Details2[[#This Row],[Store_ID]],Table2[Store_ID],Table2[Region],"Region not found")</f>
        <v>West</v>
      </c>
      <c r="M1769" s="25">
        <v>2</v>
      </c>
      <c r="N1769" s="36">
        <v>330.59</v>
      </c>
      <c r="O1769" s="29">
        <v>0.14000000000000001</v>
      </c>
      <c r="P1769" s="2" t="s">
        <v>1807</v>
      </c>
      <c r="Q1769" s="36">
        <v>568.61479999999995</v>
      </c>
    </row>
    <row r="1770" spans="1:17" x14ac:dyDescent="0.3">
      <c r="A1770" s="2" t="s">
        <v>3577</v>
      </c>
      <c r="B1770" s="14">
        <v>45654</v>
      </c>
      <c r="C1770" s="2">
        <f>YEAR(Sales_Details2[[#This Row],[Order_Date]])</f>
        <v>2024</v>
      </c>
      <c r="D1770" s="2" t="s">
        <v>1499</v>
      </c>
      <c r="E1770" s="2" t="str">
        <f>VLOOKUP(Sales_Details2[[#This Row],[Customer_ID]],Customer_Details[#All],4,0)</f>
        <v>Adult</v>
      </c>
      <c r="F1770" s="2" t="str">
        <f>VLOOKUP(Sales_Details2[[#This Row],[Customer_ID]],Customer_Details[#All],5,0)</f>
        <v>Male</v>
      </c>
      <c r="G1770" s="2" t="str">
        <f>VLOOKUP(Sales_Details2[[#This Row],[Customer_ID]],Customer_Details[#All],9,0)</f>
        <v>Silver</v>
      </c>
      <c r="H1770" s="2" t="s">
        <v>1575</v>
      </c>
      <c r="I1770" s="2" t="str">
        <f>VLOOKUP(Sales_Details2[[#This Row],[Product_ID]],Product_details[[#All],[Product_ID]:[Cost]],3,0)</f>
        <v>Sports</v>
      </c>
      <c r="J1770" s="2" t="str">
        <f>VLOOKUP(Sales_Details2[[#This Row],[Product_ID]],Product_details[[#All],[Product_ID]:[Cost]],4,0)</f>
        <v>Equipment</v>
      </c>
      <c r="K1770" s="2" t="s">
        <v>1759</v>
      </c>
      <c r="L1770" s="2" t="str">
        <f>_xlfn.XLOOKUP(Sales_Details2[[#This Row],[Store_ID]],Table2[Store_ID],Table2[Region],"Region not found")</f>
        <v>East</v>
      </c>
      <c r="M1770" s="25">
        <v>2</v>
      </c>
      <c r="N1770" s="36">
        <v>616.42999999999995</v>
      </c>
      <c r="O1770" s="29">
        <v>0.02</v>
      </c>
      <c r="P1770" s="2" t="s">
        <v>1812</v>
      </c>
      <c r="Q1770" s="36">
        <v>1208.2028</v>
      </c>
    </row>
    <row r="1771" spans="1:17" x14ac:dyDescent="0.3">
      <c r="A1771" s="2" t="s">
        <v>3578</v>
      </c>
      <c r="B1771" s="14">
        <v>45589</v>
      </c>
      <c r="C1771" s="2">
        <f>YEAR(Sales_Details2[[#This Row],[Order_Date]])</f>
        <v>2024</v>
      </c>
      <c r="D1771" s="2" t="s">
        <v>1240</v>
      </c>
      <c r="E1771" s="2" t="str">
        <f>VLOOKUP(Sales_Details2[[#This Row],[Customer_ID]],Customer_Details[#All],4,0)</f>
        <v>Mid-Adult</v>
      </c>
      <c r="F1771" s="2" t="str">
        <f>VLOOKUP(Sales_Details2[[#This Row],[Customer_ID]],Customer_Details[#All],5,0)</f>
        <v>Male</v>
      </c>
      <c r="G1771" s="2" t="str">
        <f>VLOOKUP(Sales_Details2[[#This Row],[Customer_ID]],Customer_Details[#All],9,0)</f>
        <v>Bronze</v>
      </c>
      <c r="H1771" s="2" t="s">
        <v>1657</v>
      </c>
      <c r="I1771" s="2" t="str">
        <f>VLOOKUP(Sales_Details2[[#This Row],[Product_ID]],Product_details[[#All],[Product_ID]:[Cost]],3,0)</f>
        <v>Beauty</v>
      </c>
      <c r="J1771" s="2" t="str">
        <f>VLOOKUP(Sales_Details2[[#This Row],[Product_ID]],Product_details[[#All],[Product_ID]:[Cost]],4,0)</f>
        <v>Skincare</v>
      </c>
      <c r="K1771" s="2" t="s">
        <v>1759</v>
      </c>
      <c r="L1771" s="2" t="str">
        <f>_xlfn.XLOOKUP(Sales_Details2[[#This Row],[Store_ID]],Table2[Store_ID],Table2[Region],"Region not found")</f>
        <v>East</v>
      </c>
      <c r="M1771" s="25">
        <v>3</v>
      </c>
      <c r="N1771" s="36">
        <v>195.89</v>
      </c>
      <c r="O1771" s="29">
        <v>0.16</v>
      </c>
      <c r="P1771" s="2" t="s">
        <v>1809</v>
      </c>
      <c r="Q1771" s="36">
        <v>493.64280000000002</v>
      </c>
    </row>
    <row r="1772" spans="1:17" x14ac:dyDescent="0.3">
      <c r="A1772" s="2" t="s">
        <v>3579</v>
      </c>
      <c r="B1772" s="14">
        <v>45487</v>
      </c>
      <c r="C1772" s="2">
        <f>YEAR(Sales_Details2[[#This Row],[Order_Date]])</f>
        <v>2024</v>
      </c>
      <c r="D1772" s="2" t="s">
        <v>1066</v>
      </c>
      <c r="E1772" s="2" t="str">
        <f>VLOOKUP(Sales_Details2[[#This Row],[Customer_ID]],Customer_Details[#All],4,0)</f>
        <v>Mid-Adult</v>
      </c>
      <c r="F1772" s="2" t="str">
        <f>VLOOKUP(Sales_Details2[[#This Row],[Customer_ID]],Customer_Details[#All],5,0)</f>
        <v>Male</v>
      </c>
      <c r="G1772" s="2" t="str">
        <f>VLOOKUP(Sales_Details2[[#This Row],[Customer_ID]],Customer_Details[#All],9,0)</f>
        <v>Bronze</v>
      </c>
      <c r="H1772" s="2" t="s">
        <v>1543</v>
      </c>
      <c r="I1772" s="2" t="str">
        <f>VLOOKUP(Sales_Details2[[#This Row],[Product_ID]],Product_details[[#All],[Product_ID]:[Cost]],3,0)</f>
        <v>Home</v>
      </c>
      <c r="J1772" s="2" t="str">
        <f>VLOOKUP(Sales_Details2[[#This Row],[Product_ID]],Product_details[[#All],[Product_ID]:[Cost]],4,0)</f>
        <v>Lighting</v>
      </c>
      <c r="K1772" s="2" t="s">
        <v>1772</v>
      </c>
      <c r="L1772" s="2" t="str">
        <f>_xlfn.XLOOKUP(Sales_Details2[[#This Row],[Store_ID]],Table2[Store_ID],Table2[Region],"Region not found")</f>
        <v>East</v>
      </c>
      <c r="M1772" s="25">
        <v>4</v>
      </c>
      <c r="N1772" s="36">
        <v>614.76</v>
      </c>
      <c r="O1772" s="29">
        <v>0.16</v>
      </c>
      <c r="P1772" s="2" t="s">
        <v>1807</v>
      </c>
      <c r="Q1772" s="36">
        <v>2065.5936000000002</v>
      </c>
    </row>
    <row r="1773" spans="1:17" x14ac:dyDescent="0.3">
      <c r="A1773" s="2" t="s">
        <v>3580</v>
      </c>
      <c r="B1773" s="14">
        <v>45418</v>
      </c>
      <c r="C1773" s="2">
        <f>YEAR(Sales_Details2[[#This Row],[Order_Date]])</f>
        <v>2024</v>
      </c>
      <c r="D1773" s="2" t="s">
        <v>1243</v>
      </c>
      <c r="E1773" s="2" t="str">
        <f>VLOOKUP(Sales_Details2[[#This Row],[Customer_ID]],Customer_Details[#All],4,0)</f>
        <v>Adult</v>
      </c>
      <c r="F1773" s="2" t="str">
        <f>VLOOKUP(Sales_Details2[[#This Row],[Customer_ID]],Customer_Details[#All],5,0)</f>
        <v>Female</v>
      </c>
      <c r="G1773" s="2" t="str">
        <f>VLOOKUP(Sales_Details2[[#This Row],[Customer_ID]],Customer_Details[#All],9,0)</f>
        <v>Silver</v>
      </c>
      <c r="H1773" s="2" t="s">
        <v>1689</v>
      </c>
      <c r="I1773" s="2" t="str">
        <f>VLOOKUP(Sales_Details2[[#This Row],[Product_ID]],Product_details[[#All],[Product_ID]:[Cost]],3,0)</f>
        <v>Home</v>
      </c>
      <c r="J1773" s="2" t="str">
        <f>VLOOKUP(Sales_Details2[[#This Row],[Product_ID]],Product_details[[#All],[Product_ID]:[Cost]],4,0)</f>
        <v>Lighting</v>
      </c>
      <c r="K1773" s="2" t="s">
        <v>1762</v>
      </c>
      <c r="L1773" s="2" t="str">
        <f>_xlfn.XLOOKUP(Sales_Details2[[#This Row],[Store_ID]],Table2[Store_ID],Table2[Region],"Region not found")</f>
        <v>South</v>
      </c>
      <c r="M1773" s="25">
        <v>1</v>
      </c>
      <c r="N1773" s="36">
        <v>224.49</v>
      </c>
      <c r="O1773" s="29">
        <v>0.11</v>
      </c>
      <c r="P1773" s="2" t="s">
        <v>1809</v>
      </c>
      <c r="Q1773" s="36">
        <v>199.7961</v>
      </c>
    </row>
    <row r="1774" spans="1:17" x14ac:dyDescent="0.3">
      <c r="A1774" s="2" t="s">
        <v>3581</v>
      </c>
      <c r="B1774" s="14">
        <v>45338</v>
      </c>
      <c r="C1774" s="2">
        <f>YEAR(Sales_Details2[[#This Row],[Order_Date]])</f>
        <v>2024</v>
      </c>
      <c r="D1774" s="2" t="s">
        <v>1103</v>
      </c>
      <c r="E1774" s="2" t="str">
        <f>VLOOKUP(Sales_Details2[[#This Row],[Customer_ID]],Customer_Details[#All],4,0)</f>
        <v>Senior</v>
      </c>
      <c r="F1774" s="2" t="str">
        <f>VLOOKUP(Sales_Details2[[#This Row],[Customer_ID]],Customer_Details[#All],5,0)</f>
        <v>Male</v>
      </c>
      <c r="G1774" s="2" t="str">
        <f>VLOOKUP(Sales_Details2[[#This Row],[Customer_ID]],Customer_Details[#All],9,0)</f>
        <v>Bronze</v>
      </c>
      <c r="H1774" s="2" t="s">
        <v>1641</v>
      </c>
      <c r="I1774" s="2" t="str">
        <f>VLOOKUP(Sales_Details2[[#This Row],[Product_ID]],Product_details[[#All],[Product_ID]:[Cost]],3,0)</f>
        <v>Home</v>
      </c>
      <c r="J1774" s="2" t="str">
        <f>VLOOKUP(Sales_Details2[[#This Row],[Product_ID]],Product_details[[#All],[Product_ID]:[Cost]],4,0)</f>
        <v>Decor</v>
      </c>
      <c r="K1774" s="2" t="s">
        <v>1777</v>
      </c>
      <c r="L1774" s="2" t="str">
        <f>_xlfn.XLOOKUP(Sales_Details2[[#This Row],[Store_ID]],Table2[Store_ID],Table2[Region],"Region not found")</f>
        <v>North</v>
      </c>
      <c r="M1774" s="25">
        <v>1</v>
      </c>
      <c r="N1774" s="36">
        <v>967.76</v>
      </c>
      <c r="O1774" s="29">
        <v>0.09</v>
      </c>
      <c r="P1774" s="2" t="s">
        <v>1807</v>
      </c>
      <c r="Q1774" s="36">
        <v>880.66160000000002</v>
      </c>
    </row>
    <row r="1775" spans="1:17" x14ac:dyDescent="0.3">
      <c r="A1775" s="2" t="s">
        <v>3582</v>
      </c>
      <c r="B1775" s="14">
        <v>45507</v>
      </c>
      <c r="C1775" s="2">
        <f>YEAR(Sales_Details2[[#This Row],[Order_Date]])</f>
        <v>2024</v>
      </c>
      <c r="D1775" s="2" t="s">
        <v>244</v>
      </c>
      <c r="E1775" s="2" t="str">
        <f>VLOOKUP(Sales_Details2[[#This Row],[Customer_ID]],Customer_Details[#All],4,0)</f>
        <v>Senior</v>
      </c>
      <c r="F1775" s="2" t="str">
        <f>VLOOKUP(Sales_Details2[[#This Row],[Customer_ID]],Customer_Details[#All],5,0)</f>
        <v>Male</v>
      </c>
      <c r="G1775" s="2" t="str">
        <f>VLOOKUP(Sales_Details2[[#This Row],[Customer_ID]],Customer_Details[#All],9,0)</f>
        <v>Silver</v>
      </c>
      <c r="H1775" s="2" t="s">
        <v>1613</v>
      </c>
      <c r="I1775" s="2" t="str">
        <f>VLOOKUP(Sales_Details2[[#This Row],[Product_ID]],Product_details[[#All],[Product_ID]:[Cost]],3,0)</f>
        <v>Sports</v>
      </c>
      <c r="J1775" s="2" t="str">
        <f>VLOOKUP(Sales_Details2[[#This Row],[Product_ID]],Product_details[[#All],[Product_ID]:[Cost]],4,0)</f>
        <v>Fitness</v>
      </c>
      <c r="K1775" s="2" t="s">
        <v>1796</v>
      </c>
      <c r="L1775" s="2" t="str">
        <f>_xlfn.XLOOKUP(Sales_Details2[[#This Row],[Store_ID]],Table2[Store_ID],Table2[Region],"Region not found")</f>
        <v>East</v>
      </c>
      <c r="M1775" s="25">
        <v>2</v>
      </c>
      <c r="N1775" s="36">
        <v>56.52</v>
      </c>
      <c r="O1775" s="29">
        <v>0.17</v>
      </c>
      <c r="P1775" s="2" t="s">
        <v>1809</v>
      </c>
      <c r="Q1775" s="36">
        <v>93.8232</v>
      </c>
    </row>
    <row r="1776" spans="1:17" x14ac:dyDescent="0.3">
      <c r="A1776" s="2" t="s">
        <v>3583</v>
      </c>
      <c r="B1776" s="14">
        <v>45275</v>
      </c>
      <c r="C1776" s="2">
        <f>YEAR(Sales_Details2[[#This Row],[Order_Date]])</f>
        <v>2023</v>
      </c>
      <c r="D1776" s="2" t="s">
        <v>1490</v>
      </c>
      <c r="E1776" s="2" t="str">
        <f>VLOOKUP(Sales_Details2[[#This Row],[Customer_ID]],Customer_Details[#All],4,0)</f>
        <v>Adult</v>
      </c>
      <c r="F1776" s="2" t="str">
        <f>VLOOKUP(Sales_Details2[[#This Row],[Customer_ID]],Customer_Details[#All],5,0)</f>
        <v>Male</v>
      </c>
      <c r="G1776" s="2" t="str">
        <f>VLOOKUP(Sales_Details2[[#This Row],[Customer_ID]],Customer_Details[#All],9,0)</f>
        <v>Platinum</v>
      </c>
      <c r="H1776" s="2" t="s">
        <v>1665</v>
      </c>
      <c r="I1776" s="2" t="str">
        <f>VLOOKUP(Sales_Details2[[#This Row],[Product_ID]],Product_details[[#All],[Product_ID]:[Cost]],3,0)</f>
        <v>Electronics</v>
      </c>
      <c r="J1776" s="2" t="str">
        <f>VLOOKUP(Sales_Details2[[#This Row],[Product_ID]],Product_details[[#All],[Product_ID]:[Cost]],4,0)</f>
        <v>Accessories</v>
      </c>
      <c r="K1776" s="2" t="s">
        <v>1740</v>
      </c>
      <c r="L1776" s="2" t="str">
        <f>_xlfn.XLOOKUP(Sales_Details2[[#This Row],[Store_ID]],Table2[Store_ID],Table2[Region],"Region not found")</f>
        <v>North</v>
      </c>
      <c r="M1776" s="25">
        <v>4</v>
      </c>
      <c r="N1776" s="36">
        <v>921.84</v>
      </c>
      <c r="O1776" s="29">
        <v>0.04</v>
      </c>
      <c r="P1776" s="2" t="s">
        <v>1807</v>
      </c>
      <c r="Q1776" s="36">
        <v>3539.8656000000001</v>
      </c>
    </row>
    <row r="1777" spans="1:17" x14ac:dyDescent="0.3">
      <c r="A1777" s="2" t="s">
        <v>3584</v>
      </c>
      <c r="B1777" s="14">
        <v>45319</v>
      </c>
      <c r="C1777" s="2">
        <f>YEAR(Sales_Details2[[#This Row],[Order_Date]])</f>
        <v>2024</v>
      </c>
      <c r="D1777" s="2" t="s">
        <v>1021</v>
      </c>
      <c r="E1777" s="2" t="str">
        <f>VLOOKUP(Sales_Details2[[#This Row],[Customer_ID]],Customer_Details[#All],4,0)</f>
        <v>Mid-Adult</v>
      </c>
      <c r="F1777" s="2" t="str">
        <f>VLOOKUP(Sales_Details2[[#This Row],[Customer_ID]],Customer_Details[#All],5,0)</f>
        <v>Male</v>
      </c>
      <c r="G1777" s="2" t="str">
        <f>VLOOKUP(Sales_Details2[[#This Row],[Customer_ID]],Customer_Details[#All],9,0)</f>
        <v>Platinum</v>
      </c>
      <c r="H1777" s="2" t="s">
        <v>1703</v>
      </c>
      <c r="I1777" s="2" t="str">
        <f>VLOOKUP(Sales_Details2[[#This Row],[Product_ID]],Product_details[[#All],[Product_ID]:[Cost]],3,0)</f>
        <v>Home</v>
      </c>
      <c r="J1777" s="2" t="str">
        <f>VLOOKUP(Sales_Details2[[#This Row],[Product_ID]],Product_details[[#All],[Product_ID]:[Cost]],4,0)</f>
        <v>Kitchen</v>
      </c>
      <c r="K1777" s="2" t="s">
        <v>1787</v>
      </c>
      <c r="L1777" s="2" t="str">
        <f>_xlfn.XLOOKUP(Sales_Details2[[#This Row],[Store_ID]],Table2[Store_ID],Table2[Region],"Region not found")</f>
        <v>West</v>
      </c>
      <c r="M1777" s="25">
        <v>3</v>
      </c>
      <c r="N1777" s="36">
        <v>738.47</v>
      </c>
      <c r="O1777" s="29">
        <v>0.28000000000000003</v>
      </c>
      <c r="P1777" s="2" t="s">
        <v>1807</v>
      </c>
      <c r="Q1777" s="36">
        <v>1595.0952</v>
      </c>
    </row>
    <row r="1778" spans="1:17" x14ac:dyDescent="0.3">
      <c r="A1778" s="2" t="s">
        <v>3585</v>
      </c>
      <c r="B1778" s="14">
        <v>45620</v>
      </c>
      <c r="C1778" s="2">
        <f>YEAR(Sales_Details2[[#This Row],[Order_Date]])</f>
        <v>2024</v>
      </c>
      <c r="D1778" s="2" t="s">
        <v>1021</v>
      </c>
      <c r="E1778" s="2" t="str">
        <f>VLOOKUP(Sales_Details2[[#This Row],[Customer_ID]],Customer_Details[#All],4,0)</f>
        <v>Mid-Adult</v>
      </c>
      <c r="F1778" s="2" t="str">
        <f>VLOOKUP(Sales_Details2[[#This Row],[Customer_ID]],Customer_Details[#All],5,0)</f>
        <v>Male</v>
      </c>
      <c r="G1778" s="2" t="str">
        <f>VLOOKUP(Sales_Details2[[#This Row],[Customer_ID]],Customer_Details[#All],9,0)</f>
        <v>Platinum</v>
      </c>
      <c r="H1778" s="2" t="s">
        <v>1538</v>
      </c>
      <c r="I1778" s="2" t="str">
        <f>VLOOKUP(Sales_Details2[[#This Row],[Product_ID]],Product_details[[#All],[Product_ID]:[Cost]],3,0)</f>
        <v>Clothing</v>
      </c>
      <c r="J1778" s="2" t="str">
        <f>VLOOKUP(Sales_Details2[[#This Row],[Product_ID]],Product_details[[#All],[Product_ID]:[Cost]],4,0)</f>
        <v>Accessories</v>
      </c>
      <c r="K1778" s="2" t="s">
        <v>1735</v>
      </c>
      <c r="L1778" s="2" t="str">
        <f>_xlfn.XLOOKUP(Sales_Details2[[#This Row],[Store_ID]],Table2[Store_ID],Table2[Region],"Region not found")</f>
        <v>East</v>
      </c>
      <c r="M1778" s="25">
        <v>4</v>
      </c>
      <c r="N1778" s="36">
        <v>477.83</v>
      </c>
      <c r="O1778" s="29">
        <v>0.05</v>
      </c>
      <c r="P1778" s="2" t="s">
        <v>1812</v>
      </c>
      <c r="Q1778" s="36">
        <v>1815.7539999999999</v>
      </c>
    </row>
    <row r="1779" spans="1:17" x14ac:dyDescent="0.3">
      <c r="A1779" s="2" t="s">
        <v>3586</v>
      </c>
      <c r="B1779" s="14">
        <v>45831</v>
      </c>
      <c r="C1779" s="2">
        <f>YEAR(Sales_Details2[[#This Row],[Order_Date]])</f>
        <v>2025</v>
      </c>
      <c r="D1779" s="2" t="s">
        <v>554</v>
      </c>
      <c r="E1779" s="2" t="str">
        <f>VLOOKUP(Sales_Details2[[#This Row],[Customer_ID]],Customer_Details[#All],4,0)</f>
        <v>Mid-Adult</v>
      </c>
      <c r="F1779" s="2" t="str">
        <f>VLOOKUP(Sales_Details2[[#This Row],[Customer_ID]],Customer_Details[#All],5,0)</f>
        <v>Female</v>
      </c>
      <c r="G1779" s="2" t="str">
        <f>VLOOKUP(Sales_Details2[[#This Row],[Customer_ID]],Customer_Details[#All],9,0)</f>
        <v>Platinum</v>
      </c>
      <c r="H1779" s="2" t="s">
        <v>1615</v>
      </c>
      <c r="I1779" s="2" t="str">
        <f>VLOOKUP(Sales_Details2[[#This Row],[Product_ID]],Product_details[[#All],[Product_ID]:[Cost]],3,0)</f>
        <v>Electronics</v>
      </c>
      <c r="J1779" s="2" t="str">
        <f>VLOOKUP(Sales_Details2[[#This Row],[Product_ID]],Product_details[[#All],[Product_ID]:[Cost]],4,0)</f>
        <v>Accessories</v>
      </c>
      <c r="K1779" s="2" t="s">
        <v>1777</v>
      </c>
      <c r="L1779" s="2" t="str">
        <f>_xlfn.XLOOKUP(Sales_Details2[[#This Row],[Store_ID]],Table2[Store_ID],Table2[Region],"Region not found")</f>
        <v>North</v>
      </c>
      <c r="M1779" s="25">
        <v>3</v>
      </c>
      <c r="N1779" s="36">
        <v>605.83000000000004</v>
      </c>
      <c r="O1779" s="29">
        <v>0.28000000000000003</v>
      </c>
      <c r="P1779" s="2" t="s">
        <v>1812</v>
      </c>
      <c r="Q1779" s="36">
        <v>1308.5927999999999</v>
      </c>
    </row>
    <row r="1780" spans="1:17" x14ac:dyDescent="0.3">
      <c r="A1780" s="2" t="s">
        <v>3587</v>
      </c>
      <c r="B1780" s="14">
        <v>45373</v>
      </c>
      <c r="C1780" s="2">
        <f>YEAR(Sales_Details2[[#This Row],[Order_Date]])</f>
        <v>2024</v>
      </c>
      <c r="D1780" s="2" t="s">
        <v>244</v>
      </c>
      <c r="E1780" s="2" t="str">
        <f>VLOOKUP(Sales_Details2[[#This Row],[Customer_ID]],Customer_Details[#All],4,0)</f>
        <v>Senior</v>
      </c>
      <c r="F1780" s="2" t="str">
        <f>VLOOKUP(Sales_Details2[[#This Row],[Customer_ID]],Customer_Details[#All],5,0)</f>
        <v>Male</v>
      </c>
      <c r="G1780" s="2" t="str">
        <f>VLOOKUP(Sales_Details2[[#This Row],[Customer_ID]],Customer_Details[#All],9,0)</f>
        <v>Silver</v>
      </c>
      <c r="H1780" s="2" t="s">
        <v>1617</v>
      </c>
      <c r="I1780" s="2" t="str">
        <f>VLOOKUP(Sales_Details2[[#This Row],[Product_ID]],Product_details[[#All],[Product_ID]:[Cost]],3,0)</f>
        <v>Electronics</v>
      </c>
      <c r="J1780" s="2" t="str">
        <f>VLOOKUP(Sales_Details2[[#This Row],[Product_ID]],Product_details[[#All],[Product_ID]:[Cost]],4,0)</f>
        <v>Computer</v>
      </c>
      <c r="K1780" s="2" t="s">
        <v>1749</v>
      </c>
      <c r="L1780" s="2" t="str">
        <f>_xlfn.XLOOKUP(Sales_Details2[[#This Row],[Store_ID]],Table2[Store_ID],Table2[Region],"Region not found")</f>
        <v>North</v>
      </c>
      <c r="M1780" s="25">
        <v>2</v>
      </c>
      <c r="N1780" s="36">
        <v>521.44000000000005</v>
      </c>
      <c r="O1780" s="29">
        <v>0.25</v>
      </c>
      <c r="P1780" s="2" t="s">
        <v>1812</v>
      </c>
      <c r="Q1780" s="36">
        <v>782.16000000000008</v>
      </c>
    </row>
    <row r="1781" spans="1:17" x14ac:dyDescent="0.3">
      <c r="A1781" s="2" t="s">
        <v>3588</v>
      </c>
      <c r="B1781" s="14">
        <v>45863</v>
      </c>
      <c r="C1781" s="2">
        <f>YEAR(Sales_Details2[[#This Row],[Order_Date]])</f>
        <v>2025</v>
      </c>
      <c r="D1781" s="2" t="s">
        <v>1153</v>
      </c>
      <c r="E1781" s="2" t="str">
        <f>VLOOKUP(Sales_Details2[[#This Row],[Customer_ID]],Customer_Details[#All],4,0)</f>
        <v>Mid-Adult</v>
      </c>
      <c r="F1781" s="2" t="str">
        <f>VLOOKUP(Sales_Details2[[#This Row],[Customer_ID]],Customer_Details[#All],5,0)</f>
        <v>Female</v>
      </c>
      <c r="G1781" s="2" t="str">
        <f>VLOOKUP(Sales_Details2[[#This Row],[Customer_ID]],Customer_Details[#All],9,0)</f>
        <v>Gold</v>
      </c>
      <c r="H1781" s="2" t="s">
        <v>1551</v>
      </c>
      <c r="I1781" s="2" t="str">
        <f>VLOOKUP(Sales_Details2[[#This Row],[Product_ID]],Product_details[[#All],[Product_ID]:[Cost]],3,0)</f>
        <v>Home</v>
      </c>
      <c r="J1781" s="2" t="str">
        <f>VLOOKUP(Sales_Details2[[#This Row],[Product_ID]],Product_details[[#All],[Product_ID]:[Cost]],4,0)</f>
        <v>Kitchen</v>
      </c>
      <c r="K1781" s="2" t="s">
        <v>1762</v>
      </c>
      <c r="L1781" s="2" t="str">
        <f>_xlfn.XLOOKUP(Sales_Details2[[#This Row],[Store_ID]],Table2[Store_ID],Table2[Region],"Region not found")</f>
        <v>South</v>
      </c>
      <c r="M1781" s="25">
        <v>4</v>
      </c>
      <c r="N1781" s="36">
        <v>499.02</v>
      </c>
      <c r="O1781" s="29">
        <v>0.06</v>
      </c>
      <c r="P1781" s="2" t="s">
        <v>1807</v>
      </c>
      <c r="Q1781" s="36">
        <v>1876.3152</v>
      </c>
    </row>
    <row r="1782" spans="1:17" x14ac:dyDescent="0.3">
      <c r="A1782" s="2" t="s">
        <v>3589</v>
      </c>
      <c r="B1782" s="14">
        <v>45758</v>
      </c>
      <c r="C1782" s="2">
        <f>YEAR(Sales_Details2[[#This Row],[Order_Date]])</f>
        <v>2025</v>
      </c>
      <c r="D1782" s="2" t="s">
        <v>509</v>
      </c>
      <c r="E1782" s="2" t="str">
        <f>VLOOKUP(Sales_Details2[[#This Row],[Customer_ID]],Customer_Details[#All],4,0)</f>
        <v>Mid-Adult</v>
      </c>
      <c r="F1782" s="2" t="str">
        <f>VLOOKUP(Sales_Details2[[#This Row],[Customer_ID]],Customer_Details[#All],5,0)</f>
        <v>Male</v>
      </c>
      <c r="G1782" s="2" t="str">
        <f>VLOOKUP(Sales_Details2[[#This Row],[Customer_ID]],Customer_Details[#All],9,0)</f>
        <v>Bronze</v>
      </c>
      <c r="H1782" s="2" t="s">
        <v>1536</v>
      </c>
      <c r="I1782" s="2" t="str">
        <f>VLOOKUP(Sales_Details2[[#This Row],[Product_ID]],Product_details[[#All],[Product_ID]:[Cost]],3,0)</f>
        <v>Clothing</v>
      </c>
      <c r="J1782" s="2" t="str">
        <f>VLOOKUP(Sales_Details2[[#This Row],[Product_ID]],Product_details[[#All],[Product_ID]:[Cost]],4,0)</f>
        <v>Bottoms</v>
      </c>
      <c r="K1782" s="2" t="s">
        <v>1793</v>
      </c>
      <c r="L1782" s="2" t="str">
        <f>_xlfn.XLOOKUP(Sales_Details2[[#This Row],[Store_ID]],Table2[Store_ID],Table2[Region],"Region not found")</f>
        <v>East</v>
      </c>
      <c r="M1782" s="25">
        <v>4</v>
      </c>
      <c r="N1782" s="36">
        <v>299.45999999999998</v>
      </c>
      <c r="O1782" s="29">
        <v>0.18</v>
      </c>
      <c r="P1782" s="2" t="s">
        <v>1812</v>
      </c>
      <c r="Q1782" s="36">
        <v>982.22879999999998</v>
      </c>
    </row>
    <row r="1783" spans="1:17" x14ac:dyDescent="0.3">
      <c r="A1783" s="2" t="s">
        <v>3590</v>
      </c>
      <c r="B1783" s="14">
        <v>45285</v>
      </c>
      <c r="C1783" s="2">
        <f>YEAR(Sales_Details2[[#This Row],[Order_Date]])</f>
        <v>2023</v>
      </c>
      <c r="D1783" s="2" t="s">
        <v>1395</v>
      </c>
      <c r="E1783" s="2" t="str">
        <f>VLOOKUP(Sales_Details2[[#This Row],[Customer_ID]],Customer_Details[#All],4,0)</f>
        <v>Senior</v>
      </c>
      <c r="F1783" s="2" t="str">
        <f>VLOOKUP(Sales_Details2[[#This Row],[Customer_ID]],Customer_Details[#All],5,0)</f>
        <v>Male</v>
      </c>
      <c r="G1783" s="2" t="str">
        <f>VLOOKUP(Sales_Details2[[#This Row],[Customer_ID]],Customer_Details[#All],9,0)</f>
        <v>Platinum</v>
      </c>
      <c r="H1783" s="2" t="s">
        <v>1609</v>
      </c>
      <c r="I1783" s="2" t="str">
        <f>VLOOKUP(Sales_Details2[[#This Row],[Product_ID]],Product_details[[#All],[Product_ID]:[Cost]],3,0)</f>
        <v>Electronics</v>
      </c>
      <c r="J1783" s="2" t="str">
        <f>VLOOKUP(Sales_Details2[[#This Row],[Product_ID]],Product_details[[#All],[Product_ID]:[Cost]],4,0)</f>
        <v>Mobile</v>
      </c>
      <c r="K1783" s="2" t="s">
        <v>1735</v>
      </c>
      <c r="L1783" s="2" t="str">
        <f>_xlfn.XLOOKUP(Sales_Details2[[#This Row],[Store_ID]],Table2[Store_ID],Table2[Region],"Region not found")</f>
        <v>East</v>
      </c>
      <c r="M1783" s="25">
        <v>1</v>
      </c>
      <c r="N1783" s="36">
        <v>609.29</v>
      </c>
      <c r="O1783" s="29">
        <v>0.15</v>
      </c>
      <c r="P1783" s="2" t="s">
        <v>1807</v>
      </c>
      <c r="Q1783" s="36">
        <v>517.89649999999995</v>
      </c>
    </row>
    <row r="1784" spans="1:17" x14ac:dyDescent="0.3">
      <c r="A1784" s="2" t="s">
        <v>3591</v>
      </c>
      <c r="B1784" s="14">
        <v>45656</v>
      </c>
      <c r="C1784" s="2">
        <f>YEAR(Sales_Details2[[#This Row],[Order_Date]])</f>
        <v>2024</v>
      </c>
      <c r="D1784" s="2" t="s">
        <v>355</v>
      </c>
      <c r="E1784" s="2" t="str">
        <f>VLOOKUP(Sales_Details2[[#This Row],[Customer_ID]],Customer_Details[#All],4,0)</f>
        <v>Adult</v>
      </c>
      <c r="F1784" s="2" t="str">
        <f>VLOOKUP(Sales_Details2[[#This Row],[Customer_ID]],Customer_Details[#All],5,0)</f>
        <v>Male</v>
      </c>
      <c r="G1784" s="2" t="str">
        <f>VLOOKUP(Sales_Details2[[#This Row],[Customer_ID]],Customer_Details[#All],9,0)</f>
        <v>Gold</v>
      </c>
      <c r="H1784" s="2" t="s">
        <v>1532</v>
      </c>
      <c r="I1784" s="2" t="str">
        <f>VLOOKUP(Sales_Details2[[#This Row],[Product_ID]],Product_details[[#All],[Product_ID]:[Cost]],3,0)</f>
        <v>Clothing</v>
      </c>
      <c r="J1784" s="2" t="str">
        <f>VLOOKUP(Sales_Details2[[#This Row],[Product_ID]],Product_details[[#All],[Product_ID]:[Cost]],4,0)</f>
        <v>Outerwear</v>
      </c>
      <c r="K1784" s="2" t="s">
        <v>1765</v>
      </c>
      <c r="L1784" s="2" t="str">
        <f>_xlfn.XLOOKUP(Sales_Details2[[#This Row],[Store_ID]],Table2[Store_ID],Table2[Region],"Region not found")</f>
        <v>West</v>
      </c>
      <c r="M1784" s="25">
        <v>1</v>
      </c>
      <c r="N1784" s="36">
        <v>213.74</v>
      </c>
      <c r="O1784" s="29">
        <v>7.0000000000000007E-2</v>
      </c>
      <c r="P1784" s="2" t="s">
        <v>1812</v>
      </c>
      <c r="Q1784" s="36">
        <v>198.7782</v>
      </c>
    </row>
    <row r="1785" spans="1:17" x14ac:dyDescent="0.3">
      <c r="A1785" s="2" t="s">
        <v>3592</v>
      </c>
      <c r="B1785" s="14">
        <v>45718</v>
      </c>
      <c r="C1785" s="2">
        <f>YEAR(Sales_Details2[[#This Row],[Order_Date]])</f>
        <v>2025</v>
      </c>
      <c r="D1785" s="2" t="s">
        <v>509</v>
      </c>
      <c r="E1785" s="2" t="str">
        <f>VLOOKUP(Sales_Details2[[#This Row],[Customer_ID]],Customer_Details[#All],4,0)</f>
        <v>Mid-Adult</v>
      </c>
      <c r="F1785" s="2" t="str">
        <f>VLOOKUP(Sales_Details2[[#This Row],[Customer_ID]],Customer_Details[#All],5,0)</f>
        <v>Male</v>
      </c>
      <c r="G1785" s="2" t="str">
        <f>VLOOKUP(Sales_Details2[[#This Row],[Customer_ID]],Customer_Details[#All],9,0)</f>
        <v>Bronze</v>
      </c>
      <c r="H1785" s="2" t="s">
        <v>1641</v>
      </c>
      <c r="I1785" s="2" t="str">
        <f>VLOOKUP(Sales_Details2[[#This Row],[Product_ID]],Product_details[[#All],[Product_ID]:[Cost]],3,0)</f>
        <v>Home</v>
      </c>
      <c r="J1785" s="2" t="str">
        <f>VLOOKUP(Sales_Details2[[#This Row],[Product_ID]],Product_details[[#All],[Product_ID]:[Cost]],4,0)</f>
        <v>Decor</v>
      </c>
      <c r="K1785" s="2" t="s">
        <v>1787</v>
      </c>
      <c r="L1785" s="2" t="str">
        <f>_xlfn.XLOOKUP(Sales_Details2[[#This Row],[Store_ID]],Table2[Store_ID],Table2[Region],"Region not found")</f>
        <v>West</v>
      </c>
      <c r="M1785" s="25">
        <v>4</v>
      </c>
      <c r="N1785" s="36">
        <v>613.16999999999996</v>
      </c>
      <c r="O1785" s="29">
        <v>0.26</v>
      </c>
      <c r="P1785" s="2" t="s">
        <v>1807</v>
      </c>
      <c r="Q1785" s="36">
        <v>1814.9831999999999</v>
      </c>
    </row>
    <row r="1786" spans="1:17" x14ac:dyDescent="0.3">
      <c r="A1786" s="2" t="s">
        <v>3593</v>
      </c>
      <c r="B1786" s="14">
        <v>45293</v>
      </c>
      <c r="C1786" s="2">
        <f>YEAR(Sales_Details2[[#This Row],[Order_Date]])</f>
        <v>2024</v>
      </c>
      <c r="D1786" s="2" t="s">
        <v>1106</v>
      </c>
      <c r="E1786" s="2" t="str">
        <f>VLOOKUP(Sales_Details2[[#This Row],[Customer_ID]],Customer_Details[#All],4,0)</f>
        <v>Mid-Adult</v>
      </c>
      <c r="F1786" s="2" t="str">
        <f>VLOOKUP(Sales_Details2[[#This Row],[Customer_ID]],Customer_Details[#All],5,0)</f>
        <v>Male</v>
      </c>
      <c r="G1786" s="2" t="str">
        <f>VLOOKUP(Sales_Details2[[#This Row],[Customer_ID]],Customer_Details[#All],9,0)</f>
        <v>Gold</v>
      </c>
      <c r="H1786" s="2" t="s">
        <v>1649</v>
      </c>
      <c r="I1786" s="2" t="str">
        <f>VLOOKUP(Sales_Details2[[#This Row],[Product_ID]],Product_details[[#All],[Product_ID]:[Cost]],3,0)</f>
        <v>Beauty</v>
      </c>
      <c r="J1786" s="2" t="str">
        <f>VLOOKUP(Sales_Details2[[#This Row],[Product_ID]],Product_details[[#All],[Product_ID]:[Cost]],4,0)</f>
        <v>Haircare</v>
      </c>
      <c r="K1786" s="2" t="s">
        <v>1775</v>
      </c>
      <c r="L1786" s="2" t="str">
        <f>_xlfn.XLOOKUP(Sales_Details2[[#This Row],[Store_ID]],Table2[Store_ID],Table2[Region],"Region not found")</f>
        <v>South</v>
      </c>
      <c r="M1786" s="25">
        <v>2</v>
      </c>
      <c r="N1786" s="36">
        <v>687.36</v>
      </c>
      <c r="O1786" s="29">
        <v>7.0000000000000007E-2</v>
      </c>
      <c r="P1786" s="2" t="s">
        <v>1812</v>
      </c>
      <c r="Q1786" s="36">
        <v>1278.4896000000001</v>
      </c>
    </row>
    <row r="1787" spans="1:17" x14ac:dyDescent="0.3">
      <c r="A1787" s="2" t="s">
        <v>3594</v>
      </c>
      <c r="B1787" s="14">
        <v>45915</v>
      </c>
      <c r="C1787" s="2">
        <f>YEAR(Sales_Details2[[#This Row],[Order_Date]])</f>
        <v>2025</v>
      </c>
      <c r="D1787" s="2" t="s">
        <v>1015</v>
      </c>
      <c r="E1787" s="2" t="str">
        <f>VLOOKUP(Sales_Details2[[#This Row],[Customer_ID]],Customer_Details[#All],4,0)</f>
        <v>Senior</v>
      </c>
      <c r="F1787" s="2" t="str">
        <f>VLOOKUP(Sales_Details2[[#This Row],[Customer_ID]],Customer_Details[#All],5,0)</f>
        <v>Female</v>
      </c>
      <c r="G1787" s="2" t="str">
        <f>VLOOKUP(Sales_Details2[[#This Row],[Customer_ID]],Customer_Details[#All],9,0)</f>
        <v>Gold</v>
      </c>
      <c r="H1787" s="2" t="s">
        <v>1665</v>
      </c>
      <c r="I1787" s="2" t="str">
        <f>VLOOKUP(Sales_Details2[[#This Row],[Product_ID]],Product_details[[#All],[Product_ID]:[Cost]],3,0)</f>
        <v>Electronics</v>
      </c>
      <c r="J1787" s="2" t="str">
        <f>VLOOKUP(Sales_Details2[[#This Row],[Product_ID]],Product_details[[#All],[Product_ID]:[Cost]],4,0)</f>
        <v>Accessories</v>
      </c>
      <c r="K1787" s="2" t="s">
        <v>1780</v>
      </c>
      <c r="L1787" s="2" t="str">
        <f>_xlfn.XLOOKUP(Sales_Details2[[#This Row],[Store_ID]],Table2[Store_ID],Table2[Region],"Region not found")</f>
        <v>East</v>
      </c>
      <c r="M1787" s="25">
        <v>3</v>
      </c>
      <c r="N1787" s="36">
        <v>115.39</v>
      </c>
      <c r="O1787" s="29">
        <v>0.02</v>
      </c>
      <c r="P1787" s="2" t="s">
        <v>1809</v>
      </c>
      <c r="Q1787" s="36">
        <v>339.2466</v>
      </c>
    </row>
    <row r="1788" spans="1:17" x14ac:dyDescent="0.3">
      <c r="A1788" s="2" t="s">
        <v>3595</v>
      </c>
      <c r="B1788" s="14">
        <v>45359</v>
      </c>
      <c r="C1788" s="2">
        <f>YEAR(Sales_Details2[[#This Row],[Order_Date]])</f>
        <v>2024</v>
      </c>
      <c r="D1788" s="2" t="s">
        <v>586</v>
      </c>
      <c r="E1788" s="2" t="str">
        <f>VLOOKUP(Sales_Details2[[#This Row],[Customer_ID]],Customer_Details[#All],4,0)</f>
        <v>Mid-Adult</v>
      </c>
      <c r="F1788" s="2" t="str">
        <f>VLOOKUP(Sales_Details2[[#This Row],[Customer_ID]],Customer_Details[#All],5,0)</f>
        <v>Female</v>
      </c>
      <c r="G1788" s="2" t="str">
        <f>VLOOKUP(Sales_Details2[[#This Row],[Customer_ID]],Customer_Details[#All],9,0)</f>
        <v>Silver</v>
      </c>
      <c r="H1788" s="2" t="s">
        <v>1579</v>
      </c>
      <c r="I1788" s="2" t="str">
        <f>VLOOKUP(Sales_Details2[[#This Row],[Product_ID]],Product_details[[#All],[Product_ID]:[Cost]],3,0)</f>
        <v>Sports</v>
      </c>
      <c r="J1788" s="2" t="str">
        <f>VLOOKUP(Sales_Details2[[#This Row],[Product_ID]],Product_details[[#All],[Product_ID]:[Cost]],4,0)</f>
        <v>Outdoor</v>
      </c>
      <c r="K1788" s="2" t="s">
        <v>1777</v>
      </c>
      <c r="L1788" s="2" t="str">
        <f>_xlfn.XLOOKUP(Sales_Details2[[#This Row],[Store_ID]],Table2[Store_ID],Table2[Region],"Region not found")</f>
        <v>North</v>
      </c>
      <c r="M1788" s="25">
        <v>2</v>
      </c>
      <c r="N1788" s="36">
        <v>722.06</v>
      </c>
      <c r="O1788" s="29">
        <v>7.0000000000000007E-2</v>
      </c>
      <c r="P1788" s="2" t="s">
        <v>1807</v>
      </c>
      <c r="Q1788" s="36">
        <v>1343.0316</v>
      </c>
    </row>
    <row r="1789" spans="1:17" x14ac:dyDescent="0.3">
      <c r="A1789" s="2" t="s">
        <v>3596</v>
      </c>
      <c r="B1789" s="14">
        <v>45652</v>
      </c>
      <c r="C1789" s="2">
        <f>YEAR(Sales_Details2[[#This Row],[Order_Date]])</f>
        <v>2024</v>
      </c>
      <c r="D1789" s="2" t="s">
        <v>1303</v>
      </c>
      <c r="E1789" s="2" t="str">
        <f>VLOOKUP(Sales_Details2[[#This Row],[Customer_ID]],Customer_Details[#All],4,0)</f>
        <v>Mid-Adult</v>
      </c>
      <c r="F1789" s="2" t="str">
        <f>VLOOKUP(Sales_Details2[[#This Row],[Customer_ID]],Customer_Details[#All],5,0)</f>
        <v>Male</v>
      </c>
      <c r="G1789" s="2" t="str">
        <f>VLOOKUP(Sales_Details2[[#This Row],[Customer_ID]],Customer_Details[#All],9,0)</f>
        <v>Bronze</v>
      </c>
      <c r="H1789" s="2" t="s">
        <v>1543</v>
      </c>
      <c r="I1789" s="2" t="str">
        <f>VLOOKUP(Sales_Details2[[#This Row],[Product_ID]],Product_details[[#All],[Product_ID]:[Cost]],3,0)</f>
        <v>Home</v>
      </c>
      <c r="J1789" s="2" t="str">
        <f>VLOOKUP(Sales_Details2[[#This Row],[Product_ID]],Product_details[[#All],[Product_ID]:[Cost]],4,0)</f>
        <v>Lighting</v>
      </c>
      <c r="K1789" s="2" t="s">
        <v>1784</v>
      </c>
      <c r="L1789" s="2" t="str">
        <f>_xlfn.XLOOKUP(Sales_Details2[[#This Row],[Store_ID]],Table2[Store_ID],Table2[Region],"Region not found")</f>
        <v>North</v>
      </c>
      <c r="M1789" s="25">
        <v>1</v>
      </c>
      <c r="N1789" s="36">
        <v>384.57</v>
      </c>
      <c r="O1789" s="29">
        <v>0.06</v>
      </c>
      <c r="P1789" s="2" t="s">
        <v>1809</v>
      </c>
      <c r="Q1789" s="36">
        <v>361.49579999999997</v>
      </c>
    </row>
    <row r="1790" spans="1:17" x14ac:dyDescent="0.3">
      <c r="A1790" s="2" t="s">
        <v>3597</v>
      </c>
      <c r="B1790" s="14">
        <v>45735</v>
      </c>
      <c r="C1790" s="2">
        <f>YEAR(Sales_Details2[[#This Row],[Order_Date]])</f>
        <v>2025</v>
      </c>
      <c r="D1790" s="2" t="s">
        <v>678</v>
      </c>
      <c r="E1790" s="2" t="str">
        <f>VLOOKUP(Sales_Details2[[#This Row],[Customer_ID]],Customer_Details[#All],4,0)</f>
        <v>Mid-Adult</v>
      </c>
      <c r="F1790" s="2" t="str">
        <f>VLOOKUP(Sales_Details2[[#This Row],[Customer_ID]],Customer_Details[#All],5,0)</f>
        <v>Male</v>
      </c>
      <c r="G1790" s="2" t="str">
        <f>VLOOKUP(Sales_Details2[[#This Row],[Customer_ID]],Customer_Details[#All],9,0)</f>
        <v>Silver</v>
      </c>
      <c r="H1790" s="2" t="s">
        <v>1545</v>
      </c>
      <c r="I1790" s="2" t="str">
        <f>VLOOKUP(Sales_Details2[[#This Row],[Product_ID]],Product_details[[#All],[Product_ID]:[Cost]],3,0)</f>
        <v>Electronics</v>
      </c>
      <c r="J1790" s="2" t="str">
        <f>VLOOKUP(Sales_Details2[[#This Row],[Product_ID]],Product_details[[#All],[Product_ID]:[Cost]],4,0)</f>
        <v>Audio</v>
      </c>
      <c r="K1790" s="2" t="s">
        <v>1780</v>
      </c>
      <c r="L1790" s="2" t="str">
        <f>_xlfn.XLOOKUP(Sales_Details2[[#This Row],[Store_ID]],Table2[Store_ID],Table2[Region],"Region not found")</f>
        <v>East</v>
      </c>
      <c r="M1790" s="25">
        <v>2</v>
      </c>
      <c r="N1790" s="36">
        <v>194.09</v>
      </c>
      <c r="O1790" s="29">
        <v>0.18</v>
      </c>
      <c r="P1790" s="2" t="s">
        <v>1809</v>
      </c>
      <c r="Q1790" s="36">
        <v>318.30759999999998</v>
      </c>
    </row>
    <row r="1791" spans="1:17" x14ac:dyDescent="0.3">
      <c r="A1791" s="2" t="s">
        <v>3598</v>
      </c>
      <c r="B1791" s="14">
        <v>45579</v>
      </c>
      <c r="C1791" s="2">
        <f>YEAR(Sales_Details2[[#This Row],[Order_Date]])</f>
        <v>2024</v>
      </c>
      <c r="D1791" s="2" t="s">
        <v>565</v>
      </c>
      <c r="E1791" s="2" t="str">
        <f>VLOOKUP(Sales_Details2[[#This Row],[Customer_ID]],Customer_Details[#All],4,0)</f>
        <v>Mid-Adult</v>
      </c>
      <c r="F1791" s="2" t="str">
        <f>VLOOKUP(Sales_Details2[[#This Row],[Customer_ID]],Customer_Details[#All],5,0)</f>
        <v>Female</v>
      </c>
      <c r="G1791" s="2" t="str">
        <f>VLOOKUP(Sales_Details2[[#This Row],[Customer_ID]],Customer_Details[#All],9,0)</f>
        <v>Bronze</v>
      </c>
      <c r="H1791" s="2" t="s">
        <v>1707</v>
      </c>
      <c r="I1791" s="2" t="str">
        <f>VLOOKUP(Sales_Details2[[#This Row],[Product_ID]],Product_details[[#All],[Product_ID]:[Cost]],3,0)</f>
        <v>Sports</v>
      </c>
      <c r="J1791" s="2" t="str">
        <f>VLOOKUP(Sales_Details2[[#This Row],[Product_ID]],Product_details[[#All],[Product_ID]:[Cost]],4,0)</f>
        <v>Accessories</v>
      </c>
      <c r="K1791" s="2" t="s">
        <v>1749</v>
      </c>
      <c r="L1791" s="2" t="str">
        <f>_xlfn.XLOOKUP(Sales_Details2[[#This Row],[Store_ID]],Table2[Store_ID],Table2[Region],"Region not found")</f>
        <v>North</v>
      </c>
      <c r="M1791" s="25">
        <v>2</v>
      </c>
      <c r="N1791" s="36">
        <v>403.91</v>
      </c>
      <c r="O1791" s="29">
        <v>7.0000000000000007E-2</v>
      </c>
      <c r="P1791" s="2" t="s">
        <v>1807</v>
      </c>
      <c r="Q1791" s="36">
        <v>751.27260000000001</v>
      </c>
    </row>
    <row r="1792" spans="1:17" x14ac:dyDescent="0.3">
      <c r="A1792" s="2" t="s">
        <v>3599</v>
      </c>
      <c r="B1792" s="14">
        <v>45721</v>
      </c>
      <c r="C1792" s="2">
        <f>YEAR(Sales_Details2[[#This Row],[Order_Date]])</f>
        <v>2025</v>
      </c>
      <c r="D1792" s="2" t="s">
        <v>275</v>
      </c>
      <c r="E1792" s="2" t="str">
        <f>VLOOKUP(Sales_Details2[[#This Row],[Customer_ID]],Customer_Details[#All],4,0)</f>
        <v>Mid-Adult</v>
      </c>
      <c r="F1792" s="2" t="str">
        <f>VLOOKUP(Sales_Details2[[#This Row],[Customer_ID]],Customer_Details[#All],5,0)</f>
        <v>Male</v>
      </c>
      <c r="G1792" s="2" t="str">
        <f>VLOOKUP(Sales_Details2[[#This Row],[Customer_ID]],Customer_Details[#All],9,0)</f>
        <v>Gold</v>
      </c>
      <c r="H1792" s="2" t="s">
        <v>1565</v>
      </c>
      <c r="I1792" s="2" t="str">
        <f>VLOOKUP(Sales_Details2[[#This Row],[Product_ID]],Product_details[[#All],[Product_ID]:[Cost]],3,0)</f>
        <v>Sports</v>
      </c>
      <c r="J1792" s="2" t="str">
        <f>VLOOKUP(Sales_Details2[[#This Row],[Product_ID]],Product_details[[#All],[Product_ID]:[Cost]],4,0)</f>
        <v>Accessories</v>
      </c>
      <c r="K1792" s="2" t="s">
        <v>1782</v>
      </c>
      <c r="L1792" s="2" t="str">
        <f>_xlfn.XLOOKUP(Sales_Details2[[#This Row],[Store_ID]],Table2[Store_ID],Table2[Region],"Region not found")</f>
        <v>South</v>
      </c>
      <c r="M1792" s="25">
        <v>1</v>
      </c>
      <c r="N1792" s="36">
        <v>878.69</v>
      </c>
      <c r="O1792" s="29">
        <v>0.3</v>
      </c>
      <c r="P1792" s="2" t="s">
        <v>1809</v>
      </c>
      <c r="Q1792" s="36">
        <v>615.08299999999997</v>
      </c>
    </row>
    <row r="1793" spans="1:17" x14ac:dyDescent="0.3">
      <c r="A1793" s="2" t="s">
        <v>3600</v>
      </c>
      <c r="B1793" s="14">
        <v>45446</v>
      </c>
      <c r="C1793" s="2">
        <f>YEAR(Sales_Details2[[#This Row],[Order_Date]])</f>
        <v>2024</v>
      </c>
      <c r="D1793" s="2" t="s">
        <v>1177</v>
      </c>
      <c r="E1793" s="2" t="str">
        <f>VLOOKUP(Sales_Details2[[#This Row],[Customer_ID]],Customer_Details[#All],4,0)</f>
        <v>Mid-Adult</v>
      </c>
      <c r="F1793" s="2" t="str">
        <f>VLOOKUP(Sales_Details2[[#This Row],[Customer_ID]],Customer_Details[#All],5,0)</f>
        <v>Male</v>
      </c>
      <c r="G1793" s="2" t="str">
        <f>VLOOKUP(Sales_Details2[[#This Row],[Customer_ID]],Customer_Details[#All],9,0)</f>
        <v>Silver</v>
      </c>
      <c r="H1793" s="2" t="s">
        <v>1597</v>
      </c>
      <c r="I1793" s="2" t="str">
        <f>VLOOKUP(Sales_Details2[[#This Row],[Product_ID]],Product_details[[#All],[Product_ID]:[Cost]],3,0)</f>
        <v>Home</v>
      </c>
      <c r="J1793" s="2" t="str">
        <f>VLOOKUP(Sales_Details2[[#This Row],[Product_ID]],Product_details[[#All],[Product_ID]:[Cost]],4,0)</f>
        <v>Decor</v>
      </c>
      <c r="K1793" s="2" t="s">
        <v>1784</v>
      </c>
      <c r="L1793" s="2" t="str">
        <f>_xlfn.XLOOKUP(Sales_Details2[[#This Row],[Store_ID]],Table2[Store_ID],Table2[Region],"Region not found")</f>
        <v>North</v>
      </c>
      <c r="M1793" s="25">
        <v>1</v>
      </c>
      <c r="N1793" s="36">
        <v>161.16999999999999</v>
      </c>
      <c r="O1793" s="29">
        <v>0.05</v>
      </c>
      <c r="P1793" s="2" t="s">
        <v>1807</v>
      </c>
      <c r="Q1793" s="36">
        <v>153.11150000000001</v>
      </c>
    </row>
    <row r="1794" spans="1:17" x14ac:dyDescent="0.3">
      <c r="A1794" s="2" t="s">
        <v>3601</v>
      </c>
      <c r="B1794" s="14">
        <v>45387</v>
      </c>
      <c r="C1794" s="2">
        <f>YEAR(Sales_Details2[[#This Row],[Order_Date]])</f>
        <v>2024</v>
      </c>
      <c r="D1794" s="2" t="s">
        <v>690</v>
      </c>
      <c r="E1794" s="2" t="str">
        <f>VLOOKUP(Sales_Details2[[#This Row],[Customer_ID]],Customer_Details[#All],4,0)</f>
        <v>Senior</v>
      </c>
      <c r="F1794" s="2" t="str">
        <f>VLOOKUP(Sales_Details2[[#This Row],[Customer_ID]],Customer_Details[#All],5,0)</f>
        <v>Male</v>
      </c>
      <c r="G1794" s="2" t="str">
        <f>VLOOKUP(Sales_Details2[[#This Row],[Customer_ID]],Customer_Details[#All],9,0)</f>
        <v>Gold</v>
      </c>
      <c r="H1794" s="2" t="s">
        <v>1677</v>
      </c>
      <c r="I1794" s="2" t="str">
        <f>VLOOKUP(Sales_Details2[[#This Row],[Product_ID]],Product_details[[#All],[Product_ID]:[Cost]],3,0)</f>
        <v>Sports</v>
      </c>
      <c r="J1794" s="2" t="str">
        <f>VLOOKUP(Sales_Details2[[#This Row],[Product_ID]],Product_details[[#All],[Product_ID]:[Cost]],4,0)</f>
        <v>Team Sports</v>
      </c>
      <c r="K1794" s="2" t="s">
        <v>1782</v>
      </c>
      <c r="L1794" s="2" t="str">
        <f>_xlfn.XLOOKUP(Sales_Details2[[#This Row],[Store_ID]],Table2[Store_ID],Table2[Region],"Region not found")</f>
        <v>South</v>
      </c>
      <c r="M1794" s="25">
        <v>2</v>
      </c>
      <c r="N1794" s="36">
        <v>720.15</v>
      </c>
      <c r="O1794" s="29">
        <v>0.22</v>
      </c>
      <c r="P1794" s="2" t="s">
        <v>1812</v>
      </c>
      <c r="Q1794" s="36">
        <v>1123.434</v>
      </c>
    </row>
    <row r="1795" spans="1:17" x14ac:dyDescent="0.3">
      <c r="A1795" s="2" t="s">
        <v>3602</v>
      </c>
      <c r="B1795" s="14">
        <v>45222</v>
      </c>
      <c r="C1795" s="2">
        <f>YEAR(Sales_Details2[[#This Row],[Order_Date]])</f>
        <v>2023</v>
      </c>
      <c r="D1795" s="2" t="s">
        <v>1078</v>
      </c>
      <c r="E1795" s="2" t="str">
        <f>VLOOKUP(Sales_Details2[[#This Row],[Customer_ID]],Customer_Details[#All],4,0)</f>
        <v>Mid-Adult</v>
      </c>
      <c r="F1795" s="2" t="str">
        <f>VLOOKUP(Sales_Details2[[#This Row],[Customer_ID]],Customer_Details[#All],5,0)</f>
        <v>Female</v>
      </c>
      <c r="G1795" s="2" t="str">
        <f>VLOOKUP(Sales_Details2[[#This Row],[Customer_ID]],Customer_Details[#All],9,0)</f>
        <v>Gold</v>
      </c>
      <c r="H1795" s="2" t="s">
        <v>1583</v>
      </c>
      <c r="I1795" s="2" t="str">
        <f>VLOOKUP(Sales_Details2[[#This Row],[Product_ID]],Product_details[[#All],[Product_ID]:[Cost]],3,0)</f>
        <v>Electronics</v>
      </c>
      <c r="J1795" s="2" t="str">
        <f>VLOOKUP(Sales_Details2[[#This Row],[Product_ID]],Product_details[[#All],[Product_ID]:[Cost]],4,0)</f>
        <v>Audio</v>
      </c>
      <c r="K1795" s="2" t="s">
        <v>1765</v>
      </c>
      <c r="L1795" s="2" t="str">
        <f>_xlfn.XLOOKUP(Sales_Details2[[#This Row],[Store_ID]],Table2[Store_ID],Table2[Region],"Region not found")</f>
        <v>West</v>
      </c>
      <c r="M1795" s="25">
        <v>1</v>
      </c>
      <c r="N1795" s="36">
        <v>361.8</v>
      </c>
      <c r="O1795" s="29">
        <v>0.02</v>
      </c>
      <c r="P1795" s="2" t="s">
        <v>1812</v>
      </c>
      <c r="Q1795" s="36">
        <v>354.56400000000002</v>
      </c>
    </row>
    <row r="1796" spans="1:17" x14ac:dyDescent="0.3">
      <c r="A1796" s="2" t="s">
        <v>3603</v>
      </c>
      <c r="B1796" s="14">
        <v>45402</v>
      </c>
      <c r="C1796" s="2">
        <f>YEAR(Sales_Details2[[#This Row],[Order_Date]])</f>
        <v>2024</v>
      </c>
      <c r="D1796" s="2" t="s">
        <v>734</v>
      </c>
      <c r="E1796" s="2" t="str">
        <f>VLOOKUP(Sales_Details2[[#This Row],[Customer_ID]],Customer_Details[#All],4,0)</f>
        <v>Adult</v>
      </c>
      <c r="F1796" s="2" t="str">
        <f>VLOOKUP(Sales_Details2[[#This Row],[Customer_ID]],Customer_Details[#All],5,0)</f>
        <v>Male</v>
      </c>
      <c r="G1796" s="2" t="str">
        <f>VLOOKUP(Sales_Details2[[#This Row],[Customer_ID]],Customer_Details[#All],9,0)</f>
        <v>Bronze</v>
      </c>
      <c r="H1796" s="2" t="s">
        <v>1721</v>
      </c>
      <c r="I1796" s="2" t="str">
        <f>VLOOKUP(Sales_Details2[[#This Row],[Product_ID]],Product_details[[#All],[Product_ID]:[Cost]],3,0)</f>
        <v>Sports</v>
      </c>
      <c r="J1796" s="2" t="str">
        <f>VLOOKUP(Sales_Details2[[#This Row],[Product_ID]],Product_details[[#All],[Product_ID]:[Cost]],4,0)</f>
        <v>Accessories</v>
      </c>
      <c r="K1796" s="2" t="s">
        <v>1759</v>
      </c>
      <c r="L1796" s="2" t="str">
        <f>_xlfn.XLOOKUP(Sales_Details2[[#This Row],[Store_ID]],Table2[Store_ID],Table2[Region],"Region not found")</f>
        <v>East</v>
      </c>
      <c r="M1796" s="25">
        <v>1</v>
      </c>
      <c r="N1796" s="36">
        <v>779.84</v>
      </c>
      <c r="O1796" s="29">
        <v>0.28999999999999998</v>
      </c>
      <c r="P1796" s="2" t="s">
        <v>1809</v>
      </c>
      <c r="Q1796" s="36">
        <v>553.68640000000005</v>
      </c>
    </row>
    <row r="1797" spans="1:17" x14ac:dyDescent="0.3">
      <c r="A1797" s="2" t="s">
        <v>3604</v>
      </c>
      <c r="B1797" s="14">
        <v>45455</v>
      </c>
      <c r="C1797" s="2">
        <f>YEAR(Sales_Details2[[#This Row],[Order_Date]])</f>
        <v>2024</v>
      </c>
      <c r="D1797" s="2" t="s">
        <v>27</v>
      </c>
      <c r="E1797" s="2" t="str">
        <f>VLOOKUP(Sales_Details2[[#This Row],[Customer_ID]],Customer_Details[#All],4,0)</f>
        <v>Senior</v>
      </c>
      <c r="F1797" s="2" t="str">
        <f>VLOOKUP(Sales_Details2[[#This Row],[Customer_ID]],Customer_Details[#All],5,0)</f>
        <v>Female</v>
      </c>
      <c r="G1797" s="2" t="str">
        <f>VLOOKUP(Sales_Details2[[#This Row],[Customer_ID]],Customer_Details[#All],9,0)</f>
        <v>Silver</v>
      </c>
      <c r="H1797" s="2" t="s">
        <v>1723</v>
      </c>
      <c r="I1797" s="2" t="str">
        <f>VLOOKUP(Sales_Details2[[#This Row],[Product_ID]],Product_details[[#All],[Product_ID]:[Cost]],3,0)</f>
        <v>Clothing</v>
      </c>
      <c r="J1797" s="2" t="str">
        <f>VLOOKUP(Sales_Details2[[#This Row],[Product_ID]],Product_details[[#All],[Product_ID]:[Cost]],4,0)</f>
        <v>Outerwear</v>
      </c>
      <c r="K1797" s="2" t="s">
        <v>1752</v>
      </c>
      <c r="L1797" s="2" t="str">
        <f>_xlfn.XLOOKUP(Sales_Details2[[#This Row],[Store_ID]],Table2[Store_ID],Table2[Region],"Region not found")</f>
        <v>South</v>
      </c>
      <c r="M1797" s="25">
        <v>2</v>
      </c>
      <c r="N1797" s="36">
        <v>649.89</v>
      </c>
      <c r="O1797" s="29">
        <v>0.17</v>
      </c>
      <c r="P1797" s="2" t="s">
        <v>1812</v>
      </c>
      <c r="Q1797" s="36">
        <v>1078.8173999999999</v>
      </c>
    </row>
    <row r="1798" spans="1:17" x14ac:dyDescent="0.3">
      <c r="A1798" s="2" t="s">
        <v>3605</v>
      </c>
      <c r="B1798" s="14">
        <v>45877</v>
      </c>
      <c r="C1798" s="2">
        <f>YEAR(Sales_Details2[[#This Row],[Order_Date]])</f>
        <v>2025</v>
      </c>
      <c r="D1798" s="2" t="s">
        <v>660</v>
      </c>
      <c r="E1798" s="2" t="str">
        <f>VLOOKUP(Sales_Details2[[#This Row],[Customer_ID]],Customer_Details[#All],4,0)</f>
        <v>Senior</v>
      </c>
      <c r="F1798" s="2" t="str">
        <f>VLOOKUP(Sales_Details2[[#This Row],[Customer_ID]],Customer_Details[#All],5,0)</f>
        <v>Male</v>
      </c>
      <c r="G1798" s="2" t="str">
        <f>VLOOKUP(Sales_Details2[[#This Row],[Customer_ID]],Customer_Details[#All],9,0)</f>
        <v>Platinum</v>
      </c>
      <c r="H1798" s="2" t="s">
        <v>1637</v>
      </c>
      <c r="I1798" s="2" t="str">
        <f>VLOOKUP(Sales_Details2[[#This Row],[Product_ID]],Product_details[[#All],[Product_ID]:[Cost]],3,0)</f>
        <v>Clothing</v>
      </c>
      <c r="J1798" s="2" t="str">
        <f>VLOOKUP(Sales_Details2[[#This Row],[Product_ID]],Product_details[[#All],[Product_ID]:[Cost]],4,0)</f>
        <v>Bottoms</v>
      </c>
      <c r="K1798" s="2" t="s">
        <v>1759</v>
      </c>
      <c r="L1798" s="2" t="str">
        <f>_xlfn.XLOOKUP(Sales_Details2[[#This Row],[Store_ID]],Table2[Store_ID],Table2[Region],"Region not found")</f>
        <v>East</v>
      </c>
      <c r="M1798" s="25">
        <v>1</v>
      </c>
      <c r="N1798" s="36">
        <v>952.73</v>
      </c>
      <c r="O1798" s="29">
        <v>0.17</v>
      </c>
      <c r="P1798" s="2" t="s">
        <v>1807</v>
      </c>
      <c r="Q1798" s="36">
        <v>790.76589999999999</v>
      </c>
    </row>
    <row r="1799" spans="1:17" x14ac:dyDescent="0.3">
      <c r="A1799" s="2" t="s">
        <v>3606</v>
      </c>
      <c r="B1799" s="14">
        <v>45875</v>
      </c>
      <c r="C1799" s="2">
        <f>YEAR(Sales_Details2[[#This Row],[Order_Date]])</f>
        <v>2025</v>
      </c>
      <c r="D1799" s="2" t="s">
        <v>301</v>
      </c>
      <c r="E1799" s="2" t="str">
        <f>VLOOKUP(Sales_Details2[[#This Row],[Customer_ID]],Customer_Details[#All],4,0)</f>
        <v>Adult</v>
      </c>
      <c r="F1799" s="2" t="str">
        <f>VLOOKUP(Sales_Details2[[#This Row],[Customer_ID]],Customer_Details[#All],5,0)</f>
        <v>Female</v>
      </c>
      <c r="G1799" s="2" t="str">
        <f>VLOOKUP(Sales_Details2[[#This Row],[Customer_ID]],Customer_Details[#All],9,0)</f>
        <v>Platinum</v>
      </c>
      <c r="H1799" s="2" t="s">
        <v>1729</v>
      </c>
      <c r="I1799" s="2" t="str">
        <f>VLOOKUP(Sales_Details2[[#This Row],[Product_ID]],Product_details[[#All],[Product_ID]:[Cost]],3,0)</f>
        <v>Home</v>
      </c>
      <c r="J1799" s="2" t="str">
        <f>VLOOKUP(Sales_Details2[[#This Row],[Product_ID]],Product_details[[#All],[Product_ID]:[Cost]],4,0)</f>
        <v>Kitchen</v>
      </c>
      <c r="K1799" s="2" t="s">
        <v>1787</v>
      </c>
      <c r="L1799" s="2" t="str">
        <f>_xlfn.XLOOKUP(Sales_Details2[[#This Row],[Store_ID]],Table2[Store_ID],Table2[Region],"Region not found")</f>
        <v>West</v>
      </c>
      <c r="M1799" s="25">
        <v>4</v>
      </c>
      <c r="N1799" s="36">
        <v>820.78</v>
      </c>
      <c r="O1799" s="29">
        <v>0.25</v>
      </c>
      <c r="P1799" s="2" t="s">
        <v>1807</v>
      </c>
      <c r="Q1799" s="36">
        <v>2462.34</v>
      </c>
    </row>
    <row r="1800" spans="1:17" x14ac:dyDescent="0.3">
      <c r="A1800" s="2" t="s">
        <v>3607</v>
      </c>
      <c r="B1800" s="14">
        <v>45592</v>
      </c>
      <c r="C1800" s="2">
        <f>YEAR(Sales_Details2[[#This Row],[Order_Date]])</f>
        <v>2024</v>
      </c>
      <c r="D1800" s="2" t="s">
        <v>1063</v>
      </c>
      <c r="E1800" s="2" t="str">
        <f>VLOOKUP(Sales_Details2[[#This Row],[Customer_ID]],Customer_Details[#All],4,0)</f>
        <v>Adult</v>
      </c>
      <c r="F1800" s="2" t="str">
        <f>VLOOKUP(Sales_Details2[[#This Row],[Customer_ID]],Customer_Details[#All],5,0)</f>
        <v>Female</v>
      </c>
      <c r="G1800" s="2" t="str">
        <f>VLOOKUP(Sales_Details2[[#This Row],[Customer_ID]],Customer_Details[#All],9,0)</f>
        <v>Bronze</v>
      </c>
      <c r="H1800" s="2" t="s">
        <v>1607</v>
      </c>
      <c r="I1800" s="2" t="str">
        <f>VLOOKUP(Sales_Details2[[#This Row],[Product_ID]],Product_details[[#All],[Product_ID]:[Cost]],3,0)</f>
        <v>Sports</v>
      </c>
      <c r="J1800" s="2" t="str">
        <f>VLOOKUP(Sales_Details2[[#This Row],[Product_ID]],Product_details[[#All],[Product_ID]:[Cost]],4,0)</f>
        <v>Outdoor</v>
      </c>
      <c r="K1800" s="2" t="s">
        <v>1749</v>
      </c>
      <c r="L1800" s="2" t="str">
        <f>_xlfn.XLOOKUP(Sales_Details2[[#This Row],[Store_ID]],Table2[Store_ID],Table2[Region],"Region not found")</f>
        <v>North</v>
      </c>
      <c r="M1800" s="25">
        <v>4</v>
      </c>
      <c r="N1800" s="36">
        <v>247.55</v>
      </c>
      <c r="O1800" s="29">
        <v>0.05</v>
      </c>
      <c r="P1800" s="2" t="s">
        <v>1807</v>
      </c>
      <c r="Q1800" s="36">
        <v>940.69</v>
      </c>
    </row>
    <row r="1801" spans="1:17" x14ac:dyDescent="0.3">
      <c r="A1801" s="2" t="s">
        <v>3608</v>
      </c>
      <c r="B1801" s="14">
        <v>45369</v>
      </c>
      <c r="C1801" s="2">
        <f>YEAR(Sales_Details2[[#This Row],[Order_Date]])</f>
        <v>2024</v>
      </c>
      <c r="D1801" s="2" t="s">
        <v>726</v>
      </c>
      <c r="E1801" s="2" t="str">
        <f>VLOOKUP(Sales_Details2[[#This Row],[Customer_ID]],Customer_Details[#All],4,0)</f>
        <v>Senior</v>
      </c>
      <c r="F1801" s="2" t="str">
        <f>VLOOKUP(Sales_Details2[[#This Row],[Customer_ID]],Customer_Details[#All],5,0)</f>
        <v>Female</v>
      </c>
      <c r="G1801" s="2" t="str">
        <f>VLOOKUP(Sales_Details2[[#This Row],[Customer_ID]],Customer_Details[#All],9,0)</f>
        <v>Gold</v>
      </c>
      <c r="H1801" s="2" t="s">
        <v>1729</v>
      </c>
      <c r="I1801" s="2" t="str">
        <f>VLOOKUP(Sales_Details2[[#This Row],[Product_ID]],Product_details[[#All],[Product_ID]:[Cost]],3,0)</f>
        <v>Home</v>
      </c>
      <c r="J1801" s="2" t="str">
        <f>VLOOKUP(Sales_Details2[[#This Row],[Product_ID]],Product_details[[#All],[Product_ID]:[Cost]],4,0)</f>
        <v>Kitchen</v>
      </c>
      <c r="K1801" s="2" t="s">
        <v>1765</v>
      </c>
      <c r="L1801" s="2" t="str">
        <f>_xlfn.XLOOKUP(Sales_Details2[[#This Row],[Store_ID]],Table2[Store_ID],Table2[Region],"Region not found")</f>
        <v>West</v>
      </c>
      <c r="M1801" s="25">
        <v>3</v>
      </c>
      <c r="N1801" s="36">
        <v>561.44000000000005</v>
      </c>
      <c r="O1801" s="29">
        <v>0.2</v>
      </c>
      <c r="P1801" s="2" t="s">
        <v>1812</v>
      </c>
      <c r="Q1801" s="36">
        <v>1347.4559999999999</v>
      </c>
    </row>
    <row r="1802" spans="1:17" x14ac:dyDescent="0.3">
      <c r="A1802" s="2" t="s">
        <v>3609</v>
      </c>
      <c r="B1802" s="14">
        <v>45249</v>
      </c>
      <c r="C1802" s="2">
        <f>YEAR(Sales_Details2[[#This Row],[Order_Date]])</f>
        <v>2023</v>
      </c>
      <c r="D1802" s="2" t="s">
        <v>885</v>
      </c>
      <c r="E1802" s="2" t="str">
        <f>VLOOKUP(Sales_Details2[[#This Row],[Customer_ID]],Customer_Details[#All],4,0)</f>
        <v>Senior</v>
      </c>
      <c r="F1802" s="2" t="str">
        <f>VLOOKUP(Sales_Details2[[#This Row],[Customer_ID]],Customer_Details[#All],5,0)</f>
        <v>Male</v>
      </c>
      <c r="G1802" s="2" t="str">
        <f>VLOOKUP(Sales_Details2[[#This Row],[Customer_ID]],Customer_Details[#All],9,0)</f>
        <v>Platinum</v>
      </c>
      <c r="H1802" s="2" t="s">
        <v>1675</v>
      </c>
      <c r="I1802" s="2" t="str">
        <f>VLOOKUP(Sales_Details2[[#This Row],[Product_ID]],Product_details[[#All],[Product_ID]:[Cost]],3,0)</f>
        <v>Sports</v>
      </c>
      <c r="J1802" s="2" t="str">
        <f>VLOOKUP(Sales_Details2[[#This Row],[Product_ID]],Product_details[[#All],[Product_ID]:[Cost]],4,0)</f>
        <v>Fitness</v>
      </c>
      <c r="K1802" s="2" t="s">
        <v>1765</v>
      </c>
      <c r="L1802" s="2" t="str">
        <f>_xlfn.XLOOKUP(Sales_Details2[[#This Row],[Store_ID]],Table2[Store_ID],Table2[Region],"Region not found")</f>
        <v>West</v>
      </c>
      <c r="M1802" s="25">
        <v>4</v>
      </c>
      <c r="N1802" s="36">
        <v>214.37</v>
      </c>
      <c r="O1802" s="29">
        <v>0.11</v>
      </c>
      <c r="P1802" s="2" t="s">
        <v>1812</v>
      </c>
      <c r="Q1802" s="36">
        <v>763.15719999999999</v>
      </c>
    </row>
    <row r="1803" spans="1:17" x14ac:dyDescent="0.3">
      <c r="A1803" s="2" t="s">
        <v>3610</v>
      </c>
      <c r="B1803" s="14">
        <v>45741</v>
      </c>
      <c r="C1803" s="2">
        <f>YEAR(Sales_Details2[[#This Row],[Order_Date]])</f>
        <v>2025</v>
      </c>
      <c r="D1803" s="2" t="s">
        <v>1281</v>
      </c>
      <c r="E1803" s="2" t="str">
        <f>VLOOKUP(Sales_Details2[[#This Row],[Customer_ID]],Customer_Details[#All],4,0)</f>
        <v>Senior</v>
      </c>
      <c r="F1803" s="2" t="str">
        <f>VLOOKUP(Sales_Details2[[#This Row],[Customer_ID]],Customer_Details[#All],5,0)</f>
        <v>Female</v>
      </c>
      <c r="G1803" s="2" t="str">
        <f>VLOOKUP(Sales_Details2[[#This Row],[Customer_ID]],Customer_Details[#All],9,0)</f>
        <v>Bronze</v>
      </c>
      <c r="H1803" s="2" t="s">
        <v>1565</v>
      </c>
      <c r="I1803" s="2" t="str">
        <f>VLOOKUP(Sales_Details2[[#This Row],[Product_ID]],Product_details[[#All],[Product_ID]:[Cost]],3,0)</f>
        <v>Sports</v>
      </c>
      <c r="J1803" s="2" t="str">
        <f>VLOOKUP(Sales_Details2[[#This Row],[Product_ID]],Product_details[[#All],[Product_ID]:[Cost]],4,0)</f>
        <v>Accessories</v>
      </c>
      <c r="K1803" s="2" t="s">
        <v>1787</v>
      </c>
      <c r="L1803" s="2" t="str">
        <f>_xlfn.XLOOKUP(Sales_Details2[[#This Row],[Store_ID]],Table2[Store_ID],Table2[Region],"Region not found")</f>
        <v>West</v>
      </c>
      <c r="M1803" s="25">
        <v>3</v>
      </c>
      <c r="N1803" s="36">
        <v>123.74</v>
      </c>
      <c r="O1803" s="29">
        <v>0.23</v>
      </c>
      <c r="P1803" s="2" t="s">
        <v>1809</v>
      </c>
      <c r="Q1803" s="36">
        <v>285.83940000000001</v>
      </c>
    </row>
    <row r="1804" spans="1:17" x14ac:dyDescent="0.3">
      <c r="A1804" s="2" t="s">
        <v>3611</v>
      </c>
      <c r="B1804" s="14">
        <v>45427</v>
      </c>
      <c r="C1804" s="2">
        <f>YEAR(Sales_Details2[[#This Row],[Order_Date]])</f>
        <v>2024</v>
      </c>
      <c r="D1804" s="2" t="s">
        <v>63</v>
      </c>
      <c r="E1804" s="2" t="str">
        <f>VLOOKUP(Sales_Details2[[#This Row],[Customer_ID]],Customer_Details[#All],4,0)</f>
        <v>Mid-Adult</v>
      </c>
      <c r="F1804" s="2" t="str">
        <f>VLOOKUP(Sales_Details2[[#This Row],[Customer_ID]],Customer_Details[#All],5,0)</f>
        <v>Female</v>
      </c>
      <c r="G1804" s="2" t="str">
        <f>VLOOKUP(Sales_Details2[[#This Row],[Customer_ID]],Customer_Details[#All],9,0)</f>
        <v>Silver</v>
      </c>
      <c r="H1804" s="2" t="s">
        <v>1665</v>
      </c>
      <c r="I1804" s="2" t="str">
        <f>VLOOKUP(Sales_Details2[[#This Row],[Product_ID]],Product_details[[#All],[Product_ID]:[Cost]],3,0)</f>
        <v>Electronics</v>
      </c>
      <c r="J1804" s="2" t="str">
        <f>VLOOKUP(Sales_Details2[[#This Row],[Product_ID]],Product_details[[#All],[Product_ID]:[Cost]],4,0)</f>
        <v>Accessories</v>
      </c>
      <c r="K1804" s="2" t="s">
        <v>1775</v>
      </c>
      <c r="L1804" s="2" t="str">
        <f>_xlfn.XLOOKUP(Sales_Details2[[#This Row],[Store_ID]],Table2[Store_ID],Table2[Region],"Region not found")</f>
        <v>South</v>
      </c>
      <c r="M1804" s="25">
        <v>4</v>
      </c>
      <c r="N1804" s="36">
        <v>645.71</v>
      </c>
      <c r="O1804" s="29">
        <v>0.1</v>
      </c>
      <c r="P1804" s="2" t="s">
        <v>1809</v>
      </c>
      <c r="Q1804" s="36">
        <v>2324.556</v>
      </c>
    </row>
    <row r="1805" spans="1:17" x14ac:dyDescent="0.3">
      <c r="A1805" s="2" t="s">
        <v>3612</v>
      </c>
      <c r="B1805" s="14">
        <v>45736</v>
      </c>
      <c r="C1805" s="2">
        <f>YEAR(Sales_Details2[[#This Row],[Order_Date]])</f>
        <v>2025</v>
      </c>
      <c r="D1805" s="2" t="s">
        <v>134</v>
      </c>
      <c r="E1805" s="2" t="str">
        <f>VLOOKUP(Sales_Details2[[#This Row],[Customer_ID]],Customer_Details[#All],4,0)</f>
        <v>Adult</v>
      </c>
      <c r="F1805" s="2" t="str">
        <f>VLOOKUP(Sales_Details2[[#This Row],[Customer_ID]],Customer_Details[#All],5,0)</f>
        <v>Male</v>
      </c>
      <c r="G1805" s="2" t="str">
        <f>VLOOKUP(Sales_Details2[[#This Row],[Customer_ID]],Customer_Details[#All],9,0)</f>
        <v>Platinum</v>
      </c>
      <c r="H1805" s="2" t="s">
        <v>1573</v>
      </c>
      <c r="I1805" s="2" t="str">
        <f>VLOOKUP(Sales_Details2[[#This Row],[Product_ID]],Product_details[[#All],[Product_ID]:[Cost]],3,0)</f>
        <v>Home</v>
      </c>
      <c r="J1805" s="2" t="str">
        <f>VLOOKUP(Sales_Details2[[#This Row],[Product_ID]],Product_details[[#All],[Product_ID]:[Cost]],4,0)</f>
        <v>Storage</v>
      </c>
      <c r="K1805" s="2" t="s">
        <v>1777</v>
      </c>
      <c r="L1805" s="2" t="str">
        <f>_xlfn.XLOOKUP(Sales_Details2[[#This Row],[Store_ID]],Table2[Store_ID],Table2[Region],"Region not found")</f>
        <v>North</v>
      </c>
      <c r="M1805" s="25">
        <v>3</v>
      </c>
      <c r="N1805" s="36">
        <v>587.12</v>
      </c>
      <c r="O1805" s="29">
        <v>0.3</v>
      </c>
      <c r="P1805" s="2" t="s">
        <v>1807</v>
      </c>
      <c r="Q1805" s="36">
        <v>1232.952</v>
      </c>
    </row>
    <row r="1806" spans="1:17" x14ac:dyDescent="0.3">
      <c r="A1806" s="2" t="s">
        <v>3613</v>
      </c>
      <c r="B1806" s="14">
        <v>45941</v>
      </c>
      <c r="C1806" s="2">
        <f>YEAR(Sales_Details2[[#This Row],[Order_Date]])</f>
        <v>2025</v>
      </c>
      <c r="D1806" s="2" t="s">
        <v>767</v>
      </c>
      <c r="E1806" s="2" t="str">
        <f>VLOOKUP(Sales_Details2[[#This Row],[Customer_ID]],Customer_Details[#All],4,0)</f>
        <v>Mid-Adult</v>
      </c>
      <c r="F1806" s="2" t="str">
        <f>VLOOKUP(Sales_Details2[[#This Row],[Customer_ID]],Customer_Details[#All],5,0)</f>
        <v>Male</v>
      </c>
      <c r="G1806" s="2" t="str">
        <f>VLOOKUP(Sales_Details2[[#This Row],[Customer_ID]],Customer_Details[#All],9,0)</f>
        <v>Platinum</v>
      </c>
      <c r="H1806" s="2" t="s">
        <v>1581</v>
      </c>
      <c r="I1806" s="2" t="str">
        <f>VLOOKUP(Sales_Details2[[#This Row],[Product_ID]],Product_details[[#All],[Product_ID]:[Cost]],3,0)</f>
        <v>Clothing</v>
      </c>
      <c r="J1806" s="2" t="str">
        <f>VLOOKUP(Sales_Details2[[#This Row],[Product_ID]],Product_details[[#All],[Product_ID]:[Cost]],4,0)</f>
        <v>Accessories</v>
      </c>
      <c r="K1806" s="2" t="s">
        <v>1793</v>
      </c>
      <c r="L1806" s="2" t="str">
        <f>_xlfn.XLOOKUP(Sales_Details2[[#This Row],[Store_ID]],Table2[Store_ID],Table2[Region],"Region not found")</f>
        <v>East</v>
      </c>
      <c r="M1806" s="25">
        <v>1</v>
      </c>
      <c r="N1806" s="36">
        <v>401.18</v>
      </c>
      <c r="O1806" s="29">
        <v>0.15</v>
      </c>
      <c r="P1806" s="2" t="s">
        <v>1812</v>
      </c>
      <c r="Q1806" s="36">
        <v>341.00299999999999</v>
      </c>
    </row>
    <row r="1807" spans="1:17" x14ac:dyDescent="0.3">
      <c r="A1807" s="2" t="s">
        <v>3614</v>
      </c>
      <c r="B1807" s="14">
        <v>45486</v>
      </c>
      <c r="C1807" s="2">
        <f>YEAR(Sales_Details2[[#This Row],[Order_Date]])</f>
        <v>2024</v>
      </c>
      <c r="D1807" s="2" t="s">
        <v>1132</v>
      </c>
      <c r="E1807" s="2" t="str">
        <f>VLOOKUP(Sales_Details2[[#This Row],[Customer_ID]],Customer_Details[#All],4,0)</f>
        <v>Mid-Adult</v>
      </c>
      <c r="F1807" s="2" t="str">
        <f>VLOOKUP(Sales_Details2[[#This Row],[Customer_ID]],Customer_Details[#All],5,0)</f>
        <v>Female</v>
      </c>
      <c r="G1807" s="2" t="str">
        <f>VLOOKUP(Sales_Details2[[#This Row],[Customer_ID]],Customer_Details[#All],9,0)</f>
        <v>Platinum</v>
      </c>
      <c r="H1807" s="2" t="s">
        <v>1647</v>
      </c>
      <c r="I1807" s="2" t="str">
        <f>VLOOKUP(Sales_Details2[[#This Row],[Product_ID]],Product_details[[#All],[Product_ID]:[Cost]],3,0)</f>
        <v>Clothing</v>
      </c>
      <c r="J1807" s="2" t="str">
        <f>VLOOKUP(Sales_Details2[[#This Row],[Product_ID]],Product_details[[#All],[Product_ID]:[Cost]],4,0)</f>
        <v>Accessories</v>
      </c>
      <c r="K1807" s="2" t="s">
        <v>1793</v>
      </c>
      <c r="L1807" s="2" t="str">
        <f>_xlfn.XLOOKUP(Sales_Details2[[#This Row],[Store_ID]],Table2[Store_ID],Table2[Region],"Region not found")</f>
        <v>East</v>
      </c>
      <c r="M1807" s="25">
        <v>3</v>
      </c>
      <c r="N1807" s="36">
        <v>658.33</v>
      </c>
      <c r="O1807" s="29">
        <v>0.12</v>
      </c>
      <c r="P1807" s="2" t="s">
        <v>1812</v>
      </c>
      <c r="Q1807" s="36">
        <v>1737.9911999999999</v>
      </c>
    </row>
    <row r="1808" spans="1:17" x14ac:dyDescent="0.3">
      <c r="A1808" s="2" t="s">
        <v>3615</v>
      </c>
      <c r="B1808" s="14">
        <v>45474</v>
      </c>
      <c r="C1808" s="2">
        <f>YEAR(Sales_Details2[[#This Row],[Order_Date]])</f>
        <v>2024</v>
      </c>
      <c r="D1808" s="2" t="s">
        <v>651</v>
      </c>
      <c r="E1808" s="2" t="str">
        <f>VLOOKUP(Sales_Details2[[#This Row],[Customer_ID]],Customer_Details[#All],4,0)</f>
        <v>Adult</v>
      </c>
      <c r="F1808" s="2" t="str">
        <f>VLOOKUP(Sales_Details2[[#This Row],[Customer_ID]],Customer_Details[#All],5,0)</f>
        <v>Female</v>
      </c>
      <c r="G1808" s="2" t="str">
        <f>VLOOKUP(Sales_Details2[[#This Row],[Customer_ID]],Customer_Details[#All],9,0)</f>
        <v>Bronze</v>
      </c>
      <c r="H1808" s="2" t="s">
        <v>1629</v>
      </c>
      <c r="I1808" s="2" t="str">
        <f>VLOOKUP(Sales_Details2[[#This Row],[Product_ID]],Product_details[[#All],[Product_ID]:[Cost]],3,0)</f>
        <v>Beauty</v>
      </c>
      <c r="J1808" s="2" t="str">
        <f>VLOOKUP(Sales_Details2[[#This Row],[Product_ID]],Product_details[[#All],[Product_ID]:[Cost]],4,0)</f>
        <v>Fragrance</v>
      </c>
      <c r="K1808" s="2" t="s">
        <v>1775</v>
      </c>
      <c r="L1808" s="2" t="str">
        <f>_xlfn.XLOOKUP(Sales_Details2[[#This Row],[Store_ID]],Table2[Store_ID],Table2[Region],"Region not found")</f>
        <v>South</v>
      </c>
      <c r="M1808" s="25">
        <v>4</v>
      </c>
      <c r="N1808" s="36">
        <v>450.3</v>
      </c>
      <c r="O1808" s="29">
        <v>0.02</v>
      </c>
      <c r="P1808" s="2" t="s">
        <v>1807</v>
      </c>
      <c r="Q1808" s="36">
        <v>1765.1759999999999</v>
      </c>
    </row>
    <row r="1809" spans="1:17" x14ac:dyDescent="0.3">
      <c r="A1809" s="2" t="s">
        <v>3616</v>
      </c>
      <c r="B1809" s="14">
        <v>45757</v>
      </c>
      <c r="C1809" s="2">
        <f>YEAR(Sales_Details2[[#This Row],[Order_Date]])</f>
        <v>2025</v>
      </c>
      <c r="D1809" s="2" t="s">
        <v>485</v>
      </c>
      <c r="E1809" s="2" t="str">
        <f>VLOOKUP(Sales_Details2[[#This Row],[Customer_ID]],Customer_Details[#All],4,0)</f>
        <v>Mid-Adult</v>
      </c>
      <c r="F1809" s="2" t="str">
        <f>VLOOKUP(Sales_Details2[[#This Row],[Customer_ID]],Customer_Details[#All],5,0)</f>
        <v>Male</v>
      </c>
      <c r="G1809" s="2" t="str">
        <f>VLOOKUP(Sales_Details2[[#This Row],[Customer_ID]],Customer_Details[#All],9,0)</f>
        <v>Platinum</v>
      </c>
      <c r="H1809" s="2" t="s">
        <v>1719</v>
      </c>
      <c r="I1809" s="2" t="str">
        <f>VLOOKUP(Sales_Details2[[#This Row],[Product_ID]],Product_details[[#All],[Product_ID]:[Cost]],3,0)</f>
        <v>Beauty</v>
      </c>
      <c r="J1809" s="2" t="str">
        <f>VLOOKUP(Sales_Details2[[#This Row],[Product_ID]],Product_details[[#All],[Product_ID]:[Cost]],4,0)</f>
        <v>Skincare</v>
      </c>
      <c r="K1809" s="2" t="s">
        <v>1772</v>
      </c>
      <c r="L1809" s="2" t="str">
        <f>_xlfn.XLOOKUP(Sales_Details2[[#This Row],[Store_ID]],Table2[Store_ID],Table2[Region],"Region not found")</f>
        <v>East</v>
      </c>
      <c r="M1809" s="25">
        <v>4</v>
      </c>
      <c r="N1809" s="36">
        <v>33.630000000000003</v>
      </c>
      <c r="O1809" s="29">
        <v>0.05</v>
      </c>
      <c r="P1809" s="2" t="s">
        <v>1807</v>
      </c>
      <c r="Q1809" s="36">
        <v>127.794</v>
      </c>
    </row>
    <row r="1810" spans="1:17" x14ac:dyDescent="0.3">
      <c r="A1810" s="2" t="s">
        <v>3617</v>
      </c>
      <c r="B1810" s="14">
        <v>45475</v>
      </c>
      <c r="C1810" s="2">
        <f>YEAR(Sales_Details2[[#This Row],[Order_Date]])</f>
        <v>2024</v>
      </c>
      <c r="D1810" s="2" t="s">
        <v>140</v>
      </c>
      <c r="E1810" s="2" t="str">
        <f>VLOOKUP(Sales_Details2[[#This Row],[Customer_ID]],Customer_Details[#All],4,0)</f>
        <v>Senior</v>
      </c>
      <c r="F1810" s="2" t="str">
        <f>VLOOKUP(Sales_Details2[[#This Row],[Customer_ID]],Customer_Details[#All],5,0)</f>
        <v>Male</v>
      </c>
      <c r="G1810" s="2" t="str">
        <f>VLOOKUP(Sales_Details2[[#This Row],[Customer_ID]],Customer_Details[#All],9,0)</f>
        <v>Silver</v>
      </c>
      <c r="H1810" s="2" t="s">
        <v>1563</v>
      </c>
      <c r="I1810" s="2" t="str">
        <f>VLOOKUP(Sales_Details2[[#This Row],[Product_ID]],Product_details[[#All],[Product_ID]:[Cost]],3,0)</f>
        <v>Beauty</v>
      </c>
      <c r="J1810" s="2" t="str">
        <f>VLOOKUP(Sales_Details2[[#This Row],[Product_ID]],Product_details[[#All],[Product_ID]:[Cost]],4,0)</f>
        <v>Grooming</v>
      </c>
      <c r="K1810" s="2" t="s">
        <v>1735</v>
      </c>
      <c r="L1810" s="2" t="str">
        <f>_xlfn.XLOOKUP(Sales_Details2[[#This Row],[Store_ID]],Table2[Store_ID],Table2[Region],"Region not found")</f>
        <v>East</v>
      </c>
      <c r="M1810" s="25">
        <v>3</v>
      </c>
      <c r="N1810" s="36">
        <v>168.89</v>
      </c>
      <c r="O1810" s="29">
        <v>0.03</v>
      </c>
      <c r="P1810" s="2" t="s">
        <v>1812</v>
      </c>
      <c r="Q1810" s="36">
        <v>491.46989999999988</v>
      </c>
    </row>
    <row r="1811" spans="1:17" x14ac:dyDescent="0.3">
      <c r="A1811" s="2" t="s">
        <v>3618</v>
      </c>
      <c r="B1811" s="14">
        <v>45546</v>
      </c>
      <c r="C1811" s="2">
        <f>YEAR(Sales_Details2[[#This Row],[Order_Date]])</f>
        <v>2024</v>
      </c>
      <c r="D1811" s="2" t="s">
        <v>336</v>
      </c>
      <c r="E1811" s="2" t="str">
        <f>VLOOKUP(Sales_Details2[[#This Row],[Customer_ID]],Customer_Details[#All],4,0)</f>
        <v>Senior</v>
      </c>
      <c r="F1811" s="2" t="str">
        <f>VLOOKUP(Sales_Details2[[#This Row],[Customer_ID]],Customer_Details[#All],5,0)</f>
        <v>Female</v>
      </c>
      <c r="G1811" s="2" t="str">
        <f>VLOOKUP(Sales_Details2[[#This Row],[Customer_ID]],Customer_Details[#All],9,0)</f>
        <v>Platinum</v>
      </c>
      <c r="H1811" s="2" t="s">
        <v>1651</v>
      </c>
      <c r="I1811" s="2" t="str">
        <f>VLOOKUP(Sales_Details2[[#This Row],[Product_ID]],Product_details[[#All],[Product_ID]:[Cost]],3,0)</f>
        <v>Beauty</v>
      </c>
      <c r="J1811" s="2" t="str">
        <f>VLOOKUP(Sales_Details2[[#This Row],[Product_ID]],Product_details[[#All],[Product_ID]:[Cost]],4,0)</f>
        <v>Fragrance</v>
      </c>
      <c r="K1811" s="2" t="s">
        <v>1775</v>
      </c>
      <c r="L1811" s="2" t="str">
        <f>_xlfn.XLOOKUP(Sales_Details2[[#This Row],[Store_ID]],Table2[Store_ID],Table2[Region],"Region not found")</f>
        <v>South</v>
      </c>
      <c r="M1811" s="25">
        <v>1</v>
      </c>
      <c r="N1811" s="36">
        <v>141.85</v>
      </c>
      <c r="O1811" s="29">
        <v>0.06</v>
      </c>
      <c r="P1811" s="2" t="s">
        <v>1809</v>
      </c>
      <c r="Q1811" s="36">
        <v>133.339</v>
      </c>
    </row>
    <row r="1812" spans="1:17" x14ac:dyDescent="0.3">
      <c r="A1812" s="2" t="s">
        <v>3619</v>
      </c>
      <c r="B1812" s="14">
        <v>45520</v>
      </c>
      <c r="C1812" s="2">
        <f>YEAR(Sales_Details2[[#This Row],[Order_Date]])</f>
        <v>2024</v>
      </c>
      <c r="D1812" s="2" t="s">
        <v>956</v>
      </c>
      <c r="E1812" s="2" t="str">
        <f>VLOOKUP(Sales_Details2[[#This Row],[Customer_ID]],Customer_Details[#All],4,0)</f>
        <v>Mid-Adult</v>
      </c>
      <c r="F1812" s="2" t="str">
        <f>VLOOKUP(Sales_Details2[[#This Row],[Customer_ID]],Customer_Details[#All],5,0)</f>
        <v>Male</v>
      </c>
      <c r="G1812" s="2" t="str">
        <f>VLOOKUP(Sales_Details2[[#This Row],[Customer_ID]],Customer_Details[#All],9,0)</f>
        <v>Platinum</v>
      </c>
      <c r="H1812" s="2" t="s">
        <v>1601</v>
      </c>
      <c r="I1812" s="2" t="str">
        <f>VLOOKUP(Sales_Details2[[#This Row],[Product_ID]],Product_details[[#All],[Product_ID]:[Cost]],3,0)</f>
        <v>Home</v>
      </c>
      <c r="J1812" s="2" t="str">
        <f>VLOOKUP(Sales_Details2[[#This Row],[Product_ID]],Product_details[[#All],[Product_ID]:[Cost]],4,0)</f>
        <v>Lighting</v>
      </c>
      <c r="K1812" s="2" t="s">
        <v>1762</v>
      </c>
      <c r="L1812" s="2" t="str">
        <f>_xlfn.XLOOKUP(Sales_Details2[[#This Row],[Store_ID]],Table2[Store_ID],Table2[Region],"Region not found")</f>
        <v>South</v>
      </c>
      <c r="M1812" s="25">
        <v>1</v>
      </c>
      <c r="N1812" s="36">
        <v>617.4</v>
      </c>
      <c r="O1812" s="29">
        <v>0.21</v>
      </c>
      <c r="P1812" s="2" t="s">
        <v>1807</v>
      </c>
      <c r="Q1812" s="36">
        <v>487.74599999999998</v>
      </c>
    </row>
    <row r="1813" spans="1:17" x14ac:dyDescent="0.3">
      <c r="A1813" s="2" t="s">
        <v>3620</v>
      </c>
      <c r="B1813" s="14">
        <v>45534</v>
      </c>
      <c r="C1813" s="2">
        <f>YEAR(Sales_Details2[[#This Row],[Order_Date]])</f>
        <v>2024</v>
      </c>
      <c r="D1813" s="2" t="s">
        <v>491</v>
      </c>
      <c r="E1813" s="2" t="str">
        <f>VLOOKUP(Sales_Details2[[#This Row],[Customer_ID]],Customer_Details[#All],4,0)</f>
        <v>Mid-Adult</v>
      </c>
      <c r="F1813" s="2" t="str">
        <f>VLOOKUP(Sales_Details2[[#This Row],[Customer_ID]],Customer_Details[#All],5,0)</f>
        <v>Female</v>
      </c>
      <c r="G1813" s="2" t="str">
        <f>VLOOKUP(Sales_Details2[[#This Row],[Customer_ID]],Customer_Details[#All],9,0)</f>
        <v>Platinum</v>
      </c>
      <c r="H1813" s="2" t="s">
        <v>1637</v>
      </c>
      <c r="I1813" s="2" t="str">
        <f>VLOOKUP(Sales_Details2[[#This Row],[Product_ID]],Product_details[[#All],[Product_ID]:[Cost]],3,0)</f>
        <v>Clothing</v>
      </c>
      <c r="J1813" s="2" t="str">
        <f>VLOOKUP(Sales_Details2[[#This Row],[Product_ID]],Product_details[[#All],[Product_ID]:[Cost]],4,0)</f>
        <v>Bottoms</v>
      </c>
      <c r="K1813" s="2" t="s">
        <v>1740</v>
      </c>
      <c r="L1813" s="2" t="str">
        <f>_xlfn.XLOOKUP(Sales_Details2[[#This Row],[Store_ID]],Table2[Store_ID],Table2[Region],"Region not found")</f>
        <v>North</v>
      </c>
      <c r="M1813" s="25">
        <v>3</v>
      </c>
      <c r="N1813" s="36">
        <v>841.47</v>
      </c>
      <c r="O1813" s="29">
        <v>0.15</v>
      </c>
      <c r="P1813" s="2" t="s">
        <v>1812</v>
      </c>
      <c r="Q1813" s="36">
        <v>2145.7485000000001</v>
      </c>
    </row>
    <row r="1814" spans="1:17" x14ac:dyDescent="0.3">
      <c r="A1814" s="2" t="s">
        <v>3621</v>
      </c>
      <c r="B1814" s="14">
        <v>45334</v>
      </c>
      <c r="C1814" s="2">
        <f>YEAR(Sales_Details2[[#This Row],[Order_Date]])</f>
        <v>2024</v>
      </c>
      <c r="D1814" s="2" t="s">
        <v>218</v>
      </c>
      <c r="E1814" s="2" t="str">
        <f>VLOOKUP(Sales_Details2[[#This Row],[Customer_ID]],Customer_Details[#All],4,0)</f>
        <v>Senior</v>
      </c>
      <c r="F1814" s="2" t="str">
        <f>VLOOKUP(Sales_Details2[[#This Row],[Customer_ID]],Customer_Details[#All],5,0)</f>
        <v>Male</v>
      </c>
      <c r="G1814" s="2" t="str">
        <f>VLOOKUP(Sales_Details2[[#This Row],[Customer_ID]],Customer_Details[#All],9,0)</f>
        <v>Platinum</v>
      </c>
      <c r="H1814" s="2" t="s">
        <v>1573</v>
      </c>
      <c r="I1814" s="2" t="str">
        <f>VLOOKUP(Sales_Details2[[#This Row],[Product_ID]],Product_details[[#All],[Product_ID]:[Cost]],3,0)</f>
        <v>Home</v>
      </c>
      <c r="J1814" s="2" t="str">
        <f>VLOOKUP(Sales_Details2[[#This Row],[Product_ID]],Product_details[[#All],[Product_ID]:[Cost]],4,0)</f>
        <v>Storage</v>
      </c>
      <c r="K1814" s="2" t="s">
        <v>1780</v>
      </c>
      <c r="L1814" s="2" t="str">
        <f>_xlfn.XLOOKUP(Sales_Details2[[#This Row],[Store_ID]],Table2[Store_ID],Table2[Region],"Region not found")</f>
        <v>East</v>
      </c>
      <c r="M1814" s="25">
        <v>2</v>
      </c>
      <c r="N1814" s="36">
        <v>960.41</v>
      </c>
      <c r="O1814" s="29">
        <v>0.18</v>
      </c>
      <c r="P1814" s="2" t="s">
        <v>1807</v>
      </c>
      <c r="Q1814" s="36">
        <v>1575.0724</v>
      </c>
    </row>
    <row r="1815" spans="1:17" x14ac:dyDescent="0.3">
      <c r="A1815" s="2" t="s">
        <v>3622</v>
      </c>
      <c r="B1815" s="14">
        <v>45289</v>
      </c>
      <c r="C1815" s="2">
        <f>YEAR(Sales_Details2[[#This Row],[Order_Date]])</f>
        <v>2023</v>
      </c>
      <c r="D1815" s="2" t="s">
        <v>1379</v>
      </c>
      <c r="E1815" s="2" t="str">
        <f>VLOOKUP(Sales_Details2[[#This Row],[Customer_ID]],Customer_Details[#All],4,0)</f>
        <v>Mid-Adult</v>
      </c>
      <c r="F1815" s="2" t="str">
        <f>VLOOKUP(Sales_Details2[[#This Row],[Customer_ID]],Customer_Details[#All],5,0)</f>
        <v>Male</v>
      </c>
      <c r="G1815" s="2" t="str">
        <f>VLOOKUP(Sales_Details2[[#This Row],[Customer_ID]],Customer_Details[#All],9,0)</f>
        <v>Gold</v>
      </c>
      <c r="H1815" s="2" t="s">
        <v>1681</v>
      </c>
      <c r="I1815" s="2" t="str">
        <f>VLOOKUP(Sales_Details2[[#This Row],[Product_ID]],Product_details[[#All],[Product_ID]:[Cost]],3,0)</f>
        <v>Clothing</v>
      </c>
      <c r="J1815" s="2" t="str">
        <f>VLOOKUP(Sales_Details2[[#This Row],[Product_ID]],Product_details[[#All],[Product_ID]:[Cost]],4,0)</f>
        <v>Footwear</v>
      </c>
      <c r="K1815" s="2" t="s">
        <v>1793</v>
      </c>
      <c r="L1815" s="2" t="str">
        <f>_xlfn.XLOOKUP(Sales_Details2[[#This Row],[Store_ID]],Table2[Store_ID],Table2[Region],"Region not found")</f>
        <v>East</v>
      </c>
      <c r="M1815" s="25">
        <v>3</v>
      </c>
      <c r="N1815" s="36">
        <v>717.22</v>
      </c>
      <c r="O1815" s="29">
        <v>0.24</v>
      </c>
      <c r="P1815" s="2" t="s">
        <v>1809</v>
      </c>
      <c r="Q1815" s="36">
        <v>1635.2616</v>
      </c>
    </row>
    <row r="1816" spans="1:17" x14ac:dyDescent="0.3">
      <c r="A1816" s="2" t="s">
        <v>3623</v>
      </c>
      <c r="B1816" s="14">
        <v>45832</v>
      </c>
      <c r="C1816" s="2">
        <f>YEAR(Sales_Details2[[#This Row],[Order_Date]])</f>
        <v>2025</v>
      </c>
      <c r="D1816" s="2" t="s">
        <v>397</v>
      </c>
      <c r="E1816" s="2" t="str">
        <f>VLOOKUP(Sales_Details2[[#This Row],[Customer_ID]],Customer_Details[#All],4,0)</f>
        <v>Senior</v>
      </c>
      <c r="F1816" s="2" t="str">
        <f>VLOOKUP(Sales_Details2[[#This Row],[Customer_ID]],Customer_Details[#All],5,0)</f>
        <v>Female</v>
      </c>
      <c r="G1816" s="2" t="str">
        <f>VLOOKUP(Sales_Details2[[#This Row],[Customer_ID]],Customer_Details[#All],9,0)</f>
        <v>Platinum</v>
      </c>
      <c r="H1816" s="2" t="s">
        <v>1555</v>
      </c>
      <c r="I1816" s="2" t="str">
        <f>VLOOKUP(Sales_Details2[[#This Row],[Product_ID]],Product_details[[#All],[Product_ID]:[Cost]],3,0)</f>
        <v>Beauty</v>
      </c>
      <c r="J1816" s="2" t="str">
        <f>VLOOKUP(Sales_Details2[[#This Row],[Product_ID]],Product_details[[#All],[Product_ID]:[Cost]],4,0)</f>
        <v>Haircare</v>
      </c>
      <c r="K1816" s="2" t="s">
        <v>1735</v>
      </c>
      <c r="L1816" s="2" t="str">
        <f>_xlfn.XLOOKUP(Sales_Details2[[#This Row],[Store_ID]],Table2[Store_ID],Table2[Region],"Region not found")</f>
        <v>East</v>
      </c>
      <c r="M1816" s="25">
        <v>1</v>
      </c>
      <c r="N1816" s="36">
        <v>281.83</v>
      </c>
      <c r="O1816" s="29">
        <v>0.16</v>
      </c>
      <c r="P1816" s="2" t="s">
        <v>1812</v>
      </c>
      <c r="Q1816" s="36">
        <v>236.7372</v>
      </c>
    </row>
    <row r="1817" spans="1:17" x14ac:dyDescent="0.3">
      <c r="A1817" s="2" t="s">
        <v>3624</v>
      </c>
      <c r="B1817" s="14">
        <v>45400</v>
      </c>
      <c r="C1817" s="2">
        <f>YEAR(Sales_Details2[[#This Row],[Order_Date]])</f>
        <v>2024</v>
      </c>
      <c r="D1817" s="2" t="s">
        <v>660</v>
      </c>
      <c r="E1817" s="2" t="str">
        <f>VLOOKUP(Sales_Details2[[#This Row],[Customer_ID]],Customer_Details[#All],4,0)</f>
        <v>Senior</v>
      </c>
      <c r="F1817" s="2" t="str">
        <f>VLOOKUP(Sales_Details2[[#This Row],[Customer_ID]],Customer_Details[#All],5,0)</f>
        <v>Male</v>
      </c>
      <c r="G1817" s="2" t="str">
        <f>VLOOKUP(Sales_Details2[[#This Row],[Customer_ID]],Customer_Details[#All],9,0)</f>
        <v>Platinum</v>
      </c>
      <c r="H1817" s="2" t="s">
        <v>1649</v>
      </c>
      <c r="I1817" s="2" t="str">
        <f>VLOOKUP(Sales_Details2[[#This Row],[Product_ID]],Product_details[[#All],[Product_ID]:[Cost]],3,0)</f>
        <v>Beauty</v>
      </c>
      <c r="J1817" s="2" t="str">
        <f>VLOOKUP(Sales_Details2[[#This Row],[Product_ID]],Product_details[[#All],[Product_ID]:[Cost]],4,0)</f>
        <v>Haircare</v>
      </c>
      <c r="K1817" s="2" t="s">
        <v>1782</v>
      </c>
      <c r="L1817" s="2" t="str">
        <f>_xlfn.XLOOKUP(Sales_Details2[[#This Row],[Store_ID]],Table2[Store_ID],Table2[Region],"Region not found")</f>
        <v>South</v>
      </c>
      <c r="M1817" s="25">
        <v>1</v>
      </c>
      <c r="N1817" s="36">
        <v>509.08</v>
      </c>
      <c r="O1817" s="29">
        <v>0.04</v>
      </c>
      <c r="P1817" s="2" t="s">
        <v>1809</v>
      </c>
      <c r="Q1817" s="36">
        <v>488.71679999999998</v>
      </c>
    </row>
    <row r="1818" spans="1:17" x14ac:dyDescent="0.3">
      <c r="A1818" s="2" t="s">
        <v>3625</v>
      </c>
      <c r="B1818" s="14">
        <v>45930</v>
      </c>
      <c r="C1818" s="2">
        <f>YEAR(Sales_Details2[[#This Row],[Order_Date]])</f>
        <v>2025</v>
      </c>
      <c r="D1818" s="2" t="s">
        <v>1232</v>
      </c>
      <c r="E1818" s="2" t="str">
        <f>VLOOKUP(Sales_Details2[[#This Row],[Customer_ID]],Customer_Details[#All],4,0)</f>
        <v>Senior</v>
      </c>
      <c r="F1818" s="2" t="str">
        <f>VLOOKUP(Sales_Details2[[#This Row],[Customer_ID]],Customer_Details[#All],5,0)</f>
        <v>Female</v>
      </c>
      <c r="G1818" s="2" t="str">
        <f>VLOOKUP(Sales_Details2[[#This Row],[Customer_ID]],Customer_Details[#All],9,0)</f>
        <v>Platinum</v>
      </c>
      <c r="H1818" s="2" t="s">
        <v>1723</v>
      </c>
      <c r="I1818" s="2" t="str">
        <f>VLOOKUP(Sales_Details2[[#This Row],[Product_ID]],Product_details[[#All],[Product_ID]:[Cost]],3,0)</f>
        <v>Clothing</v>
      </c>
      <c r="J1818" s="2" t="str">
        <f>VLOOKUP(Sales_Details2[[#This Row],[Product_ID]],Product_details[[#All],[Product_ID]:[Cost]],4,0)</f>
        <v>Outerwear</v>
      </c>
      <c r="K1818" s="2" t="s">
        <v>1744</v>
      </c>
      <c r="L1818" s="2" t="str">
        <f>_xlfn.XLOOKUP(Sales_Details2[[#This Row],[Store_ID]],Table2[Store_ID],Table2[Region],"Region not found")</f>
        <v>South</v>
      </c>
      <c r="M1818" s="25">
        <v>4</v>
      </c>
      <c r="N1818" s="36">
        <v>827.09</v>
      </c>
      <c r="O1818" s="29">
        <v>0.3</v>
      </c>
      <c r="P1818" s="2" t="s">
        <v>1807</v>
      </c>
      <c r="Q1818" s="36">
        <v>2315.8519999999999</v>
      </c>
    </row>
    <row r="1819" spans="1:17" x14ac:dyDescent="0.3">
      <c r="A1819" s="2" t="s">
        <v>3626</v>
      </c>
      <c r="B1819" s="14">
        <v>45935</v>
      </c>
      <c r="C1819" s="2">
        <f>YEAR(Sales_Details2[[#This Row],[Order_Date]])</f>
        <v>2025</v>
      </c>
      <c r="D1819" s="2" t="s">
        <v>678</v>
      </c>
      <c r="E1819" s="2" t="str">
        <f>VLOOKUP(Sales_Details2[[#This Row],[Customer_ID]],Customer_Details[#All],4,0)</f>
        <v>Mid-Adult</v>
      </c>
      <c r="F1819" s="2" t="str">
        <f>VLOOKUP(Sales_Details2[[#This Row],[Customer_ID]],Customer_Details[#All],5,0)</f>
        <v>Male</v>
      </c>
      <c r="G1819" s="2" t="str">
        <f>VLOOKUP(Sales_Details2[[#This Row],[Customer_ID]],Customer_Details[#All],9,0)</f>
        <v>Silver</v>
      </c>
      <c r="H1819" s="2" t="s">
        <v>1589</v>
      </c>
      <c r="I1819" s="2" t="str">
        <f>VLOOKUP(Sales_Details2[[#This Row],[Product_ID]],Product_details[[#All],[Product_ID]:[Cost]],3,0)</f>
        <v>Home</v>
      </c>
      <c r="J1819" s="2" t="str">
        <f>VLOOKUP(Sales_Details2[[#This Row],[Product_ID]],Product_details[[#All],[Product_ID]:[Cost]],4,0)</f>
        <v>Decor</v>
      </c>
      <c r="K1819" s="2" t="s">
        <v>1752</v>
      </c>
      <c r="L1819" s="2" t="str">
        <f>_xlfn.XLOOKUP(Sales_Details2[[#This Row],[Store_ID]],Table2[Store_ID],Table2[Region],"Region not found")</f>
        <v>South</v>
      </c>
      <c r="M1819" s="25">
        <v>2</v>
      </c>
      <c r="N1819" s="36">
        <v>823.36</v>
      </c>
      <c r="O1819" s="29">
        <v>0.23</v>
      </c>
      <c r="P1819" s="2" t="s">
        <v>1807</v>
      </c>
      <c r="Q1819" s="36">
        <v>1267.9744000000001</v>
      </c>
    </row>
    <row r="1820" spans="1:17" x14ac:dyDescent="0.3">
      <c r="A1820" s="2" t="s">
        <v>3627</v>
      </c>
      <c r="B1820" s="14">
        <v>45814</v>
      </c>
      <c r="C1820" s="2">
        <f>YEAR(Sales_Details2[[#This Row],[Order_Date]])</f>
        <v>2025</v>
      </c>
      <c r="D1820" s="2" t="s">
        <v>462</v>
      </c>
      <c r="E1820" s="2" t="str">
        <f>VLOOKUP(Sales_Details2[[#This Row],[Customer_ID]],Customer_Details[#All],4,0)</f>
        <v>Senior</v>
      </c>
      <c r="F1820" s="2" t="str">
        <f>VLOOKUP(Sales_Details2[[#This Row],[Customer_ID]],Customer_Details[#All],5,0)</f>
        <v>Female</v>
      </c>
      <c r="G1820" s="2" t="str">
        <f>VLOOKUP(Sales_Details2[[#This Row],[Customer_ID]],Customer_Details[#All],9,0)</f>
        <v>Platinum</v>
      </c>
      <c r="H1820" s="2" t="s">
        <v>1583</v>
      </c>
      <c r="I1820" s="2" t="str">
        <f>VLOOKUP(Sales_Details2[[#This Row],[Product_ID]],Product_details[[#All],[Product_ID]:[Cost]],3,0)</f>
        <v>Electronics</v>
      </c>
      <c r="J1820" s="2" t="str">
        <f>VLOOKUP(Sales_Details2[[#This Row],[Product_ID]],Product_details[[#All],[Product_ID]:[Cost]],4,0)</f>
        <v>Audio</v>
      </c>
      <c r="K1820" s="2" t="s">
        <v>1756</v>
      </c>
      <c r="L1820" s="2" t="str">
        <f>_xlfn.XLOOKUP(Sales_Details2[[#This Row],[Store_ID]],Table2[Store_ID],Table2[Region],"Region not found")</f>
        <v>North</v>
      </c>
      <c r="M1820" s="25">
        <v>4</v>
      </c>
      <c r="N1820" s="36">
        <v>282.18</v>
      </c>
      <c r="O1820" s="29">
        <v>0.13</v>
      </c>
      <c r="P1820" s="2" t="s">
        <v>1812</v>
      </c>
      <c r="Q1820" s="36">
        <v>981.9864</v>
      </c>
    </row>
    <row r="1821" spans="1:17" x14ac:dyDescent="0.3">
      <c r="A1821" s="2" t="s">
        <v>3628</v>
      </c>
      <c r="B1821" s="14">
        <v>45323</v>
      </c>
      <c r="C1821" s="2">
        <f>YEAR(Sales_Details2[[#This Row],[Order_Date]])</f>
        <v>2024</v>
      </c>
      <c r="D1821" s="2" t="s">
        <v>565</v>
      </c>
      <c r="E1821" s="2" t="str">
        <f>VLOOKUP(Sales_Details2[[#This Row],[Customer_ID]],Customer_Details[#All],4,0)</f>
        <v>Mid-Adult</v>
      </c>
      <c r="F1821" s="2" t="str">
        <f>VLOOKUP(Sales_Details2[[#This Row],[Customer_ID]],Customer_Details[#All],5,0)</f>
        <v>Female</v>
      </c>
      <c r="G1821" s="2" t="str">
        <f>VLOOKUP(Sales_Details2[[#This Row],[Customer_ID]],Customer_Details[#All],9,0)</f>
        <v>Bronze</v>
      </c>
      <c r="H1821" s="2" t="s">
        <v>1573</v>
      </c>
      <c r="I1821" s="2" t="str">
        <f>VLOOKUP(Sales_Details2[[#This Row],[Product_ID]],Product_details[[#All],[Product_ID]:[Cost]],3,0)</f>
        <v>Home</v>
      </c>
      <c r="J1821" s="2" t="str">
        <f>VLOOKUP(Sales_Details2[[#This Row],[Product_ID]],Product_details[[#All],[Product_ID]:[Cost]],4,0)</f>
        <v>Storage</v>
      </c>
      <c r="K1821" s="2" t="s">
        <v>1740</v>
      </c>
      <c r="L1821" s="2" t="str">
        <f>_xlfn.XLOOKUP(Sales_Details2[[#This Row],[Store_ID]],Table2[Store_ID],Table2[Region],"Region not found")</f>
        <v>North</v>
      </c>
      <c r="M1821" s="25">
        <v>1</v>
      </c>
      <c r="N1821" s="36">
        <v>486.39</v>
      </c>
      <c r="O1821" s="29">
        <v>0.09</v>
      </c>
      <c r="P1821" s="2" t="s">
        <v>1812</v>
      </c>
      <c r="Q1821" s="36">
        <v>442.61489999999998</v>
      </c>
    </row>
    <row r="1822" spans="1:17" x14ac:dyDescent="0.3">
      <c r="A1822" s="2" t="s">
        <v>3629</v>
      </c>
      <c r="B1822" s="14">
        <v>45312</v>
      </c>
      <c r="C1822" s="2">
        <f>YEAR(Sales_Details2[[#This Row],[Order_Date]])</f>
        <v>2024</v>
      </c>
      <c r="D1822" s="2" t="s">
        <v>171</v>
      </c>
      <c r="E1822" s="2" t="str">
        <f>VLOOKUP(Sales_Details2[[#This Row],[Customer_ID]],Customer_Details[#All],4,0)</f>
        <v>Mid-Adult</v>
      </c>
      <c r="F1822" s="2" t="str">
        <f>VLOOKUP(Sales_Details2[[#This Row],[Customer_ID]],Customer_Details[#All],5,0)</f>
        <v>Male</v>
      </c>
      <c r="G1822" s="2" t="str">
        <f>VLOOKUP(Sales_Details2[[#This Row],[Customer_ID]],Customer_Details[#All],9,0)</f>
        <v>Bronze</v>
      </c>
      <c r="H1822" s="2" t="s">
        <v>1567</v>
      </c>
      <c r="I1822" s="2" t="str">
        <f>VLOOKUP(Sales_Details2[[#This Row],[Product_ID]],Product_details[[#All],[Product_ID]:[Cost]],3,0)</f>
        <v>Clothing</v>
      </c>
      <c r="J1822" s="2" t="str">
        <f>VLOOKUP(Sales_Details2[[#This Row],[Product_ID]],Product_details[[#All],[Product_ID]:[Cost]],4,0)</f>
        <v>Bottoms</v>
      </c>
      <c r="K1822" s="2" t="s">
        <v>1749</v>
      </c>
      <c r="L1822" s="2" t="str">
        <f>_xlfn.XLOOKUP(Sales_Details2[[#This Row],[Store_ID]],Table2[Store_ID],Table2[Region],"Region not found")</f>
        <v>North</v>
      </c>
      <c r="M1822" s="25">
        <v>2</v>
      </c>
      <c r="N1822" s="36">
        <v>603.62</v>
      </c>
      <c r="O1822" s="29">
        <v>0.18</v>
      </c>
      <c r="P1822" s="2" t="s">
        <v>1812</v>
      </c>
      <c r="Q1822" s="36">
        <v>989.93680000000006</v>
      </c>
    </row>
    <row r="1823" spans="1:17" x14ac:dyDescent="0.3">
      <c r="A1823" s="2" t="s">
        <v>3630</v>
      </c>
      <c r="B1823" s="14">
        <v>45554</v>
      </c>
      <c r="C1823" s="2">
        <f>YEAR(Sales_Details2[[#This Row],[Order_Date]])</f>
        <v>2024</v>
      </c>
      <c r="D1823" s="2" t="s">
        <v>491</v>
      </c>
      <c r="E1823" s="2" t="str">
        <f>VLOOKUP(Sales_Details2[[#This Row],[Customer_ID]],Customer_Details[#All],4,0)</f>
        <v>Mid-Adult</v>
      </c>
      <c r="F1823" s="2" t="str">
        <f>VLOOKUP(Sales_Details2[[#This Row],[Customer_ID]],Customer_Details[#All],5,0)</f>
        <v>Female</v>
      </c>
      <c r="G1823" s="2" t="str">
        <f>VLOOKUP(Sales_Details2[[#This Row],[Customer_ID]],Customer_Details[#All],9,0)</f>
        <v>Platinum</v>
      </c>
      <c r="H1823" s="2" t="s">
        <v>1605</v>
      </c>
      <c r="I1823" s="2" t="str">
        <f>VLOOKUP(Sales_Details2[[#This Row],[Product_ID]],Product_details[[#All],[Product_ID]:[Cost]],3,0)</f>
        <v>Clothing</v>
      </c>
      <c r="J1823" s="2" t="str">
        <f>VLOOKUP(Sales_Details2[[#This Row],[Product_ID]],Product_details[[#All],[Product_ID]:[Cost]],4,0)</f>
        <v>Footwear</v>
      </c>
      <c r="K1823" s="2" t="s">
        <v>1765</v>
      </c>
      <c r="L1823" s="2" t="str">
        <f>_xlfn.XLOOKUP(Sales_Details2[[#This Row],[Store_ID]],Table2[Store_ID],Table2[Region],"Region not found")</f>
        <v>West</v>
      </c>
      <c r="M1823" s="25">
        <v>3</v>
      </c>
      <c r="N1823" s="36">
        <v>204.17</v>
      </c>
      <c r="O1823" s="29">
        <v>0.1</v>
      </c>
      <c r="P1823" s="2" t="s">
        <v>1809</v>
      </c>
      <c r="Q1823" s="36">
        <v>551.25900000000001</v>
      </c>
    </row>
    <row r="1824" spans="1:17" x14ac:dyDescent="0.3">
      <c r="A1824" s="2" t="s">
        <v>3631</v>
      </c>
      <c r="B1824" s="14">
        <v>45310</v>
      </c>
      <c r="C1824" s="2">
        <f>YEAR(Sales_Details2[[#This Row],[Order_Date]])</f>
        <v>2024</v>
      </c>
      <c r="D1824" s="2" t="s">
        <v>462</v>
      </c>
      <c r="E1824" s="2" t="str">
        <f>VLOOKUP(Sales_Details2[[#This Row],[Customer_ID]],Customer_Details[#All],4,0)</f>
        <v>Senior</v>
      </c>
      <c r="F1824" s="2" t="str">
        <f>VLOOKUP(Sales_Details2[[#This Row],[Customer_ID]],Customer_Details[#All],5,0)</f>
        <v>Female</v>
      </c>
      <c r="G1824" s="2" t="str">
        <f>VLOOKUP(Sales_Details2[[#This Row],[Customer_ID]],Customer_Details[#All],9,0)</f>
        <v>Platinum</v>
      </c>
      <c r="H1824" s="2" t="s">
        <v>1545</v>
      </c>
      <c r="I1824" s="2" t="str">
        <f>VLOOKUP(Sales_Details2[[#This Row],[Product_ID]],Product_details[[#All],[Product_ID]:[Cost]],3,0)</f>
        <v>Electronics</v>
      </c>
      <c r="J1824" s="2" t="str">
        <f>VLOOKUP(Sales_Details2[[#This Row],[Product_ID]],Product_details[[#All],[Product_ID]:[Cost]],4,0)</f>
        <v>Audio</v>
      </c>
      <c r="K1824" s="2" t="s">
        <v>1784</v>
      </c>
      <c r="L1824" s="2" t="str">
        <f>_xlfn.XLOOKUP(Sales_Details2[[#This Row],[Store_ID]],Table2[Store_ID],Table2[Region],"Region not found")</f>
        <v>North</v>
      </c>
      <c r="M1824" s="25">
        <v>1</v>
      </c>
      <c r="N1824" s="36">
        <v>43.58</v>
      </c>
      <c r="O1824" s="29">
        <v>0.01</v>
      </c>
      <c r="P1824" s="2" t="s">
        <v>1812</v>
      </c>
      <c r="Q1824" s="36">
        <v>43.144199999999998</v>
      </c>
    </row>
    <row r="1825" spans="1:17" x14ac:dyDescent="0.3">
      <c r="A1825" s="2" t="s">
        <v>3632</v>
      </c>
      <c r="B1825" s="14">
        <v>45594</v>
      </c>
      <c r="C1825" s="2">
        <f>YEAR(Sales_Details2[[#This Row],[Order_Date]])</f>
        <v>2024</v>
      </c>
      <c r="D1825" s="2" t="s">
        <v>1033</v>
      </c>
      <c r="E1825" s="2" t="str">
        <f>VLOOKUP(Sales_Details2[[#This Row],[Customer_ID]],Customer_Details[#All],4,0)</f>
        <v>Mid-Adult</v>
      </c>
      <c r="F1825" s="2" t="str">
        <f>VLOOKUP(Sales_Details2[[#This Row],[Customer_ID]],Customer_Details[#All],5,0)</f>
        <v>Female</v>
      </c>
      <c r="G1825" s="2" t="str">
        <f>VLOOKUP(Sales_Details2[[#This Row],[Customer_ID]],Customer_Details[#All],9,0)</f>
        <v>Bronze</v>
      </c>
      <c r="H1825" s="2" t="s">
        <v>1625</v>
      </c>
      <c r="I1825" s="2" t="str">
        <f>VLOOKUP(Sales_Details2[[#This Row],[Product_ID]],Product_details[[#All],[Product_ID]:[Cost]],3,0)</f>
        <v>Beauty</v>
      </c>
      <c r="J1825" s="2" t="str">
        <f>VLOOKUP(Sales_Details2[[#This Row],[Product_ID]],Product_details[[#All],[Product_ID]:[Cost]],4,0)</f>
        <v>Makeup</v>
      </c>
      <c r="K1825" s="2" t="s">
        <v>1744</v>
      </c>
      <c r="L1825" s="2" t="str">
        <f>_xlfn.XLOOKUP(Sales_Details2[[#This Row],[Store_ID]],Table2[Store_ID],Table2[Region],"Region not found")</f>
        <v>South</v>
      </c>
      <c r="M1825" s="25">
        <v>3</v>
      </c>
      <c r="N1825" s="36">
        <v>469.33</v>
      </c>
      <c r="O1825" s="29">
        <v>0.14000000000000001</v>
      </c>
      <c r="P1825" s="2" t="s">
        <v>1809</v>
      </c>
      <c r="Q1825" s="36">
        <v>1210.8714</v>
      </c>
    </row>
    <row r="1826" spans="1:17" x14ac:dyDescent="0.3">
      <c r="A1826" s="2" t="s">
        <v>3633</v>
      </c>
      <c r="B1826" s="14">
        <v>45840</v>
      </c>
      <c r="C1826" s="2">
        <f>YEAR(Sales_Details2[[#This Row],[Order_Date]])</f>
        <v>2025</v>
      </c>
      <c r="D1826" s="2" t="s">
        <v>675</v>
      </c>
      <c r="E1826" s="2" t="str">
        <f>VLOOKUP(Sales_Details2[[#This Row],[Customer_ID]],Customer_Details[#All],4,0)</f>
        <v>Mid-Adult</v>
      </c>
      <c r="F1826" s="2" t="str">
        <f>VLOOKUP(Sales_Details2[[#This Row],[Customer_ID]],Customer_Details[#All],5,0)</f>
        <v>Female</v>
      </c>
      <c r="G1826" s="2" t="str">
        <f>VLOOKUP(Sales_Details2[[#This Row],[Customer_ID]],Customer_Details[#All],9,0)</f>
        <v>Platinum</v>
      </c>
      <c r="H1826" s="2" t="s">
        <v>1545</v>
      </c>
      <c r="I1826" s="2" t="str">
        <f>VLOOKUP(Sales_Details2[[#This Row],[Product_ID]],Product_details[[#All],[Product_ID]:[Cost]],3,0)</f>
        <v>Electronics</v>
      </c>
      <c r="J1826" s="2" t="str">
        <f>VLOOKUP(Sales_Details2[[#This Row],[Product_ID]],Product_details[[#All],[Product_ID]:[Cost]],4,0)</f>
        <v>Audio</v>
      </c>
      <c r="K1826" s="2" t="s">
        <v>1765</v>
      </c>
      <c r="L1826" s="2" t="str">
        <f>_xlfn.XLOOKUP(Sales_Details2[[#This Row],[Store_ID]],Table2[Store_ID],Table2[Region],"Region not found")</f>
        <v>West</v>
      </c>
      <c r="M1826" s="25">
        <v>4</v>
      </c>
      <c r="N1826" s="36">
        <v>836.23</v>
      </c>
      <c r="O1826" s="29">
        <v>0.12</v>
      </c>
      <c r="P1826" s="2" t="s">
        <v>1807</v>
      </c>
      <c r="Q1826" s="36">
        <v>2943.5295999999998</v>
      </c>
    </row>
    <row r="1827" spans="1:17" x14ac:dyDescent="0.3">
      <c r="A1827" s="2" t="s">
        <v>3634</v>
      </c>
      <c r="B1827" s="14">
        <v>45549</v>
      </c>
      <c r="C1827" s="2">
        <f>YEAR(Sales_Details2[[#This Row],[Order_Date]])</f>
        <v>2024</v>
      </c>
      <c r="D1827" s="2" t="s">
        <v>583</v>
      </c>
      <c r="E1827" s="2" t="str">
        <f>VLOOKUP(Sales_Details2[[#This Row],[Customer_ID]],Customer_Details[#All],4,0)</f>
        <v>Mid-Adult</v>
      </c>
      <c r="F1827" s="2" t="str">
        <f>VLOOKUP(Sales_Details2[[#This Row],[Customer_ID]],Customer_Details[#All],5,0)</f>
        <v>Female</v>
      </c>
      <c r="G1827" s="2" t="str">
        <f>VLOOKUP(Sales_Details2[[#This Row],[Customer_ID]],Customer_Details[#All],9,0)</f>
        <v>Bronze</v>
      </c>
      <c r="H1827" s="2" t="s">
        <v>1665</v>
      </c>
      <c r="I1827" s="2" t="str">
        <f>VLOOKUP(Sales_Details2[[#This Row],[Product_ID]],Product_details[[#All],[Product_ID]:[Cost]],3,0)</f>
        <v>Electronics</v>
      </c>
      <c r="J1827" s="2" t="str">
        <f>VLOOKUP(Sales_Details2[[#This Row],[Product_ID]],Product_details[[#All],[Product_ID]:[Cost]],4,0)</f>
        <v>Accessories</v>
      </c>
      <c r="K1827" s="2" t="s">
        <v>1796</v>
      </c>
      <c r="L1827" s="2" t="str">
        <f>_xlfn.XLOOKUP(Sales_Details2[[#This Row],[Store_ID]],Table2[Store_ID],Table2[Region],"Region not found")</f>
        <v>East</v>
      </c>
      <c r="M1827" s="25">
        <v>2</v>
      </c>
      <c r="N1827" s="36">
        <v>661.53</v>
      </c>
      <c r="O1827" s="29">
        <v>0.2</v>
      </c>
      <c r="P1827" s="2" t="s">
        <v>1809</v>
      </c>
      <c r="Q1827" s="36">
        <v>1058.4480000000001</v>
      </c>
    </row>
    <row r="1828" spans="1:17" x14ac:dyDescent="0.3">
      <c r="A1828" s="2" t="s">
        <v>3635</v>
      </c>
      <c r="B1828" s="14">
        <v>45903</v>
      </c>
      <c r="C1828" s="2">
        <f>YEAR(Sales_Details2[[#This Row],[Order_Date]])</f>
        <v>2025</v>
      </c>
      <c r="D1828" s="2" t="s">
        <v>406</v>
      </c>
      <c r="E1828" s="2" t="str">
        <f>VLOOKUP(Sales_Details2[[#This Row],[Customer_ID]],Customer_Details[#All],4,0)</f>
        <v>Mid-Adult</v>
      </c>
      <c r="F1828" s="2" t="str">
        <f>VLOOKUP(Sales_Details2[[#This Row],[Customer_ID]],Customer_Details[#All],5,0)</f>
        <v>Male</v>
      </c>
      <c r="G1828" s="2" t="str">
        <f>VLOOKUP(Sales_Details2[[#This Row],[Customer_ID]],Customer_Details[#All],9,0)</f>
        <v>Platinum</v>
      </c>
      <c r="H1828" s="2" t="s">
        <v>1643</v>
      </c>
      <c r="I1828" s="2" t="str">
        <f>VLOOKUP(Sales_Details2[[#This Row],[Product_ID]],Product_details[[#All],[Product_ID]:[Cost]],3,0)</f>
        <v>Home</v>
      </c>
      <c r="J1828" s="2" t="str">
        <f>VLOOKUP(Sales_Details2[[#This Row],[Product_ID]],Product_details[[#All],[Product_ID]:[Cost]],4,0)</f>
        <v>Decor</v>
      </c>
      <c r="K1828" s="2" t="s">
        <v>1787</v>
      </c>
      <c r="L1828" s="2" t="str">
        <f>_xlfn.XLOOKUP(Sales_Details2[[#This Row],[Store_ID]],Table2[Store_ID],Table2[Region],"Region not found")</f>
        <v>West</v>
      </c>
      <c r="M1828" s="25">
        <v>3</v>
      </c>
      <c r="N1828" s="36">
        <v>753.47</v>
      </c>
      <c r="O1828" s="29">
        <v>0.25</v>
      </c>
      <c r="P1828" s="2" t="s">
        <v>1809</v>
      </c>
      <c r="Q1828" s="36">
        <v>1695.3074999999999</v>
      </c>
    </row>
    <row r="1829" spans="1:17" x14ac:dyDescent="0.3">
      <c r="A1829" s="2" t="s">
        <v>3636</v>
      </c>
      <c r="B1829" s="14">
        <v>45673</v>
      </c>
      <c r="C1829" s="2">
        <f>YEAR(Sales_Details2[[#This Row],[Order_Date]])</f>
        <v>2025</v>
      </c>
      <c r="D1829" s="2" t="s">
        <v>518</v>
      </c>
      <c r="E1829" s="2" t="str">
        <f>VLOOKUP(Sales_Details2[[#This Row],[Customer_ID]],Customer_Details[#All],4,0)</f>
        <v>Mid-Adult</v>
      </c>
      <c r="F1829" s="2" t="str">
        <f>VLOOKUP(Sales_Details2[[#This Row],[Customer_ID]],Customer_Details[#All],5,0)</f>
        <v>Male</v>
      </c>
      <c r="G1829" s="2" t="str">
        <f>VLOOKUP(Sales_Details2[[#This Row],[Customer_ID]],Customer_Details[#All],9,0)</f>
        <v>Bronze</v>
      </c>
      <c r="H1829" s="2" t="s">
        <v>1659</v>
      </c>
      <c r="I1829" s="2" t="str">
        <f>VLOOKUP(Sales_Details2[[#This Row],[Product_ID]],Product_details[[#All],[Product_ID]:[Cost]],3,0)</f>
        <v>Beauty</v>
      </c>
      <c r="J1829" s="2" t="str">
        <f>VLOOKUP(Sales_Details2[[#This Row],[Product_ID]],Product_details[[#All],[Product_ID]:[Cost]],4,0)</f>
        <v>Makeup</v>
      </c>
      <c r="K1829" s="2" t="s">
        <v>1735</v>
      </c>
      <c r="L1829" s="2" t="str">
        <f>_xlfn.XLOOKUP(Sales_Details2[[#This Row],[Store_ID]],Table2[Store_ID],Table2[Region],"Region not found")</f>
        <v>East</v>
      </c>
      <c r="M1829" s="25">
        <v>3</v>
      </c>
      <c r="N1829" s="36">
        <v>713.95</v>
      </c>
      <c r="O1829" s="29">
        <v>0</v>
      </c>
      <c r="P1829" s="2" t="s">
        <v>1807</v>
      </c>
      <c r="Q1829" s="36">
        <v>2141.85</v>
      </c>
    </row>
    <row r="1830" spans="1:17" x14ac:dyDescent="0.3">
      <c r="A1830" s="2" t="s">
        <v>3637</v>
      </c>
      <c r="B1830" s="14">
        <v>45395</v>
      </c>
      <c r="C1830" s="2">
        <f>YEAR(Sales_Details2[[#This Row],[Order_Date]])</f>
        <v>2024</v>
      </c>
      <c r="D1830" s="2" t="s">
        <v>348</v>
      </c>
      <c r="E1830" s="2" t="str">
        <f>VLOOKUP(Sales_Details2[[#This Row],[Customer_ID]],Customer_Details[#All],4,0)</f>
        <v>Mid-Adult</v>
      </c>
      <c r="F1830" s="2" t="str">
        <f>VLOOKUP(Sales_Details2[[#This Row],[Customer_ID]],Customer_Details[#All],5,0)</f>
        <v>Male</v>
      </c>
      <c r="G1830" s="2" t="str">
        <f>VLOOKUP(Sales_Details2[[#This Row],[Customer_ID]],Customer_Details[#All],9,0)</f>
        <v>Silver</v>
      </c>
      <c r="H1830" s="2" t="s">
        <v>1553</v>
      </c>
      <c r="I1830" s="2" t="str">
        <f>VLOOKUP(Sales_Details2[[#This Row],[Product_ID]],Product_details[[#All],[Product_ID]:[Cost]],3,0)</f>
        <v>Electronics</v>
      </c>
      <c r="J1830" s="2" t="str">
        <f>VLOOKUP(Sales_Details2[[#This Row],[Product_ID]],Product_details[[#All],[Product_ID]:[Cost]],4,0)</f>
        <v>Accessories</v>
      </c>
      <c r="K1830" s="2" t="s">
        <v>1756</v>
      </c>
      <c r="L1830" s="2" t="str">
        <f>_xlfn.XLOOKUP(Sales_Details2[[#This Row],[Store_ID]],Table2[Store_ID],Table2[Region],"Region not found")</f>
        <v>North</v>
      </c>
      <c r="M1830" s="25">
        <v>3</v>
      </c>
      <c r="N1830" s="36">
        <v>596</v>
      </c>
      <c r="O1830" s="29">
        <v>0.28000000000000003</v>
      </c>
      <c r="P1830" s="2" t="s">
        <v>1812</v>
      </c>
      <c r="Q1830" s="36">
        <v>1287.3599999999999</v>
      </c>
    </row>
    <row r="1831" spans="1:17" x14ac:dyDescent="0.3">
      <c r="A1831" s="2" t="s">
        <v>3638</v>
      </c>
      <c r="B1831" s="14">
        <v>45379</v>
      </c>
      <c r="C1831" s="2">
        <f>YEAR(Sales_Details2[[#This Row],[Order_Date]])</f>
        <v>2024</v>
      </c>
      <c r="D1831" s="2" t="s">
        <v>1039</v>
      </c>
      <c r="E1831" s="2" t="str">
        <f>VLOOKUP(Sales_Details2[[#This Row],[Customer_ID]],Customer_Details[#All],4,0)</f>
        <v>Mid-Adult</v>
      </c>
      <c r="F1831" s="2" t="str">
        <f>VLOOKUP(Sales_Details2[[#This Row],[Customer_ID]],Customer_Details[#All],5,0)</f>
        <v>Female</v>
      </c>
      <c r="G1831" s="2" t="str">
        <f>VLOOKUP(Sales_Details2[[#This Row],[Customer_ID]],Customer_Details[#All],9,0)</f>
        <v>Silver</v>
      </c>
      <c r="H1831" s="2" t="s">
        <v>1548</v>
      </c>
      <c r="I1831" s="2" t="str">
        <f>VLOOKUP(Sales_Details2[[#This Row],[Product_ID]],Product_details[[#All],[Product_ID]:[Cost]],3,0)</f>
        <v>Sports</v>
      </c>
      <c r="J1831" s="2" t="str">
        <f>VLOOKUP(Sales_Details2[[#This Row],[Product_ID]],Product_details[[#All],[Product_ID]:[Cost]],4,0)</f>
        <v>Fitness</v>
      </c>
      <c r="K1831" s="2" t="s">
        <v>1769</v>
      </c>
      <c r="L1831" s="2" t="str">
        <f>_xlfn.XLOOKUP(Sales_Details2[[#This Row],[Store_ID]],Table2[Store_ID],Table2[Region],"Region not found")</f>
        <v>South</v>
      </c>
      <c r="M1831" s="25">
        <v>2</v>
      </c>
      <c r="N1831" s="36">
        <v>169.46</v>
      </c>
      <c r="O1831" s="29">
        <v>0.03</v>
      </c>
      <c r="P1831" s="2" t="s">
        <v>1809</v>
      </c>
      <c r="Q1831" s="36">
        <v>328.75240000000002</v>
      </c>
    </row>
    <row r="1832" spans="1:17" x14ac:dyDescent="0.3">
      <c r="A1832" s="2" t="s">
        <v>3639</v>
      </c>
      <c r="B1832" s="14">
        <v>45860</v>
      </c>
      <c r="C1832" s="2">
        <f>YEAR(Sales_Details2[[#This Row],[Order_Date]])</f>
        <v>2025</v>
      </c>
      <c r="D1832" s="2" t="s">
        <v>939</v>
      </c>
      <c r="E1832" s="2" t="str">
        <f>VLOOKUP(Sales_Details2[[#This Row],[Customer_ID]],Customer_Details[#All],4,0)</f>
        <v>Adult</v>
      </c>
      <c r="F1832" s="2" t="str">
        <f>VLOOKUP(Sales_Details2[[#This Row],[Customer_ID]],Customer_Details[#All],5,0)</f>
        <v>Male</v>
      </c>
      <c r="G1832" s="2" t="str">
        <f>VLOOKUP(Sales_Details2[[#This Row],[Customer_ID]],Customer_Details[#All],9,0)</f>
        <v>Silver</v>
      </c>
      <c r="H1832" s="2" t="s">
        <v>1661</v>
      </c>
      <c r="I1832" s="2" t="str">
        <f>VLOOKUP(Sales_Details2[[#This Row],[Product_ID]],Product_details[[#All],[Product_ID]:[Cost]],3,0)</f>
        <v>Sports</v>
      </c>
      <c r="J1832" s="2" t="str">
        <f>VLOOKUP(Sales_Details2[[#This Row],[Product_ID]],Product_details[[#All],[Product_ID]:[Cost]],4,0)</f>
        <v>Fitness</v>
      </c>
      <c r="K1832" s="2" t="s">
        <v>1782</v>
      </c>
      <c r="L1832" s="2" t="str">
        <f>_xlfn.XLOOKUP(Sales_Details2[[#This Row],[Store_ID]],Table2[Store_ID],Table2[Region],"Region not found")</f>
        <v>South</v>
      </c>
      <c r="M1832" s="25">
        <v>4</v>
      </c>
      <c r="N1832" s="36">
        <v>611.91999999999996</v>
      </c>
      <c r="O1832" s="29">
        <v>0.2</v>
      </c>
      <c r="P1832" s="2" t="s">
        <v>1809</v>
      </c>
      <c r="Q1832" s="36">
        <v>1958.144</v>
      </c>
    </row>
    <row r="1833" spans="1:17" x14ac:dyDescent="0.3">
      <c r="A1833" s="2" t="s">
        <v>3640</v>
      </c>
      <c r="B1833" s="14">
        <v>45704</v>
      </c>
      <c r="C1833" s="2">
        <f>YEAR(Sales_Details2[[#This Row],[Order_Date]])</f>
        <v>2025</v>
      </c>
      <c r="D1833" s="2" t="s">
        <v>23</v>
      </c>
      <c r="E1833" s="2" t="str">
        <f>VLOOKUP(Sales_Details2[[#This Row],[Customer_ID]],Customer_Details[#All],4,0)</f>
        <v>Senior</v>
      </c>
      <c r="F1833" s="2" t="str">
        <f>VLOOKUP(Sales_Details2[[#This Row],[Customer_ID]],Customer_Details[#All],5,0)</f>
        <v>Female</v>
      </c>
      <c r="G1833" s="2" t="str">
        <f>VLOOKUP(Sales_Details2[[#This Row],[Customer_ID]],Customer_Details[#All],9,0)</f>
        <v>Bronze</v>
      </c>
      <c r="H1833" s="2" t="s">
        <v>1679</v>
      </c>
      <c r="I1833" s="2" t="str">
        <f>VLOOKUP(Sales_Details2[[#This Row],[Product_ID]],Product_details[[#All],[Product_ID]:[Cost]],3,0)</f>
        <v>Electronics</v>
      </c>
      <c r="J1833" s="2" t="str">
        <f>VLOOKUP(Sales_Details2[[#This Row],[Product_ID]],Product_details[[#All],[Product_ID]:[Cost]],4,0)</f>
        <v>Audio</v>
      </c>
      <c r="K1833" s="2" t="s">
        <v>1784</v>
      </c>
      <c r="L1833" s="2" t="str">
        <f>_xlfn.XLOOKUP(Sales_Details2[[#This Row],[Store_ID]],Table2[Store_ID],Table2[Region],"Region not found")</f>
        <v>North</v>
      </c>
      <c r="M1833" s="25">
        <v>2</v>
      </c>
      <c r="N1833" s="36">
        <v>25.3</v>
      </c>
      <c r="O1833" s="29">
        <v>0.21</v>
      </c>
      <c r="P1833" s="2" t="s">
        <v>1807</v>
      </c>
      <c r="Q1833" s="36">
        <v>39.973999999999997</v>
      </c>
    </row>
    <row r="1834" spans="1:17" x14ac:dyDescent="0.3">
      <c r="A1834" s="2" t="s">
        <v>3641</v>
      </c>
      <c r="B1834" s="14">
        <v>45327</v>
      </c>
      <c r="C1834" s="2">
        <f>YEAR(Sales_Details2[[#This Row],[Order_Date]])</f>
        <v>2024</v>
      </c>
      <c r="D1834" s="2" t="s">
        <v>1327</v>
      </c>
      <c r="E1834" s="2" t="str">
        <f>VLOOKUP(Sales_Details2[[#This Row],[Customer_ID]],Customer_Details[#All],4,0)</f>
        <v>Senior</v>
      </c>
      <c r="F1834" s="2" t="str">
        <f>VLOOKUP(Sales_Details2[[#This Row],[Customer_ID]],Customer_Details[#All],5,0)</f>
        <v>Female</v>
      </c>
      <c r="G1834" s="2" t="str">
        <f>VLOOKUP(Sales_Details2[[#This Row],[Customer_ID]],Customer_Details[#All],9,0)</f>
        <v>Silver</v>
      </c>
      <c r="H1834" s="2" t="s">
        <v>1677</v>
      </c>
      <c r="I1834" s="2" t="str">
        <f>VLOOKUP(Sales_Details2[[#This Row],[Product_ID]],Product_details[[#All],[Product_ID]:[Cost]],3,0)</f>
        <v>Sports</v>
      </c>
      <c r="J1834" s="2" t="str">
        <f>VLOOKUP(Sales_Details2[[#This Row],[Product_ID]],Product_details[[#All],[Product_ID]:[Cost]],4,0)</f>
        <v>Team Sports</v>
      </c>
      <c r="K1834" s="2" t="s">
        <v>1772</v>
      </c>
      <c r="L1834" s="2" t="str">
        <f>_xlfn.XLOOKUP(Sales_Details2[[#This Row],[Store_ID]],Table2[Store_ID],Table2[Region],"Region not found")</f>
        <v>East</v>
      </c>
      <c r="M1834" s="25">
        <v>4</v>
      </c>
      <c r="N1834" s="36">
        <v>166.93</v>
      </c>
      <c r="O1834" s="29">
        <v>0.02</v>
      </c>
      <c r="P1834" s="2" t="s">
        <v>1809</v>
      </c>
      <c r="Q1834" s="36">
        <v>654.36559999999997</v>
      </c>
    </row>
    <row r="1835" spans="1:17" x14ac:dyDescent="0.3">
      <c r="A1835" s="2" t="s">
        <v>3642</v>
      </c>
      <c r="B1835" s="14">
        <v>45721</v>
      </c>
      <c r="C1835" s="2">
        <f>YEAR(Sales_Details2[[#This Row],[Order_Date]])</f>
        <v>2025</v>
      </c>
      <c r="D1835" s="2" t="s">
        <v>882</v>
      </c>
      <c r="E1835" s="2" t="str">
        <f>VLOOKUP(Sales_Details2[[#This Row],[Customer_ID]],Customer_Details[#All],4,0)</f>
        <v>Mid-Adult</v>
      </c>
      <c r="F1835" s="2" t="str">
        <f>VLOOKUP(Sales_Details2[[#This Row],[Customer_ID]],Customer_Details[#All],5,0)</f>
        <v>Male</v>
      </c>
      <c r="G1835" s="2" t="str">
        <f>VLOOKUP(Sales_Details2[[#This Row],[Customer_ID]],Customer_Details[#All],9,0)</f>
        <v>Bronze</v>
      </c>
      <c r="H1835" s="2" t="s">
        <v>1651</v>
      </c>
      <c r="I1835" s="2" t="str">
        <f>VLOOKUP(Sales_Details2[[#This Row],[Product_ID]],Product_details[[#All],[Product_ID]:[Cost]],3,0)</f>
        <v>Beauty</v>
      </c>
      <c r="J1835" s="2" t="str">
        <f>VLOOKUP(Sales_Details2[[#This Row],[Product_ID]],Product_details[[#All],[Product_ID]:[Cost]],4,0)</f>
        <v>Fragrance</v>
      </c>
      <c r="K1835" s="2" t="s">
        <v>1775</v>
      </c>
      <c r="L1835" s="2" t="str">
        <f>_xlfn.XLOOKUP(Sales_Details2[[#This Row],[Store_ID]],Table2[Store_ID],Table2[Region],"Region not found")</f>
        <v>South</v>
      </c>
      <c r="M1835" s="25">
        <v>4</v>
      </c>
      <c r="N1835" s="36">
        <v>861.55</v>
      </c>
      <c r="O1835" s="29">
        <v>0.12</v>
      </c>
      <c r="P1835" s="2" t="s">
        <v>1807</v>
      </c>
      <c r="Q1835" s="36">
        <v>3032.6559999999999</v>
      </c>
    </row>
    <row r="1836" spans="1:17" x14ac:dyDescent="0.3">
      <c r="A1836" s="2" t="s">
        <v>3643</v>
      </c>
      <c r="B1836" s="14">
        <v>45842</v>
      </c>
      <c r="C1836" s="2">
        <f>YEAR(Sales_Details2[[#This Row],[Order_Date]])</f>
        <v>2025</v>
      </c>
      <c r="D1836" s="2" t="s">
        <v>1115</v>
      </c>
      <c r="E1836" s="2" t="str">
        <f>VLOOKUP(Sales_Details2[[#This Row],[Customer_ID]],Customer_Details[#All],4,0)</f>
        <v>Mid-Adult</v>
      </c>
      <c r="F1836" s="2" t="str">
        <f>VLOOKUP(Sales_Details2[[#This Row],[Customer_ID]],Customer_Details[#All],5,0)</f>
        <v>Male</v>
      </c>
      <c r="G1836" s="2" t="str">
        <f>VLOOKUP(Sales_Details2[[#This Row],[Customer_ID]],Customer_Details[#All],9,0)</f>
        <v>Platinum</v>
      </c>
      <c r="H1836" s="2" t="s">
        <v>1617</v>
      </c>
      <c r="I1836" s="2" t="str">
        <f>VLOOKUP(Sales_Details2[[#This Row],[Product_ID]],Product_details[[#All],[Product_ID]:[Cost]],3,0)</f>
        <v>Electronics</v>
      </c>
      <c r="J1836" s="2" t="str">
        <f>VLOOKUP(Sales_Details2[[#This Row],[Product_ID]],Product_details[[#All],[Product_ID]:[Cost]],4,0)</f>
        <v>Computer</v>
      </c>
      <c r="K1836" s="2" t="s">
        <v>1756</v>
      </c>
      <c r="L1836" s="2" t="str">
        <f>_xlfn.XLOOKUP(Sales_Details2[[#This Row],[Store_ID]],Table2[Store_ID],Table2[Region],"Region not found")</f>
        <v>North</v>
      </c>
      <c r="M1836" s="25">
        <v>3</v>
      </c>
      <c r="N1836" s="36">
        <v>56.17</v>
      </c>
      <c r="O1836" s="29">
        <v>0.01</v>
      </c>
      <c r="P1836" s="2" t="s">
        <v>1812</v>
      </c>
      <c r="Q1836" s="36">
        <v>166.82490000000001</v>
      </c>
    </row>
    <row r="1837" spans="1:17" x14ac:dyDescent="0.3">
      <c r="A1837" s="2" t="s">
        <v>3644</v>
      </c>
      <c r="B1837" s="14">
        <v>45862</v>
      </c>
      <c r="C1837" s="2">
        <f>YEAR(Sales_Details2[[#This Row],[Order_Date]])</f>
        <v>2025</v>
      </c>
      <c r="D1837" s="2" t="s">
        <v>842</v>
      </c>
      <c r="E1837" s="2" t="str">
        <f>VLOOKUP(Sales_Details2[[#This Row],[Customer_ID]],Customer_Details[#All],4,0)</f>
        <v>Mid-Adult</v>
      </c>
      <c r="F1837" s="2" t="str">
        <f>VLOOKUP(Sales_Details2[[#This Row],[Customer_ID]],Customer_Details[#All],5,0)</f>
        <v>Female</v>
      </c>
      <c r="G1837" s="2" t="str">
        <f>VLOOKUP(Sales_Details2[[#This Row],[Customer_ID]],Customer_Details[#All],9,0)</f>
        <v>Bronze</v>
      </c>
      <c r="H1837" s="2" t="s">
        <v>1561</v>
      </c>
      <c r="I1837" s="2" t="str">
        <f>VLOOKUP(Sales_Details2[[#This Row],[Product_ID]],Product_details[[#All],[Product_ID]:[Cost]],3,0)</f>
        <v>Electronics</v>
      </c>
      <c r="J1837" s="2" t="str">
        <f>VLOOKUP(Sales_Details2[[#This Row],[Product_ID]],Product_details[[#All],[Product_ID]:[Cost]],4,0)</f>
        <v>Appliances</v>
      </c>
      <c r="K1837" s="2" t="s">
        <v>1796</v>
      </c>
      <c r="L1837" s="2" t="str">
        <f>_xlfn.XLOOKUP(Sales_Details2[[#This Row],[Store_ID]],Table2[Store_ID],Table2[Region],"Region not found")</f>
        <v>East</v>
      </c>
      <c r="M1837" s="25">
        <v>1</v>
      </c>
      <c r="N1837" s="36">
        <v>582.29</v>
      </c>
      <c r="O1837" s="29">
        <v>0.2</v>
      </c>
      <c r="P1837" s="2" t="s">
        <v>1807</v>
      </c>
      <c r="Q1837" s="36">
        <v>465.83199999999999</v>
      </c>
    </row>
    <row r="1838" spans="1:17" x14ac:dyDescent="0.3">
      <c r="A1838" s="2" t="s">
        <v>3645</v>
      </c>
      <c r="B1838" s="14">
        <v>45681</v>
      </c>
      <c r="C1838" s="2">
        <f>YEAR(Sales_Details2[[#This Row],[Order_Date]])</f>
        <v>2025</v>
      </c>
      <c r="D1838" s="2" t="s">
        <v>826</v>
      </c>
      <c r="E1838" s="2" t="str">
        <f>VLOOKUP(Sales_Details2[[#This Row],[Customer_ID]],Customer_Details[#All],4,0)</f>
        <v>Adult</v>
      </c>
      <c r="F1838" s="2" t="str">
        <f>VLOOKUP(Sales_Details2[[#This Row],[Customer_ID]],Customer_Details[#All],5,0)</f>
        <v>Female</v>
      </c>
      <c r="G1838" s="2" t="str">
        <f>VLOOKUP(Sales_Details2[[#This Row],[Customer_ID]],Customer_Details[#All],9,0)</f>
        <v>Silver</v>
      </c>
      <c r="H1838" s="2" t="s">
        <v>1697</v>
      </c>
      <c r="I1838" s="2" t="str">
        <f>VLOOKUP(Sales_Details2[[#This Row],[Product_ID]],Product_details[[#All],[Product_ID]:[Cost]],3,0)</f>
        <v>Beauty</v>
      </c>
      <c r="J1838" s="2" t="str">
        <f>VLOOKUP(Sales_Details2[[#This Row],[Product_ID]],Product_details[[#All],[Product_ID]:[Cost]],4,0)</f>
        <v>Skincare</v>
      </c>
      <c r="K1838" s="2" t="s">
        <v>1735</v>
      </c>
      <c r="L1838" s="2" t="str">
        <f>_xlfn.XLOOKUP(Sales_Details2[[#This Row],[Store_ID]],Table2[Store_ID],Table2[Region],"Region not found")</f>
        <v>East</v>
      </c>
      <c r="M1838" s="25">
        <v>3</v>
      </c>
      <c r="N1838" s="36">
        <v>63.96</v>
      </c>
      <c r="O1838" s="29">
        <v>0.02</v>
      </c>
      <c r="P1838" s="2" t="s">
        <v>1807</v>
      </c>
      <c r="Q1838" s="36">
        <v>188.04239999999999</v>
      </c>
    </row>
    <row r="1839" spans="1:17" x14ac:dyDescent="0.3">
      <c r="A1839" s="2" t="s">
        <v>3646</v>
      </c>
      <c r="B1839" s="14">
        <v>45392</v>
      </c>
      <c r="C1839" s="2">
        <f>YEAR(Sales_Details2[[#This Row],[Order_Date]])</f>
        <v>2024</v>
      </c>
      <c r="D1839" s="2" t="s">
        <v>238</v>
      </c>
      <c r="E1839" s="2" t="str">
        <f>VLOOKUP(Sales_Details2[[#This Row],[Customer_ID]],Customer_Details[#All],4,0)</f>
        <v>Adult</v>
      </c>
      <c r="F1839" s="2" t="str">
        <f>VLOOKUP(Sales_Details2[[#This Row],[Customer_ID]],Customer_Details[#All],5,0)</f>
        <v>Female</v>
      </c>
      <c r="G1839" s="2" t="str">
        <f>VLOOKUP(Sales_Details2[[#This Row],[Customer_ID]],Customer_Details[#All],9,0)</f>
        <v>Silver</v>
      </c>
      <c r="H1839" s="2" t="s">
        <v>1548</v>
      </c>
      <c r="I1839" s="2" t="str">
        <f>VLOOKUP(Sales_Details2[[#This Row],[Product_ID]],Product_details[[#All],[Product_ID]:[Cost]],3,0)</f>
        <v>Sports</v>
      </c>
      <c r="J1839" s="2" t="str">
        <f>VLOOKUP(Sales_Details2[[#This Row],[Product_ID]],Product_details[[#All],[Product_ID]:[Cost]],4,0)</f>
        <v>Fitness</v>
      </c>
      <c r="K1839" s="2" t="s">
        <v>1777</v>
      </c>
      <c r="L1839" s="2" t="str">
        <f>_xlfn.XLOOKUP(Sales_Details2[[#This Row],[Store_ID]],Table2[Store_ID],Table2[Region],"Region not found")</f>
        <v>North</v>
      </c>
      <c r="M1839" s="25">
        <v>1</v>
      </c>
      <c r="N1839" s="36">
        <v>829.83</v>
      </c>
      <c r="O1839" s="29">
        <v>0.26</v>
      </c>
      <c r="P1839" s="2" t="s">
        <v>1812</v>
      </c>
      <c r="Q1839" s="36">
        <v>614.07420000000002</v>
      </c>
    </row>
    <row r="1840" spans="1:17" x14ac:dyDescent="0.3">
      <c r="A1840" s="2" t="s">
        <v>3647</v>
      </c>
      <c r="B1840" s="14">
        <v>45586</v>
      </c>
      <c r="C1840" s="2">
        <f>YEAR(Sales_Details2[[#This Row],[Order_Date]])</f>
        <v>2024</v>
      </c>
      <c r="D1840" s="2" t="s">
        <v>1144</v>
      </c>
      <c r="E1840" s="2" t="str">
        <f>VLOOKUP(Sales_Details2[[#This Row],[Customer_ID]],Customer_Details[#All],4,0)</f>
        <v>Mid-Adult</v>
      </c>
      <c r="F1840" s="2" t="str">
        <f>VLOOKUP(Sales_Details2[[#This Row],[Customer_ID]],Customer_Details[#All],5,0)</f>
        <v>Male</v>
      </c>
      <c r="G1840" s="2" t="str">
        <f>VLOOKUP(Sales_Details2[[#This Row],[Customer_ID]],Customer_Details[#All],9,0)</f>
        <v>Silver</v>
      </c>
      <c r="H1840" s="2" t="s">
        <v>1599</v>
      </c>
      <c r="I1840" s="2" t="str">
        <f>VLOOKUP(Sales_Details2[[#This Row],[Product_ID]],Product_details[[#All],[Product_ID]:[Cost]],3,0)</f>
        <v>Electronics</v>
      </c>
      <c r="J1840" s="2" t="str">
        <f>VLOOKUP(Sales_Details2[[#This Row],[Product_ID]],Product_details[[#All],[Product_ID]:[Cost]],4,0)</f>
        <v>Computer</v>
      </c>
      <c r="K1840" s="2" t="s">
        <v>1787</v>
      </c>
      <c r="L1840" s="2" t="str">
        <f>_xlfn.XLOOKUP(Sales_Details2[[#This Row],[Store_ID]],Table2[Store_ID],Table2[Region],"Region not found")</f>
        <v>West</v>
      </c>
      <c r="M1840" s="25">
        <v>2</v>
      </c>
      <c r="N1840" s="36">
        <v>858.15</v>
      </c>
      <c r="O1840" s="29">
        <v>0.03</v>
      </c>
      <c r="P1840" s="2" t="s">
        <v>1807</v>
      </c>
      <c r="Q1840" s="36">
        <v>1664.8109999999999</v>
      </c>
    </row>
    <row r="1841" spans="1:17" x14ac:dyDescent="0.3">
      <c r="A1841" s="2" t="s">
        <v>3648</v>
      </c>
      <c r="B1841" s="14">
        <v>45340</v>
      </c>
      <c r="C1841" s="2">
        <f>YEAR(Sales_Details2[[#This Row],[Order_Date]])</f>
        <v>2024</v>
      </c>
      <c r="D1841" s="2" t="s">
        <v>1112</v>
      </c>
      <c r="E1841" s="2" t="str">
        <f>VLOOKUP(Sales_Details2[[#This Row],[Customer_ID]],Customer_Details[#All],4,0)</f>
        <v>Mid-Adult</v>
      </c>
      <c r="F1841" s="2" t="str">
        <f>VLOOKUP(Sales_Details2[[#This Row],[Customer_ID]],Customer_Details[#All],5,0)</f>
        <v>Male</v>
      </c>
      <c r="G1841" s="2" t="str">
        <f>VLOOKUP(Sales_Details2[[#This Row],[Customer_ID]],Customer_Details[#All],9,0)</f>
        <v>Silver</v>
      </c>
      <c r="H1841" s="2" t="s">
        <v>1677</v>
      </c>
      <c r="I1841" s="2" t="str">
        <f>VLOOKUP(Sales_Details2[[#This Row],[Product_ID]],Product_details[[#All],[Product_ID]:[Cost]],3,0)</f>
        <v>Sports</v>
      </c>
      <c r="J1841" s="2" t="str">
        <f>VLOOKUP(Sales_Details2[[#This Row],[Product_ID]],Product_details[[#All],[Product_ID]:[Cost]],4,0)</f>
        <v>Team Sports</v>
      </c>
      <c r="K1841" s="2" t="s">
        <v>1780</v>
      </c>
      <c r="L1841" s="2" t="str">
        <f>_xlfn.XLOOKUP(Sales_Details2[[#This Row],[Store_ID]],Table2[Store_ID],Table2[Region],"Region not found")</f>
        <v>East</v>
      </c>
      <c r="M1841" s="25">
        <v>3</v>
      </c>
      <c r="N1841" s="36">
        <v>717.32</v>
      </c>
      <c r="O1841" s="29">
        <v>0.23</v>
      </c>
      <c r="P1841" s="2" t="s">
        <v>1812</v>
      </c>
      <c r="Q1841" s="36">
        <v>1657.0092</v>
      </c>
    </row>
    <row r="1842" spans="1:17" x14ac:dyDescent="0.3">
      <c r="A1842" s="2" t="s">
        <v>3649</v>
      </c>
      <c r="B1842" s="14">
        <v>45853</v>
      </c>
      <c r="C1842" s="2">
        <f>YEAR(Sales_Details2[[#This Row],[Order_Date]])</f>
        <v>2025</v>
      </c>
      <c r="D1842" s="2" t="s">
        <v>1312</v>
      </c>
      <c r="E1842" s="2" t="str">
        <f>VLOOKUP(Sales_Details2[[#This Row],[Customer_ID]],Customer_Details[#All],4,0)</f>
        <v>Adult</v>
      </c>
      <c r="F1842" s="2" t="str">
        <f>VLOOKUP(Sales_Details2[[#This Row],[Customer_ID]],Customer_Details[#All],5,0)</f>
        <v>Female</v>
      </c>
      <c r="G1842" s="2" t="str">
        <f>VLOOKUP(Sales_Details2[[#This Row],[Customer_ID]],Customer_Details[#All],9,0)</f>
        <v>Bronze</v>
      </c>
      <c r="H1842" s="2" t="s">
        <v>1697</v>
      </c>
      <c r="I1842" s="2" t="str">
        <f>VLOOKUP(Sales_Details2[[#This Row],[Product_ID]],Product_details[[#All],[Product_ID]:[Cost]],3,0)</f>
        <v>Beauty</v>
      </c>
      <c r="J1842" s="2" t="str">
        <f>VLOOKUP(Sales_Details2[[#This Row],[Product_ID]],Product_details[[#All],[Product_ID]:[Cost]],4,0)</f>
        <v>Skincare</v>
      </c>
      <c r="K1842" s="2" t="s">
        <v>1777</v>
      </c>
      <c r="L1842" s="2" t="str">
        <f>_xlfn.XLOOKUP(Sales_Details2[[#This Row],[Store_ID]],Table2[Store_ID],Table2[Region],"Region not found")</f>
        <v>North</v>
      </c>
      <c r="M1842" s="25">
        <v>1</v>
      </c>
      <c r="N1842" s="36">
        <v>163.19999999999999</v>
      </c>
      <c r="O1842" s="29">
        <v>0.22</v>
      </c>
      <c r="P1842" s="2" t="s">
        <v>1809</v>
      </c>
      <c r="Q1842" s="36">
        <v>127.29600000000001</v>
      </c>
    </row>
    <row r="1843" spans="1:17" x14ac:dyDescent="0.3">
      <c r="A1843" s="2" t="s">
        <v>3650</v>
      </c>
      <c r="B1843" s="14">
        <v>45489</v>
      </c>
      <c r="C1843" s="2">
        <f>YEAR(Sales_Details2[[#This Row],[Order_Date]])</f>
        <v>2024</v>
      </c>
      <c r="D1843" s="2" t="s">
        <v>430</v>
      </c>
      <c r="E1843" s="2" t="str">
        <f>VLOOKUP(Sales_Details2[[#This Row],[Customer_ID]],Customer_Details[#All],4,0)</f>
        <v>Senior</v>
      </c>
      <c r="F1843" s="2" t="str">
        <f>VLOOKUP(Sales_Details2[[#This Row],[Customer_ID]],Customer_Details[#All],5,0)</f>
        <v>Female</v>
      </c>
      <c r="G1843" s="2" t="str">
        <f>VLOOKUP(Sales_Details2[[#This Row],[Customer_ID]],Customer_Details[#All],9,0)</f>
        <v>Gold</v>
      </c>
      <c r="H1843" s="2" t="s">
        <v>1693</v>
      </c>
      <c r="I1843" s="2" t="str">
        <f>VLOOKUP(Sales_Details2[[#This Row],[Product_ID]],Product_details[[#All],[Product_ID]:[Cost]],3,0)</f>
        <v>Sports</v>
      </c>
      <c r="J1843" s="2" t="str">
        <f>VLOOKUP(Sales_Details2[[#This Row],[Product_ID]],Product_details[[#All],[Product_ID]:[Cost]],4,0)</f>
        <v>Equipment</v>
      </c>
      <c r="K1843" s="2" t="s">
        <v>1777</v>
      </c>
      <c r="L1843" s="2" t="str">
        <f>_xlfn.XLOOKUP(Sales_Details2[[#This Row],[Store_ID]],Table2[Store_ID],Table2[Region],"Region not found")</f>
        <v>North</v>
      </c>
      <c r="M1843" s="25">
        <v>2</v>
      </c>
      <c r="N1843" s="36">
        <v>966.71</v>
      </c>
      <c r="O1843" s="29">
        <v>0.11</v>
      </c>
      <c r="P1843" s="2" t="s">
        <v>1807</v>
      </c>
      <c r="Q1843" s="36">
        <v>1720.7438</v>
      </c>
    </row>
    <row r="1844" spans="1:17" x14ac:dyDescent="0.3">
      <c r="A1844" s="2" t="s">
        <v>3651</v>
      </c>
      <c r="B1844" s="14">
        <v>45761</v>
      </c>
      <c r="C1844" s="2">
        <f>YEAR(Sales_Details2[[#This Row],[Order_Date]])</f>
        <v>2025</v>
      </c>
      <c r="D1844" s="2" t="s">
        <v>1080</v>
      </c>
      <c r="E1844" s="2" t="str">
        <f>VLOOKUP(Sales_Details2[[#This Row],[Customer_ID]],Customer_Details[#All],4,0)</f>
        <v>Senior</v>
      </c>
      <c r="F1844" s="2" t="str">
        <f>VLOOKUP(Sales_Details2[[#This Row],[Customer_ID]],Customer_Details[#All],5,0)</f>
        <v>Male</v>
      </c>
      <c r="G1844" s="2" t="str">
        <f>VLOOKUP(Sales_Details2[[#This Row],[Customer_ID]],Customer_Details[#All],9,0)</f>
        <v>Silver</v>
      </c>
      <c r="H1844" s="2" t="s">
        <v>1601</v>
      </c>
      <c r="I1844" s="2" t="str">
        <f>VLOOKUP(Sales_Details2[[#This Row],[Product_ID]],Product_details[[#All],[Product_ID]:[Cost]],3,0)</f>
        <v>Home</v>
      </c>
      <c r="J1844" s="2" t="str">
        <f>VLOOKUP(Sales_Details2[[#This Row],[Product_ID]],Product_details[[#All],[Product_ID]:[Cost]],4,0)</f>
        <v>Lighting</v>
      </c>
      <c r="K1844" s="2" t="s">
        <v>1780</v>
      </c>
      <c r="L1844" s="2" t="str">
        <f>_xlfn.XLOOKUP(Sales_Details2[[#This Row],[Store_ID]],Table2[Store_ID],Table2[Region],"Region not found")</f>
        <v>East</v>
      </c>
      <c r="M1844" s="25">
        <v>2</v>
      </c>
      <c r="N1844" s="36">
        <v>873.94</v>
      </c>
      <c r="O1844" s="29">
        <v>0.14000000000000001</v>
      </c>
      <c r="P1844" s="2" t="s">
        <v>1812</v>
      </c>
      <c r="Q1844" s="36">
        <v>1503.1768</v>
      </c>
    </row>
    <row r="1845" spans="1:17" x14ac:dyDescent="0.3">
      <c r="A1845" s="2" t="s">
        <v>3652</v>
      </c>
      <c r="B1845" s="14">
        <v>45379</v>
      </c>
      <c r="C1845" s="2">
        <f>YEAR(Sales_Details2[[#This Row],[Order_Date]])</f>
        <v>2024</v>
      </c>
      <c r="D1845" s="2" t="s">
        <v>497</v>
      </c>
      <c r="E1845" s="2" t="str">
        <f>VLOOKUP(Sales_Details2[[#This Row],[Customer_ID]],Customer_Details[#All],4,0)</f>
        <v>Mid-Adult</v>
      </c>
      <c r="F1845" s="2" t="str">
        <f>VLOOKUP(Sales_Details2[[#This Row],[Customer_ID]],Customer_Details[#All],5,0)</f>
        <v>Male</v>
      </c>
      <c r="G1845" s="2" t="str">
        <f>VLOOKUP(Sales_Details2[[#This Row],[Customer_ID]],Customer_Details[#All],9,0)</f>
        <v>Platinum</v>
      </c>
      <c r="H1845" s="2" t="s">
        <v>1526</v>
      </c>
      <c r="I1845" s="2" t="str">
        <f>VLOOKUP(Sales_Details2[[#This Row],[Product_ID]],Product_details[[#All],[Product_ID]:[Cost]],3,0)</f>
        <v>Electronics</v>
      </c>
      <c r="J1845" s="2" t="str">
        <f>VLOOKUP(Sales_Details2[[#This Row],[Product_ID]],Product_details[[#All],[Product_ID]:[Cost]],4,0)</f>
        <v>Computer</v>
      </c>
      <c r="K1845" s="2" t="s">
        <v>1749</v>
      </c>
      <c r="L1845" s="2" t="str">
        <f>_xlfn.XLOOKUP(Sales_Details2[[#This Row],[Store_ID]],Table2[Store_ID],Table2[Region],"Region not found")</f>
        <v>North</v>
      </c>
      <c r="M1845" s="25">
        <v>1</v>
      </c>
      <c r="N1845" s="36">
        <v>140.24</v>
      </c>
      <c r="O1845" s="29">
        <v>0.27</v>
      </c>
      <c r="P1845" s="2" t="s">
        <v>1807</v>
      </c>
      <c r="Q1845" s="36">
        <v>102.37520000000001</v>
      </c>
    </row>
    <row r="1846" spans="1:17" x14ac:dyDescent="0.3">
      <c r="A1846" s="2" t="s">
        <v>3653</v>
      </c>
      <c r="B1846" s="14">
        <v>45716</v>
      </c>
      <c r="C1846" s="2">
        <f>YEAR(Sales_Details2[[#This Row],[Order_Date]])</f>
        <v>2025</v>
      </c>
      <c r="D1846" s="2" t="s">
        <v>651</v>
      </c>
      <c r="E1846" s="2" t="str">
        <f>VLOOKUP(Sales_Details2[[#This Row],[Customer_ID]],Customer_Details[#All],4,0)</f>
        <v>Adult</v>
      </c>
      <c r="F1846" s="2" t="str">
        <f>VLOOKUP(Sales_Details2[[#This Row],[Customer_ID]],Customer_Details[#All],5,0)</f>
        <v>Female</v>
      </c>
      <c r="G1846" s="2" t="str">
        <f>VLOOKUP(Sales_Details2[[#This Row],[Customer_ID]],Customer_Details[#All],9,0)</f>
        <v>Bronze</v>
      </c>
      <c r="H1846" s="2" t="s">
        <v>1617</v>
      </c>
      <c r="I1846" s="2" t="str">
        <f>VLOOKUP(Sales_Details2[[#This Row],[Product_ID]],Product_details[[#All],[Product_ID]:[Cost]],3,0)</f>
        <v>Electronics</v>
      </c>
      <c r="J1846" s="2" t="str">
        <f>VLOOKUP(Sales_Details2[[#This Row],[Product_ID]],Product_details[[#All],[Product_ID]:[Cost]],4,0)</f>
        <v>Computer</v>
      </c>
      <c r="K1846" s="2" t="s">
        <v>1756</v>
      </c>
      <c r="L1846" s="2" t="str">
        <f>_xlfn.XLOOKUP(Sales_Details2[[#This Row],[Store_ID]],Table2[Store_ID],Table2[Region],"Region not found")</f>
        <v>North</v>
      </c>
      <c r="M1846" s="25">
        <v>2</v>
      </c>
      <c r="N1846" s="36">
        <v>549.91999999999996</v>
      </c>
      <c r="O1846" s="29">
        <v>0.28000000000000003</v>
      </c>
      <c r="P1846" s="2" t="s">
        <v>1807</v>
      </c>
      <c r="Q1846" s="36">
        <v>791.88479999999993</v>
      </c>
    </row>
    <row r="1847" spans="1:17" x14ac:dyDescent="0.3">
      <c r="A1847" s="2" t="s">
        <v>3654</v>
      </c>
      <c r="B1847" s="14">
        <v>45364</v>
      </c>
      <c r="C1847" s="2">
        <f>YEAR(Sales_Details2[[#This Row],[Order_Date]])</f>
        <v>2024</v>
      </c>
      <c r="D1847" s="2" t="s">
        <v>385</v>
      </c>
      <c r="E1847" s="2" t="str">
        <f>VLOOKUP(Sales_Details2[[#This Row],[Customer_ID]],Customer_Details[#All],4,0)</f>
        <v>Adult</v>
      </c>
      <c r="F1847" s="2" t="str">
        <f>VLOOKUP(Sales_Details2[[#This Row],[Customer_ID]],Customer_Details[#All],5,0)</f>
        <v>Female</v>
      </c>
      <c r="G1847" s="2" t="str">
        <f>VLOOKUP(Sales_Details2[[#This Row],[Customer_ID]],Customer_Details[#All],9,0)</f>
        <v>Platinum</v>
      </c>
      <c r="H1847" s="2" t="s">
        <v>1565</v>
      </c>
      <c r="I1847" s="2" t="str">
        <f>VLOOKUP(Sales_Details2[[#This Row],[Product_ID]],Product_details[[#All],[Product_ID]:[Cost]],3,0)</f>
        <v>Sports</v>
      </c>
      <c r="J1847" s="2" t="str">
        <f>VLOOKUP(Sales_Details2[[#This Row],[Product_ID]],Product_details[[#All],[Product_ID]:[Cost]],4,0)</f>
        <v>Accessories</v>
      </c>
      <c r="K1847" s="2" t="s">
        <v>1756</v>
      </c>
      <c r="L1847" s="2" t="str">
        <f>_xlfn.XLOOKUP(Sales_Details2[[#This Row],[Store_ID]],Table2[Store_ID],Table2[Region],"Region not found")</f>
        <v>North</v>
      </c>
      <c r="M1847" s="25">
        <v>4</v>
      </c>
      <c r="N1847" s="36">
        <v>715.88</v>
      </c>
      <c r="O1847" s="29">
        <v>0.19</v>
      </c>
      <c r="P1847" s="2" t="s">
        <v>1809</v>
      </c>
      <c r="Q1847" s="36">
        <v>2319.4512</v>
      </c>
    </row>
    <row r="1848" spans="1:17" x14ac:dyDescent="0.3">
      <c r="A1848" s="2" t="s">
        <v>3655</v>
      </c>
      <c r="B1848" s="14">
        <v>45752</v>
      </c>
      <c r="C1848" s="2">
        <f>YEAR(Sales_Details2[[#This Row],[Order_Date]])</f>
        <v>2025</v>
      </c>
      <c r="D1848" s="2" t="s">
        <v>1147</v>
      </c>
      <c r="E1848" s="2" t="str">
        <f>VLOOKUP(Sales_Details2[[#This Row],[Customer_ID]],Customer_Details[#All],4,0)</f>
        <v>Adult</v>
      </c>
      <c r="F1848" s="2" t="str">
        <f>VLOOKUP(Sales_Details2[[#This Row],[Customer_ID]],Customer_Details[#All],5,0)</f>
        <v>Female</v>
      </c>
      <c r="G1848" s="2" t="str">
        <f>VLOOKUP(Sales_Details2[[#This Row],[Customer_ID]],Customer_Details[#All],9,0)</f>
        <v>Platinum</v>
      </c>
      <c r="H1848" s="2" t="s">
        <v>1532</v>
      </c>
      <c r="I1848" s="2" t="str">
        <f>VLOOKUP(Sales_Details2[[#This Row],[Product_ID]],Product_details[[#All],[Product_ID]:[Cost]],3,0)</f>
        <v>Clothing</v>
      </c>
      <c r="J1848" s="2" t="str">
        <f>VLOOKUP(Sales_Details2[[#This Row],[Product_ID]],Product_details[[#All],[Product_ID]:[Cost]],4,0)</f>
        <v>Outerwear</v>
      </c>
      <c r="K1848" s="2" t="s">
        <v>1765</v>
      </c>
      <c r="L1848" s="2" t="str">
        <f>_xlfn.XLOOKUP(Sales_Details2[[#This Row],[Store_ID]],Table2[Store_ID],Table2[Region],"Region not found")</f>
        <v>West</v>
      </c>
      <c r="M1848" s="25">
        <v>3</v>
      </c>
      <c r="N1848" s="36">
        <v>591.9</v>
      </c>
      <c r="O1848" s="29">
        <v>0.27</v>
      </c>
      <c r="P1848" s="2" t="s">
        <v>1807</v>
      </c>
      <c r="Q1848" s="36">
        <v>1296.261</v>
      </c>
    </row>
    <row r="1849" spans="1:17" x14ac:dyDescent="0.3">
      <c r="A1849" s="2" t="s">
        <v>3656</v>
      </c>
      <c r="B1849" s="14">
        <v>45883</v>
      </c>
      <c r="C1849" s="2">
        <f>YEAR(Sales_Details2[[#This Row],[Order_Date]])</f>
        <v>2025</v>
      </c>
      <c r="D1849" s="2" t="s">
        <v>1159</v>
      </c>
      <c r="E1849" s="2" t="str">
        <f>VLOOKUP(Sales_Details2[[#This Row],[Customer_ID]],Customer_Details[#All],4,0)</f>
        <v>Adult</v>
      </c>
      <c r="F1849" s="2" t="str">
        <f>VLOOKUP(Sales_Details2[[#This Row],[Customer_ID]],Customer_Details[#All],5,0)</f>
        <v>Male</v>
      </c>
      <c r="G1849" s="2" t="str">
        <f>VLOOKUP(Sales_Details2[[#This Row],[Customer_ID]],Customer_Details[#All],9,0)</f>
        <v>Platinum</v>
      </c>
      <c r="H1849" s="2" t="s">
        <v>1575</v>
      </c>
      <c r="I1849" s="2" t="str">
        <f>VLOOKUP(Sales_Details2[[#This Row],[Product_ID]],Product_details[[#All],[Product_ID]:[Cost]],3,0)</f>
        <v>Sports</v>
      </c>
      <c r="J1849" s="2" t="str">
        <f>VLOOKUP(Sales_Details2[[#This Row],[Product_ID]],Product_details[[#All],[Product_ID]:[Cost]],4,0)</f>
        <v>Equipment</v>
      </c>
      <c r="K1849" s="2" t="s">
        <v>1772</v>
      </c>
      <c r="L1849" s="2" t="str">
        <f>_xlfn.XLOOKUP(Sales_Details2[[#This Row],[Store_ID]],Table2[Store_ID],Table2[Region],"Region not found")</f>
        <v>East</v>
      </c>
      <c r="M1849" s="25">
        <v>2</v>
      </c>
      <c r="N1849" s="36">
        <v>523.14</v>
      </c>
      <c r="O1849" s="29">
        <v>0.13</v>
      </c>
      <c r="P1849" s="2" t="s">
        <v>1809</v>
      </c>
      <c r="Q1849" s="36">
        <v>910.2636</v>
      </c>
    </row>
    <row r="1850" spans="1:17" x14ac:dyDescent="0.3">
      <c r="A1850" s="2" t="s">
        <v>3657</v>
      </c>
      <c r="B1850" s="14">
        <v>45477</v>
      </c>
      <c r="C1850" s="2">
        <f>YEAR(Sales_Details2[[#This Row],[Order_Date]])</f>
        <v>2024</v>
      </c>
      <c r="D1850" s="2" t="s">
        <v>724</v>
      </c>
      <c r="E1850" s="2" t="str">
        <f>VLOOKUP(Sales_Details2[[#This Row],[Customer_ID]],Customer_Details[#All],4,0)</f>
        <v>Senior</v>
      </c>
      <c r="F1850" s="2" t="str">
        <f>VLOOKUP(Sales_Details2[[#This Row],[Customer_ID]],Customer_Details[#All],5,0)</f>
        <v>Male</v>
      </c>
      <c r="G1850" s="2" t="str">
        <f>VLOOKUP(Sales_Details2[[#This Row],[Customer_ID]],Customer_Details[#All],9,0)</f>
        <v>Gold</v>
      </c>
      <c r="H1850" s="2" t="s">
        <v>1669</v>
      </c>
      <c r="I1850" s="2" t="str">
        <f>VLOOKUP(Sales_Details2[[#This Row],[Product_ID]],Product_details[[#All],[Product_ID]:[Cost]],3,0)</f>
        <v>Clothing</v>
      </c>
      <c r="J1850" s="2" t="str">
        <f>VLOOKUP(Sales_Details2[[#This Row],[Product_ID]],Product_details[[#All],[Product_ID]:[Cost]],4,0)</f>
        <v>Bottoms</v>
      </c>
      <c r="K1850" s="2" t="s">
        <v>1782</v>
      </c>
      <c r="L1850" s="2" t="str">
        <f>_xlfn.XLOOKUP(Sales_Details2[[#This Row],[Store_ID]],Table2[Store_ID],Table2[Region],"Region not found")</f>
        <v>South</v>
      </c>
      <c r="M1850" s="25">
        <v>2</v>
      </c>
      <c r="N1850" s="36">
        <v>478.62</v>
      </c>
      <c r="O1850" s="29">
        <v>0.17</v>
      </c>
      <c r="P1850" s="2" t="s">
        <v>1812</v>
      </c>
      <c r="Q1850" s="36">
        <v>794.50919999999996</v>
      </c>
    </row>
    <row r="1851" spans="1:17" x14ac:dyDescent="0.3">
      <c r="A1851" s="2" t="s">
        <v>3658</v>
      </c>
      <c r="B1851" s="14">
        <v>45556</v>
      </c>
      <c r="C1851" s="2">
        <f>YEAR(Sales_Details2[[#This Row],[Order_Date]])</f>
        <v>2024</v>
      </c>
      <c r="D1851" s="2" t="s">
        <v>936</v>
      </c>
      <c r="E1851" s="2" t="str">
        <f>VLOOKUP(Sales_Details2[[#This Row],[Customer_ID]],Customer_Details[#All],4,0)</f>
        <v>Mid-Adult</v>
      </c>
      <c r="F1851" s="2" t="str">
        <f>VLOOKUP(Sales_Details2[[#This Row],[Customer_ID]],Customer_Details[#All],5,0)</f>
        <v>Female</v>
      </c>
      <c r="G1851" s="2" t="str">
        <f>VLOOKUP(Sales_Details2[[#This Row],[Customer_ID]],Customer_Details[#All],9,0)</f>
        <v>Platinum</v>
      </c>
      <c r="H1851" s="2" t="s">
        <v>1695</v>
      </c>
      <c r="I1851" s="2" t="str">
        <f>VLOOKUP(Sales_Details2[[#This Row],[Product_ID]],Product_details[[#All],[Product_ID]:[Cost]],3,0)</f>
        <v>Sports</v>
      </c>
      <c r="J1851" s="2" t="str">
        <f>VLOOKUP(Sales_Details2[[#This Row],[Product_ID]],Product_details[[#All],[Product_ID]:[Cost]],4,0)</f>
        <v>Fitness</v>
      </c>
      <c r="K1851" s="2" t="s">
        <v>1740</v>
      </c>
      <c r="L1851" s="2" t="str">
        <f>_xlfn.XLOOKUP(Sales_Details2[[#This Row],[Store_ID]],Table2[Store_ID],Table2[Region],"Region not found")</f>
        <v>North</v>
      </c>
      <c r="M1851" s="25">
        <v>4</v>
      </c>
      <c r="N1851" s="36">
        <v>740.5</v>
      </c>
      <c r="O1851" s="29">
        <v>0.17</v>
      </c>
      <c r="P1851" s="2" t="s">
        <v>1809</v>
      </c>
      <c r="Q1851" s="36">
        <v>2458.46</v>
      </c>
    </row>
    <row r="1852" spans="1:17" x14ac:dyDescent="0.3">
      <c r="A1852" s="2" t="s">
        <v>3659</v>
      </c>
      <c r="B1852" s="14">
        <v>45465</v>
      </c>
      <c r="C1852" s="2">
        <f>YEAR(Sales_Details2[[#This Row],[Order_Date]])</f>
        <v>2024</v>
      </c>
      <c r="D1852" s="2" t="s">
        <v>388</v>
      </c>
      <c r="E1852" s="2" t="str">
        <f>VLOOKUP(Sales_Details2[[#This Row],[Customer_ID]],Customer_Details[#All],4,0)</f>
        <v>Adult</v>
      </c>
      <c r="F1852" s="2" t="str">
        <f>VLOOKUP(Sales_Details2[[#This Row],[Customer_ID]],Customer_Details[#All],5,0)</f>
        <v>Female</v>
      </c>
      <c r="G1852" s="2" t="str">
        <f>VLOOKUP(Sales_Details2[[#This Row],[Customer_ID]],Customer_Details[#All],9,0)</f>
        <v>Silver</v>
      </c>
      <c r="H1852" s="2" t="s">
        <v>1623</v>
      </c>
      <c r="I1852" s="2" t="str">
        <f>VLOOKUP(Sales_Details2[[#This Row],[Product_ID]],Product_details[[#All],[Product_ID]:[Cost]],3,0)</f>
        <v>Clothing</v>
      </c>
      <c r="J1852" s="2" t="str">
        <f>VLOOKUP(Sales_Details2[[#This Row],[Product_ID]],Product_details[[#All],[Product_ID]:[Cost]],4,0)</f>
        <v>Outerwear</v>
      </c>
      <c r="K1852" s="2" t="s">
        <v>1744</v>
      </c>
      <c r="L1852" s="2" t="str">
        <f>_xlfn.XLOOKUP(Sales_Details2[[#This Row],[Store_ID]],Table2[Store_ID],Table2[Region],"Region not found")</f>
        <v>South</v>
      </c>
      <c r="M1852" s="25">
        <v>1</v>
      </c>
      <c r="N1852" s="36">
        <v>780.24</v>
      </c>
      <c r="O1852" s="29">
        <v>0.04</v>
      </c>
      <c r="P1852" s="2" t="s">
        <v>1812</v>
      </c>
      <c r="Q1852" s="36">
        <v>749.03039999999999</v>
      </c>
    </row>
    <row r="1853" spans="1:17" x14ac:dyDescent="0.3">
      <c r="A1853" s="2" t="s">
        <v>3660</v>
      </c>
      <c r="B1853" s="14">
        <v>45552</v>
      </c>
      <c r="C1853" s="2">
        <f>YEAR(Sales_Details2[[#This Row],[Order_Date]])</f>
        <v>2024</v>
      </c>
      <c r="D1853" s="2" t="s">
        <v>373</v>
      </c>
      <c r="E1853" s="2" t="str">
        <f>VLOOKUP(Sales_Details2[[#This Row],[Customer_ID]],Customer_Details[#All],4,0)</f>
        <v>Senior</v>
      </c>
      <c r="F1853" s="2" t="str">
        <f>VLOOKUP(Sales_Details2[[#This Row],[Customer_ID]],Customer_Details[#All],5,0)</f>
        <v>Female</v>
      </c>
      <c r="G1853" s="2" t="str">
        <f>VLOOKUP(Sales_Details2[[#This Row],[Customer_ID]],Customer_Details[#All],9,0)</f>
        <v>Platinum</v>
      </c>
      <c r="H1853" s="2" t="s">
        <v>1671</v>
      </c>
      <c r="I1853" s="2" t="str">
        <f>VLOOKUP(Sales_Details2[[#This Row],[Product_ID]],Product_details[[#All],[Product_ID]:[Cost]],3,0)</f>
        <v>Home</v>
      </c>
      <c r="J1853" s="2" t="str">
        <f>VLOOKUP(Sales_Details2[[#This Row],[Product_ID]],Product_details[[#All],[Product_ID]:[Cost]],4,0)</f>
        <v>Storage</v>
      </c>
      <c r="K1853" s="2" t="s">
        <v>1787</v>
      </c>
      <c r="L1853" s="2" t="str">
        <f>_xlfn.XLOOKUP(Sales_Details2[[#This Row],[Store_ID]],Table2[Store_ID],Table2[Region],"Region not found")</f>
        <v>West</v>
      </c>
      <c r="M1853" s="25">
        <v>4</v>
      </c>
      <c r="N1853" s="36">
        <v>579.24</v>
      </c>
      <c r="O1853" s="29">
        <v>0.04</v>
      </c>
      <c r="P1853" s="2" t="s">
        <v>1812</v>
      </c>
      <c r="Q1853" s="36">
        <v>2224.2815999999998</v>
      </c>
    </row>
    <row r="1854" spans="1:17" x14ac:dyDescent="0.3">
      <c r="A1854" s="2" t="s">
        <v>3661</v>
      </c>
      <c r="B1854" s="14">
        <v>45635</v>
      </c>
      <c r="C1854" s="2">
        <f>YEAR(Sales_Details2[[#This Row],[Order_Date]])</f>
        <v>2024</v>
      </c>
      <c r="D1854" s="2" t="s">
        <v>1147</v>
      </c>
      <c r="E1854" s="2" t="str">
        <f>VLOOKUP(Sales_Details2[[#This Row],[Customer_ID]],Customer_Details[#All],4,0)</f>
        <v>Adult</v>
      </c>
      <c r="F1854" s="2" t="str">
        <f>VLOOKUP(Sales_Details2[[#This Row],[Customer_ID]],Customer_Details[#All],5,0)</f>
        <v>Female</v>
      </c>
      <c r="G1854" s="2" t="str">
        <f>VLOOKUP(Sales_Details2[[#This Row],[Customer_ID]],Customer_Details[#All],9,0)</f>
        <v>Platinum</v>
      </c>
      <c r="H1854" s="2" t="s">
        <v>1529</v>
      </c>
      <c r="I1854" s="2" t="str">
        <f>VLOOKUP(Sales_Details2[[#This Row],[Product_ID]],Product_details[[#All],[Product_ID]:[Cost]],3,0)</f>
        <v>Clothing</v>
      </c>
      <c r="J1854" s="2" t="str">
        <f>VLOOKUP(Sales_Details2[[#This Row],[Product_ID]],Product_details[[#All],[Product_ID]:[Cost]],4,0)</f>
        <v>Tops</v>
      </c>
      <c r="K1854" s="2" t="s">
        <v>1744</v>
      </c>
      <c r="L1854" s="2" t="str">
        <f>_xlfn.XLOOKUP(Sales_Details2[[#This Row],[Store_ID]],Table2[Store_ID],Table2[Region],"Region not found")</f>
        <v>South</v>
      </c>
      <c r="M1854" s="25">
        <v>3</v>
      </c>
      <c r="N1854" s="36">
        <v>268.95</v>
      </c>
      <c r="O1854" s="29">
        <v>0.04</v>
      </c>
      <c r="P1854" s="2" t="s">
        <v>1809</v>
      </c>
      <c r="Q1854" s="36">
        <v>774.57599999999991</v>
      </c>
    </row>
    <row r="1855" spans="1:17" x14ac:dyDescent="0.3">
      <c r="A1855" s="2" t="s">
        <v>3662</v>
      </c>
      <c r="B1855" s="14">
        <v>45740</v>
      </c>
      <c r="C1855" s="2">
        <f>YEAR(Sales_Details2[[#This Row],[Order_Date]])</f>
        <v>2025</v>
      </c>
      <c r="D1855" s="2" t="s">
        <v>953</v>
      </c>
      <c r="E1855" s="2" t="str">
        <f>VLOOKUP(Sales_Details2[[#This Row],[Customer_ID]],Customer_Details[#All],4,0)</f>
        <v>Senior</v>
      </c>
      <c r="F1855" s="2" t="str">
        <f>VLOOKUP(Sales_Details2[[#This Row],[Customer_ID]],Customer_Details[#All],5,0)</f>
        <v>Male</v>
      </c>
      <c r="G1855" s="2" t="str">
        <f>VLOOKUP(Sales_Details2[[#This Row],[Customer_ID]],Customer_Details[#All],9,0)</f>
        <v>Platinum</v>
      </c>
      <c r="H1855" s="2" t="s">
        <v>1538</v>
      </c>
      <c r="I1855" s="2" t="str">
        <f>VLOOKUP(Sales_Details2[[#This Row],[Product_ID]],Product_details[[#All],[Product_ID]:[Cost]],3,0)</f>
        <v>Clothing</v>
      </c>
      <c r="J1855" s="2" t="str">
        <f>VLOOKUP(Sales_Details2[[#This Row],[Product_ID]],Product_details[[#All],[Product_ID]:[Cost]],4,0)</f>
        <v>Accessories</v>
      </c>
      <c r="K1855" s="2" t="s">
        <v>1752</v>
      </c>
      <c r="L1855" s="2" t="str">
        <f>_xlfn.XLOOKUP(Sales_Details2[[#This Row],[Store_ID]],Table2[Store_ID],Table2[Region],"Region not found")</f>
        <v>South</v>
      </c>
      <c r="M1855" s="25">
        <v>1</v>
      </c>
      <c r="N1855" s="36">
        <v>47.47</v>
      </c>
      <c r="O1855" s="29">
        <v>0.28000000000000003</v>
      </c>
      <c r="P1855" s="2" t="s">
        <v>1807</v>
      </c>
      <c r="Q1855" s="36">
        <v>34.178400000000003</v>
      </c>
    </row>
    <row r="1856" spans="1:17" x14ac:dyDescent="0.3">
      <c r="A1856" s="2" t="s">
        <v>3663</v>
      </c>
      <c r="B1856" s="14">
        <v>45796</v>
      </c>
      <c r="C1856" s="2">
        <f>YEAR(Sales_Details2[[#This Row],[Order_Date]])</f>
        <v>2025</v>
      </c>
      <c r="D1856" s="2" t="s">
        <v>814</v>
      </c>
      <c r="E1856" s="2" t="str">
        <f>VLOOKUP(Sales_Details2[[#This Row],[Customer_ID]],Customer_Details[#All],4,0)</f>
        <v>Mid-Adult</v>
      </c>
      <c r="F1856" s="2" t="str">
        <f>VLOOKUP(Sales_Details2[[#This Row],[Customer_ID]],Customer_Details[#All],5,0)</f>
        <v>Male</v>
      </c>
      <c r="G1856" s="2" t="str">
        <f>VLOOKUP(Sales_Details2[[#This Row],[Customer_ID]],Customer_Details[#All],9,0)</f>
        <v>Silver</v>
      </c>
      <c r="H1856" s="2" t="s">
        <v>1597</v>
      </c>
      <c r="I1856" s="2" t="str">
        <f>VLOOKUP(Sales_Details2[[#This Row],[Product_ID]],Product_details[[#All],[Product_ID]:[Cost]],3,0)</f>
        <v>Home</v>
      </c>
      <c r="J1856" s="2" t="str">
        <f>VLOOKUP(Sales_Details2[[#This Row],[Product_ID]],Product_details[[#All],[Product_ID]:[Cost]],4,0)</f>
        <v>Decor</v>
      </c>
      <c r="K1856" s="2" t="s">
        <v>1790</v>
      </c>
      <c r="L1856" s="2" t="str">
        <f>_xlfn.XLOOKUP(Sales_Details2[[#This Row],[Store_ID]],Table2[Store_ID],Table2[Region],"Region not found")</f>
        <v>North</v>
      </c>
      <c r="M1856" s="25">
        <v>3</v>
      </c>
      <c r="N1856" s="36">
        <v>858.81</v>
      </c>
      <c r="O1856" s="29">
        <v>7.0000000000000007E-2</v>
      </c>
      <c r="P1856" s="2" t="s">
        <v>1807</v>
      </c>
      <c r="Q1856" s="36">
        <v>2396.0799000000002</v>
      </c>
    </row>
    <row r="1857" spans="1:17" x14ac:dyDescent="0.3">
      <c r="A1857" s="2" t="s">
        <v>3664</v>
      </c>
      <c r="B1857" s="14">
        <v>45710</v>
      </c>
      <c r="C1857" s="2">
        <f>YEAR(Sales_Details2[[#This Row],[Order_Date]])</f>
        <v>2025</v>
      </c>
      <c r="D1857" s="2" t="s">
        <v>968</v>
      </c>
      <c r="E1857" s="2" t="str">
        <f>VLOOKUP(Sales_Details2[[#This Row],[Customer_ID]],Customer_Details[#All],4,0)</f>
        <v>Adult</v>
      </c>
      <c r="F1857" s="2" t="str">
        <f>VLOOKUP(Sales_Details2[[#This Row],[Customer_ID]],Customer_Details[#All],5,0)</f>
        <v>Male</v>
      </c>
      <c r="G1857" s="2" t="str">
        <f>VLOOKUP(Sales_Details2[[#This Row],[Customer_ID]],Customer_Details[#All],9,0)</f>
        <v>Silver</v>
      </c>
      <c r="H1857" s="2" t="s">
        <v>1569</v>
      </c>
      <c r="I1857" s="2" t="str">
        <f>VLOOKUP(Sales_Details2[[#This Row],[Product_ID]],Product_details[[#All],[Product_ID]:[Cost]],3,0)</f>
        <v>Sports</v>
      </c>
      <c r="J1857" s="2" t="str">
        <f>VLOOKUP(Sales_Details2[[#This Row],[Product_ID]],Product_details[[#All],[Product_ID]:[Cost]],4,0)</f>
        <v>Equipment</v>
      </c>
      <c r="K1857" s="2" t="s">
        <v>1772</v>
      </c>
      <c r="L1857" s="2" t="str">
        <f>_xlfn.XLOOKUP(Sales_Details2[[#This Row],[Store_ID]],Table2[Store_ID],Table2[Region],"Region not found")</f>
        <v>East</v>
      </c>
      <c r="M1857" s="25">
        <v>3</v>
      </c>
      <c r="N1857" s="36">
        <v>569.98</v>
      </c>
      <c r="O1857" s="29">
        <v>0.05</v>
      </c>
      <c r="P1857" s="2" t="s">
        <v>1807</v>
      </c>
      <c r="Q1857" s="36">
        <v>1624.443</v>
      </c>
    </row>
    <row r="1858" spans="1:17" x14ac:dyDescent="0.3">
      <c r="A1858" s="2" t="s">
        <v>3665</v>
      </c>
      <c r="B1858" s="14">
        <v>45596</v>
      </c>
      <c r="C1858" s="2">
        <f>YEAR(Sales_Details2[[#This Row],[Order_Date]])</f>
        <v>2024</v>
      </c>
      <c r="D1858" s="2" t="s">
        <v>1018</v>
      </c>
      <c r="E1858" s="2" t="str">
        <f>VLOOKUP(Sales_Details2[[#This Row],[Customer_ID]],Customer_Details[#All],4,0)</f>
        <v>Senior</v>
      </c>
      <c r="F1858" s="2" t="str">
        <f>VLOOKUP(Sales_Details2[[#This Row],[Customer_ID]],Customer_Details[#All],5,0)</f>
        <v>Female</v>
      </c>
      <c r="G1858" s="2" t="str">
        <f>VLOOKUP(Sales_Details2[[#This Row],[Customer_ID]],Customer_Details[#All],9,0)</f>
        <v>Bronze</v>
      </c>
      <c r="H1858" s="2" t="s">
        <v>1679</v>
      </c>
      <c r="I1858" s="2" t="str">
        <f>VLOOKUP(Sales_Details2[[#This Row],[Product_ID]],Product_details[[#All],[Product_ID]:[Cost]],3,0)</f>
        <v>Electronics</v>
      </c>
      <c r="J1858" s="2" t="str">
        <f>VLOOKUP(Sales_Details2[[#This Row],[Product_ID]],Product_details[[#All],[Product_ID]:[Cost]],4,0)</f>
        <v>Audio</v>
      </c>
      <c r="K1858" s="2" t="s">
        <v>1777</v>
      </c>
      <c r="L1858" s="2" t="str">
        <f>_xlfn.XLOOKUP(Sales_Details2[[#This Row],[Store_ID]],Table2[Store_ID],Table2[Region],"Region not found")</f>
        <v>North</v>
      </c>
      <c r="M1858" s="25">
        <v>3</v>
      </c>
      <c r="N1858" s="36">
        <v>306.52</v>
      </c>
      <c r="O1858" s="29">
        <v>0.01</v>
      </c>
      <c r="P1858" s="2" t="s">
        <v>1812</v>
      </c>
      <c r="Q1858" s="36">
        <v>910.36439999999993</v>
      </c>
    </row>
    <row r="1859" spans="1:17" x14ac:dyDescent="0.3">
      <c r="A1859" s="2" t="s">
        <v>3666</v>
      </c>
      <c r="B1859" s="14">
        <v>45354</v>
      </c>
      <c r="C1859" s="2">
        <f>YEAR(Sales_Details2[[#This Row],[Order_Date]])</f>
        <v>2024</v>
      </c>
      <c r="D1859" s="2" t="s">
        <v>235</v>
      </c>
      <c r="E1859" s="2" t="str">
        <f>VLOOKUP(Sales_Details2[[#This Row],[Customer_ID]],Customer_Details[#All],4,0)</f>
        <v>Mid-Adult</v>
      </c>
      <c r="F1859" s="2" t="str">
        <f>VLOOKUP(Sales_Details2[[#This Row],[Customer_ID]],Customer_Details[#All],5,0)</f>
        <v>Male</v>
      </c>
      <c r="G1859" s="2" t="str">
        <f>VLOOKUP(Sales_Details2[[#This Row],[Customer_ID]],Customer_Details[#All],9,0)</f>
        <v>Gold</v>
      </c>
      <c r="H1859" s="2" t="s">
        <v>1643</v>
      </c>
      <c r="I1859" s="2" t="str">
        <f>VLOOKUP(Sales_Details2[[#This Row],[Product_ID]],Product_details[[#All],[Product_ID]:[Cost]],3,0)</f>
        <v>Home</v>
      </c>
      <c r="J1859" s="2" t="str">
        <f>VLOOKUP(Sales_Details2[[#This Row],[Product_ID]],Product_details[[#All],[Product_ID]:[Cost]],4,0)</f>
        <v>Decor</v>
      </c>
      <c r="K1859" s="2" t="s">
        <v>1780</v>
      </c>
      <c r="L1859" s="2" t="str">
        <f>_xlfn.XLOOKUP(Sales_Details2[[#This Row],[Store_ID]],Table2[Store_ID],Table2[Region],"Region not found")</f>
        <v>East</v>
      </c>
      <c r="M1859" s="25">
        <v>3</v>
      </c>
      <c r="N1859" s="36">
        <v>184.67</v>
      </c>
      <c r="O1859" s="29">
        <v>0.03</v>
      </c>
      <c r="P1859" s="2" t="s">
        <v>1812</v>
      </c>
      <c r="Q1859" s="36">
        <v>537.38969999999995</v>
      </c>
    </row>
    <row r="1860" spans="1:17" x14ac:dyDescent="0.3">
      <c r="A1860" s="2" t="s">
        <v>3667</v>
      </c>
      <c r="B1860" s="14">
        <v>45428</v>
      </c>
      <c r="C1860" s="2">
        <f>YEAR(Sales_Details2[[#This Row],[Order_Date]])</f>
        <v>2024</v>
      </c>
      <c r="D1860" s="2" t="s">
        <v>1467</v>
      </c>
      <c r="E1860" s="2" t="str">
        <f>VLOOKUP(Sales_Details2[[#This Row],[Customer_ID]],Customer_Details[#All],4,0)</f>
        <v>Adult</v>
      </c>
      <c r="F1860" s="2" t="str">
        <f>VLOOKUP(Sales_Details2[[#This Row],[Customer_ID]],Customer_Details[#All],5,0)</f>
        <v>Male</v>
      </c>
      <c r="G1860" s="2" t="str">
        <f>VLOOKUP(Sales_Details2[[#This Row],[Customer_ID]],Customer_Details[#All],9,0)</f>
        <v>Platinum</v>
      </c>
      <c r="H1860" s="2" t="s">
        <v>1583</v>
      </c>
      <c r="I1860" s="2" t="str">
        <f>VLOOKUP(Sales_Details2[[#This Row],[Product_ID]],Product_details[[#All],[Product_ID]:[Cost]],3,0)</f>
        <v>Electronics</v>
      </c>
      <c r="J1860" s="2" t="str">
        <f>VLOOKUP(Sales_Details2[[#This Row],[Product_ID]],Product_details[[#All],[Product_ID]:[Cost]],4,0)</f>
        <v>Audio</v>
      </c>
      <c r="K1860" s="2" t="s">
        <v>1756</v>
      </c>
      <c r="L1860" s="2" t="str">
        <f>_xlfn.XLOOKUP(Sales_Details2[[#This Row],[Store_ID]],Table2[Store_ID],Table2[Region],"Region not found")</f>
        <v>North</v>
      </c>
      <c r="M1860" s="25">
        <v>4</v>
      </c>
      <c r="N1860" s="36">
        <v>189.56</v>
      </c>
      <c r="O1860" s="29">
        <v>0</v>
      </c>
      <c r="P1860" s="2" t="s">
        <v>1812</v>
      </c>
      <c r="Q1860" s="36">
        <v>758.24</v>
      </c>
    </row>
    <row r="1861" spans="1:17" x14ac:dyDescent="0.3">
      <c r="A1861" s="2" t="s">
        <v>3668</v>
      </c>
      <c r="B1861" s="14">
        <v>45511</v>
      </c>
      <c r="C1861" s="2">
        <f>YEAR(Sales_Details2[[#This Row],[Order_Date]])</f>
        <v>2024</v>
      </c>
      <c r="D1861" s="2" t="s">
        <v>672</v>
      </c>
      <c r="E1861" s="2" t="str">
        <f>VLOOKUP(Sales_Details2[[#This Row],[Customer_ID]],Customer_Details[#All],4,0)</f>
        <v>Senior</v>
      </c>
      <c r="F1861" s="2" t="str">
        <f>VLOOKUP(Sales_Details2[[#This Row],[Customer_ID]],Customer_Details[#All],5,0)</f>
        <v>Male</v>
      </c>
      <c r="G1861" s="2" t="str">
        <f>VLOOKUP(Sales_Details2[[#This Row],[Customer_ID]],Customer_Details[#All],9,0)</f>
        <v>Platinum</v>
      </c>
      <c r="H1861" s="2" t="s">
        <v>1681</v>
      </c>
      <c r="I1861" s="2" t="str">
        <f>VLOOKUP(Sales_Details2[[#This Row],[Product_ID]],Product_details[[#All],[Product_ID]:[Cost]],3,0)</f>
        <v>Clothing</v>
      </c>
      <c r="J1861" s="2" t="str">
        <f>VLOOKUP(Sales_Details2[[#This Row],[Product_ID]],Product_details[[#All],[Product_ID]:[Cost]],4,0)</f>
        <v>Footwear</v>
      </c>
      <c r="K1861" s="2" t="s">
        <v>1756</v>
      </c>
      <c r="L1861" s="2" t="str">
        <f>_xlfn.XLOOKUP(Sales_Details2[[#This Row],[Store_ID]],Table2[Store_ID],Table2[Region],"Region not found")</f>
        <v>North</v>
      </c>
      <c r="M1861" s="25">
        <v>1</v>
      </c>
      <c r="N1861" s="36">
        <v>805.24</v>
      </c>
      <c r="O1861" s="29">
        <v>0.04</v>
      </c>
      <c r="P1861" s="2" t="s">
        <v>1809</v>
      </c>
      <c r="Q1861" s="36">
        <v>773.03039999999999</v>
      </c>
    </row>
    <row r="1862" spans="1:17" x14ac:dyDescent="0.3">
      <c r="A1862" s="2" t="s">
        <v>3669</v>
      </c>
      <c r="B1862" s="14">
        <v>45549</v>
      </c>
      <c r="C1862" s="2">
        <f>YEAR(Sales_Details2[[#This Row],[Order_Date]])</f>
        <v>2024</v>
      </c>
      <c r="D1862" s="2" t="s">
        <v>613</v>
      </c>
      <c r="E1862" s="2" t="str">
        <f>VLOOKUP(Sales_Details2[[#This Row],[Customer_ID]],Customer_Details[#All],4,0)</f>
        <v>Mid-Adult</v>
      </c>
      <c r="F1862" s="2" t="str">
        <f>VLOOKUP(Sales_Details2[[#This Row],[Customer_ID]],Customer_Details[#All],5,0)</f>
        <v>Male</v>
      </c>
      <c r="G1862" s="2" t="str">
        <f>VLOOKUP(Sales_Details2[[#This Row],[Customer_ID]],Customer_Details[#All],9,0)</f>
        <v>Silver</v>
      </c>
      <c r="H1862" s="2" t="s">
        <v>1639</v>
      </c>
      <c r="I1862" s="2" t="str">
        <f>VLOOKUP(Sales_Details2[[#This Row],[Product_ID]],Product_details[[#All],[Product_ID]:[Cost]],3,0)</f>
        <v>Sports</v>
      </c>
      <c r="J1862" s="2" t="str">
        <f>VLOOKUP(Sales_Details2[[#This Row],[Product_ID]],Product_details[[#All],[Product_ID]:[Cost]],4,0)</f>
        <v>Accessories</v>
      </c>
      <c r="K1862" s="2" t="s">
        <v>1790</v>
      </c>
      <c r="L1862" s="2" t="str">
        <f>_xlfn.XLOOKUP(Sales_Details2[[#This Row],[Store_ID]],Table2[Store_ID],Table2[Region],"Region not found")</f>
        <v>North</v>
      </c>
      <c r="M1862" s="25">
        <v>3</v>
      </c>
      <c r="N1862" s="36">
        <v>683.74</v>
      </c>
      <c r="O1862" s="29">
        <v>0.24</v>
      </c>
      <c r="P1862" s="2" t="s">
        <v>1807</v>
      </c>
      <c r="Q1862" s="36">
        <v>1558.9272000000001</v>
      </c>
    </row>
    <row r="1863" spans="1:17" x14ac:dyDescent="0.3">
      <c r="A1863" s="2" t="s">
        <v>3670</v>
      </c>
      <c r="B1863" s="14">
        <v>45573</v>
      </c>
      <c r="C1863" s="2">
        <f>YEAR(Sales_Details2[[#This Row],[Order_Date]])</f>
        <v>2024</v>
      </c>
      <c r="D1863" s="2" t="s">
        <v>678</v>
      </c>
      <c r="E1863" s="2" t="str">
        <f>VLOOKUP(Sales_Details2[[#This Row],[Customer_ID]],Customer_Details[#All],4,0)</f>
        <v>Mid-Adult</v>
      </c>
      <c r="F1863" s="2" t="str">
        <f>VLOOKUP(Sales_Details2[[#This Row],[Customer_ID]],Customer_Details[#All],5,0)</f>
        <v>Male</v>
      </c>
      <c r="G1863" s="2" t="str">
        <f>VLOOKUP(Sales_Details2[[#This Row],[Customer_ID]],Customer_Details[#All],9,0)</f>
        <v>Silver</v>
      </c>
      <c r="H1863" s="2" t="s">
        <v>1643</v>
      </c>
      <c r="I1863" s="2" t="str">
        <f>VLOOKUP(Sales_Details2[[#This Row],[Product_ID]],Product_details[[#All],[Product_ID]:[Cost]],3,0)</f>
        <v>Home</v>
      </c>
      <c r="J1863" s="2" t="str">
        <f>VLOOKUP(Sales_Details2[[#This Row],[Product_ID]],Product_details[[#All],[Product_ID]:[Cost]],4,0)</f>
        <v>Decor</v>
      </c>
      <c r="K1863" s="2" t="s">
        <v>1793</v>
      </c>
      <c r="L1863" s="2" t="str">
        <f>_xlfn.XLOOKUP(Sales_Details2[[#This Row],[Store_ID]],Table2[Store_ID],Table2[Region],"Region not found")</f>
        <v>East</v>
      </c>
      <c r="M1863" s="25">
        <v>3</v>
      </c>
      <c r="N1863" s="36">
        <v>439.21</v>
      </c>
      <c r="O1863" s="29">
        <v>0.28000000000000003</v>
      </c>
      <c r="P1863" s="2" t="s">
        <v>1812</v>
      </c>
      <c r="Q1863" s="36">
        <v>948.69359999999983</v>
      </c>
    </row>
    <row r="1864" spans="1:17" x14ac:dyDescent="0.3">
      <c r="A1864" s="2" t="s">
        <v>3671</v>
      </c>
      <c r="B1864" s="14">
        <v>45904</v>
      </c>
      <c r="C1864" s="2">
        <f>YEAR(Sales_Details2[[#This Row],[Order_Date]])</f>
        <v>2025</v>
      </c>
      <c r="D1864" s="2" t="s">
        <v>409</v>
      </c>
      <c r="E1864" s="2" t="str">
        <f>VLOOKUP(Sales_Details2[[#This Row],[Customer_ID]],Customer_Details[#All],4,0)</f>
        <v>Mid-Adult</v>
      </c>
      <c r="F1864" s="2" t="str">
        <f>VLOOKUP(Sales_Details2[[#This Row],[Customer_ID]],Customer_Details[#All],5,0)</f>
        <v>Male</v>
      </c>
      <c r="G1864" s="2" t="str">
        <f>VLOOKUP(Sales_Details2[[#This Row],[Customer_ID]],Customer_Details[#All],9,0)</f>
        <v>Bronze</v>
      </c>
      <c r="H1864" s="2" t="s">
        <v>1663</v>
      </c>
      <c r="I1864" s="2" t="str">
        <f>VLOOKUP(Sales_Details2[[#This Row],[Product_ID]],Product_details[[#All],[Product_ID]:[Cost]],3,0)</f>
        <v>Beauty</v>
      </c>
      <c r="J1864" s="2" t="str">
        <f>VLOOKUP(Sales_Details2[[#This Row],[Product_ID]],Product_details[[#All],[Product_ID]:[Cost]],4,0)</f>
        <v>Haircare</v>
      </c>
      <c r="K1864" s="2" t="s">
        <v>1759</v>
      </c>
      <c r="L1864" s="2" t="str">
        <f>_xlfn.XLOOKUP(Sales_Details2[[#This Row],[Store_ID]],Table2[Store_ID],Table2[Region],"Region not found")</f>
        <v>East</v>
      </c>
      <c r="M1864" s="25">
        <v>1</v>
      </c>
      <c r="N1864" s="36">
        <v>126.92</v>
      </c>
      <c r="O1864" s="29">
        <v>0.24</v>
      </c>
      <c r="P1864" s="2" t="s">
        <v>1812</v>
      </c>
      <c r="Q1864" s="36">
        <v>96.459199999999996</v>
      </c>
    </row>
    <row r="1865" spans="1:17" x14ac:dyDescent="0.3">
      <c r="A1865" s="2" t="s">
        <v>3672</v>
      </c>
      <c r="B1865" s="14">
        <v>45489</v>
      </c>
      <c r="C1865" s="2">
        <f>YEAR(Sales_Details2[[#This Row],[Order_Date]])</f>
        <v>2024</v>
      </c>
      <c r="D1865" s="2" t="s">
        <v>27</v>
      </c>
      <c r="E1865" s="2" t="str">
        <f>VLOOKUP(Sales_Details2[[#This Row],[Customer_ID]],Customer_Details[#All],4,0)</f>
        <v>Senior</v>
      </c>
      <c r="F1865" s="2" t="str">
        <f>VLOOKUP(Sales_Details2[[#This Row],[Customer_ID]],Customer_Details[#All],5,0)</f>
        <v>Female</v>
      </c>
      <c r="G1865" s="2" t="str">
        <f>VLOOKUP(Sales_Details2[[#This Row],[Customer_ID]],Customer_Details[#All],9,0)</f>
        <v>Silver</v>
      </c>
      <c r="H1865" s="2" t="s">
        <v>1677</v>
      </c>
      <c r="I1865" s="2" t="str">
        <f>VLOOKUP(Sales_Details2[[#This Row],[Product_ID]],Product_details[[#All],[Product_ID]:[Cost]],3,0)</f>
        <v>Sports</v>
      </c>
      <c r="J1865" s="2" t="str">
        <f>VLOOKUP(Sales_Details2[[#This Row],[Product_ID]],Product_details[[#All],[Product_ID]:[Cost]],4,0)</f>
        <v>Team Sports</v>
      </c>
      <c r="K1865" s="2" t="s">
        <v>1752</v>
      </c>
      <c r="L1865" s="2" t="str">
        <f>_xlfn.XLOOKUP(Sales_Details2[[#This Row],[Store_ID]],Table2[Store_ID],Table2[Region],"Region not found")</f>
        <v>South</v>
      </c>
      <c r="M1865" s="25">
        <v>4</v>
      </c>
      <c r="N1865" s="36">
        <v>834.7</v>
      </c>
      <c r="O1865" s="29">
        <v>0.14000000000000001</v>
      </c>
      <c r="P1865" s="2" t="s">
        <v>1807</v>
      </c>
      <c r="Q1865" s="36">
        <v>2871.3679999999999</v>
      </c>
    </row>
    <row r="1866" spans="1:17" x14ac:dyDescent="0.3">
      <c r="A1866" s="2" t="s">
        <v>3673</v>
      </c>
      <c r="B1866" s="14">
        <v>45909</v>
      </c>
      <c r="C1866" s="2">
        <f>YEAR(Sales_Details2[[#This Row],[Order_Date]])</f>
        <v>2025</v>
      </c>
      <c r="D1866" s="2" t="s">
        <v>1060</v>
      </c>
      <c r="E1866" s="2" t="str">
        <f>VLOOKUP(Sales_Details2[[#This Row],[Customer_ID]],Customer_Details[#All],4,0)</f>
        <v>Senior</v>
      </c>
      <c r="F1866" s="2" t="str">
        <f>VLOOKUP(Sales_Details2[[#This Row],[Customer_ID]],Customer_Details[#All],5,0)</f>
        <v>Female</v>
      </c>
      <c r="G1866" s="2" t="str">
        <f>VLOOKUP(Sales_Details2[[#This Row],[Customer_ID]],Customer_Details[#All],9,0)</f>
        <v>Bronze</v>
      </c>
      <c r="H1866" s="2" t="s">
        <v>1615</v>
      </c>
      <c r="I1866" s="2" t="str">
        <f>VLOOKUP(Sales_Details2[[#This Row],[Product_ID]],Product_details[[#All],[Product_ID]:[Cost]],3,0)</f>
        <v>Electronics</v>
      </c>
      <c r="J1866" s="2" t="str">
        <f>VLOOKUP(Sales_Details2[[#This Row],[Product_ID]],Product_details[[#All],[Product_ID]:[Cost]],4,0)</f>
        <v>Accessories</v>
      </c>
      <c r="K1866" s="2" t="s">
        <v>1775</v>
      </c>
      <c r="L1866" s="2" t="str">
        <f>_xlfn.XLOOKUP(Sales_Details2[[#This Row],[Store_ID]],Table2[Store_ID],Table2[Region],"Region not found")</f>
        <v>South</v>
      </c>
      <c r="M1866" s="25">
        <v>2</v>
      </c>
      <c r="N1866" s="36">
        <v>271.88</v>
      </c>
      <c r="O1866" s="29">
        <v>0.11</v>
      </c>
      <c r="P1866" s="2" t="s">
        <v>1812</v>
      </c>
      <c r="Q1866" s="36">
        <v>483.94639999999998</v>
      </c>
    </row>
    <row r="1867" spans="1:17" x14ac:dyDescent="0.3">
      <c r="A1867" s="2" t="s">
        <v>3674</v>
      </c>
      <c r="B1867" s="14">
        <v>45720</v>
      </c>
      <c r="C1867" s="2">
        <f>YEAR(Sales_Details2[[#This Row],[Order_Date]])</f>
        <v>2025</v>
      </c>
      <c r="D1867" s="2" t="s">
        <v>1461</v>
      </c>
      <c r="E1867" s="2" t="str">
        <f>VLOOKUP(Sales_Details2[[#This Row],[Customer_ID]],Customer_Details[#All],4,0)</f>
        <v>Mid-Adult</v>
      </c>
      <c r="F1867" s="2" t="str">
        <f>VLOOKUP(Sales_Details2[[#This Row],[Customer_ID]],Customer_Details[#All],5,0)</f>
        <v>Male</v>
      </c>
      <c r="G1867" s="2" t="str">
        <f>VLOOKUP(Sales_Details2[[#This Row],[Customer_ID]],Customer_Details[#All],9,0)</f>
        <v>Bronze</v>
      </c>
      <c r="H1867" s="2" t="s">
        <v>1553</v>
      </c>
      <c r="I1867" s="2" t="str">
        <f>VLOOKUP(Sales_Details2[[#This Row],[Product_ID]],Product_details[[#All],[Product_ID]:[Cost]],3,0)</f>
        <v>Electronics</v>
      </c>
      <c r="J1867" s="2" t="str">
        <f>VLOOKUP(Sales_Details2[[#This Row],[Product_ID]],Product_details[[#All],[Product_ID]:[Cost]],4,0)</f>
        <v>Accessories</v>
      </c>
      <c r="K1867" s="2" t="s">
        <v>1740</v>
      </c>
      <c r="L1867" s="2" t="str">
        <f>_xlfn.XLOOKUP(Sales_Details2[[#This Row],[Store_ID]],Table2[Store_ID],Table2[Region],"Region not found")</f>
        <v>North</v>
      </c>
      <c r="M1867" s="25">
        <v>4</v>
      </c>
      <c r="N1867" s="36">
        <v>972.14</v>
      </c>
      <c r="O1867" s="29">
        <v>0.25</v>
      </c>
      <c r="P1867" s="2" t="s">
        <v>1807</v>
      </c>
      <c r="Q1867" s="36">
        <v>2916.42</v>
      </c>
    </row>
    <row r="1868" spans="1:17" x14ac:dyDescent="0.3">
      <c r="A1868" s="2" t="s">
        <v>3675</v>
      </c>
      <c r="B1868" s="14">
        <v>45831</v>
      </c>
      <c r="C1868" s="2">
        <f>YEAR(Sales_Details2[[#This Row],[Order_Date]])</f>
        <v>2025</v>
      </c>
      <c r="D1868" s="2" t="s">
        <v>330</v>
      </c>
      <c r="E1868" s="2" t="str">
        <f>VLOOKUP(Sales_Details2[[#This Row],[Customer_ID]],Customer_Details[#All],4,0)</f>
        <v>Adult</v>
      </c>
      <c r="F1868" s="2" t="str">
        <f>VLOOKUP(Sales_Details2[[#This Row],[Customer_ID]],Customer_Details[#All],5,0)</f>
        <v>Female</v>
      </c>
      <c r="G1868" s="2" t="str">
        <f>VLOOKUP(Sales_Details2[[#This Row],[Customer_ID]],Customer_Details[#All],9,0)</f>
        <v>Gold</v>
      </c>
      <c r="H1868" s="2" t="s">
        <v>1617</v>
      </c>
      <c r="I1868" s="2" t="str">
        <f>VLOOKUP(Sales_Details2[[#This Row],[Product_ID]],Product_details[[#All],[Product_ID]:[Cost]],3,0)</f>
        <v>Electronics</v>
      </c>
      <c r="J1868" s="2" t="str">
        <f>VLOOKUP(Sales_Details2[[#This Row],[Product_ID]],Product_details[[#All],[Product_ID]:[Cost]],4,0)</f>
        <v>Computer</v>
      </c>
      <c r="K1868" s="2" t="s">
        <v>1752</v>
      </c>
      <c r="L1868" s="2" t="str">
        <f>_xlfn.XLOOKUP(Sales_Details2[[#This Row],[Store_ID]],Table2[Store_ID],Table2[Region],"Region not found")</f>
        <v>South</v>
      </c>
      <c r="M1868" s="25">
        <v>3</v>
      </c>
      <c r="N1868" s="36">
        <v>523.66</v>
      </c>
      <c r="O1868" s="29">
        <v>0.27</v>
      </c>
      <c r="P1868" s="2" t="s">
        <v>1809</v>
      </c>
      <c r="Q1868" s="36">
        <v>1146.8154</v>
      </c>
    </row>
    <row r="1869" spans="1:17" x14ac:dyDescent="0.3">
      <c r="A1869" s="2" t="s">
        <v>3676</v>
      </c>
      <c r="B1869" s="14">
        <v>45602</v>
      </c>
      <c r="C1869" s="2">
        <f>YEAR(Sales_Details2[[#This Row],[Order_Date]])</f>
        <v>2024</v>
      </c>
      <c r="D1869" s="2" t="s">
        <v>494</v>
      </c>
      <c r="E1869" s="2" t="str">
        <f>VLOOKUP(Sales_Details2[[#This Row],[Customer_ID]],Customer_Details[#All],4,0)</f>
        <v>Mid-Adult</v>
      </c>
      <c r="F1869" s="2" t="str">
        <f>VLOOKUP(Sales_Details2[[#This Row],[Customer_ID]],Customer_Details[#All],5,0)</f>
        <v>Female</v>
      </c>
      <c r="G1869" s="2" t="str">
        <f>VLOOKUP(Sales_Details2[[#This Row],[Customer_ID]],Customer_Details[#All],9,0)</f>
        <v>Bronze</v>
      </c>
      <c r="H1869" s="2" t="s">
        <v>1659</v>
      </c>
      <c r="I1869" s="2" t="str">
        <f>VLOOKUP(Sales_Details2[[#This Row],[Product_ID]],Product_details[[#All],[Product_ID]:[Cost]],3,0)</f>
        <v>Beauty</v>
      </c>
      <c r="J1869" s="2" t="str">
        <f>VLOOKUP(Sales_Details2[[#This Row],[Product_ID]],Product_details[[#All],[Product_ID]:[Cost]],4,0)</f>
        <v>Makeup</v>
      </c>
      <c r="K1869" s="2" t="s">
        <v>1744</v>
      </c>
      <c r="L1869" s="2" t="str">
        <f>_xlfn.XLOOKUP(Sales_Details2[[#This Row],[Store_ID]],Table2[Store_ID],Table2[Region],"Region not found")</f>
        <v>South</v>
      </c>
      <c r="M1869" s="25">
        <v>4</v>
      </c>
      <c r="N1869" s="36">
        <v>838.99</v>
      </c>
      <c r="O1869" s="29">
        <v>0.16</v>
      </c>
      <c r="P1869" s="2" t="s">
        <v>1807</v>
      </c>
      <c r="Q1869" s="36">
        <v>2819.0064000000002</v>
      </c>
    </row>
    <row r="1870" spans="1:17" x14ac:dyDescent="0.3">
      <c r="A1870" s="2" t="s">
        <v>3677</v>
      </c>
      <c r="B1870" s="14">
        <v>45722</v>
      </c>
      <c r="C1870" s="2">
        <f>YEAR(Sales_Details2[[#This Row],[Order_Date]])</f>
        <v>2025</v>
      </c>
      <c r="D1870" s="2" t="s">
        <v>456</v>
      </c>
      <c r="E1870" s="2" t="str">
        <f>VLOOKUP(Sales_Details2[[#This Row],[Customer_ID]],Customer_Details[#All],4,0)</f>
        <v>Mid-Adult</v>
      </c>
      <c r="F1870" s="2" t="str">
        <f>VLOOKUP(Sales_Details2[[#This Row],[Customer_ID]],Customer_Details[#All],5,0)</f>
        <v>Female</v>
      </c>
      <c r="G1870" s="2" t="str">
        <f>VLOOKUP(Sales_Details2[[#This Row],[Customer_ID]],Customer_Details[#All],9,0)</f>
        <v>Platinum</v>
      </c>
      <c r="H1870" s="2" t="s">
        <v>1553</v>
      </c>
      <c r="I1870" s="2" t="str">
        <f>VLOOKUP(Sales_Details2[[#This Row],[Product_ID]],Product_details[[#All],[Product_ID]:[Cost]],3,0)</f>
        <v>Electronics</v>
      </c>
      <c r="J1870" s="2" t="str">
        <f>VLOOKUP(Sales_Details2[[#This Row],[Product_ID]],Product_details[[#All],[Product_ID]:[Cost]],4,0)</f>
        <v>Accessories</v>
      </c>
      <c r="K1870" s="2" t="s">
        <v>1790</v>
      </c>
      <c r="L1870" s="2" t="str">
        <f>_xlfn.XLOOKUP(Sales_Details2[[#This Row],[Store_ID]],Table2[Store_ID],Table2[Region],"Region not found")</f>
        <v>North</v>
      </c>
      <c r="M1870" s="25">
        <v>4</v>
      </c>
      <c r="N1870" s="36">
        <v>838.7</v>
      </c>
      <c r="O1870" s="29">
        <v>0.21</v>
      </c>
      <c r="P1870" s="2" t="s">
        <v>1812</v>
      </c>
      <c r="Q1870" s="36">
        <v>2650.2919999999999</v>
      </c>
    </row>
    <row r="1871" spans="1:17" x14ac:dyDescent="0.3">
      <c r="A1871" s="2" t="s">
        <v>3678</v>
      </c>
      <c r="B1871" s="14">
        <v>45794</v>
      </c>
      <c r="C1871" s="2">
        <f>YEAR(Sales_Details2[[#This Row],[Order_Date]])</f>
        <v>2025</v>
      </c>
      <c r="D1871" s="2" t="s">
        <v>1290</v>
      </c>
      <c r="E1871" s="2" t="str">
        <f>VLOOKUP(Sales_Details2[[#This Row],[Customer_ID]],Customer_Details[#All],4,0)</f>
        <v>Senior</v>
      </c>
      <c r="F1871" s="2" t="str">
        <f>VLOOKUP(Sales_Details2[[#This Row],[Customer_ID]],Customer_Details[#All],5,0)</f>
        <v>Male</v>
      </c>
      <c r="G1871" s="2" t="str">
        <f>VLOOKUP(Sales_Details2[[#This Row],[Customer_ID]],Customer_Details[#All],9,0)</f>
        <v>Bronze</v>
      </c>
      <c r="H1871" s="2" t="s">
        <v>1679</v>
      </c>
      <c r="I1871" s="2" t="str">
        <f>VLOOKUP(Sales_Details2[[#This Row],[Product_ID]],Product_details[[#All],[Product_ID]:[Cost]],3,0)</f>
        <v>Electronics</v>
      </c>
      <c r="J1871" s="2" t="str">
        <f>VLOOKUP(Sales_Details2[[#This Row],[Product_ID]],Product_details[[#All],[Product_ID]:[Cost]],4,0)</f>
        <v>Audio</v>
      </c>
      <c r="K1871" s="2" t="s">
        <v>1765</v>
      </c>
      <c r="L1871" s="2" t="str">
        <f>_xlfn.XLOOKUP(Sales_Details2[[#This Row],[Store_ID]],Table2[Store_ID],Table2[Region],"Region not found")</f>
        <v>West</v>
      </c>
      <c r="M1871" s="25">
        <v>3</v>
      </c>
      <c r="N1871" s="36">
        <v>943.24</v>
      </c>
      <c r="O1871" s="29">
        <v>0.21</v>
      </c>
      <c r="P1871" s="2" t="s">
        <v>1807</v>
      </c>
      <c r="Q1871" s="36">
        <v>2235.4787999999999</v>
      </c>
    </row>
    <row r="1872" spans="1:17" x14ac:dyDescent="0.3">
      <c r="A1872" s="2" t="s">
        <v>3679</v>
      </c>
      <c r="B1872" s="14">
        <v>45659</v>
      </c>
      <c r="C1872" s="2">
        <f>YEAR(Sales_Details2[[#This Row],[Order_Date]])</f>
        <v>2025</v>
      </c>
      <c r="D1872" s="2" t="s">
        <v>936</v>
      </c>
      <c r="E1872" s="2" t="str">
        <f>VLOOKUP(Sales_Details2[[#This Row],[Customer_ID]],Customer_Details[#All],4,0)</f>
        <v>Mid-Adult</v>
      </c>
      <c r="F1872" s="2" t="str">
        <f>VLOOKUP(Sales_Details2[[#This Row],[Customer_ID]],Customer_Details[#All],5,0)</f>
        <v>Female</v>
      </c>
      <c r="G1872" s="2" t="str">
        <f>VLOOKUP(Sales_Details2[[#This Row],[Customer_ID]],Customer_Details[#All],9,0)</f>
        <v>Platinum</v>
      </c>
      <c r="H1872" s="2" t="s">
        <v>1526</v>
      </c>
      <c r="I1872" s="2" t="str">
        <f>VLOOKUP(Sales_Details2[[#This Row],[Product_ID]],Product_details[[#All],[Product_ID]:[Cost]],3,0)</f>
        <v>Electronics</v>
      </c>
      <c r="J1872" s="2" t="str">
        <f>VLOOKUP(Sales_Details2[[#This Row],[Product_ID]],Product_details[[#All],[Product_ID]:[Cost]],4,0)</f>
        <v>Computer</v>
      </c>
      <c r="K1872" s="2" t="s">
        <v>1790</v>
      </c>
      <c r="L1872" s="2" t="str">
        <f>_xlfn.XLOOKUP(Sales_Details2[[#This Row],[Store_ID]],Table2[Store_ID],Table2[Region],"Region not found")</f>
        <v>North</v>
      </c>
      <c r="M1872" s="25">
        <v>2</v>
      </c>
      <c r="N1872" s="36">
        <v>310.33</v>
      </c>
      <c r="O1872" s="29">
        <v>0.26</v>
      </c>
      <c r="P1872" s="2" t="s">
        <v>1807</v>
      </c>
      <c r="Q1872" s="36">
        <v>459.28840000000002</v>
      </c>
    </row>
    <row r="1873" spans="1:17" x14ac:dyDescent="0.3">
      <c r="A1873" s="2" t="s">
        <v>3680</v>
      </c>
      <c r="B1873" s="14">
        <v>45501</v>
      </c>
      <c r="C1873" s="2">
        <f>YEAR(Sales_Details2[[#This Row],[Order_Date]])</f>
        <v>2024</v>
      </c>
      <c r="D1873" s="2" t="s">
        <v>1075</v>
      </c>
      <c r="E1873" s="2" t="str">
        <f>VLOOKUP(Sales_Details2[[#This Row],[Customer_ID]],Customer_Details[#All],4,0)</f>
        <v>Senior</v>
      </c>
      <c r="F1873" s="2" t="str">
        <f>VLOOKUP(Sales_Details2[[#This Row],[Customer_ID]],Customer_Details[#All],5,0)</f>
        <v>Female</v>
      </c>
      <c r="G1873" s="2" t="str">
        <f>VLOOKUP(Sales_Details2[[#This Row],[Customer_ID]],Customer_Details[#All],9,0)</f>
        <v>Platinum</v>
      </c>
      <c r="H1873" s="2" t="s">
        <v>1621</v>
      </c>
      <c r="I1873" s="2" t="str">
        <f>VLOOKUP(Sales_Details2[[#This Row],[Product_ID]],Product_details[[#All],[Product_ID]:[Cost]],3,0)</f>
        <v>Sports</v>
      </c>
      <c r="J1873" s="2" t="str">
        <f>VLOOKUP(Sales_Details2[[#This Row],[Product_ID]],Product_details[[#All],[Product_ID]:[Cost]],4,0)</f>
        <v>Team Sports</v>
      </c>
      <c r="K1873" s="2" t="s">
        <v>1735</v>
      </c>
      <c r="L1873" s="2" t="str">
        <f>_xlfn.XLOOKUP(Sales_Details2[[#This Row],[Store_ID]],Table2[Store_ID],Table2[Region],"Region not found")</f>
        <v>East</v>
      </c>
      <c r="M1873" s="25">
        <v>3</v>
      </c>
      <c r="N1873" s="36">
        <v>201.05</v>
      </c>
      <c r="O1873" s="29">
        <v>0.23</v>
      </c>
      <c r="P1873" s="2" t="s">
        <v>1809</v>
      </c>
      <c r="Q1873" s="36">
        <v>464.42550000000011</v>
      </c>
    </row>
    <row r="1874" spans="1:17" x14ac:dyDescent="0.3">
      <c r="A1874" s="2" t="s">
        <v>3681</v>
      </c>
      <c r="B1874" s="14">
        <v>45408</v>
      </c>
      <c r="C1874" s="2">
        <f>YEAR(Sales_Details2[[#This Row],[Order_Date]])</f>
        <v>2024</v>
      </c>
      <c r="D1874" s="2" t="s">
        <v>800</v>
      </c>
      <c r="E1874" s="2" t="str">
        <f>VLOOKUP(Sales_Details2[[#This Row],[Customer_ID]],Customer_Details[#All],4,0)</f>
        <v>Adult</v>
      </c>
      <c r="F1874" s="2" t="str">
        <f>VLOOKUP(Sales_Details2[[#This Row],[Customer_ID]],Customer_Details[#All],5,0)</f>
        <v>Male</v>
      </c>
      <c r="G1874" s="2" t="str">
        <f>VLOOKUP(Sales_Details2[[#This Row],[Customer_ID]],Customer_Details[#All],9,0)</f>
        <v>Silver</v>
      </c>
      <c r="H1874" s="2" t="s">
        <v>1647</v>
      </c>
      <c r="I1874" s="2" t="str">
        <f>VLOOKUP(Sales_Details2[[#This Row],[Product_ID]],Product_details[[#All],[Product_ID]:[Cost]],3,0)</f>
        <v>Clothing</v>
      </c>
      <c r="J1874" s="2" t="str">
        <f>VLOOKUP(Sales_Details2[[#This Row],[Product_ID]],Product_details[[#All],[Product_ID]:[Cost]],4,0)</f>
        <v>Accessories</v>
      </c>
      <c r="K1874" s="2" t="s">
        <v>1790</v>
      </c>
      <c r="L1874" s="2" t="str">
        <f>_xlfn.XLOOKUP(Sales_Details2[[#This Row],[Store_ID]],Table2[Store_ID],Table2[Region],"Region not found")</f>
        <v>North</v>
      </c>
      <c r="M1874" s="25">
        <v>1</v>
      </c>
      <c r="N1874" s="36">
        <v>803.37</v>
      </c>
      <c r="O1874" s="29">
        <v>0.3</v>
      </c>
      <c r="P1874" s="2" t="s">
        <v>1809</v>
      </c>
      <c r="Q1874" s="36">
        <v>562.35899999999992</v>
      </c>
    </row>
    <row r="1875" spans="1:17" x14ac:dyDescent="0.3">
      <c r="A1875" s="2" t="s">
        <v>3682</v>
      </c>
      <c r="B1875" s="14">
        <v>45886</v>
      </c>
      <c r="C1875" s="2">
        <f>YEAR(Sales_Details2[[#This Row],[Order_Date]])</f>
        <v>2025</v>
      </c>
      <c r="D1875" s="2" t="s">
        <v>143</v>
      </c>
      <c r="E1875" s="2" t="str">
        <f>VLOOKUP(Sales_Details2[[#This Row],[Customer_ID]],Customer_Details[#All],4,0)</f>
        <v>Adult</v>
      </c>
      <c r="F1875" s="2" t="str">
        <f>VLOOKUP(Sales_Details2[[#This Row],[Customer_ID]],Customer_Details[#All],5,0)</f>
        <v>Female</v>
      </c>
      <c r="G1875" s="2" t="str">
        <f>VLOOKUP(Sales_Details2[[#This Row],[Customer_ID]],Customer_Details[#All],9,0)</f>
        <v>Gold</v>
      </c>
      <c r="H1875" s="2" t="s">
        <v>1653</v>
      </c>
      <c r="I1875" s="2" t="str">
        <f>VLOOKUP(Sales_Details2[[#This Row],[Product_ID]],Product_details[[#All],[Product_ID]:[Cost]],3,0)</f>
        <v>Sports</v>
      </c>
      <c r="J1875" s="2" t="str">
        <f>VLOOKUP(Sales_Details2[[#This Row],[Product_ID]],Product_details[[#All],[Product_ID]:[Cost]],4,0)</f>
        <v>Equipment</v>
      </c>
      <c r="K1875" s="2" t="s">
        <v>1784</v>
      </c>
      <c r="L1875" s="2" t="str">
        <f>_xlfn.XLOOKUP(Sales_Details2[[#This Row],[Store_ID]],Table2[Store_ID],Table2[Region],"Region not found")</f>
        <v>North</v>
      </c>
      <c r="M1875" s="25">
        <v>3</v>
      </c>
      <c r="N1875" s="36">
        <v>259.98</v>
      </c>
      <c r="O1875" s="29">
        <v>7.0000000000000007E-2</v>
      </c>
      <c r="P1875" s="2" t="s">
        <v>1812</v>
      </c>
      <c r="Q1875" s="36">
        <v>725.3442</v>
      </c>
    </row>
    <row r="1876" spans="1:17" x14ac:dyDescent="0.3">
      <c r="A1876" s="2" t="s">
        <v>3683</v>
      </c>
      <c r="B1876" s="14">
        <v>45426</v>
      </c>
      <c r="C1876" s="2">
        <f>YEAR(Sales_Details2[[#This Row],[Order_Date]])</f>
        <v>2024</v>
      </c>
      <c r="D1876" s="2" t="s">
        <v>423</v>
      </c>
      <c r="E1876" s="2" t="str">
        <f>VLOOKUP(Sales_Details2[[#This Row],[Customer_ID]],Customer_Details[#All],4,0)</f>
        <v>Adult</v>
      </c>
      <c r="F1876" s="2" t="str">
        <f>VLOOKUP(Sales_Details2[[#This Row],[Customer_ID]],Customer_Details[#All],5,0)</f>
        <v>Male</v>
      </c>
      <c r="G1876" s="2" t="str">
        <f>VLOOKUP(Sales_Details2[[#This Row],[Customer_ID]],Customer_Details[#All],9,0)</f>
        <v>Bronze</v>
      </c>
      <c r="H1876" s="2" t="s">
        <v>1532</v>
      </c>
      <c r="I1876" s="2" t="str">
        <f>VLOOKUP(Sales_Details2[[#This Row],[Product_ID]],Product_details[[#All],[Product_ID]:[Cost]],3,0)</f>
        <v>Clothing</v>
      </c>
      <c r="J1876" s="2" t="str">
        <f>VLOOKUP(Sales_Details2[[#This Row],[Product_ID]],Product_details[[#All],[Product_ID]:[Cost]],4,0)</f>
        <v>Outerwear</v>
      </c>
      <c r="K1876" s="2" t="s">
        <v>1749</v>
      </c>
      <c r="L1876" s="2" t="str">
        <f>_xlfn.XLOOKUP(Sales_Details2[[#This Row],[Store_ID]],Table2[Store_ID],Table2[Region],"Region not found")</f>
        <v>North</v>
      </c>
      <c r="M1876" s="25">
        <v>4</v>
      </c>
      <c r="N1876" s="36">
        <v>591.9</v>
      </c>
      <c r="O1876" s="29">
        <v>0.2</v>
      </c>
      <c r="P1876" s="2" t="s">
        <v>1809</v>
      </c>
      <c r="Q1876" s="36">
        <v>1894.08</v>
      </c>
    </row>
    <row r="1877" spans="1:17" x14ac:dyDescent="0.3">
      <c r="A1877" s="2" t="s">
        <v>3684</v>
      </c>
      <c r="B1877" s="14">
        <v>45730</v>
      </c>
      <c r="C1877" s="2">
        <f>YEAR(Sales_Details2[[#This Row],[Order_Date]])</f>
        <v>2025</v>
      </c>
      <c r="D1877" s="2" t="s">
        <v>127</v>
      </c>
      <c r="E1877" s="2" t="str">
        <f>VLOOKUP(Sales_Details2[[#This Row],[Customer_ID]],Customer_Details[#All],4,0)</f>
        <v>Mid-Adult</v>
      </c>
      <c r="F1877" s="2" t="str">
        <f>VLOOKUP(Sales_Details2[[#This Row],[Customer_ID]],Customer_Details[#All],5,0)</f>
        <v>Male</v>
      </c>
      <c r="G1877" s="2" t="str">
        <f>VLOOKUP(Sales_Details2[[#This Row],[Customer_ID]],Customer_Details[#All],9,0)</f>
        <v>Silver</v>
      </c>
      <c r="H1877" s="2" t="s">
        <v>1651</v>
      </c>
      <c r="I1877" s="2" t="str">
        <f>VLOOKUP(Sales_Details2[[#This Row],[Product_ID]],Product_details[[#All],[Product_ID]:[Cost]],3,0)</f>
        <v>Beauty</v>
      </c>
      <c r="J1877" s="2" t="str">
        <f>VLOOKUP(Sales_Details2[[#This Row],[Product_ID]],Product_details[[#All],[Product_ID]:[Cost]],4,0)</f>
        <v>Fragrance</v>
      </c>
      <c r="K1877" s="2" t="s">
        <v>1777</v>
      </c>
      <c r="L1877" s="2" t="str">
        <f>_xlfn.XLOOKUP(Sales_Details2[[#This Row],[Store_ID]],Table2[Store_ID],Table2[Region],"Region not found")</f>
        <v>North</v>
      </c>
      <c r="M1877" s="25">
        <v>2</v>
      </c>
      <c r="N1877" s="36">
        <v>396.9</v>
      </c>
      <c r="O1877" s="29">
        <v>0.18</v>
      </c>
      <c r="P1877" s="2" t="s">
        <v>1809</v>
      </c>
      <c r="Q1877" s="36">
        <v>650.91600000000005</v>
      </c>
    </row>
    <row r="1878" spans="1:17" x14ac:dyDescent="0.3">
      <c r="A1878" s="2" t="s">
        <v>3685</v>
      </c>
      <c r="B1878" s="14">
        <v>45731</v>
      </c>
      <c r="C1878" s="2">
        <f>YEAR(Sales_Details2[[#This Row],[Order_Date]])</f>
        <v>2025</v>
      </c>
      <c r="D1878" s="2" t="s">
        <v>1384</v>
      </c>
      <c r="E1878" s="2" t="str">
        <f>VLOOKUP(Sales_Details2[[#This Row],[Customer_ID]],Customer_Details[#All],4,0)</f>
        <v>Senior</v>
      </c>
      <c r="F1878" s="2" t="str">
        <f>VLOOKUP(Sales_Details2[[#This Row],[Customer_ID]],Customer_Details[#All],5,0)</f>
        <v>Female</v>
      </c>
      <c r="G1878" s="2" t="str">
        <f>VLOOKUP(Sales_Details2[[#This Row],[Customer_ID]],Customer_Details[#All],9,0)</f>
        <v>Platinum</v>
      </c>
      <c r="H1878" s="2" t="s">
        <v>1727</v>
      </c>
      <c r="I1878" s="2" t="str">
        <f>VLOOKUP(Sales_Details2[[#This Row],[Product_ID]],Product_details[[#All],[Product_ID]:[Cost]],3,0)</f>
        <v>Electronics</v>
      </c>
      <c r="J1878" s="2" t="str">
        <f>VLOOKUP(Sales_Details2[[#This Row],[Product_ID]],Product_details[[#All],[Product_ID]:[Cost]],4,0)</f>
        <v>Audio</v>
      </c>
      <c r="K1878" s="2" t="s">
        <v>1744</v>
      </c>
      <c r="L1878" s="2" t="str">
        <f>_xlfn.XLOOKUP(Sales_Details2[[#This Row],[Store_ID]],Table2[Store_ID],Table2[Region],"Region not found")</f>
        <v>South</v>
      </c>
      <c r="M1878" s="25">
        <v>1</v>
      </c>
      <c r="N1878" s="36">
        <v>176.84</v>
      </c>
      <c r="O1878" s="29">
        <v>0.19</v>
      </c>
      <c r="P1878" s="2" t="s">
        <v>1807</v>
      </c>
      <c r="Q1878" s="36">
        <v>143.24039999999999</v>
      </c>
    </row>
    <row r="1879" spans="1:17" x14ac:dyDescent="0.3">
      <c r="A1879" s="2" t="s">
        <v>3686</v>
      </c>
      <c r="B1879" s="14">
        <v>45272</v>
      </c>
      <c r="C1879" s="2">
        <f>YEAR(Sales_Details2[[#This Row],[Order_Date]])</f>
        <v>2023</v>
      </c>
      <c r="D1879" s="2" t="s">
        <v>805</v>
      </c>
      <c r="E1879" s="2" t="str">
        <f>VLOOKUP(Sales_Details2[[#This Row],[Customer_ID]],Customer_Details[#All],4,0)</f>
        <v>Mid-Adult</v>
      </c>
      <c r="F1879" s="2" t="str">
        <f>VLOOKUP(Sales_Details2[[#This Row],[Customer_ID]],Customer_Details[#All],5,0)</f>
        <v>Male</v>
      </c>
      <c r="G1879" s="2" t="str">
        <f>VLOOKUP(Sales_Details2[[#This Row],[Customer_ID]],Customer_Details[#All],9,0)</f>
        <v>Silver</v>
      </c>
      <c r="H1879" s="2" t="s">
        <v>1583</v>
      </c>
      <c r="I1879" s="2" t="str">
        <f>VLOOKUP(Sales_Details2[[#This Row],[Product_ID]],Product_details[[#All],[Product_ID]:[Cost]],3,0)</f>
        <v>Electronics</v>
      </c>
      <c r="J1879" s="2" t="str">
        <f>VLOOKUP(Sales_Details2[[#This Row],[Product_ID]],Product_details[[#All],[Product_ID]:[Cost]],4,0)</f>
        <v>Audio</v>
      </c>
      <c r="K1879" s="2" t="s">
        <v>1735</v>
      </c>
      <c r="L1879" s="2" t="str">
        <f>_xlfn.XLOOKUP(Sales_Details2[[#This Row],[Store_ID]],Table2[Store_ID],Table2[Region],"Region not found")</f>
        <v>East</v>
      </c>
      <c r="M1879" s="25">
        <v>2</v>
      </c>
      <c r="N1879" s="36">
        <v>614.21</v>
      </c>
      <c r="O1879" s="29">
        <v>0.11</v>
      </c>
      <c r="P1879" s="2" t="s">
        <v>1809</v>
      </c>
      <c r="Q1879" s="36">
        <v>1093.2937999999999</v>
      </c>
    </row>
    <row r="1880" spans="1:17" x14ac:dyDescent="0.3">
      <c r="A1880" s="2" t="s">
        <v>3687</v>
      </c>
      <c r="B1880" s="14">
        <v>45584</v>
      </c>
      <c r="C1880" s="2">
        <f>YEAR(Sales_Details2[[#This Row],[Order_Date]])</f>
        <v>2024</v>
      </c>
      <c r="D1880" s="2" t="s">
        <v>376</v>
      </c>
      <c r="E1880" s="2" t="str">
        <f>VLOOKUP(Sales_Details2[[#This Row],[Customer_ID]],Customer_Details[#All],4,0)</f>
        <v>Mid-Adult</v>
      </c>
      <c r="F1880" s="2" t="str">
        <f>VLOOKUP(Sales_Details2[[#This Row],[Customer_ID]],Customer_Details[#All],5,0)</f>
        <v>Male</v>
      </c>
      <c r="G1880" s="2" t="str">
        <f>VLOOKUP(Sales_Details2[[#This Row],[Customer_ID]],Customer_Details[#All],9,0)</f>
        <v>Bronze</v>
      </c>
      <c r="H1880" s="2" t="s">
        <v>1534</v>
      </c>
      <c r="I1880" s="2" t="str">
        <f>VLOOKUP(Sales_Details2[[#This Row],[Product_ID]],Product_details[[#All],[Product_ID]:[Cost]],3,0)</f>
        <v>Clothing</v>
      </c>
      <c r="J1880" s="2" t="str">
        <f>VLOOKUP(Sales_Details2[[#This Row],[Product_ID]],Product_details[[#All],[Product_ID]:[Cost]],4,0)</f>
        <v>Outerwear</v>
      </c>
      <c r="K1880" s="2" t="s">
        <v>1762</v>
      </c>
      <c r="L1880" s="2" t="str">
        <f>_xlfn.XLOOKUP(Sales_Details2[[#This Row],[Store_ID]],Table2[Store_ID],Table2[Region],"Region not found")</f>
        <v>South</v>
      </c>
      <c r="M1880" s="25">
        <v>3</v>
      </c>
      <c r="N1880" s="36">
        <v>604.66</v>
      </c>
      <c r="O1880" s="29">
        <v>0.18</v>
      </c>
      <c r="P1880" s="2" t="s">
        <v>1812</v>
      </c>
      <c r="Q1880" s="36">
        <v>1487.4636</v>
      </c>
    </row>
    <row r="1881" spans="1:17" x14ac:dyDescent="0.3">
      <c r="A1881" s="2" t="s">
        <v>3688</v>
      </c>
      <c r="B1881" s="14">
        <v>45534</v>
      </c>
      <c r="C1881" s="2">
        <f>YEAR(Sales_Details2[[#This Row],[Order_Date]])</f>
        <v>2024</v>
      </c>
      <c r="D1881" s="2" t="s">
        <v>1513</v>
      </c>
      <c r="E1881" s="2" t="str">
        <f>VLOOKUP(Sales_Details2[[#This Row],[Customer_ID]],Customer_Details[#All],4,0)</f>
        <v>Mid-Adult</v>
      </c>
      <c r="F1881" s="2" t="str">
        <f>VLOOKUP(Sales_Details2[[#This Row],[Customer_ID]],Customer_Details[#All],5,0)</f>
        <v>Male</v>
      </c>
      <c r="G1881" s="2" t="str">
        <f>VLOOKUP(Sales_Details2[[#This Row],[Customer_ID]],Customer_Details[#All],9,0)</f>
        <v>Silver</v>
      </c>
      <c r="H1881" s="2" t="s">
        <v>1532</v>
      </c>
      <c r="I1881" s="2" t="str">
        <f>VLOOKUP(Sales_Details2[[#This Row],[Product_ID]],Product_details[[#All],[Product_ID]:[Cost]],3,0)</f>
        <v>Clothing</v>
      </c>
      <c r="J1881" s="2" t="str">
        <f>VLOOKUP(Sales_Details2[[#This Row],[Product_ID]],Product_details[[#All],[Product_ID]:[Cost]],4,0)</f>
        <v>Outerwear</v>
      </c>
      <c r="K1881" s="2" t="s">
        <v>1777</v>
      </c>
      <c r="L1881" s="2" t="str">
        <f>_xlfn.XLOOKUP(Sales_Details2[[#This Row],[Store_ID]],Table2[Store_ID],Table2[Region],"Region not found")</f>
        <v>North</v>
      </c>
      <c r="M1881" s="25">
        <v>3</v>
      </c>
      <c r="N1881" s="36">
        <v>24.29</v>
      </c>
      <c r="O1881" s="29">
        <v>0.12</v>
      </c>
      <c r="P1881" s="2" t="s">
        <v>1809</v>
      </c>
      <c r="Q1881" s="36">
        <v>64.125600000000006</v>
      </c>
    </row>
    <row r="1882" spans="1:17" x14ac:dyDescent="0.3">
      <c r="A1882" s="2" t="s">
        <v>3689</v>
      </c>
      <c r="B1882" s="14">
        <v>45482</v>
      </c>
      <c r="C1882" s="2">
        <f>YEAR(Sales_Details2[[#This Row],[Order_Date]])</f>
        <v>2024</v>
      </c>
      <c r="D1882" s="2" t="s">
        <v>414</v>
      </c>
      <c r="E1882" s="2" t="str">
        <f>VLOOKUP(Sales_Details2[[#This Row],[Customer_ID]],Customer_Details[#All],4,0)</f>
        <v>Senior</v>
      </c>
      <c r="F1882" s="2" t="str">
        <f>VLOOKUP(Sales_Details2[[#This Row],[Customer_ID]],Customer_Details[#All],5,0)</f>
        <v>Male</v>
      </c>
      <c r="G1882" s="2" t="str">
        <f>VLOOKUP(Sales_Details2[[#This Row],[Customer_ID]],Customer_Details[#All],9,0)</f>
        <v>Platinum</v>
      </c>
      <c r="H1882" s="2" t="s">
        <v>1657</v>
      </c>
      <c r="I1882" s="2" t="str">
        <f>VLOOKUP(Sales_Details2[[#This Row],[Product_ID]],Product_details[[#All],[Product_ID]:[Cost]],3,0)</f>
        <v>Beauty</v>
      </c>
      <c r="J1882" s="2" t="str">
        <f>VLOOKUP(Sales_Details2[[#This Row],[Product_ID]],Product_details[[#All],[Product_ID]:[Cost]],4,0)</f>
        <v>Skincare</v>
      </c>
      <c r="K1882" s="2" t="s">
        <v>1775</v>
      </c>
      <c r="L1882" s="2" t="str">
        <f>_xlfn.XLOOKUP(Sales_Details2[[#This Row],[Store_ID]],Table2[Store_ID],Table2[Region],"Region not found")</f>
        <v>South</v>
      </c>
      <c r="M1882" s="25">
        <v>1</v>
      </c>
      <c r="N1882" s="36">
        <v>503.95</v>
      </c>
      <c r="O1882" s="29">
        <v>0.24</v>
      </c>
      <c r="P1882" s="2" t="s">
        <v>1809</v>
      </c>
      <c r="Q1882" s="36">
        <v>383.00200000000001</v>
      </c>
    </row>
    <row r="1883" spans="1:17" x14ac:dyDescent="0.3">
      <c r="A1883" s="2" t="s">
        <v>3690</v>
      </c>
      <c r="B1883" s="14">
        <v>45475</v>
      </c>
      <c r="C1883" s="2">
        <f>YEAR(Sales_Details2[[#This Row],[Order_Date]])</f>
        <v>2024</v>
      </c>
      <c r="D1883" s="2" t="s">
        <v>995</v>
      </c>
      <c r="E1883" s="2" t="str">
        <f>VLOOKUP(Sales_Details2[[#This Row],[Customer_ID]],Customer_Details[#All],4,0)</f>
        <v>Senior</v>
      </c>
      <c r="F1883" s="2" t="str">
        <f>VLOOKUP(Sales_Details2[[#This Row],[Customer_ID]],Customer_Details[#All],5,0)</f>
        <v>Male</v>
      </c>
      <c r="G1883" s="2" t="str">
        <f>VLOOKUP(Sales_Details2[[#This Row],[Customer_ID]],Customer_Details[#All],9,0)</f>
        <v>Platinum</v>
      </c>
      <c r="H1883" s="2" t="s">
        <v>1633</v>
      </c>
      <c r="I1883" s="2" t="str">
        <f>VLOOKUP(Sales_Details2[[#This Row],[Product_ID]],Product_details[[#All],[Product_ID]:[Cost]],3,0)</f>
        <v>Electronics</v>
      </c>
      <c r="J1883" s="2" t="str">
        <f>VLOOKUP(Sales_Details2[[#This Row],[Product_ID]],Product_details[[#All],[Product_ID]:[Cost]],4,0)</f>
        <v>Accessories</v>
      </c>
      <c r="K1883" s="2" t="s">
        <v>1782</v>
      </c>
      <c r="L1883" s="2" t="str">
        <f>_xlfn.XLOOKUP(Sales_Details2[[#This Row],[Store_ID]],Table2[Store_ID],Table2[Region],"Region not found")</f>
        <v>South</v>
      </c>
      <c r="M1883" s="25">
        <v>4</v>
      </c>
      <c r="N1883" s="36">
        <v>860.78</v>
      </c>
      <c r="O1883" s="29">
        <v>0.03</v>
      </c>
      <c r="P1883" s="2" t="s">
        <v>1807</v>
      </c>
      <c r="Q1883" s="36">
        <v>3339.8263999999999</v>
      </c>
    </row>
    <row r="1884" spans="1:17" x14ac:dyDescent="0.3">
      <c r="A1884" s="2" t="s">
        <v>3691</v>
      </c>
      <c r="B1884" s="14">
        <v>45234</v>
      </c>
      <c r="C1884" s="2">
        <f>YEAR(Sales_Details2[[#This Row],[Order_Date]])</f>
        <v>2023</v>
      </c>
      <c r="D1884" s="2" t="s">
        <v>640</v>
      </c>
      <c r="E1884" s="2" t="str">
        <f>VLOOKUP(Sales_Details2[[#This Row],[Customer_ID]],Customer_Details[#All],4,0)</f>
        <v>Mid-Adult</v>
      </c>
      <c r="F1884" s="2" t="str">
        <f>VLOOKUP(Sales_Details2[[#This Row],[Customer_ID]],Customer_Details[#All],5,0)</f>
        <v>Female</v>
      </c>
      <c r="G1884" s="2" t="str">
        <f>VLOOKUP(Sales_Details2[[#This Row],[Customer_ID]],Customer_Details[#All],9,0)</f>
        <v>Platinum</v>
      </c>
      <c r="H1884" s="2" t="s">
        <v>1615</v>
      </c>
      <c r="I1884" s="2" t="str">
        <f>VLOOKUP(Sales_Details2[[#This Row],[Product_ID]],Product_details[[#All],[Product_ID]:[Cost]],3,0)</f>
        <v>Electronics</v>
      </c>
      <c r="J1884" s="2" t="str">
        <f>VLOOKUP(Sales_Details2[[#This Row],[Product_ID]],Product_details[[#All],[Product_ID]:[Cost]],4,0)</f>
        <v>Accessories</v>
      </c>
      <c r="K1884" s="2" t="s">
        <v>1749</v>
      </c>
      <c r="L1884" s="2" t="str">
        <f>_xlfn.XLOOKUP(Sales_Details2[[#This Row],[Store_ID]],Table2[Store_ID],Table2[Region],"Region not found")</f>
        <v>North</v>
      </c>
      <c r="M1884" s="25">
        <v>3</v>
      </c>
      <c r="N1884" s="36">
        <v>41.97</v>
      </c>
      <c r="O1884" s="29">
        <v>0.03</v>
      </c>
      <c r="P1884" s="2" t="s">
        <v>1812</v>
      </c>
      <c r="Q1884" s="36">
        <v>122.1327</v>
      </c>
    </row>
    <row r="1885" spans="1:17" x14ac:dyDescent="0.3">
      <c r="A1885" s="2" t="s">
        <v>3692</v>
      </c>
      <c r="B1885" s="14">
        <v>45397</v>
      </c>
      <c r="C1885" s="2">
        <f>YEAR(Sales_Details2[[#This Row],[Order_Date]])</f>
        <v>2024</v>
      </c>
      <c r="D1885" s="2" t="s">
        <v>134</v>
      </c>
      <c r="E1885" s="2" t="str">
        <f>VLOOKUP(Sales_Details2[[#This Row],[Customer_ID]],Customer_Details[#All],4,0)</f>
        <v>Adult</v>
      </c>
      <c r="F1885" s="2" t="str">
        <f>VLOOKUP(Sales_Details2[[#This Row],[Customer_ID]],Customer_Details[#All],5,0)</f>
        <v>Male</v>
      </c>
      <c r="G1885" s="2" t="str">
        <f>VLOOKUP(Sales_Details2[[#This Row],[Customer_ID]],Customer_Details[#All],9,0)</f>
        <v>Platinum</v>
      </c>
      <c r="H1885" s="2" t="s">
        <v>1561</v>
      </c>
      <c r="I1885" s="2" t="str">
        <f>VLOOKUP(Sales_Details2[[#This Row],[Product_ID]],Product_details[[#All],[Product_ID]:[Cost]],3,0)</f>
        <v>Electronics</v>
      </c>
      <c r="J1885" s="2" t="str">
        <f>VLOOKUP(Sales_Details2[[#This Row],[Product_ID]],Product_details[[#All],[Product_ID]:[Cost]],4,0)</f>
        <v>Appliances</v>
      </c>
      <c r="K1885" s="2" t="s">
        <v>1756</v>
      </c>
      <c r="L1885" s="2" t="str">
        <f>_xlfn.XLOOKUP(Sales_Details2[[#This Row],[Store_ID]],Table2[Store_ID],Table2[Region],"Region not found")</f>
        <v>North</v>
      </c>
      <c r="M1885" s="25">
        <v>1</v>
      </c>
      <c r="N1885" s="36">
        <v>649.59</v>
      </c>
      <c r="O1885" s="29">
        <v>0.12</v>
      </c>
      <c r="P1885" s="2" t="s">
        <v>1812</v>
      </c>
      <c r="Q1885" s="36">
        <v>571.63920000000007</v>
      </c>
    </row>
    <row r="1886" spans="1:17" x14ac:dyDescent="0.3">
      <c r="A1886" s="2" t="s">
        <v>3693</v>
      </c>
      <c r="B1886" s="14">
        <v>45502</v>
      </c>
      <c r="C1886" s="2">
        <f>YEAR(Sales_Details2[[#This Row],[Order_Date]])</f>
        <v>2024</v>
      </c>
      <c r="D1886" s="2" t="s">
        <v>199</v>
      </c>
      <c r="E1886" s="2" t="str">
        <f>VLOOKUP(Sales_Details2[[#This Row],[Customer_ID]],Customer_Details[#All],4,0)</f>
        <v>Mid-Adult</v>
      </c>
      <c r="F1886" s="2" t="str">
        <f>VLOOKUP(Sales_Details2[[#This Row],[Customer_ID]],Customer_Details[#All],5,0)</f>
        <v>Female</v>
      </c>
      <c r="G1886" s="2" t="str">
        <f>VLOOKUP(Sales_Details2[[#This Row],[Customer_ID]],Customer_Details[#All],9,0)</f>
        <v>Gold</v>
      </c>
      <c r="H1886" s="2" t="s">
        <v>1657</v>
      </c>
      <c r="I1886" s="2" t="str">
        <f>VLOOKUP(Sales_Details2[[#This Row],[Product_ID]],Product_details[[#All],[Product_ID]:[Cost]],3,0)</f>
        <v>Beauty</v>
      </c>
      <c r="J1886" s="2" t="str">
        <f>VLOOKUP(Sales_Details2[[#This Row],[Product_ID]],Product_details[[#All],[Product_ID]:[Cost]],4,0)</f>
        <v>Skincare</v>
      </c>
      <c r="K1886" s="2" t="s">
        <v>1769</v>
      </c>
      <c r="L1886" s="2" t="str">
        <f>_xlfn.XLOOKUP(Sales_Details2[[#This Row],[Store_ID]],Table2[Store_ID],Table2[Region],"Region not found")</f>
        <v>South</v>
      </c>
      <c r="M1886" s="25">
        <v>2</v>
      </c>
      <c r="N1886" s="36">
        <v>386.09</v>
      </c>
      <c r="O1886" s="29">
        <v>0.19</v>
      </c>
      <c r="P1886" s="2" t="s">
        <v>1809</v>
      </c>
      <c r="Q1886" s="36">
        <v>625.46579999999994</v>
      </c>
    </row>
    <row r="1887" spans="1:17" x14ac:dyDescent="0.3">
      <c r="A1887" s="2" t="s">
        <v>3694</v>
      </c>
      <c r="B1887" s="14">
        <v>45644</v>
      </c>
      <c r="C1887" s="2">
        <f>YEAR(Sales_Details2[[#This Row],[Order_Date]])</f>
        <v>2024</v>
      </c>
      <c r="D1887" s="2" t="s">
        <v>348</v>
      </c>
      <c r="E1887" s="2" t="str">
        <f>VLOOKUP(Sales_Details2[[#This Row],[Customer_ID]],Customer_Details[#All],4,0)</f>
        <v>Mid-Adult</v>
      </c>
      <c r="F1887" s="2" t="str">
        <f>VLOOKUP(Sales_Details2[[#This Row],[Customer_ID]],Customer_Details[#All],5,0)</f>
        <v>Male</v>
      </c>
      <c r="G1887" s="2" t="str">
        <f>VLOOKUP(Sales_Details2[[#This Row],[Customer_ID]],Customer_Details[#All],9,0)</f>
        <v>Silver</v>
      </c>
      <c r="H1887" s="2" t="s">
        <v>1633</v>
      </c>
      <c r="I1887" s="2" t="str">
        <f>VLOOKUP(Sales_Details2[[#This Row],[Product_ID]],Product_details[[#All],[Product_ID]:[Cost]],3,0)</f>
        <v>Electronics</v>
      </c>
      <c r="J1887" s="2" t="str">
        <f>VLOOKUP(Sales_Details2[[#This Row],[Product_ID]],Product_details[[#All],[Product_ID]:[Cost]],4,0)</f>
        <v>Accessories</v>
      </c>
      <c r="K1887" s="2" t="s">
        <v>1777</v>
      </c>
      <c r="L1887" s="2" t="str">
        <f>_xlfn.XLOOKUP(Sales_Details2[[#This Row],[Store_ID]],Table2[Store_ID],Table2[Region],"Region not found")</f>
        <v>North</v>
      </c>
      <c r="M1887" s="25">
        <v>1</v>
      </c>
      <c r="N1887" s="36">
        <v>891.62</v>
      </c>
      <c r="O1887" s="29">
        <v>0.06</v>
      </c>
      <c r="P1887" s="2" t="s">
        <v>1809</v>
      </c>
      <c r="Q1887" s="36">
        <v>838.12279999999998</v>
      </c>
    </row>
    <row r="1888" spans="1:17" x14ac:dyDescent="0.3">
      <c r="A1888" s="2" t="s">
        <v>3695</v>
      </c>
      <c r="B1888" s="14">
        <v>45617</v>
      </c>
      <c r="C1888" s="2">
        <f>YEAR(Sales_Details2[[#This Row],[Order_Date]])</f>
        <v>2024</v>
      </c>
      <c r="D1888" s="2" t="s">
        <v>1177</v>
      </c>
      <c r="E1888" s="2" t="str">
        <f>VLOOKUP(Sales_Details2[[#This Row],[Customer_ID]],Customer_Details[#All],4,0)</f>
        <v>Mid-Adult</v>
      </c>
      <c r="F1888" s="2" t="str">
        <f>VLOOKUP(Sales_Details2[[#This Row],[Customer_ID]],Customer_Details[#All],5,0)</f>
        <v>Male</v>
      </c>
      <c r="G1888" s="2" t="str">
        <f>VLOOKUP(Sales_Details2[[#This Row],[Customer_ID]],Customer_Details[#All],9,0)</f>
        <v>Silver</v>
      </c>
      <c r="H1888" s="2" t="s">
        <v>1659</v>
      </c>
      <c r="I1888" s="2" t="str">
        <f>VLOOKUP(Sales_Details2[[#This Row],[Product_ID]],Product_details[[#All],[Product_ID]:[Cost]],3,0)</f>
        <v>Beauty</v>
      </c>
      <c r="J1888" s="2" t="str">
        <f>VLOOKUP(Sales_Details2[[#This Row],[Product_ID]],Product_details[[#All],[Product_ID]:[Cost]],4,0)</f>
        <v>Makeup</v>
      </c>
      <c r="K1888" s="2" t="s">
        <v>1784</v>
      </c>
      <c r="L1888" s="2" t="str">
        <f>_xlfn.XLOOKUP(Sales_Details2[[#This Row],[Store_ID]],Table2[Store_ID],Table2[Region],"Region not found")</f>
        <v>North</v>
      </c>
      <c r="M1888" s="25">
        <v>2</v>
      </c>
      <c r="N1888" s="36">
        <v>558.9</v>
      </c>
      <c r="O1888" s="29">
        <v>0.05</v>
      </c>
      <c r="P1888" s="2" t="s">
        <v>1812</v>
      </c>
      <c r="Q1888" s="36">
        <v>1061.9100000000001</v>
      </c>
    </row>
    <row r="1889" spans="1:17" x14ac:dyDescent="0.3">
      <c r="A1889" s="2" t="s">
        <v>3696</v>
      </c>
      <c r="B1889" s="14">
        <v>45797</v>
      </c>
      <c r="C1889" s="2">
        <f>YEAR(Sales_Details2[[#This Row],[Order_Date]])</f>
        <v>2025</v>
      </c>
      <c r="D1889" s="2" t="s">
        <v>1092</v>
      </c>
      <c r="E1889" s="2" t="str">
        <f>VLOOKUP(Sales_Details2[[#This Row],[Customer_ID]],Customer_Details[#All],4,0)</f>
        <v>Senior</v>
      </c>
      <c r="F1889" s="2" t="str">
        <f>VLOOKUP(Sales_Details2[[#This Row],[Customer_ID]],Customer_Details[#All],5,0)</f>
        <v>Female</v>
      </c>
      <c r="G1889" s="2" t="str">
        <f>VLOOKUP(Sales_Details2[[#This Row],[Customer_ID]],Customer_Details[#All],9,0)</f>
        <v>Silver</v>
      </c>
      <c r="H1889" s="2" t="s">
        <v>1529</v>
      </c>
      <c r="I1889" s="2" t="str">
        <f>VLOOKUP(Sales_Details2[[#This Row],[Product_ID]],Product_details[[#All],[Product_ID]:[Cost]],3,0)</f>
        <v>Clothing</v>
      </c>
      <c r="J1889" s="2" t="str">
        <f>VLOOKUP(Sales_Details2[[#This Row],[Product_ID]],Product_details[[#All],[Product_ID]:[Cost]],4,0)</f>
        <v>Tops</v>
      </c>
      <c r="K1889" s="2" t="s">
        <v>1749</v>
      </c>
      <c r="L1889" s="2" t="str">
        <f>_xlfn.XLOOKUP(Sales_Details2[[#This Row],[Store_ID]],Table2[Store_ID],Table2[Region],"Region not found")</f>
        <v>North</v>
      </c>
      <c r="M1889" s="25">
        <v>2</v>
      </c>
      <c r="N1889" s="36">
        <v>99.04</v>
      </c>
      <c r="O1889" s="29">
        <v>0.26</v>
      </c>
      <c r="P1889" s="2" t="s">
        <v>1812</v>
      </c>
      <c r="Q1889" s="36">
        <v>146.57919999999999</v>
      </c>
    </row>
    <row r="1890" spans="1:17" x14ac:dyDescent="0.3">
      <c r="A1890" s="2" t="s">
        <v>3697</v>
      </c>
      <c r="B1890" s="14">
        <v>45740</v>
      </c>
      <c r="C1890" s="2">
        <f>YEAR(Sales_Details2[[#This Row],[Order_Date]])</f>
        <v>2025</v>
      </c>
      <c r="D1890" s="2" t="s">
        <v>914</v>
      </c>
      <c r="E1890" s="2" t="str">
        <f>VLOOKUP(Sales_Details2[[#This Row],[Customer_ID]],Customer_Details[#All],4,0)</f>
        <v>Mid-Adult</v>
      </c>
      <c r="F1890" s="2" t="str">
        <f>VLOOKUP(Sales_Details2[[#This Row],[Customer_ID]],Customer_Details[#All],5,0)</f>
        <v>Female</v>
      </c>
      <c r="G1890" s="2" t="str">
        <f>VLOOKUP(Sales_Details2[[#This Row],[Customer_ID]],Customer_Details[#All],9,0)</f>
        <v>Bronze</v>
      </c>
      <c r="H1890" s="2" t="s">
        <v>1534</v>
      </c>
      <c r="I1890" s="2" t="str">
        <f>VLOOKUP(Sales_Details2[[#This Row],[Product_ID]],Product_details[[#All],[Product_ID]:[Cost]],3,0)</f>
        <v>Clothing</v>
      </c>
      <c r="J1890" s="2" t="str">
        <f>VLOOKUP(Sales_Details2[[#This Row],[Product_ID]],Product_details[[#All],[Product_ID]:[Cost]],4,0)</f>
        <v>Outerwear</v>
      </c>
      <c r="K1890" s="2" t="s">
        <v>1765</v>
      </c>
      <c r="L1890" s="2" t="str">
        <f>_xlfn.XLOOKUP(Sales_Details2[[#This Row],[Store_ID]],Table2[Store_ID],Table2[Region],"Region not found")</f>
        <v>West</v>
      </c>
      <c r="M1890" s="25">
        <v>4</v>
      </c>
      <c r="N1890" s="36">
        <v>625.13</v>
      </c>
      <c r="O1890" s="29">
        <v>0.06</v>
      </c>
      <c r="P1890" s="2" t="s">
        <v>1807</v>
      </c>
      <c r="Q1890" s="36">
        <v>2350.4888000000001</v>
      </c>
    </row>
    <row r="1891" spans="1:17" x14ac:dyDescent="0.3">
      <c r="A1891" s="2" t="s">
        <v>3698</v>
      </c>
      <c r="B1891" s="14">
        <v>45824</v>
      </c>
      <c r="C1891" s="2">
        <f>YEAR(Sales_Details2[[#This Row],[Order_Date]])</f>
        <v>2025</v>
      </c>
      <c r="D1891" s="2" t="s">
        <v>143</v>
      </c>
      <c r="E1891" s="2" t="str">
        <f>VLOOKUP(Sales_Details2[[#This Row],[Customer_ID]],Customer_Details[#All],4,0)</f>
        <v>Adult</v>
      </c>
      <c r="F1891" s="2" t="str">
        <f>VLOOKUP(Sales_Details2[[#This Row],[Customer_ID]],Customer_Details[#All],5,0)</f>
        <v>Female</v>
      </c>
      <c r="G1891" s="2" t="str">
        <f>VLOOKUP(Sales_Details2[[#This Row],[Customer_ID]],Customer_Details[#All],9,0)</f>
        <v>Gold</v>
      </c>
      <c r="H1891" s="2" t="s">
        <v>1611</v>
      </c>
      <c r="I1891" s="2" t="str">
        <f>VLOOKUP(Sales_Details2[[#This Row],[Product_ID]],Product_details[[#All],[Product_ID]:[Cost]],3,0)</f>
        <v>Electronics</v>
      </c>
      <c r="J1891" s="2" t="str">
        <f>VLOOKUP(Sales_Details2[[#This Row],[Product_ID]],Product_details[[#All],[Product_ID]:[Cost]],4,0)</f>
        <v>Audio</v>
      </c>
      <c r="K1891" s="2" t="s">
        <v>1793</v>
      </c>
      <c r="L1891" s="2" t="str">
        <f>_xlfn.XLOOKUP(Sales_Details2[[#This Row],[Store_ID]],Table2[Store_ID],Table2[Region],"Region not found")</f>
        <v>East</v>
      </c>
      <c r="M1891" s="25">
        <v>4</v>
      </c>
      <c r="N1891" s="36">
        <v>38.380000000000003</v>
      </c>
      <c r="O1891" s="29">
        <v>0.16</v>
      </c>
      <c r="P1891" s="2" t="s">
        <v>1812</v>
      </c>
      <c r="Q1891" s="36">
        <v>128.95679999999999</v>
      </c>
    </row>
    <row r="1892" spans="1:17" x14ac:dyDescent="0.3">
      <c r="A1892" s="2" t="s">
        <v>3699</v>
      </c>
      <c r="B1892" s="14">
        <v>45404</v>
      </c>
      <c r="C1892" s="2">
        <f>YEAR(Sales_Details2[[#This Row],[Order_Date]])</f>
        <v>2024</v>
      </c>
      <c r="D1892" s="2" t="s">
        <v>1496</v>
      </c>
      <c r="E1892" s="2" t="str">
        <f>VLOOKUP(Sales_Details2[[#This Row],[Customer_ID]],Customer_Details[#All],4,0)</f>
        <v>Senior</v>
      </c>
      <c r="F1892" s="2" t="str">
        <f>VLOOKUP(Sales_Details2[[#This Row],[Customer_ID]],Customer_Details[#All],5,0)</f>
        <v>Female</v>
      </c>
      <c r="G1892" s="2" t="str">
        <f>VLOOKUP(Sales_Details2[[#This Row],[Customer_ID]],Customer_Details[#All],9,0)</f>
        <v>Platinum</v>
      </c>
      <c r="H1892" s="2" t="s">
        <v>1719</v>
      </c>
      <c r="I1892" s="2" t="str">
        <f>VLOOKUP(Sales_Details2[[#This Row],[Product_ID]],Product_details[[#All],[Product_ID]:[Cost]],3,0)</f>
        <v>Beauty</v>
      </c>
      <c r="J1892" s="2" t="str">
        <f>VLOOKUP(Sales_Details2[[#This Row],[Product_ID]],Product_details[[#All],[Product_ID]:[Cost]],4,0)</f>
        <v>Skincare</v>
      </c>
      <c r="K1892" s="2" t="s">
        <v>1772</v>
      </c>
      <c r="L1892" s="2" t="str">
        <f>_xlfn.XLOOKUP(Sales_Details2[[#This Row],[Store_ID]],Table2[Store_ID],Table2[Region],"Region not found")</f>
        <v>East</v>
      </c>
      <c r="M1892" s="25">
        <v>4</v>
      </c>
      <c r="N1892" s="36">
        <v>731.72</v>
      </c>
      <c r="O1892" s="29">
        <v>0.22</v>
      </c>
      <c r="P1892" s="2" t="s">
        <v>1812</v>
      </c>
      <c r="Q1892" s="36">
        <v>2282.9663999999998</v>
      </c>
    </row>
    <row r="1893" spans="1:17" x14ac:dyDescent="0.3">
      <c r="A1893" s="2" t="s">
        <v>3700</v>
      </c>
      <c r="B1893" s="14">
        <v>45916</v>
      </c>
      <c r="C1893" s="2">
        <f>YEAR(Sales_Details2[[#This Row],[Order_Date]])</f>
        <v>2025</v>
      </c>
      <c r="D1893" s="2" t="s">
        <v>1395</v>
      </c>
      <c r="E1893" s="2" t="str">
        <f>VLOOKUP(Sales_Details2[[#This Row],[Customer_ID]],Customer_Details[#All],4,0)</f>
        <v>Senior</v>
      </c>
      <c r="F1893" s="2" t="str">
        <f>VLOOKUP(Sales_Details2[[#This Row],[Customer_ID]],Customer_Details[#All],5,0)</f>
        <v>Male</v>
      </c>
      <c r="G1893" s="2" t="str">
        <f>VLOOKUP(Sales_Details2[[#This Row],[Customer_ID]],Customer_Details[#All],9,0)</f>
        <v>Platinum</v>
      </c>
      <c r="H1893" s="2" t="s">
        <v>1693</v>
      </c>
      <c r="I1893" s="2" t="str">
        <f>VLOOKUP(Sales_Details2[[#This Row],[Product_ID]],Product_details[[#All],[Product_ID]:[Cost]],3,0)</f>
        <v>Sports</v>
      </c>
      <c r="J1893" s="2" t="str">
        <f>VLOOKUP(Sales_Details2[[#This Row],[Product_ID]],Product_details[[#All],[Product_ID]:[Cost]],4,0)</f>
        <v>Equipment</v>
      </c>
      <c r="K1893" s="2" t="s">
        <v>1796</v>
      </c>
      <c r="L1893" s="2" t="str">
        <f>_xlfn.XLOOKUP(Sales_Details2[[#This Row],[Store_ID]],Table2[Store_ID],Table2[Region],"Region not found")</f>
        <v>East</v>
      </c>
      <c r="M1893" s="25">
        <v>3</v>
      </c>
      <c r="N1893" s="36">
        <v>825.33</v>
      </c>
      <c r="O1893" s="29">
        <v>0.21</v>
      </c>
      <c r="P1893" s="2" t="s">
        <v>1807</v>
      </c>
      <c r="Q1893" s="36">
        <v>1956.0320999999999</v>
      </c>
    </row>
    <row r="1894" spans="1:17" x14ac:dyDescent="0.3">
      <c r="A1894" s="2" t="s">
        <v>3701</v>
      </c>
      <c r="B1894" s="14">
        <v>45269</v>
      </c>
      <c r="C1894" s="2">
        <f>YEAR(Sales_Details2[[#This Row],[Order_Date]])</f>
        <v>2023</v>
      </c>
      <c r="D1894" s="2" t="s">
        <v>218</v>
      </c>
      <c r="E1894" s="2" t="str">
        <f>VLOOKUP(Sales_Details2[[#This Row],[Customer_ID]],Customer_Details[#All],4,0)</f>
        <v>Senior</v>
      </c>
      <c r="F1894" s="2" t="str">
        <f>VLOOKUP(Sales_Details2[[#This Row],[Customer_ID]],Customer_Details[#All],5,0)</f>
        <v>Male</v>
      </c>
      <c r="G1894" s="2" t="str">
        <f>VLOOKUP(Sales_Details2[[#This Row],[Customer_ID]],Customer_Details[#All],9,0)</f>
        <v>Platinum</v>
      </c>
      <c r="H1894" s="2" t="s">
        <v>1671</v>
      </c>
      <c r="I1894" s="2" t="str">
        <f>VLOOKUP(Sales_Details2[[#This Row],[Product_ID]],Product_details[[#All],[Product_ID]:[Cost]],3,0)</f>
        <v>Home</v>
      </c>
      <c r="J1894" s="2" t="str">
        <f>VLOOKUP(Sales_Details2[[#This Row],[Product_ID]],Product_details[[#All],[Product_ID]:[Cost]],4,0)</f>
        <v>Storage</v>
      </c>
      <c r="K1894" s="2" t="s">
        <v>1782</v>
      </c>
      <c r="L1894" s="2" t="str">
        <f>_xlfn.XLOOKUP(Sales_Details2[[#This Row],[Store_ID]],Table2[Store_ID],Table2[Region],"Region not found")</f>
        <v>South</v>
      </c>
      <c r="M1894" s="25">
        <v>2</v>
      </c>
      <c r="N1894" s="36">
        <v>47.3</v>
      </c>
      <c r="O1894" s="29">
        <v>0.01</v>
      </c>
      <c r="P1894" s="2" t="s">
        <v>1809</v>
      </c>
      <c r="Q1894" s="36">
        <v>93.653999999999996</v>
      </c>
    </row>
    <row r="1895" spans="1:17" x14ac:dyDescent="0.3">
      <c r="A1895" s="2" t="s">
        <v>3702</v>
      </c>
      <c r="B1895" s="14">
        <v>45493</v>
      </c>
      <c r="C1895" s="2">
        <f>YEAR(Sales_Details2[[#This Row],[Order_Date]])</f>
        <v>2024</v>
      </c>
      <c r="D1895" s="2" t="s">
        <v>562</v>
      </c>
      <c r="E1895" s="2" t="str">
        <f>VLOOKUP(Sales_Details2[[#This Row],[Customer_ID]],Customer_Details[#All],4,0)</f>
        <v>Mid-Adult</v>
      </c>
      <c r="F1895" s="2" t="str">
        <f>VLOOKUP(Sales_Details2[[#This Row],[Customer_ID]],Customer_Details[#All],5,0)</f>
        <v>Female</v>
      </c>
      <c r="G1895" s="2" t="str">
        <f>VLOOKUP(Sales_Details2[[#This Row],[Customer_ID]],Customer_Details[#All],9,0)</f>
        <v>Platinum</v>
      </c>
      <c r="H1895" s="2" t="s">
        <v>1675</v>
      </c>
      <c r="I1895" s="2" t="str">
        <f>VLOOKUP(Sales_Details2[[#This Row],[Product_ID]],Product_details[[#All],[Product_ID]:[Cost]],3,0)</f>
        <v>Sports</v>
      </c>
      <c r="J1895" s="2" t="str">
        <f>VLOOKUP(Sales_Details2[[#This Row],[Product_ID]],Product_details[[#All],[Product_ID]:[Cost]],4,0)</f>
        <v>Fitness</v>
      </c>
      <c r="K1895" s="2" t="s">
        <v>1790</v>
      </c>
      <c r="L1895" s="2" t="str">
        <f>_xlfn.XLOOKUP(Sales_Details2[[#This Row],[Store_ID]],Table2[Store_ID],Table2[Region],"Region not found")</f>
        <v>North</v>
      </c>
      <c r="M1895" s="25">
        <v>1</v>
      </c>
      <c r="N1895" s="36">
        <v>389.12</v>
      </c>
      <c r="O1895" s="29">
        <v>0.18</v>
      </c>
      <c r="P1895" s="2" t="s">
        <v>1809</v>
      </c>
      <c r="Q1895" s="36">
        <v>319.07839999999999</v>
      </c>
    </row>
    <row r="1896" spans="1:17" x14ac:dyDescent="0.3">
      <c r="A1896" s="2" t="s">
        <v>3703</v>
      </c>
      <c r="B1896" s="14">
        <v>45558</v>
      </c>
      <c r="C1896" s="2">
        <f>YEAR(Sales_Details2[[#This Row],[Order_Date]])</f>
        <v>2024</v>
      </c>
      <c r="D1896" s="2" t="s">
        <v>1398</v>
      </c>
      <c r="E1896" s="2" t="str">
        <f>VLOOKUP(Sales_Details2[[#This Row],[Customer_ID]],Customer_Details[#All],4,0)</f>
        <v>Senior</v>
      </c>
      <c r="F1896" s="2" t="str">
        <f>VLOOKUP(Sales_Details2[[#This Row],[Customer_ID]],Customer_Details[#All],5,0)</f>
        <v>Female</v>
      </c>
      <c r="G1896" s="2" t="str">
        <f>VLOOKUP(Sales_Details2[[#This Row],[Customer_ID]],Customer_Details[#All],9,0)</f>
        <v>Silver</v>
      </c>
      <c r="H1896" s="2" t="s">
        <v>1695</v>
      </c>
      <c r="I1896" s="2" t="str">
        <f>VLOOKUP(Sales_Details2[[#This Row],[Product_ID]],Product_details[[#All],[Product_ID]:[Cost]],3,0)</f>
        <v>Sports</v>
      </c>
      <c r="J1896" s="2" t="str">
        <f>VLOOKUP(Sales_Details2[[#This Row],[Product_ID]],Product_details[[#All],[Product_ID]:[Cost]],4,0)</f>
        <v>Fitness</v>
      </c>
      <c r="K1896" s="2" t="s">
        <v>1793</v>
      </c>
      <c r="L1896" s="2" t="str">
        <f>_xlfn.XLOOKUP(Sales_Details2[[#This Row],[Store_ID]],Table2[Store_ID],Table2[Region],"Region not found")</f>
        <v>East</v>
      </c>
      <c r="M1896" s="25">
        <v>3</v>
      </c>
      <c r="N1896" s="36">
        <v>543.83000000000004</v>
      </c>
      <c r="O1896" s="29">
        <v>0.05</v>
      </c>
      <c r="P1896" s="2" t="s">
        <v>1807</v>
      </c>
      <c r="Q1896" s="36">
        <v>1549.9155000000001</v>
      </c>
    </row>
    <row r="1897" spans="1:17" x14ac:dyDescent="0.3">
      <c r="A1897" s="2" t="s">
        <v>3704</v>
      </c>
      <c r="B1897" s="14">
        <v>45423</v>
      </c>
      <c r="C1897" s="2">
        <f>YEAR(Sales_Details2[[#This Row],[Order_Date]])</f>
        <v>2024</v>
      </c>
      <c r="D1897" s="2" t="s">
        <v>103</v>
      </c>
      <c r="E1897" s="2" t="str">
        <f>VLOOKUP(Sales_Details2[[#This Row],[Customer_ID]],Customer_Details[#All],4,0)</f>
        <v>Mid-Adult</v>
      </c>
      <c r="F1897" s="2" t="str">
        <f>VLOOKUP(Sales_Details2[[#This Row],[Customer_ID]],Customer_Details[#All],5,0)</f>
        <v>Male</v>
      </c>
      <c r="G1897" s="2" t="str">
        <f>VLOOKUP(Sales_Details2[[#This Row],[Customer_ID]],Customer_Details[#All],9,0)</f>
        <v>Platinum</v>
      </c>
      <c r="H1897" s="2" t="s">
        <v>1559</v>
      </c>
      <c r="I1897" s="2" t="str">
        <f>VLOOKUP(Sales_Details2[[#This Row],[Product_ID]],Product_details[[#All],[Product_ID]:[Cost]],3,0)</f>
        <v>Home</v>
      </c>
      <c r="J1897" s="2" t="str">
        <f>VLOOKUP(Sales_Details2[[#This Row],[Product_ID]],Product_details[[#All],[Product_ID]:[Cost]],4,0)</f>
        <v>Decor</v>
      </c>
      <c r="K1897" s="2" t="s">
        <v>1740</v>
      </c>
      <c r="L1897" s="2" t="str">
        <f>_xlfn.XLOOKUP(Sales_Details2[[#This Row],[Store_ID]],Table2[Store_ID],Table2[Region],"Region not found")</f>
        <v>North</v>
      </c>
      <c r="M1897" s="25">
        <v>2</v>
      </c>
      <c r="N1897" s="36">
        <v>660.27</v>
      </c>
      <c r="O1897" s="29">
        <v>0.01</v>
      </c>
      <c r="P1897" s="2" t="s">
        <v>1809</v>
      </c>
      <c r="Q1897" s="36">
        <v>1307.3345999999999</v>
      </c>
    </row>
    <row r="1898" spans="1:17" x14ac:dyDescent="0.3">
      <c r="A1898" s="2" t="s">
        <v>3705</v>
      </c>
      <c r="B1898" s="14">
        <v>45780</v>
      </c>
      <c r="C1898" s="2">
        <f>YEAR(Sales_Details2[[#This Row],[Order_Date]])</f>
        <v>2025</v>
      </c>
      <c r="D1898" s="2" t="s">
        <v>1330</v>
      </c>
      <c r="E1898" s="2" t="str">
        <f>VLOOKUP(Sales_Details2[[#This Row],[Customer_ID]],Customer_Details[#All],4,0)</f>
        <v>Mid-Adult</v>
      </c>
      <c r="F1898" s="2" t="str">
        <f>VLOOKUP(Sales_Details2[[#This Row],[Customer_ID]],Customer_Details[#All],5,0)</f>
        <v>Female</v>
      </c>
      <c r="G1898" s="2" t="str">
        <f>VLOOKUP(Sales_Details2[[#This Row],[Customer_ID]],Customer_Details[#All],9,0)</f>
        <v>Gold</v>
      </c>
      <c r="H1898" s="2" t="s">
        <v>1557</v>
      </c>
      <c r="I1898" s="2" t="str">
        <f>VLOOKUP(Sales_Details2[[#This Row],[Product_ID]],Product_details[[#All],[Product_ID]:[Cost]],3,0)</f>
        <v>Electronics</v>
      </c>
      <c r="J1898" s="2" t="str">
        <f>VLOOKUP(Sales_Details2[[#This Row],[Product_ID]],Product_details[[#All],[Product_ID]:[Cost]],4,0)</f>
        <v>Accessories</v>
      </c>
      <c r="K1898" s="2" t="s">
        <v>1765</v>
      </c>
      <c r="L1898" s="2" t="str">
        <f>_xlfn.XLOOKUP(Sales_Details2[[#This Row],[Store_ID]],Table2[Store_ID],Table2[Region],"Region not found")</f>
        <v>West</v>
      </c>
      <c r="M1898" s="25">
        <v>4</v>
      </c>
      <c r="N1898" s="36">
        <v>729.31</v>
      </c>
      <c r="O1898" s="29">
        <v>0.03</v>
      </c>
      <c r="P1898" s="2" t="s">
        <v>1807</v>
      </c>
      <c r="Q1898" s="36">
        <v>2829.7228</v>
      </c>
    </row>
    <row r="1899" spans="1:17" x14ac:dyDescent="0.3">
      <c r="A1899" s="2" t="s">
        <v>3706</v>
      </c>
      <c r="B1899" s="14">
        <v>45345</v>
      </c>
      <c r="C1899" s="2">
        <f>YEAR(Sales_Details2[[#This Row],[Order_Date]])</f>
        <v>2024</v>
      </c>
      <c r="D1899" s="2" t="s">
        <v>1292</v>
      </c>
      <c r="E1899" s="2" t="str">
        <f>VLOOKUP(Sales_Details2[[#This Row],[Customer_ID]],Customer_Details[#All],4,0)</f>
        <v>Mid-Adult</v>
      </c>
      <c r="F1899" s="2" t="str">
        <f>VLOOKUP(Sales_Details2[[#This Row],[Customer_ID]],Customer_Details[#All],5,0)</f>
        <v>Female</v>
      </c>
      <c r="G1899" s="2" t="str">
        <f>VLOOKUP(Sales_Details2[[#This Row],[Customer_ID]],Customer_Details[#All],9,0)</f>
        <v>Platinum</v>
      </c>
      <c r="H1899" s="2" t="s">
        <v>1705</v>
      </c>
      <c r="I1899" s="2" t="str">
        <f>VLOOKUP(Sales_Details2[[#This Row],[Product_ID]],Product_details[[#All],[Product_ID]:[Cost]],3,0)</f>
        <v>Home</v>
      </c>
      <c r="J1899" s="2" t="str">
        <f>VLOOKUP(Sales_Details2[[#This Row],[Product_ID]],Product_details[[#All],[Product_ID]:[Cost]],4,0)</f>
        <v>Lighting</v>
      </c>
      <c r="K1899" s="2" t="s">
        <v>1759</v>
      </c>
      <c r="L1899" s="2" t="str">
        <f>_xlfn.XLOOKUP(Sales_Details2[[#This Row],[Store_ID]],Table2[Store_ID],Table2[Region],"Region not found")</f>
        <v>East</v>
      </c>
      <c r="M1899" s="25">
        <v>2</v>
      </c>
      <c r="N1899" s="36">
        <v>152.91</v>
      </c>
      <c r="O1899" s="29">
        <v>0.24</v>
      </c>
      <c r="P1899" s="2" t="s">
        <v>1809</v>
      </c>
      <c r="Q1899" s="36">
        <v>232.42320000000001</v>
      </c>
    </row>
    <row r="1900" spans="1:17" x14ac:dyDescent="0.3">
      <c r="A1900" s="2" t="s">
        <v>3707</v>
      </c>
      <c r="B1900" s="14">
        <v>45344</v>
      </c>
      <c r="C1900" s="2">
        <f>YEAR(Sales_Details2[[#This Row],[Order_Date]])</f>
        <v>2024</v>
      </c>
      <c r="D1900" s="2" t="s">
        <v>1406</v>
      </c>
      <c r="E1900" s="2" t="str">
        <f>VLOOKUP(Sales_Details2[[#This Row],[Customer_ID]],Customer_Details[#All],4,0)</f>
        <v>Senior</v>
      </c>
      <c r="F1900" s="2" t="str">
        <f>VLOOKUP(Sales_Details2[[#This Row],[Customer_ID]],Customer_Details[#All],5,0)</f>
        <v>Female</v>
      </c>
      <c r="G1900" s="2" t="str">
        <f>VLOOKUP(Sales_Details2[[#This Row],[Customer_ID]],Customer_Details[#All],9,0)</f>
        <v>Silver</v>
      </c>
      <c r="H1900" s="2" t="s">
        <v>1679</v>
      </c>
      <c r="I1900" s="2" t="str">
        <f>VLOOKUP(Sales_Details2[[#This Row],[Product_ID]],Product_details[[#All],[Product_ID]:[Cost]],3,0)</f>
        <v>Electronics</v>
      </c>
      <c r="J1900" s="2" t="str">
        <f>VLOOKUP(Sales_Details2[[#This Row],[Product_ID]],Product_details[[#All],[Product_ID]:[Cost]],4,0)</f>
        <v>Audio</v>
      </c>
      <c r="K1900" s="2" t="s">
        <v>1784</v>
      </c>
      <c r="L1900" s="2" t="str">
        <f>_xlfn.XLOOKUP(Sales_Details2[[#This Row],[Store_ID]],Table2[Store_ID],Table2[Region],"Region not found")</f>
        <v>North</v>
      </c>
      <c r="M1900" s="25">
        <v>4</v>
      </c>
      <c r="N1900" s="36">
        <v>592.14</v>
      </c>
      <c r="O1900" s="29">
        <v>0.12</v>
      </c>
      <c r="P1900" s="2" t="s">
        <v>1812</v>
      </c>
      <c r="Q1900" s="36">
        <v>2084.3328000000001</v>
      </c>
    </row>
    <row r="1901" spans="1:17" x14ac:dyDescent="0.3">
      <c r="A1901" s="2" t="s">
        <v>3708</v>
      </c>
      <c r="B1901" s="14">
        <v>45525</v>
      </c>
      <c r="C1901" s="2">
        <f>YEAR(Sales_Details2[[#This Row],[Order_Date]])</f>
        <v>2024</v>
      </c>
      <c r="D1901" s="2" t="s">
        <v>227</v>
      </c>
      <c r="E1901" s="2" t="str">
        <f>VLOOKUP(Sales_Details2[[#This Row],[Customer_ID]],Customer_Details[#All],4,0)</f>
        <v>Mid-Adult</v>
      </c>
      <c r="F1901" s="2" t="str">
        <f>VLOOKUP(Sales_Details2[[#This Row],[Customer_ID]],Customer_Details[#All],5,0)</f>
        <v>Male</v>
      </c>
      <c r="G1901" s="2" t="str">
        <f>VLOOKUP(Sales_Details2[[#This Row],[Customer_ID]],Customer_Details[#All],9,0)</f>
        <v>Bronze</v>
      </c>
      <c r="H1901" s="2" t="s">
        <v>1687</v>
      </c>
      <c r="I1901" s="2" t="str">
        <f>VLOOKUP(Sales_Details2[[#This Row],[Product_ID]],Product_details[[#All],[Product_ID]:[Cost]],3,0)</f>
        <v>Home</v>
      </c>
      <c r="J1901" s="2" t="str">
        <f>VLOOKUP(Sales_Details2[[#This Row],[Product_ID]],Product_details[[#All],[Product_ID]:[Cost]],4,0)</f>
        <v>Decor</v>
      </c>
      <c r="K1901" s="2" t="s">
        <v>1777</v>
      </c>
      <c r="L1901" s="2" t="str">
        <f>_xlfn.XLOOKUP(Sales_Details2[[#This Row],[Store_ID]],Table2[Store_ID],Table2[Region],"Region not found")</f>
        <v>North</v>
      </c>
      <c r="M1901" s="25">
        <v>1</v>
      </c>
      <c r="N1901" s="36">
        <v>984.37</v>
      </c>
      <c r="O1901" s="29">
        <v>0</v>
      </c>
      <c r="P1901" s="2" t="s">
        <v>1809</v>
      </c>
      <c r="Q1901" s="36">
        <v>984.37</v>
      </c>
    </row>
    <row r="1902" spans="1:17" x14ac:dyDescent="0.3">
      <c r="A1902" s="2" t="s">
        <v>3709</v>
      </c>
      <c r="B1902" s="14">
        <v>45329</v>
      </c>
      <c r="C1902" s="2">
        <f>YEAR(Sales_Details2[[#This Row],[Order_Date]])</f>
        <v>2024</v>
      </c>
      <c r="D1902" s="2" t="s">
        <v>917</v>
      </c>
      <c r="E1902" s="2" t="str">
        <f>VLOOKUP(Sales_Details2[[#This Row],[Customer_ID]],Customer_Details[#All],4,0)</f>
        <v>Adult</v>
      </c>
      <c r="F1902" s="2" t="str">
        <f>VLOOKUP(Sales_Details2[[#This Row],[Customer_ID]],Customer_Details[#All],5,0)</f>
        <v>Male</v>
      </c>
      <c r="G1902" s="2" t="str">
        <f>VLOOKUP(Sales_Details2[[#This Row],[Customer_ID]],Customer_Details[#All],9,0)</f>
        <v>Silver</v>
      </c>
      <c r="H1902" s="2" t="s">
        <v>1529</v>
      </c>
      <c r="I1902" s="2" t="str">
        <f>VLOOKUP(Sales_Details2[[#This Row],[Product_ID]],Product_details[[#All],[Product_ID]:[Cost]],3,0)</f>
        <v>Clothing</v>
      </c>
      <c r="J1902" s="2" t="str">
        <f>VLOOKUP(Sales_Details2[[#This Row],[Product_ID]],Product_details[[#All],[Product_ID]:[Cost]],4,0)</f>
        <v>Tops</v>
      </c>
      <c r="K1902" s="2" t="s">
        <v>1777</v>
      </c>
      <c r="L1902" s="2" t="str">
        <f>_xlfn.XLOOKUP(Sales_Details2[[#This Row],[Store_ID]],Table2[Store_ID],Table2[Region],"Region not found")</f>
        <v>North</v>
      </c>
      <c r="M1902" s="25">
        <v>2</v>
      </c>
      <c r="N1902" s="36">
        <v>237.59</v>
      </c>
      <c r="O1902" s="29">
        <v>0.12</v>
      </c>
      <c r="P1902" s="2" t="s">
        <v>1807</v>
      </c>
      <c r="Q1902" s="36">
        <v>418.15839999999997</v>
      </c>
    </row>
    <row r="1903" spans="1:17" x14ac:dyDescent="0.3">
      <c r="A1903" s="2" t="s">
        <v>3710</v>
      </c>
      <c r="B1903" s="14">
        <v>45250</v>
      </c>
      <c r="C1903" s="2">
        <f>YEAR(Sales_Details2[[#This Row],[Order_Date]])</f>
        <v>2023</v>
      </c>
      <c r="D1903" s="2" t="s">
        <v>1321</v>
      </c>
      <c r="E1903" s="2" t="str">
        <f>VLOOKUP(Sales_Details2[[#This Row],[Customer_ID]],Customer_Details[#All],4,0)</f>
        <v>Adult</v>
      </c>
      <c r="F1903" s="2" t="str">
        <f>VLOOKUP(Sales_Details2[[#This Row],[Customer_ID]],Customer_Details[#All],5,0)</f>
        <v>Male</v>
      </c>
      <c r="G1903" s="2" t="str">
        <f>VLOOKUP(Sales_Details2[[#This Row],[Customer_ID]],Customer_Details[#All],9,0)</f>
        <v>Platinum</v>
      </c>
      <c r="H1903" s="2" t="s">
        <v>1581</v>
      </c>
      <c r="I1903" s="2" t="str">
        <f>VLOOKUP(Sales_Details2[[#This Row],[Product_ID]],Product_details[[#All],[Product_ID]:[Cost]],3,0)</f>
        <v>Clothing</v>
      </c>
      <c r="J1903" s="2" t="str">
        <f>VLOOKUP(Sales_Details2[[#This Row],[Product_ID]],Product_details[[#All],[Product_ID]:[Cost]],4,0)</f>
        <v>Accessories</v>
      </c>
      <c r="K1903" s="2" t="s">
        <v>1765</v>
      </c>
      <c r="L1903" s="2" t="str">
        <f>_xlfn.XLOOKUP(Sales_Details2[[#This Row],[Store_ID]],Table2[Store_ID],Table2[Region],"Region not found")</f>
        <v>West</v>
      </c>
      <c r="M1903" s="25">
        <v>1</v>
      </c>
      <c r="N1903" s="36">
        <v>52.06</v>
      </c>
      <c r="O1903" s="29">
        <v>0.27</v>
      </c>
      <c r="P1903" s="2" t="s">
        <v>1812</v>
      </c>
      <c r="Q1903" s="36">
        <v>38.003799999999998</v>
      </c>
    </row>
    <row r="1904" spans="1:17" x14ac:dyDescent="0.3">
      <c r="A1904" s="2" t="s">
        <v>3711</v>
      </c>
      <c r="B1904" s="14">
        <v>45691</v>
      </c>
      <c r="C1904" s="2">
        <f>YEAR(Sales_Details2[[#This Row],[Order_Date]])</f>
        <v>2025</v>
      </c>
      <c r="D1904" s="2" t="s">
        <v>1389</v>
      </c>
      <c r="E1904" s="2" t="str">
        <f>VLOOKUP(Sales_Details2[[#This Row],[Customer_ID]],Customer_Details[#All],4,0)</f>
        <v>Senior</v>
      </c>
      <c r="F1904" s="2" t="str">
        <f>VLOOKUP(Sales_Details2[[#This Row],[Customer_ID]],Customer_Details[#All],5,0)</f>
        <v>Male</v>
      </c>
      <c r="G1904" s="2" t="str">
        <f>VLOOKUP(Sales_Details2[[#This Row],[Customer_ID]],Customer_Details[#All],9,0)</f>
        <v>Gold</v>
      </c>
      <c r="H1904" s="2" t="s">
        <v>1534</v>
      </c>
      <c r="I1904" s="2" t="str">
        <f>VLOOKUP(Sales_Details2[[#This Row],[Product_ID]],Product_details[[#All],[Product_ID]:[Cost]],3,0)</f>
        <v>Clothing</v>
      </c>
      <c r="J1904" s="2" t="str">
        <f>VLOOKUP(Sales_Details2[[#This Row],[Product_ID]],Product_details[[#All],[Product_ID]:[Cost]],4,0)</f>
        <v>Outerwear</v>
      </c>
      <c r="K1904" s="2" t="s">
        <v>1740</v>
      </c>
      <c r="L1904" s="2" t="str">
        <f>_xlfn.XLOOKUP(Sales_Details2[[#This Row],[Store_ID]],Table2[Store_ID],Table2[Region],"Region not found")</f>
        <v>North</v>
      </c>
      <c r="M1904" s="25">
        <v>2</v>
      </c>
      <c r="N1904" s="36">
        <v>594.63</v>
      </c>
      <c r="O1904" s="29">
        <v>0.12</v>
      </c>
      <c r="P1904" s="2" t="s">
        <v>1807</v>
      </c>
      <c r="Q1904" s="36">
        <v>1046.5488</v>
      </c>
    </row>
    <row r="1905" spans="1:17" x14ac:dyDescent="0.3">
      <c r="A1905" s="2" t="s">
        <v>3712</v>
      </c>
      <c r="B1905" s="14">
        <v>45644</v>
      </c>
      <c r="C1905" s="2">
        <f>YEAR(Sales_Details2[[#This Row],[Order_Date]])</f>
        <v>2024</v>
      </c>
      <c r="D1905" s="2" t="s">
        <v>551</v>
      </c>
      <c r="E1905" s="2" t="str">
        <f>VLOOKUP(Sales_Details2[[#This Row],[Customer_ID]],Customer_Details[#All],4,0)</f>
        <v>Mid-Adult</v>
      </c>
      <c r="F1905" s="2" t="str">
        <f>VLOOKUP(Sales_Details2[[#This Row],[Customer_ID]],Customer_Details[#All],5,0)</f>
        <v>Female</v>
      </c>
      <c r="G1905" s="2" t="str">
        <f>VLOOKUP(Sales_Details2[[#This Row],[Customer_ID]],Customer_Details[#All],9,0)</f>
        <v>Gold</v>
      </c>
      <c r="H1905" s="2" t="s">
        <v>1534</v>
      </c>
      <c r="I1905" s="2" t="str">
        <f>VLOOKUP(Sales_Details2[[#This Row],[Product_ID]],Product_details[[#All],[Product_ID]:[Cost]],3,0)</f>
        <v>Clothing</v>
      </c>
      <c r="J1905" s="2" t="str">
        <f>VLOOKUP(Sales_Details2[[#This Row],[Product_ID]],Product_details[[#All],[Product_ID]:[Cost]],4,0)</f>
        <v>Outerwear</v>
      </c>
      <c r="K1905" s="2" t="s">
        <v>1735</v>
      </c>
      <c r="L1905" s="2" t="str">
        <f>_xlfn.XLOOKUP(Sales_Details2[[#This Row],[Store_ID]],Table2[Store_ID],Table2[Region],"Region not found")</f>
        <v>East</v>
      </c>
      <c r="M1905" s="25">
        <v>3</v>
      </c>
      <c r="N1905" s="36">
        <v>476.1</v>
      </c>
      <c r="O1905" s="29">
        <v>0.05</v>
      </c>
      <c r="P1905" s="2" t="s">
        <v>1812</v>
      </c>
      <c r="Q1905" s="36">
        <v>1356.885</v>
      </c>
    </row>
    <row r="1906" spans="1:17" x14ac:dyDescent="0.3">
      <c r="A1906" s="2" t="s">
        <v>3713</v>
      </c>
      <c r="B1906" s="14">
        <v>45514</v>
      </c>
      <c r="C1906" s="2">
        <f>YEAR(Sales_Details2[[#This Row],[Order_Date]])</f>
        <v>2024</v>
      </c>
      <c r="D1906" s="2" t="s">
        <v>224</v>
      </c>
      <c r="E1906" s="2" t="str">
        <f>VLOOKUP(Sales_Details2[[#This Row],[Customer_ID]],Customer_Details[#All],4,0)</f>
        <v>Adult</v>
      </c>
      <c r="F1906" s="2" t="str">
        <f>VLOOKUP(Sales_Details2[[#This Row],[Customer_ID]],Customer_Details[#All],5,0)</f>
        <v>Male</v>
      </c>
      <c r="G1906" s="2" t="str">
        <f>VLOOKUP(Sales_Details2[[#This Row],[Customer_ID]],Customer_Details[#All],9,0)</f>
        <v>Silver</v>
      </c>
      <c r="H1906" s="2" t="s">
        <v>1653</v>
      </c>
      <c r="I1906" s="2" t="str">
        <f>VLOOKUP(Sales_Details2[[#This Row],[Product_ID]],Product_details[[#All],[Product_ID]:[Cost]],3,0)</f>
        <v>Sports</v>
      </c>
      <c r="J1906" s="2" t="str">
        <f>VLOOKUP(Sales_Details2[[#This Row],[Product_ID]],Product_details[[#All],[Product_ID]:[Cost]],4,0)</f>
        <v>Equipment</v>
      </c>
      <c r="K1906" s="2" t="s">
        <v>1759</v>
      </c>
      <c r="L1906" s="2" t="str">
        <f>_xlfn.XLOOKUP(Sales_Details2[[#This Row],[Store_ID]],Table2[Store_ID],Table2[Region],"Region not found")</f>
        <v>East</v>
      </c>
      <c r="M1906" s="25">
        <v>1</v>
      </c>
      <c r="N1906" s="36">
        <v>546.47</v>
      </c>
      <c r="O1906" s="29">
        <v>0.08</v>
      </c>
      <c r="P1906" s="2" t="s">
        <v>1812</v>
      </c>
      <c r="Q1906" s="36">
        <v>502.75240000000002</v>
      </c>
    </row>
    <row r="1907" spans="1:17" x14ac:dyDescent="0.3">
      <c r="A1907" s="2" t="s">
        <v>3714</v>
      </c>
      <c r="B1907" s="14">
        <v>45760</v>
      </c>
      <c r="C1907" s="2">
        <f>YEAR(Sales_Details2[[#This Row],[Order_Date]])</f>
        <v>2025</v>
      </c>
      <c r="D1907" s="2" t="s">
        <v>576</v>
      </c>
      <c r="E1907" s="2" t="str">
        <f>VLOOKUP(Sales_Details2[[#This Row],[Customer_ID]],Customer_Details[#All],4,0)</f>
        <v>Mid-Adult</v>
      </c>
      <c r="F1907" s="2" t="str">
        <f>VLOOKUP(Sales_Details2[[#This Row],[Customer_ID]],Customer_Details[#All],5,0)</f>
        <v>Male</v>
      </c>
      <c r="G1907" s="2" t="str">
        <f>VLOOKUP(Sales_Details2[[#This Row],[Customer_ID]],Customer_Details[#All],9,0)</f>
        <v>Silver</v>
      </c>
      <c r="H1907" s="2" t="s">
        <v>1681</v>
      </c>
      <c r="I1907" s="2" t="str">
        <f>VLOOKUP(Sales_Details2[[#This Row],[Product_ID]],Product_details[[#All],[Product_ID]:[Cost]],3,0)</f>
        <v>Clothing</v>
      </c>
      <c r="J1907" s="2" t="str">
        <f>VLOOKUP(Sales_Details2[[#This Row],[Product_ID]],Product_details[[#All],[Product_ID]:[Cost]],4,0)</f>
        <v>Footwear</v>
      </c>
      <c r="K1907" s="2" t="s">
        <v>1777</v>
      </c>
      <c r="L1907" s="2" t="str">
        <f>_xlfn.XLOOKUP(Sales_Details2[[#This Row],[Store_ID]],Table2[Store_ID],Table2[Region],"Region not found")</f>
        <v>North</v>
      </c>
      <c r="M1907" s="25">
        <v>1</v>
      </c>
      <c r="N1907" s="36">
        <v>979.49</v>
      </c>
      <c r="O1907" s="29">
        <v>0.19</v>
      </c>
      <c r="P1907" s="2" t="s">
        <v>1812</v>
      </c>
      <c r="Q1907" s="36">
        <v>793.38690000000008</v>
      </c>
    </row>
    <row r="1908" spans="1:17" x14ac:dyDescent="0.3">
      <c r="A1908" s="2" t="s">
        <v>3715</v>
      </c>
      <c r="B1908" s="14">
        <v>45289</v>
      </c>
      <c r="C1908" s="2">
        <f>YEAR(Sales_Details2[[#This Row],[Order_Date]])</f>
        <v>2023</v>
      </c>
      <c r="D1908" s="2" t="s">
        <v>628</v>
      </c>
      <c r="E1908" s="2" t="str">
        <f>VLOOKUP(Sales_Details2[[#This Row],[Customer_ID]],Customer_Details[#All],4,0)</f>
        <v>Mid-Adult</v>
      </c>
      <c r="F1908" s="2" t="str">
        <f>VLOOKUP(Sales_Details2[[#This Row],[Customer_ID]],Customer_Details[#All],5,0)</f>
        <v>Male</v>
      </c>
      <c r="G1908" s="2" t="str">
        <f>VLOOKUP(Sales_Details2[[#This Row],[Customer_ID]],Customer_Details[#All],9,0)</f>
        <v>Gold</v>
      </c>
      <c r="H1908" s="2" t="s">
        <v>1565</v>
      </c>
      <c r="I1908" s="2" t="str">
        <f>VLOOKUP(Sales_Details2[[#This Row],[Product_ID]],Product_details[[#All],[Product_ID]:[Cost]],3,0)</f>
        <v>Sports</v>
      </c>
      <c r="J1908" s="2" t="str">
        <f>VLOOKUP(Sales_Details2[[#This Row],[Product_ID]],Product_details[[#All],[Product_ID]:[Cost]],4,0)</f>
        <v>Accessories</v>
      </c>
      <c r="K1908" s="2" t="s">
        <v>1744</v>
      </c>
      <c r="L1908" s="2" t="str">
        <f>_xlfn.XLOOKUP(Sales_Details2[[#This Row],[Store_ID]],Table2[Store_ID],Table2[Region],"Region not found")</f>
        <v>South</v>
      </c>
      <c r="M1908" s="25">
        <v>3</v>
      </c>
      <c r="N1908" s="36">
        <v>988.53</v>
      </c>
      <c r="O1908" s="29">
        <v>0.3</v>
      </c>
      <c r="P1908" s="2" t="s">
        <v>1812</v>
      </c>
      <c r="Q1908" s="36">
        <v>2075.913</v>
      </c>
    </row>
    <row r="1909" spans="1:17" x14ac:dyDescent="0.3">
      <c r="A1909" s="2" t="s">
        <v>3716</v>
      </c>
      <c r="B1909" s="14">
        <v>45704</v>
      </c>
      <c r="C1909" s="2">
        <f>YEAR(Sales_Details2[[#This Row],[Order_Date]])</f>
        <v>2025</v>
      </c>
      <c r="D1909" s="2" t="s">
        <v>808</v>
      </c>
      <c r="E1909" s="2" t="str">
        <f>VLOOKUP(Sales_Details2[[#This Row],[Customer_ID]],Customer_Details[#All],4,0)</f>
        <v>Adult</v>
      </c>
      <c r="F1909" s="2" t="str">
        <f>VLOOKUP(Sales_Details2[[#This Row],[Customer_ID]],Customer_Details[#All],5,0)</f>
        <v>Male</v>
      </c>
      <c r="G1909" s="2" t="str">
        <f>VLOOKUP(Sales_Details2[[#This Row],[Customer_ID]],Customer_Details[#All],9,0)</f>
        <v>Gold</v>
      </c>
      <c r="H1909" s="2" t="s">
        <v>1683</v>
      </c>
      <c r="I1909" s="2" t="str">
        <f>VLOOKUP(Sales_Details2[[#This Row],[Product_ID]],Product_details[[#All],[Product_ID]:[Cost]],3,0)</f>
        <v>Electronics</v>
      </c>
      <c r="J1909" s="2" t="str">
        <f>VLOOKUP(Sales_Details2[[#This Row],[Product_ID]],Product_details[[#All],[Product_ID]:[Cost]],4,0)</f>
        <v>Computer</v>
      </c>
      <c r="K1909" s="2" t="s">
        <v>1749</v>
      </c>
      <c r="L1909" s="2" t="str">
        <f>_xlfn.XLOOKUP(Sales_Details2[[#This Row],[Store_ID]],Table2[Store_ID],Table2[Region],"Region not found")</f>
        <v>North</v>
      </c>
      <c r="M1909" s="25">
        <v>4</v>
      </c>
      <c r="N1909" s="36">
        <v>849.29</v>
      </c>
      <c r="O1909" s="29">
        <v>0.26</v>
      </c>
      <c r="P1909" s="2" t="s">
        <v>1807</v>
      </c>
      <c r="Q1909" s="36">
        <v>2513.8984</v>
      </c>
    </row>
    <row r="1910" spans="1:17" x14ac:dyDescent="0.3">
      <c r="A1910" s="2" t="s">
        <v>3717</v>
      </c>
      <c r="B1910" s="14">
        <v>45318</v>
      </c>
      <c r="C1910" s="2">
        <f>YEAR(Sales_Details2[[#This Row],[Order_Date]])</f>
        <v>2024</v>
      </c>
      <c r="D1910" s="2" t="s">
        <v>1066</v>
      </c>
      <c r="E1910" s="2" t="str">
        <f>VLOOKUP(Sales_Details2[[#This Row],[Customer_ID]],Customer_Details[#All],4,0)</f>
        <v>Mid-Adult</v>
      </c>
      <c r="F1910" s="2" t="str">
        <f>VLOOKUP(Sales_Details2[[#This Row],[Customer_ID]],Customer_Details[#All],5,0)</f>
        <v>Male</v>
      </c>
      <c r="G1910" s="2" t="str">
        <f>VLOOKUP(Sales_Details2[[#This Row],[Customer_ID]],Customer_Details[#All],9,0)</f>
        <v>Bronze</v>
      </c>
      <c r="H1910" s="2" t="s">
        <v>1721</v>
      </c>
      <c r="I1910" s="2" t="str">
        <f>VLOOKUP(Sales_Details2[[#This Row],[Product_ID]],Product_details[[#All],[Product_ID]:[Cost]],3,0)</f>
        <v>Sports</v>
      </c>
      <c r="J1910" s="2" t="str">
        <f>VLOOKUP(Sales_Details2[[#This Row],[Product_ID]],Product_details[[#All],[Product_ID]:[Cost]],4,0)</f>
        <v>Accessories</v>
      </c>
      <c r="K1910" s="2" t="s">
        <v>1782</v>
      </c>
      <c r="L1910" s="2" t="str">
        <f>_xlfn.XLOOKUP(Sales_Details2[[#This Row],[Store_ID]],Table2[Store_ID],Table2[Region],"Region not found")</f>
        <v>South</v>
      </c>
      <c r="M1910" s="25">
        <v>2</v>
      </c>
      <c r="N1910" s="36">
        <v>452.29</v>
      </c>
      <c r="O1910" s="29">
        <v>0.01</v>
      </c>
      <c r="P1910" s="2" t="s">
        <v>1812</v>
      </c>
      <c r="Q1910" s="36">
        <v>895.53420000000006</v>
      </c>
    </row>
    <row r="1911" spans="1:17" x14ac:dyDescent="0.3">
      <c r="A1911" s="2" t="s">
        <v>3718</v>
      </c>
      <c r="B1911" s="14">
        <v>45495</v>
      </c>
      <c r="C1911" s="2">
        <f>YEAR(Sales_Details2[[#This Row],[Order_Date]])</f>
        <v>2024</v>
      </c>
      <c r="D1911" s="2" t="s">
        <v>1361</v>
      </c>
      <c r="E1911" s="2" t="str">
        <f>VLOOKUP(Sales_Details2[[#This Row],[Customer_ID]],Customer_Details[#All],4,0)</f>
        <v>Mid-Adult</v>
      </c>
      <c r="F1911" s="2" t="str">
        <f>VLOOKUP(Sales_Details2[[#This Row],[Customer_ID]],Customer_Details[#All],5,0)</f>
        <v>Female</v>
      </c>
      <c r="G1911" s="2" t="str">
        <f>VLOOKUP(Sales_Details2[[#This Row],[Customer_ID]],Customer_Details[#All],9,0)</f>
        <v>Platinum</v>
      </c>
      <c r="H1911" s="2" t="s">
        <v>1639</v>
      </c>
      <c r="I1911" s="2" t="str">
        <f>VLOOKUP(Sales_Details2[[#This Row],[Product_ID]],Product_details[[#All],[Product_ID]:[Cost]],3,0)</f>
        <v>Sports</v>
      </c>
      <c r="J1911" s="2" t="str">
        <f>VLOOKUP(Sales_Details2[[#This Row],[Product_ID]],Product_details[[#All],[Product_ID]:[Cost]],4,0)</f>
        <v>Accessories</v>
      </c>
      <c r="K1911" s="2" t="s">
        <v>1793</v>
      </c>
      <c r="L1911" s="2" t="str">
        <f>_xlfn.XLOOKUP(Sales_Details2[[#This Row],[Store_ID]],Table2[Store_ID],Table2[Region],"Region not found")</f>
        <v>East</v>
      </c>
      <c r="M1911" s="25">
        <v>2</v>
      </c>
      <c r="N1911" s="36">
        <v>810.81</v>
      </c>
      <c r="O1911" s="29">
        <v>0.11</v>
      </c>
      <c r="P1911" s="2" t="s">
        <v>1812</v>
      </c>
      <c r="Q1911" s="36">
        <v>1443.2418</v>
      </c>
    </row>
    <row r="1912" spans="1:17" x14ac:dyDescent="0.3">
      <c r="A1912" s="2" t="s">
        <v>3719</v>
      </c>
      <c r="B1912" s="14">
        <v>45560</v>
      </c>
      <c r="C1912" s="2">
        <f>YEAR(Sales_Details2[[#This Row],[Order_Date]])</f>
        <v>2024</v>
      </c>
      <c r="D1912" s="2" t="s">
        <v>127</v>
      </c>
      <c r="E1912" s="2" t="str">
        <f>VLOOKUP(Sales_Details2[[#This Row],[Customer_ID]],Customer_Details[#All],4,0)</f>
        <v>Mid-Adult</v>
      </c>
      <c r="F1912" s="2" t="str">
        <f>VLOOKUP(Sales_Details2[[#This Row],[Customer_ID]],Customer_Details[#All],5,0)</f>
        <v>Male</v>
      </c>
      <c r="G1912" s="2" t="str">
        <f>VLOOKUP(Sales_Details2[[#This Row],[Customer_ID]],Customer_Details[#All],9,0)</f>
        <v>Silver</v>
      </c>
      <c r="H1912" s="2" t="s">
        <v>1653</v>
      </c>
      <c r="I1912" s="2" t="str">
        <f>VLOOKUP(Sales_Details2[[#This Row],[Product_ID]],Product_details[[#All],[Product_ID]:[Cost]],3,0)</f>
        <v>Sports</v>
      </c>
      <c r="J1912" s="2" t="str">
        <f>VLOOKUP(Sales_Details2[[#This Row],[Product_ID]],Product_details[[#All],[Product_ID]:[Cost]],4,0)</f>
        <v>Equipment</v>
      </c>
      <c r="K1912" s="2" t="s">
        <v>1765</v>
      </c>
      <c r="L1912" s="2" t="str">
        <f>_xlfn.XLOOKUP(Sales_Details2[[#This Row],[Store_ID]],Table2[Store_ID],Table2[Region],"Region not found")</f>
        <v>West</v>
      </c>
      <c r="M1912" s="25">
        <v>1</v>
      </c>
      <c r="N1912" s="36">
        <v>846.67</v>
      </c>
      <c r="O1912" s="29">
        <v>0.1</v>
      </c>
      <c r="P1912" s="2" t="s">
        <v>1812</v>
      </c>
      <c r="Q1912" s="36">
        <v>762.00299999999993</v>
      </c>
    </row>
    <row r="1913" spans="1:17" x14ac:dyDescent="0.3">
      <c r="A1913" s="2" t="s">
        <v>3720</v>
      </c>
      <c r="B1913" s="14">
        <v>45367</v>
      </c>
      <c r="C1913" s="2">
        <f>YEAR(Sales_Details2[[#This Row],[Order_Date]])</f>
        <v>2024</v>
      </c>
      <c r="D1913" s="2" t="s">
        <v>78</v>
      </c>
      <c r="E1913" s="2" t="str">
        <f>VLOOKUP(Sales_Details2[[#This Row],[Customer_ID]],Customer_Details[#All],4,0)</f>
        <v>Senior</v>
      </c>
      <c r="F1913" s="2" t="str">
        <f>VLOOKUP(Sales_Details2[[#This Row],[Customer_ID]],Customer_Details[#All],5,0)</f>
        <v>Female</v>
      </c>
      <c r="G1913" s="2" t="str">
        <f>VLOOKUP(Sales_Details2[[#This Row],[Customer_ID]],Customer_Details[#All],9,0)</f>
        <v>Platinum</v>
      </c>
      <c r="H1913" s="2" t="s">
        <v>1579</v>
      </c>
      <c r="I1913" s="2" t="str">
        <f>VLOOKUP(Sales_Details2[[#This Row],[Product_ID]],Product_details[[#All],[Product_ID]:[Cost]],3,0)</f>
        <v>Sports</v>
      </c>
      <c r="J1913" s="2" t="str">
        <f>VLOOKUP(Sales_Details2[[#This Row],[Product_ID]],Product_details[[#All],[Product_ID]:[Cost]],4,0)</f>
        <v>Outdoor</v>
      </c>
      <c r="K1913" s="2" t="s">
        <v>1759</v>
      </c>
      <c r="L1913" s="2" t="str">
        <f>_xlfn.XLOOKUP(Sales_Details2[[#This Row],[Store_ID]],Table2[Store_ID],Table2[Region],"Region not found")</f>
        <v>East</v>
      </c>
      <c r="M1913" s="25">
        <v>4</v>
      </c>
      <c r="N1913" s="36">
        <v>73.55</v>
      </c>
      <c r="O1913" s="29">
        <v>0.24</v>
      </c>
      <c r="P1913" s="2" t="s">
        <v>1812</v>
      </c>
      <c r="Q1913" s="36">
        <v>223.59200000000001</v>
      </c>
    </row>
    <row r="1914" spans="1:17" x14ac:dyDescent="0.3">
      <c r="A1914" s="2" t="s">
        <v>3721</v>
      </c>
      <c r="B1914" s="14">
        <v>45861</v>
      </c>
      <c r="C1914" s="2">
        <f>YEAR(Sales_Details2[[#This Row],[Order_Date]])</f>
        <v>2025</v>
      </c>
      <c r="D1914" s="2" t="s">
        <v>876</v>
      </c>
      <c r="E1914" s="2" t="str">
        <f>VLOOKUP(Sales_Details2[[#This Row],[Customer_ID]],Customer_Details[#All],4,0)</f>
        <v>Mid-Adult</v>
      </c>
      <c r="F1914" s="2" t="str">
        <f>VLOOKUP(Sales_Details2[[#This Row],[Customer_ID]],Customer_Details[#All],5,0)</f>
        <v>Female</v>
      </c>
      <c r="G1914" s="2" t="str">
        <f>VLOOKUP(Sales_Details2[[#This Row],[Customer_ID]],Customer_Details[#All],9,0)</f>
        <v>Platinum</v>
      </c>
      <c r="H1914" s="2" t="s">
        <v>1715</v>
      </c>
      <c r="I1914" s="2" t="str">
        <f>VLOOKUP(Sales_Details2[[#This Row],[Product_ID]],Product_details[[#All],[Product_ID]:[Cost]],3,0)</f>
        <v>Home</v>
      </c>
      <c r="J1914" s="2" t="str">
        <f>VLOOKUP(Sales_Details2[[#This Row],[Product_ID]],Product_details[[#All],[Product_ID]:[Cost]],4,0)</f>
        <v>Appliances</v>
      </c>
      <c r="K1914" s="2" t="s">
        <v>1759</v>
      </c>
      <c r="L1914" s="2" t="str">
        <f>_xlfn.XLOOKUP(Sales_Details2[[#This Row],[Store_ID]],Table2[Store_ID],Table2[Region],"Region not found")</f>
        <v>East</v>
      </c>
      <c r="M1914" s="25">
        <v>1</v>
      </c>
      <c r="N1914" s="36">
        <v>882.03</v>
      </c>
      <c r="O1914" s="29">
        <v>0.04</v>
      </c>
      <c r="P1914" s="2" t="s">
        <v>1812</v>
      </c>
      <c r="Q1914" s="36">
        <v>846.74879999999996</v>
      </c>
    </row>
    <row r="1915" spans="1:17" x14ac:dyDescent="0.3">
      <c r="A1915" s="2" t="s">
        <v>3722</v>
      </c>
      <c r="B1915" s="14">
        <v>45589</v>
      </c>
      <c r="C1915" s="2">
        <f>YEAR(Sales_Details2[[#This Row],[Order_Date]])</f>
        <v>2024</v>
      </c>
      <c r="D1915" s="2" t="s">
        <v>44</v>
      </c>
      <c r="E1915" s="2" t="str">
        <f>VLOOKUP(Sales_Details2[[#This Row],[Customer_ID]],Customer_Details[#All],4,0)</f>
        <v>Senior</v>
      </c>
      <c r="F1915" s="2" t="str">
        <f>VLOOKUP(Sales_Details2[[#This Row],[Customer_ID]],Customer_Details[#All],5,0)</f>
        <v>Female</v>
      </c>
      <c r="G1915" s="2" t="str">
        <f>VLOOKUP(Sales_Details2[[#This Row],[Customer_ID]],Customer_Details[#All],9,0)</f>
        <v>Gold</v>
      </c>
      <c r="H1915" s="2" t="s">
        <v>1575</v>
      </c>
      <c r="I1915" s="2" t="str">
        <f>VLOOKUP(Sales_Details2[[#This Row],[Product_ID]],Product_details[[#All],[Product_ID]:[Cost]],3,0)</f>
        <v>Sports</v>
      </c>
      <c r="J1915" s="2" t="str">
        <f>VLOOKUP(Sales_Details2[[#This Row],[Product_ID]],Product_details[[#All],[Product_ID]:[Cost]],4,0)</f>
        <v>Equipment</v>
      </c>
      <c r="K1915" s="2" t="s">
        <v>1782</v>
      </c>
      <c r="L1915" s="2" t="str">
        <f>_xlfn.XLOOKUP(Sales_Details2[[#This Row],[Store_ID]],Table2[Store_ID],Table2[Region],"Region not found")</f>
        <v>South</v>
      </c>
      <c r="M1915" s="25">
        <v>1</v>
      </c>
      <c r="N1915" s="36">
        <v>958.44</v>
      </c>
      <c r="O1915" s="29">
        <v>0.21</v>
      </c>
      <c r="P1915" s="2" t="s">
        <v>1807</v>
      </c>
      <c r="Q1915" s="36">
        <v>757.16760000000011</v>
      </c>
    </row>
    <row r="1916" spans="1:17" x14ac:dyDescent="0.3">
      <c r="A1916" s="2" t="s">
        <v>3723</v>
      </c>
      <c r="B1916" s="14">
        <v>45560</v>
      </c>
      <c r="C1916" s="2">
        <f>YEAR(Sales_Details2[[#This Row],[Order_Date]])</f>
        <v>2024</v>
      </c>
      <c r="D1916" s="2" t="s">
        <v>44</v>
      </c>
      <c r="E1916" s="2" t="str">
        <f>VLOOKUP(Sales_Details2[[#This Row],[Customer_ID]],Customer_Details[#All],4,0)</f>
        <v>Senior</v>
      </c>
      <c r="F1916" s="2" t="str">
        <f>VLOOKUP(Sales_Details2[[#This Row],[Customer_ID]],Customer_Details[#All],5,0)</f>
        <v>Female</v>
      </c>
      <c r="G1916" s="2" t="str">
        <f>VLOOKUP(Sales_Details2[[#This Row],[Customer_ID]],Customer_Details[#All],9,0)</f>
        <v>Gold</v>
      </c>
      <c r="H1916" s="2" t="s">
        <v>1729</v>
      </c>
      <c r="I1916" s="2" t="str">
        <f>VLOOKUP(Sales_Details2[[#This Row],[Product_ID]],Product_details[[#All],[Product_ID]:[Cost]],3,0)</f>
        <v>Home</v>
      </c>
      <c r="J1916" s="2" t="str">
        <f>VLOOKUP(Sales_Details2[[#This Row],[Product_ID]],Product_details[[#All],[Product_ID]:[Cost]],4,0)</f>
        <v>Kitchen</v>
      </c>
      <c r="K1916" s="2" t="s">
        <v>1744</v>
      </c>
      <c r="L1916" s="2" t="str">
        <f>_xlfn.XLOOKUP(Sales_Details2[[#This Row],[Store_ID]],Table2[Store_ID],Table2[Region],"Region not found")</f>
        <v>South</v>
      </c>
      <c r="M1916" s="25">
        <v>1</v>
      </c>
      <c r="N1916" s="36">
        <v>716.29</v>
      </c>
      <c r="O1916" s="29">
        <v>0.01</v>
      </c>
      <c r="P1916" s="2" t="s">
        <v>1809</v>
      </c>
      <c r="Q1916" s="36">
        <v>709.12709999999993</v>
      </c>
    </row>
    <row r="1917" spans="1:17" x14ac:dyDescent="0.3">
      <c r="A1917" s="2" t="s">
        <v>3724</v>
      </c>
      <c r="B1917" s="14">
        <v>45408</v>
      </c>
      <c r="C1917" s="2">
        <f>YEAR(Sales_Details2[[#This Row],[Order_Date]])</f>
        <v>2024</v>
      </c>
      <c r="D1917" s="2" t="s">
        <v>1007</v>
      </c>
      <c r="E1917" s="2" t="str">
        <f>VLOOKUP(Sales_Details2[[#This Row],[Customer_ID]],Customer_Details[#All],4,0)</f>
        <v>Senior</v>
      </c>
      <c r="F1917" s="2" t="str">
        <f>VLOOKUP(Sales_Details2[[#This Row],[Customer_ID]],Customer_Details[#All],5,0)</f>
        <v>Female</v>
      </c>
      <c r="G1917" s="2" t="str">
        <f>VLOOKUP(Sales_Details2[[#This Row],[Customer_ID]],Customer_Details[#All],9,0)</f>
        <v>Platinum</v>
      </c>
      <c r="H1917" s="2" t="s">
        <v>1548</v>
      </c>
      <c r="I1917" s="2" t="str">
        <f>VLOOKUP(Sales_Details2[[#This Row],[Product_ID]],Product_details[[#All],[Product_ID]:[Cost]],3,0)</f>
        <v>Sports</v>
      </c>
      <c r="J1917" s="2" t="str">
        <f>VLOOKUP(Sales_Details2[[#This Row],[Product_ID]],Product_details[[#All],[Product_ID]:[Cost]],4,0)</f>
        <v>Fitness</v>
      </c>
      <c r="K1917" s="2" t="s">
        <v>1787</v>
      </c>
      <c r="L1917" s="2" t="str">
        <f>_xlfn.XLOOKUP(Sales_Details2[[#This Row],[Store_ID]],Table2[Store_ID],Table2[Region],"Region not found")</f>
        <v>West</v>
      </c>
      <c r="M1917" s="25">
        <v>2</v>
      </c>
      <c r="N1917" s="36">
        <v>409.14</v>
      </c>
      <c r="O1917" s="29">
        <v>0.01</v>
      </c>
      <c r="P1917" s="2" t="s">
        <v>1809</v>
      </c>
      <c r="Q1917" s="36">
        <v>810.09719999999993</v>
      </c>
    </row>
    <row r="1918" spans="1:17" x14ac:dyDescent="0.3">
      <c r="A1918" s="2" t="s">
        <v>3725</v>
      </c>
      <c r="B1918" s="14">
        <v>45714</v>
      </c>
      <c r="C1918" s="2">
        <f>YEAR(Sales_Details2[[#This Row],[Order_Date]])</f>
        <v>2025</v>
      </c>
      <c r="D1918" s="2" t="s">
        <v>301</v>
      </c>
      <c r="E1918" s="2" t="str">
        <f>VLOOKUP(Sales_Details2[[#This Row],[Customer_ID]],Customer_Details[#All],4,0)</f>
        <v>Adult</v>
      </c>
      <c r="F1918" s="2" t="str">
        <f>VLOOKUP(Sales_Details2[[#This Row],[Customer_ID]],Customer_Details[#All],5,0)</f>
        <v>Female</v>
      </c>
      <c r="G1918" s="2" t="str">
        <f>VLOOKUP(Sales_Details2[[#This Row],[Customer_ID]],Customer_Details[#All],9,0)</f>
        <v>Platinum</v>
      </c>
      <c r="H1918" s="2" t="s">
        <v>1729</v>
      </c>
      <c r="I1918" s="2" t="str">
        <f>VLOOKUP(Sales_Details2[[#This Row],[Product_ID]],Product_details[[#All],[Product_ID]:[Cost]],3,0)</f>
        <v>Home</v>
      </c>
      <c r="J1918" s="2" t="str">
        <f>VLOOKUP(Sales_Details2[[#This Row],[Product_ID]],Product_details[[#All],[Product_ID]:[Cost]],4,0)</f>
        <v>Kitchen</v>
      </c>
      <c r="K1918" s="2" t="s">
        <v>1769</v>
      </c>
      <c r="L1918" s="2" t="str">
        <f>_xlfn.XLOOKUP(Sales_Details2[[#This Row],[Store_ID]],Table2[Store_ID],Table2[Region],"Region not found")</f>
        <v>South</v>
      </c>
      <c r="M1918" s="25">
        <v>4</v>
      </c>
      <c r="N1918" s="36">
        <v>261.73</v>
      </c>
      <c r="O1918" s="29">
        <v>0.1</v>
      </c>
      <c r="P1918" s="2" t="s">
        <v>1809</v>
      </c>
      <c r="Q1918" s="36">
        <v>942.22800000000007</v>
      </c>
    </row>
    <row r="1919" spans="1:17" x14ac:dyDescent="0.3">
      <c r="A1919" s="2" t="s">
        <v>3726</v>
      </c>
      <c r="B1919" s="14">
        <v>45661</v>
      </c>
      <c r="C1919" s="2">
        <f>YEAR(Sales_Details2[[#This Row],[Order_Date]])</f>
        <v>2025</v>
      </c>
      <c r="D1919" s="2" t="s">
        <v>1421</v>
      </c>
      <c r="E1919" s="2" t="str">
        <f>VLOOKUP(Sales_Details2[[#This Row],[Customer_ID]],Customer_Details[#All],4,0)</f>
        <v>Adult</v>
      </c>
      <c r="F1919" s="2" t="str">
        <f>VLOOKUP(Sales_Details2[[#This Row],[Customer_ID]],Customer_Details[#All],5,0)</f>
        <v>Male</v>
      </c>
      <c r="G1919" s="2" t="str">
        <f>VLOOKUP(Sales_Details2[[#This Row],[Customer_ID]],Customer_Details[#All],9,0)</f>
        <v>Silver</v>
      </c>
      <c r="H1919" s="2" t="s">
        <v>1555</v>
      </c>
      <c r="I1919" s="2" t="str">
        <f>VLOOKUP(Sales_Details2[[#This Row],[Product_ID]],Product_details[[#All],[Product_ID]:[Cost]],3,0)</f>
        <v>Beauty</v>
      </c>
      <c r="J1919" s="2" t="str">
        <f>VLOOKUP(Sales_Details2[[#This Row],[Product_ID]],Product_details[[#All],[Product_ID]:[Cost]],4,0)</f>
        <v>Haircare</v>
      </c>
      <c r="K1919" s="2" t="s">
        <v>1735</v>
      </c>
      <c r="L1919" s="2" t="str">
        <f>_xlfn.XLOOKUP(Sales_Details2[[#This Row],[Store_ID]],Table2[Store_ID],Table2[Region],"Region not found")</f>
        <v>East</v>
      </c>
      <c r="M1919" s="25">
        <v>2</v>
      </c>
      <c r="N1919" s="36">
        <v>687.35</v>
      </c>
      <c r="O1919" s="29">
        <v>0.2</v>
      </c>
      <c r="P1919" s="2" t="s">
        <v>1812</v>
      </c>
      <c r="Q1919" s="36">
        <v>1099.76</v>
      </c>
    </row>
    <row r="1920" spans="1:17" x14ac:dyDescent="0.3">
      <c r="A1920" s="2" t="s">
        <v>3727</v>
      </c>
      <c r="B1920" s="14">
        <v>45921</v>
      </c>
      <c r="C1920" s="2">
        <f>YEAR(Sales_Details2[[#This Row],[Order_Date]])</f>
        <v>2025</v>
      </c>
      <c r="D1920" s="2" t="s">
        <v>669</v>
      </c>
      <c r="E1920" s="2" t="str">
        <f>VLOOKUP(Sales_Details2[[#This Row],[Customer_ID]],Customer_Details[#All],4,0)</f>
        <v>Adult</v>
      </c>
      <c r="F1920" s="2" t="str">
        <f>VLOOKUP(Sales_Details2[[#This Row],[Customer_ID]],Customer_Details[#All],5,0)</f>
        <v>Female</v>
      </c>
      <c r="G1920" s="2" t="str">
        <f>VLOOKUP(Sales_Details2[[#This Row],[Customer_ID]],Customer_Details[#All],9,0)</f>
        <v>Bronze</v>
      </c>
      <c r="H1920" s="2" t="s">
        <v>1699</v>
      </c>
      <c r="I1920" s="2" t="str">
        <f>VLOOKUP(Sales_Details2[[#This Row],[Product_ID]],Product_details[[#All],[Product_ID]:[Cost]],3,0)</f>
        <v>Home</v>
      </c>
      <c r="J1920" s="2" t="str">
        <f>VLOOKUP(Sales_Details2[[#This Row],[Product_ID]],Product_details[[#All],[Product_ID]:[Cost]],4,0)</f>
        <v>Furniture</v>
      </c>
      <c r="K1920" s="2" t="s">
        <v>1765</v>
      </c>
      <c r="L1920" s="2" t="str">
        <f>_xlfn.XLOOKUP(Sales_Details2[[#This Row],[Store_ID]],Table2[Store_ID],Table2[Region],"Region not found")</f>
        <v>West</v>
      </c>
      <c r="M1920" s="25">
        <v>2</v>
      </c>
      <c r="N1920" s="36">
        <v>30.14</v>
      </c>
      <c r="O1920" s="29">
        <v>0.21</v>
      </c>
      <c r="P1920" s="2" t="s">
        <v>1807</v>
      </c>
      <c r="Q1920" s="36">
        <v>47.621200000000002</v>
      </c>
    </row>
    <row r="1921" spans="1:17" x14ac:dyDescent="0.3">
      <c r="A1921" s="2" t="s">
        <v>3728</v>
      </c>
      <c r="B1921" s="14">
        <v>45651</v>
      </c>
      <c r="C1921" s="2">
        <f>YEAR(Sales_Details2[[#This Row],[Order_Date]])</f>
        <v>2024</v>
      </c>
      <c r="D1921" s="2" t="s">
        <v>348</v>
      </c>
      <c r="E1921" s="2" t="str">
        <f>VLOOKUP(Sales_Details2[[#This Row],[Customer_ID]],Customer_Details[#All],4,0)</f>
        <v>Mid-Adult</v>
      </c>
      <c r="F1921" s="2" t="str">
        <f>VLOOKUP(Sales_Details2[[#This Row],[Customer_ID]],Customer_Details[#All],5,0)</f>
        <v>Male</v>
      </c>
      <c r="G1921" s="2" t="str">
        <f>VLOOKUP(Sales_Details2[[#This Row],[Customer_ID]],Customer_Details[#All],9,0)</f>
        <v>Silver</v>
      </c>
      <c r="H1921" s="2" t="s">
        <v>1599</v>
      </c>
      <c r="I1921" s="2" t="str">
        <f>VLOOKUP(Sales_Details2[[#This Row],[Product_ID]],Product_details[[#All],[Product_ID]:[Cost]],3,0)</f>
        <v>Electronics</v>
      </c>
      <c r="J1921" s="2" t="str">
        <f>VLOOKUP(Sales_Details2[[#This Row],[Product_ID]],Product_details[[#All],[Product_ID]:[Cost]],4,0)</f>
        <v>Computer</v>
      </c>
      <c r="K1921" s="2" t="s">
        <v>1765</v>
      </c>
      <c r="L1921" s="2" t="str">
        <f>_xlfn.XLOOKUP(Sales_Details2[[#This Row],[Store_ID]],Table2[Store_ID],Table2[Region],"Region not found")</f>
        <v>West</v>
      </c>
      <c r="M1921" s="25">
        <v>3</v>
      </c>
      <c r="N1921" s="36">
        <v>570.12</v>
      </c>
      <c r="O1921" s="29">
        <v>0.12</v>
      </c>
      <c r="P1921" s="2" t="s">
        <v>1809</v>
      </c>
      <c r="Q1921" s="36">
        <v>1505.1168</v>
      </c>
    </row>
    <row r="1922" spans="1:17" x14ac:dyDescent="0.3">
      <c r="A1922" s="2" t="s">
        <v>3729</v>
      </c>
      <c r="B1922" s="14">
        <v>45883</v>
      </c>
      <c r="C1922" s="2">
        <f>YEAR(Sales_Details2[[#This Row],[Order_Date]])</f>
        <v>2025</v>
      </c>
      <c r="D1922" s="2" t="s">
        <v>885</v>
      </c>
      <c r="E1922" s="2" t="str">
        <f>VLOOKUP(Sales_Details2[[#This Row],[Customer_ID]],Customer_Details[#All],4,0)</f>
        <v>Senior</v>
      </c>
      <c r="F1922" s="2" t="str">
        <f>VLOOKUP(Sales_Details2[[#This Row],[Customer_ID]],Customer_Details[#All],5,0)</f>
        <v>Male</v>
      </c>
      <c r="G1922" s="2" t="str">
        <f>VLOOKUP(Sales_Details2[[#This Row],[Customer_ID]],Customer_Details[#All],9,0)</f>
        <v>Platinum</v>
      </c>
      <c r="H1922" s="2" t="s">
        <v>1685</v>
      </c>
      <c r="I1922" s="2" t="str">
        <f>VLOOKUP(Sales_Details2[[#This Row],[Product_ID]],Product_details[[#All],[Product_ID]:[Cost]],3,0)</f>
        <v>Electronics</v>
      </c>
      <c r="J1922" s="2" t="str">
        <f>VLOOKUP(Sales_Details2[[#This Row],[Product_ID]],Product_details[[#All],[Product_ID]:[Cost]],4,0)</f>
        <v>Appliances</v>
      </c>
      <c r="K1922" s="2" t="s">
        <v>1796</v>
      </c>
      <c r="L1922" s="2" t="str">
        <f>_xlfn.XLOOKUP(Sales_Details2[[#This Row],[Store_ID]],Table2[Store_ID],Table2[Region],"Region not found")</f>
        <v>East</v>
      </c>
      <c r="M1922" s="25">
        <v>3</v>
      </c>
      <c r="N1922" s="36">
        <v>401.87</v>
      </c>
      <c r="O1922" s="29">
        <v>0.28999999999999998</v>
      </c>
      <c r="P1922" s="2" t="s">
        <v>1812</v>
      </c>
      <c r="Q1922" s="36">
        <v>855.98310000000004</v>
      </c>
    </row>
    <row r="1923" spans="1:17" x14ac:dyDescent="0.3">
      <c r="A1923" s="2" t="s">
        <v>3730</v>
      </c>
      <c r="B1923" s="14">
        <v>45624</v>
      </c>
      <c r="C1923" s="2">
        <f>YEAR(Sales_Details2[[#This Row],[Order_Date]])</f>
        <v>2024</v>
      </c>
      <c r="D1923" s="2" t="s">
        <v>1507</v>
      </c>
      <c r="E1923" s="2" t="str">
        <f>VLOOKUP(Sales_Details2[[#This Row],[Customer_ID]],Customer_Details[#All],4,0)</f>
        <v>Senior</v>
      </c>
      <c r="F1923" s="2" t="str">
        <f>VLOOKUP(Sales_Details2[[#This Row],[Customer_ID]],Customer_Details[#All],5,0)</f>
        <v>Male</v>
      </c>
      <c r="G1923" s="2" t="str">
        <f>VLOOKUP(Sales_Details2[[#This Row],[Customer_ID]],Customer_Details[#All],9,0)</f>
        <v>Bronze</v>
      </c>
      <c r="H1923" s="2" t="s">
        <v>1689</v>
      </c>
      <c r="I1923" s="2" t="str">
        <f>VLOOKUP(Sales_Details2[[#This Row],[Product_ID]],Product_details[[#All],[Product_ID]:[Cost]],3,0)</f>
        <v>Home</v>
      </c>
      <c r="J1923" s="2" t="str">
        <f>VLOOKUP(Sales_Details2[[#This Row],[Product_ID]],Product_details[[#All],[Product_ID]:[Cost]],4,0)</f>
        <v>Lighting</v>
      </c>
      <c r="K1923" s="2" t="s">
        <v>1777</v>
      </c>
      <c r="L1923" s="2" t="str">
        <f>_xlfn.XLOOKUP(Sales_Details2[[#This Row],[Store_ID]],Table2[Store_ID],Table2[Region],"Region not found")</f>
        <v>North</v>
      </c>
      <c r="M1923" s="25">
        <v>4</v>
      </c>
      <c r="N1923" s="36">
        <v>619.35</v>
      </c>
      <c r="O1923" s="29">
        <v>0.3</v>
      </c>
      <c r="P1923" s="2" t="s">
        <v>1807</v>
      </c>
      <c r="Q1923" s="36">
        <v>1734.18</v>
      </c>
    </row>
    <row r="1924" spans="1:17" x14ac:dyDescent="0.3">
      <c r="A1924" s="2" t="s">
        <v>3731</v>
      </c>
      <c r="B1924" s="14">
        <v>45276</v>
      </c>
      <c r="C1924" s="2">
        <f>YEAR(Sales_Details2[[#This Row],[Order_Date]])</f>
        <v>2023</v>
      </c>
      <c r="D1924" s="2" t="s">
        <v>785</v>
      </c>
      <c r="E1924" s="2" t="str">
        <f>VLOOKUP(Sales_Details2[[#This Row],[Customer_ID]],Customer_Details[#All],4,0)</f>
        <v>Mid-Adult</v>
      </c>
      <c r="F1924" s="2" t="str">
        <f>VLOOKUP(Sales_Details2[[#This Row],[Customer_ID]],Customer_Details[#All],5,0)</f>
        <v>Male</v>
      </c>
      <c r="G1924" s="2" t="str">
        <f>VLOOKUP(Sales_Details2[[#This Row],[Customer_ID]],Customer_Details[#All],9,0)</f>
        <v>Platinum</v>
      </c>
      <c r="H1924" s="2" t="s">
        <v>1623</v>
      </c>
      <c r="I1924" s="2" t="str">
        <f>VLOOKUP(Sales_Details2[[#This Row],[Product_ID]],Product_details[[#All],[Product_ID]:[Cost]],3,0)</f>
        <v>Clothing</v>
      </c>
      <c r="J1924" s="2" t="str">
        <f>VLOOKUP(Sales_Details2[[#This Row],[Product_ID]],Product_details[[#All],[Product_ID]:[Cost]],4,0)</f>
        <v>Outerwear</v>
      </c>
      <c r="K1924" s="2" t="s">
        <v>1790</v>
      </c>
      <c r="L1924" s="2" t="str">
        <f>_xlfn.XLOOKUP(Sales_Details2[[#This Row],[Store_ID]],Table2[Store_ID],Table2[Region],"Region not found")</f>
        <v>North</v>
      </c>
      <c r="M1924" s="25">
        <v>4</v>
      </c>
      <c r="N1924" s="36">
        <v>569.36</v>
      </c>
      <c r="O1924" s="29">
        <v>0.27</v>
      </c>
      <c r="P1924" s="2" t="s">
        <v>1809</v>
      </c>
      <c r="Q1924" s="36">
        <v>1662.5311999999999</v>
      </c>
    </row>
    <row r="1925" spans="1:17" x14ac:dyDescent="0.3">
      <c r="A1925" s="2" t="s">
        <v>3732</v>
      </c>
      <c r="B1925" s="14">
        <v>45344</v>
      </c>
      <c r="C1925" s="2">
        <f>YEAR(Sales_Details2[[#This Row],[Order_Date]])</f>
        <v>2024</v>
      </c>
      <c r="D1925" s="2" t="s">
        <v>1450</v>
      </c>
      <c r="E1925" s="2" t="str">
        <f>VLOOKUP(Sales_Details2[[#This Row],[Customer_ID]],Customer_Details[#All],4,0)</f>
        <v>Mid-Adult</v>
      </c>
      <c r="F1925" s="2" t="str">
        <f>VLOOKUP(Sales_Details2[[#This Row],[Customer_ID]],Customer_Details[#All],5,0)</f>
        <v>Female</v>
      </c>
      <c r="G1925" s="2" t="str">
        <f>VLOOKUP(Sales_Details2[[#This Row],[Customer_ID]],Customer_Details[#All],9,0)</f>
        <v>Gold</v>
      </c>
      <c r="H1925" s="2" t="s">
        <v>1585</v>
      </c>
      <c r="I1925" s="2" t="str">
        <f>VLOOKUP(Sales_Details2[[#This Row],[Product_ID]],Product_details[[#All],[Product_ID]:[Cost]],3,0)</f>
        <v>Home</v>
      </c>
      <c r="J1925" s="2" t="str">
        <f>VLOOKUP(Sales_Details2[[#This Row],[Product_ID]],Product_details[[#All],[Product_ID]:[Cost]],4,0)</f>
        <v>Decor</v>
      </c>
      <c r="K1925" s="2" t="s">
        <v>1752</v>
      </c>
      <c r="L1925" s="2" t="str">
        <f>_xlfn.XLOOKUP(Sales_Details2[[#This Row],[Store_ID]],Table2[Store_ID],Table2[Region],"Region not found")</f>
        <v>South</v>
      </c>
      <c r="M1925" s="25">
        <v>2</v>
      </c>
      <c r="N1925" s="36">
        <v>846.35</v>
      </c>
      <c r="O1925" s="29">
        <v>0.3</v>
      </c>
      <c r="P1925" s="2" t="s">
        <v>1812</v>
      </c>
      <c r="Q1925" s="36">
        <v>1184.8900000000001</v>
      </c>
    </row>
    <row r="1926" spans="1:17" x14ac:dyDescent="0.3">
      <c r="A1926" s="2" t="s">
        <v>3733</v>
      </c>
      <c r="B1926" s="14">
        <v>45849</v>
      </c>
      <c r="C1926" s="2">
        <f>YEAR(Sales_Details2[[#This Row],[Order_Date]])</f>
        <v>2025</v>
      </c>
      <c r="D1926" s="2" t="s">
        <v>1330</v>
      </c>
      <c r="E1926" s="2" t="str">
        <f>VLOOKUP(Sales_Details2[[#This Row],[Customer_ID]],Customer_Details[#All],4,0)</f>
        <v>Mid-Adult</v>
      </c>
      <c r="F1926" s="2" t="str">
        <f>VLOOKUP(Sales_Details2[[#This Row],[Customer_ID]],Customer_Details[#All],5,0)</f>
        <v>Female</v>
      </c>
      <c r="G1926" s="2" t="str">
        <f>VLOOKUP(Sales_Details2[[#This Row],[Customer_ID]],Customer_Details[#All],9,0)</f>
        <v>Gold</v>
      </c>
      <c r="H1926" s="2" t="s">
        <v>1591</v>
      </c>
      <c r="I1926" s="2" t="str">
        <f>VLOOKUP(Sales_Details2[[#This Row],[Product_ID]],Product_details[[#All],[Product_ID]:[Cost]],3,0)</f>
        <v>Home</v>
      </c>
      <c r="J1926" s="2" t="str">
        <f>VLOOKUP(Sales_Details2[[#This Row],[Product_ID]],Product_details[[#All],[Product_ID]:[Cost]],4,0)</f>
        <v>Kitchen</v>
      </c>
      <c r="K1926" s="2" t="s">
        <v>1744</v>
      </c>
      <c r="L1926" s="2" t="str">
        <f>_xlfn.XLOOKUP(Sales_Details2[[#This Row],[Store_ID]],Table2[Store_ID],Table2[Region],"Region not found")</f>
        <v>South</v>
      </c>
      <c r="M1926" s="25">
        <v>1</v>
      </c>
      <c r="N1926" s="36">
        <v>788.45</v>
      </c>
      <c r="O1926" s="29">
        <v>0.28999999999999998</v>
      </c>
      <c r="P1926" s="2" t="s">
        <v>1809</v>
      </c>
      <c r="Q1926" s="36">
        <v>559.79949999999997</v>
      </c>
    </row>
    <row r="1927" spans="1:17" x14ac:dyDescent="0.3">
      <c r="A1927" s="2" t="s">
        <v>3734</v>
      </c>
      <c r="B1927" s="14">
        <v>45880</v>
      </c>
      <c r="C1927" s="2">
        <f>YEAR(Sales_Details2[[#This Row],[Order_Date]])</f>
        <v>2025</v>
      </c>
      <c r="D1927" s="2" t="s">
        <v>1115</v>
      </c>
      <c r="E1927" s="2" t="str">
        <f>VLOOKUP(Sales_Details2[[#This Row],[Customer_ID]],Customer_Details[#All],4,0)</f>
        <v>Mid-Adult</v>
      </c>
      <c r="F1927" s="2" t="str">
        <f>VLOOKUP(Sales_Details2[[#This Row],[Customer_ID]],Customer_Details[#All],5,0)</f>
        <v>Male</v>
      </c>
      <c r="G1927" s="2" t="str">
        <f>VLOOKUP(Sales_Details2[[#This Row],[Customer_ID]],Customer_Details[#All],9,0)</f>
        <v>Platinum</v>
      </c>
      <c r="H1927" s="2" t="s">
        <v>1601</v>
      </c>
      <c r="I1927" s="2" t="str">
        <f>VLOOKUP(Sales_Details2[[#This Row],[Product_ID]],Product_details[[#All],[Product_ID]:[Cost]],3,0)</f>
        <v>Home</v>
      </c>
      <c r="J1927" s="2" t="str">
        <f>VLOOKUP(Sales_Details2[[#This Row],[Product_ID]],Product_details[[#All],[Product_ID]:[Cost]],4,0)</f>
        <v>Lighting</v>
      </c>
      <c r="K1927" s="2" t="s">
        <v>1777</v>
      </c>
      <c r="L1927" s="2" t="str">
        <f>_xlfn.XLOOKUP(Sales_Details2[[#This Row],[Store_ID]],Table2[Store_ID],Table2[Region],"Region not found")</f>
        <v>North</v>
      </c>
      <c r="M1927" s="25">
        <v>2</v>
      </c>
      <c r="N1927" s="36">
        <v>338.81</v>
      </c>
      <c r="O1927" s="29">
        <v>7.0000000000000007E-2</v>
      </c>
      <c r="P1927" s="2" t="s">
        <v>1812</v>
      </c>
      <c r="Q1927" s="36">
        <v>630.1866</v>
      </c>
    </row>
    <row r="1928" spans="1:17" x14ac:dyDescent="0.3">
      <c r="A1928" s="2" t="s">
        <v>3735</v>
      </c>
      <c r="B1928" s="14">
        <v>45907</v>
      </c>
      <c r="C1928" s="2">
        <f>YEAR(Sales_Details2[[#This Row],[Order_Date]])</f>
        <v>2025</v>
      </c>
      <c r="D1928" s="2" t="s">
        <v>110</v>
      </c>
      <c r="E1928" s="2" t="str">
        <f>VLOOKUP(Sales_Details2[[#This Row],[Customer_ID]],Customer_Details[#All],4,0)</f>
        <v>Adult</v>
      </c>
      <c r="F1928" s="2" t="str">
        <f>VLOOKUP(Sales_Details2[[#This Row],[Customer_ID]],Customer_Details[#All],5,0)</f>
        <v>Female</v>
      </c>
      <c r="G1928" s="2" t="str">
        <f>VLOOKUP(Sales_Details2[[#This Row],[Customer_ID]],Customer_Details[#All],9,0)</f>
        <v>Gold</v>
      </c>
      <c r="H1928" s="2" t="s">
        <v>1559</v>
      </c>
      <c r="I1928" s="2" t="str">
        <f>VLOOKUP(Sales_Details2[[#This Row],[Product_ID]],Product_details[[#All],[Product_ID]:[Cost]],3,0)</f>
        <v>Home</v>
      </c>
      <c r="J1928" s="2" t="str">
        <f>VLOOKUP(Sales_Details2[[#This Row],[Product_ID]],Product_details[[#All],[Product_ID]:[Cost]],4,0)</f>
        <v>Decor</v>
      </c>
      <c r="K1928" s="2" t="s">
        <v>1756</v>
      </c>
      <c r="L1928" s="2" t="str">
        <f>_xlfn.XLOOKUP(Sales_Details2[[#This Row],[Store_ID]],Table2[Store_ID],Table2[Region],"Region not found")</f>
        <v>North</v>
      </c>
      <c r="M1928" s="25">
        <v>4</v>
      </c>
      <c r="N1928" s="36">
        <v>94.48</v>
      </c>
      <c r="O1928" s="29">
        <v>0.06</v>
      </c>
      <c r="P1928" s="2" t="s">
        <v>1812</v>
      </c>
      <c r="Q1928" s="36">
        <v>355.2448</v>
      </c>
    </row>
    <row r="1929" spans="1:17" x14ac:dyDescent="0.3">
      <c r="A1929" s="2" t="s">
        <v>3736</v>
      </c>
      <c r="B1929" s="14">
        <v>45545</v>
      </c>
      <c r="C1929" s="2">
        <f>YEAR(Sales_Details2[[#This Row],[Order_Date]])</f>
        <v>2024</v>
      </c>
      <c r="D1929" s="2" t="s">
        <v>1453</v>
      </c>
      <c r="E1929" s="2" t="str">
        <f>VLOOKUP(Sales_Details2[[#This Row],[Customer_ID]],Customer_Details[#All],4,0)</f>
        <v>Mid-Adult</v>
      </c>
      <c r="F1929" s="2" t="str">
        <f>VLOOKUP(Sales_Details2[[#This Row],[Customer_ID]],Customer_Details[#All],5,0)</f>
        <v>Female</v>
      </c>
      <c r="G1929" s="2" t="str">
        <f>VLOOKUP(Sales_Details2[[#This Row],[Customer_ID]],Customer_Details[#All],9,0)</f>
        <v>Platinum</v>
      </c>
      <c r="H1929" s="2" t="s">
        <v>1569</v>
      </c>
      <c r="I1929" s="2" t="str">
        <f>VLOOKUP(Sales_Details2[[#This Row],[Product_ID]],Product_details[[#All],[Product_ID]:[Cost]],3,0)</f>
        <v>Sports</v>
      </c>
      <c r="J1929" s="2" t="str">
        <f>VLOOKUP(Sales_Details2[[#This Row],[Product_ID]],Product_details[[#All],[Product_ID]:[Cost]],4,0)</f>
        <v>Equipment</v>
      </c>
      <c r="K1929" s="2" t="s">
        <v>1780</v>
      </c>
      <c r="L1929" s="2" t="str">
        <f>_xlfn.XLOOKUP(Sales_Details2[[#This Row],[Store_ID]],Table2[Store_ID],Table2[Region],"Region not found")</f>
        <v>East</v>
      </c>
      <c r="M1929" s="25">
        <v>3</v>
      </c>
      <c r="N1929" s="36">
        <v>941.85</v>
      </c>
      <c r="O1929" s="29">
        <v>0.16</v>
      </c>
      <c r="P1929" s="2" t="s">
        <v>1809</v>
      </c>
      <c r="Q1929" s="36">
        <v>2373.462</v>
      </c>
    </row>
    <row r="1930" spans="1:17" x14ac:dyDescent="0.3">
      <c r="A1930" s="2" t="s">
        <v>3737</v>
      </c>
      <c r="B1930" s="14">
        <v>45257</v>
      </c>
      <c r="C1930" s="2">
        <f>YEAR(Sales_Details2[[#This Row],[Order_Date]])</f>
        <v>2023</v>
      </c>
      <c r="D1930" s="2" t="s">
        <v>533</v>
      </c>
      <c r="E1930" s="2" t="str">
        <f>VLOOKUP(Sales_Details2[[#This Row],[Customer_ID]],Customer_Details[#All],4,0)</f>
        <v>Adult</v>
      </c>
      <c r="F1930" s="2" t="str">
        <f>VLOOKUP(Sales_Details2[[#This Row],[Customer_ID]],Customer_Details[#All],5,0)</f>
        <v>Female</v>
      </c>
      <c r="G1930" s="2" t="str">
        <f>VLOOKUP(Sales_Details2[[#This Row],[Customer_ID]],Customer_Details[#All],9,0)</f>
        <v>Silver</v>
      </c>
      <c r="H1930" s="2" t="s">
        <v>1621</v>
      </c>
      <c r="I1930" s="2" t="str">
        <f>VLOOKUP(Sales_Details2[[#This Row],[Product_ID]],Product_details[[#All],[Product_ID]:[Cost]],3,0)</f>
        <v>Sports</v>
      </c>
      <c r="J1930" s="2" t="str">
        <f>VLOOKUP(Sales_Details2[[#This Row],[Product_ID]],Product_details[[#All],[Product_ID]:[Cost]],4,0)</f>
        <v>Team Sports</v>
      </c>
      <c r="K1930" s="2" t="s">
        <v>1756</v>
      </c>
      <c r="L1930" s="2" t="str">
        <f>_xlfn.XLOOKUP(Sales_Details2[[#This Row],[Store_ID]],Table2[Store_ID],Table2[Region],"Region not found")</f>
        <v>North</v>
      </c>
      <c r="M1930" s="25">
        <v>2</v>
      </c>
      <c r="N1930" s="36">
        <v>336.97</v>
      </c>
      <c r="O1930" s="29">
        <v>0.14000000000000001</v>
      </c>
      <c r="P1930" s="2" t="s">
        <v>1809</v>
      </c>
      <c r="Q1930" s="36">
        <v>579.58840000000009</v>
      </c>
    </row>
    <row r="1931" spans="1:17" x14ac:dyDescent="0.3">
      <c r="A1931" s="2" t="s">
        <v>3738</v>
      </c>
      <c r="B1931" s="14">
        <v>45466</v>
      </c>
      <c r="C1931" s="2">
        <f>YEAR(Sales_Details2[[#This Row],[Order_Date]])</f>
        <v>2024</v>
      </c>
      <c r="D1931" s="2" t="s">
        <v>968</v>
      </c>
      <c r="E1931" s="2" t="str">
        <f>VLOOKUP(Sales_Details2[[#This Row],[Customer_ID]],Customer_Details[#All],4,0)</f>
        <v>Adult</v>
      </c>
      <c r="F1931" s="2" t="str">
        <f>VLOOKUP(Sales_Details2[[#This Row],[Customer_ID]],Customer_Details[#All],5,0)</f>
        <v>Male</v>
      </c>
      <c r="G1931" s="2" t="str">
        <f>VLOOKUP(Sales_Details2[[#This Row],[Customer_ID]],Customer_Details[#All],9,0)</f>
        <v>Silver</v>
      </c>
      <c r="H1931" s="2" t="s">
        <v>1538</v>
      </c>
      <c r="I1931" s="2" t="str">
        <f>VLOOKUP(Sales_Details2[[#This Row],[Product_ID]],Product_details[[#All],[Product_ID]:[Cost]],3,0)</f>
        <v>Clothing</v>
      </c>
      <c r="J1931" s="2" t="str">
        <f>VLOOKUP(Sales_Details2[[#This Row],[Product_ID]],Product_details[[#All],[Product_ID]:[Cost]],4,0)</f>
        <v>Accessories</v>
      </c>
      <c r="K1931" s="2" t="s">
        <v>1756</v>
      </c>
      <c r="L1931" s="2" t="str">
        <f>_xlfn.XLOOKUP(Sales_Details2[[#This Row],[Store_ID]],Table2[Store_ID],Table2[Region],"Region not found")</f>
        <v>North</v>
      </c>
      <c r="M1931" s="25">
        <v>2</v>
      </c>
      <c r="N1931" s="36">
        <v>344.16</v>
      </c>
      <c r="O1931" s="29">
        <v>0.09</v>
      </c>
      <c r="P1931" s="2" t="s">
        <v>1809</v>
      </c>
      <c r="Q1931" s="36">
        <v>626.37120000000004</v>
      </c>
    </row>
    <row r="1932" spans="1:17" x14ac:dyDescent="0.3">
      <c r="A1932" s="2" t="s">
        <v>3739</v>
      </c>
      <c r="B1932" s="14">
        <v>45847</v>
      </c>
      <c r="C1932" s="2">
        <f>YEAR(Sales_Details2[[#This Row],[Order_Date]])</f>
        <v>2025</v>
      </c>
      <c r="D1932" s="2" t="s">
        <v>939</v>
      </c>
      <c r="E1932" s="2" t="str">
        <f>VLOOKUP(Sales_Details2[[#This Row],[Customer_ID]],Customer_Details[#All],4,0)</f>
        <v>Adult</v>
      </c>
      <c r="F1932" s="2" t="str">
        <f>VLOOKUP(Sales_Details2[[#This Row],[Customer_ID]],Customer_Details[#All],5,0)</f>
        <v>Male</v>
      </c>
      <c r="G1932" s="2" t="str">
        <f>VLOOKUP(Sales_Details2[[#This Row],[Customer_ID]],Customer_Details[#All],9,0)</f>
        <v>Silver</v>
      </c>
      <c r="H1932" s="2" t="s">
        <v>1627</v>
      </c>
      <c r="I1932" s="2" t="str">
        <f>VLOOKUP(Sales_Details2[[#This Row],[Product_ID]],Product_details[[#All],[Product_ID]:[Cost]],3,0)</f>
        <v>Electronics</v>
      </c>
      <c r="J1932" s="2" t="str">
        <f>VLOOKUP(Sales_Details2[[#This Row],[Product_ID]],Product_details[[#All],[Product_ID]:[Cost]],4,0)</f>
        <v>Accessories</v>
      </c>
      <c r="K1932" s="2" t="s">
        <v>1769</v>
      </c>
      <c r="L1932" s="2" t="str">
        <f>_xlfn.XLOOKUP(Sales_Details2[[#This Row],[Store_ID]],Table2[Store_ID],Table2[Region],"Region not found")</f>
        <v>South</v>
      </c>
      <c r="M1932" s="25">
        <v>1</v>
      </c>
      <c r="N1932" s="36">
        <v>841.53</v>
      </c>
      <c r="O1932" s="29">
        <v>0.15</v>
      </c>
      <c r="P1932" s="2" t="s">
        <v>1807</v>
      </c>
      <c r="Q1932" s="36">
        <v>715.30049999999994</v>
      </c>
    </row>
    <row r="1933" spans="1:17" x14ac:dyDescent="0.3">
      <c r="A1933" s="2" t="s">
        <v>3740</v>
      </c>
      <c r="B1933" s="14">
        <v>45825</v>
      </c>
      <c r="C1933" s="2">
        <f>YEAR(Sales_Details2[[#This Row],[Order_Date]])</f>
        <v>2025</v>
      </c>
      <c r="D1933" s="2" t="s">
        <v>1300</v>
      </c>
      <c r="E1933" s="2" t="str">
        <f>VLOOKUP(Sales_Details2[[#This Row],[Customer_ID]],Customer_Details[#All],4,0)</f>
        <v>Senior</v>
      </c>
      <c r="F1933" s="2" t="str">
        <f>VLOOKUP(Sales_Details2[[#This Row],[Customer_ID]],Customer_Details[#All],5,0)</f>
        <v>Male</v>
      </c>
      <c r="G1933" s="2" t="str">
        <f>VLOOKUP(Sales_Details2[[#This Row],[Customer_ID]],Customer_Details[#All],9,0)</f>
        <v>Bronze</v>
      </c>
      <c r="H1933" s="2" t="s">
        <v>1697</v>
      </c>
      <c r="I1933" s="2" t="str">
        <f>VLOOKUP(Sales_Details2[[#This Row],[Product_ID]],Product_details[[#All],[Product_ID]:[Cost]],3,0)</f>
        <v>Beauty</v>
      </c>
      <c r="J1933" s="2" t="str">
        <f>VLOOKUP(Sales_Details2[[#This Row],[Product_ID]],Product_details[[#All],[Product_ID]:[Cost]],4,0)</f>
        <v>Skincare</v>
      </c>
      <c r="K1933" s="2" t="s">
        <v>1790</v>
      </c>
      <c r="L1933" s="2" t="str">
        <f>_xlfn.XLOOKUP(Sales_Details2[[#This Row],[Store_ID]],Table2[Store_ID],Table2[Region],"Region not found")</f>
        <v>North</v>
      </c>
      <c r="M1933" s="25">
        <v>3</v>
      </c>
      <c r="N1933" s="36">
        <v>63.36</v>
      </c>
      <c r="O1933" s="29">
        <v>0.28999999999999998</v>
      </c>
      <c r="P1933" s="2" t="s">
        <v>1812</v>
      </c>
      <c r="Q1933" s="36">
        <v>134.95679999999999</v>
      </c>
    </row>
    <row r="1934" spans="1:17" x14ac:dyDescent="0.3">
      <c r="A1934" s="2" t="s">
        <v>3741</v>
      </c>
      <c r="B1934" s="14">
        <v>45839</v>
      </c>
      <c r="C1934" s="2">
        <f>YEAR(Sales_Details2[[#This Row],[Order_Date]])</f>
        <v>2025</v>
      </c>
      <c r="D1934" s="2" t="s">
        <v>1507</v>
      </c>
      <c r="E1934" s="2" t="str">
        <f>VLOOKUP(Sales_Details2[[#This Row],[Customer_ID]],Customer_Details[#All],4,0)</f>
        <v>Senior</v>
      </c>
      <c r="F1934" s="2" t="str">
        <f>VLOOKUP(Sales_Details2[[#This Row],[Customer_ID]],Customer_Details[#All],5,0)</f>
        <v>Male</v>
      </c>
      <c r="G1934" s="2" t="str">
        <f>VLOOKUP(Sales_Details2[[#This Row],[Customer_ID]],Customer_Details[#All],9,0)</f>
        <v>Bronze</v>
      </c>
      <c r="H1934" s="2" t="s">
        <v>1687</v>
      </c>
      <c r="I1934" s="2" t="str">
        <f>VLOOKUP(Sales_Details2[[#This Row],[Product_ID]],Product_details[[#All],[Product_ID]:[Cost]],3,0)</f>
        <v>Home</v>
      </c>
      <c r="J1934" s="2" t="str">
        <f>VLOOKUP(Sales_Details2[[#This Row],[Product_ID]],Product_details[[#All],[Product_ID]:[Cost]],4,0)</f>
        <v>Decor</v>
      </c>
      <c r="K1934" s="2" t="s">
        <v>1765</v>
      </c>
      <c r="L1934" s="2" t="str">
        <f>_xlfn.XLOOKUP(Sales_Details2[[#This Row],[Store_ID]],Table2[Store_ID],Table2[Region],"Region not found")</f>
        <v>West</v>
      </c>
      <c r="M1934" s="25">
        <v>2</v>
      </c>
      <c r="N1934" s="36">
        <v>552.49</v>
      </c>
      <c r="O1934" s="29">
        <v>0.1</v>
      </c>
      <c r="P1934" s="2" t="s">
        <v>1807</v>
      </c>
      <c r="Q1934" s="36">
        <v>994.48200000000008</v>
      </c>
    </row>
    <row r="1935" spans="1:17" x14ac:dyDescent="0.3">
      <c r="A1935" s="2" t="s">
        <v>3742</v>
      </c>
      <c r="B1935" s="14">
        <v>45720</v>
      </c>
      <c r="C1935" s="2">
        <f>YEAR(Sales_Details2[[#This Row],[Order_Date]])</f>
        <v>2025</v>
      </c>
      <c r="D1935" s="2" t="s">
        <v>752</v>
      </c>
      <c r="E1935" s="2" t="str">
        <f>VLOOKUP(Sales_Details2[[#This Row],[Customer_ID]],Customer_Details[#All],4,0)</f>
        <v>Mid-Adult</v>
      </c>
      <c r="F1935" s="2" t="str">
        <f>VLOOKUP(Sales_Details2[[#This Row],[Customer_ID]],Customer_Details[#All],5,0)</f>
        <v>Female</v>
      </c>
      <c r="G1935" s="2" t="str">
        <f>VLOOKUP(Sales_Details2[[#This Row],[Customer_ID]],Customer_Details[#All],9,0)</f>
        <v>Bronze</v>
      </c>
      <c r="H1935" s="2" t="s">
        <v>1579</v>
      </c>
      <c r="I1935" s="2" t="str">
        <f>VLOOKUP(Sales_Details2[[#This Row],[Product_ID]],Product_details[[#All],[Product_ID]:[Cost]],3,0)</f>
        <v>Sports</v>
      </c>
      <c r="J1935" s="2" t="str">
        <f>VLOOKUP(Sales_Details2[[#This Row],[Product_ID]],Product_details[[#All],[Product_ID]:[Cost]],4,0)</f>
        <v>Outdoor</v>
      </c>
      <c r="K1935" s="2" t="s">
        <v>1759</v>
      </c>
      <c r="L1935" s="2" t="str">
        <f>_xlfn.XLOOKUP(Sales_Details2[[#This Row],[Store_ID]],Table2[Store_ID],Table2[Region],"Region not found")</f>
        <v>East</v>
      </c>
      <c r="M1935" s="25">
        <v>3</v>
      </c>
      <c r="N1935" s="36">
        <v>447.38</v>
      </c>
      <c r="O1935" s="29">
        <v>0.03</v>
      </c>
      <c r="P1935" s="2" t="s">
        <v>1807</v>
      </c>
      <c r="Q1935" s="36">
        <v>1301.8758</v>
      </c>
    </row>
    <row r="1936" spans="1:17" x14ac:dyDescent="0.3">
      <c r="A1936" s="2" t="s">
        <v>3743</v>
      </c>
      <c r="B1936" s="14">
        <v>45250</v>
      </c>
      <c r="C1936" s="2">
        <f>YEAR(Sales_Details2[[#This Row],[Order_Date]])</f>
        <v>2023</v>
      </c>
      <c r="D1936" s="2" t="s">
        <v>1376</v>
      </c>
      <c r="E1936" s="2" t="str">
        <f>VLOOKUP(Sales_Details2[[#This Row],[Customer_ID]],Customer_Details[#All],4,0)</f>
        <v>Senior</v>
      </c>
      <c r="F1936" s="2" t="str">
        <f>VLOOKUP(Sales_Details2[[#This Row],[Customer_ID]],Customer_Details[#All],5,0)</f>
        <v>Male</v>
      </c>
      <c r="G1936" s="2" t="str">
        <f>VLOOKUP(Sales_Details2[[#This Row],[Customer_ID]],Customer_Details[#All],9,0)</f>
        <v>Bronze</v>
      </c>
      <c r="H1936" s="2" t="s">
        <v>1677</v>
      </c>
      <c r="I1936" s="2" t="str">
        <f>VLOOKUP(Sales_Details2[[#This Row],[Product_ID]],Product_details[[#All],[Product_ID]:[Cost]],3,0)</f>
        <v>Sports</v>
      </c>
      <c r="J1936" s="2" t="str">
        <f>VLOOKUP(Sales_Details2[[#This Row],[Product_ID]],Product_details[[#All],[Product_ID]:[Cost]],4,0)</f>
        <v>Team Sports</v>
      </c>
      <c r="K1936" s="2" t="s">
        <v>1796</v>
      </c>
      <c r="L1936" s="2" t="str">
        <f>_xlfn.XLOOKUP(Sales_Details2[[#This Row],[Store_ID]],Table2[Store_ID],Table2[Region],"Region not found")</f>
        <v>East</v>
      </c>
      <c r="M1936" s="25">
        <v>1</v>
      </c>
      <c r="N1936" s="36">
        <v>727.7</v>
      </c>
      <c r="O1936" s="29">
        <v>0.21</v>
      </c>
      <c r="P1936" s="2" t="s">
        <v>1812</v>
      </c>
      <c r="Q1936" s="36">
        <v>574.88300000000004</v>
      </c>
    </row>
    <row r="1937" spans="1:17" x14ac:dyDescent="0.3">
      <c r="A1937" s="2" t="s">
        <v>3744</v>
      </c>
      <c r="B1937" s="14">
        <v>45258</v>
      </c>
      <c r="C1937" s="2">
        <f>YEAR(Sales_Details2[[#This Row],[Order_Date]])</f>
        <v>2023</v>
      </c>
      <c r="D1937" s="2" t="s">
        <v>1336</v>
      </c>
      <c r="E1937" s="2" t="str">
        <f>VLOOKUP(Sales_Details2[[#This Row],[Customer_ID]],Customer_Details[#All],4,0)</f>
        <v>Senior</v>
      </c>
      <c r="F1937" s="2" t="str">
        <f>VLOOKUP(Sales_Details2[[#This Row],[Customer_ID]],Customer_Details[#All],5,0)</f>
        <v>Male</v>
      </c>
      <c r="G1937" s="2" t="str">
        <f>VLOOKUP(Sales_Details2[[#This Row],[Customer_ID]],Customer_Details[#All],9,0)</f>
        <v>Gold</v>
      </c>
      <c r="H1937" s="2" t="s">
        <v>1633</v>
      </c>
      <c r="I1937" s="2" t="str">
        <f>VLOOKUP(Sales_Details2[[#This Row],[Product_ID]],Product_details[[#All],[Product_ID]:[Cost]],3,0)</f>
        <v>Electronics</v>
      </c>
      <c r="J1937" s="2" t="str">
        <f>VLOOKUP(Sales_Details2[[#This Row],[Product_ID]],Product_details[[#All],[Product_ID]:[Cost]],4,0)</f>
        <v>Accessories</v>
      </c>
      <c r="K1937" s="2" t="s">
        <v>1762</v>
      </c>
      <c r="L1937" s="2" t="str">
        <f>_xlfn.XLOOKUP(Sales_Details2[[#This Row],[Store_ID]],Table2[Store_ID],Table2[Region],"Region not found")</f>
        <v>South</v>
      </c>
      <c r="M1937" s="25">
        <v>4</v>
      </c>
      <c r="N1937" s="36">
        <v>581.34</v>
      </c>
      <c r="O1937" s="29">
        <v>0.08</v>
      </c>
      <c r="P1937" s="2" t="s">
        <v>1807</v>
      </c>
      <c r="Q1937" s="36">
        <v>2139.3312000000001</v>
      </c>
    </row>
    <row r="1938" spans="1:17" x14ac:dyDescent="0.3">
      <c r="A1938" s="2" t="s">
        <v>3745</v>
      </c>
      <c r="B1938" s="14">
        <v>45793</v>
      </c>
      <c r="C1938" s="2">
        <f>YEAR(Sales_Details2[[#This Row],[Order_Date]])</f>
        <v>2025</v>
      </c>
      <c r="D1938" s="2" t="s">
        <v>339</v>
      </c>
      <c r="E1938" s="2" t="str">
        <f>VLOOKUP(Sales_Details2[[#This Row],[Customer_ID]],Customer_Details[#All],4,0)</f>
        <v>Adult</v>
      </c>
      <c r="F1938" s="2" t="str">
        <f>VLOOKUP(Sales_Details2[[#This Row],[Customer_ID]],Customer_Details[#All],5,0)</f>
        <v>Female</v>
      </c>
      <c r="G1938" s="2" t="str">
        <f>VLOOKUP(Sales_Details2[[#This Row],[Customer_ID]],Customer_Details[#All],9,0)</f>
        <v>Platinum</v>
      </c>
      <c r="H1938" s="2" t="s">
        <v>1663</v>
      </c>
      <c r="I1938" s="2" t="str">
        <f>VLOOKUP(Sales_Details2[[#This Row],[Product_ID]],Product_details[[#All],[Product_ID]:[Cost]],3,0)</f>
        <v>Beauty</v>
      </c>
      <c r="J1938" s="2" t="str">
        <f>VLOOKUP(Sales_Details2[[#This Row],[Product_ID]],Product_details[[#All],[Product_ID]:[Cost]],4,0)</f>
        <v>Haircare</v>
      </c>
      <c r="K1938" s="2" t="s">
        <v>1740</v>
      </c>
      <c r="L1938" s="2" t="str">
        <f>_xlfn.XLOOKUP(Sales_Details2[[#This Row],[Store_ID]],Table2[Store_ID],Table2[Region],"Region not found")</f>
        <v>North</v>
      </c>
      <c r="M1938" s="25">
        <v>1</v>
      </c>
      <c r="N1938" s="36">
        <v>338.83</v>
      </c>
      <c r="O1938" s="29">
        <v>0.19</v>
      </c>
      <c r="P1938" s="2" t="s">
        <v>1809</v>
      </c>
      <c r="Q1938" s="36">
        <v>274.45229999999998</v>
      </c>
    </row>
    <row r="1939" spans="1:17" x14ac:dyDescent="0.3">
      <c r="A1939" s="2" t="s">
        <v>3746</v>
      </c>
      <c r="B1939" s="14">
        <v>45265</v>
      </c>
      <c r="C1939" s="2">
        <f>YEAR(Sales_Details2[[#This Row],[Order_Date]])</f>
        <v>2023</v>
      </c>
      <c r="D1939" s="2" t="s">
        <v>897</v>
      </c>
      <c r="E1939" s="2" t="str">
        <f>VLOOKUP(Sales_Details2[[#This Row],[Customer_ID]],Customer_Details[#All],4,0)</f>
        <v>Mid-Adult</v>
      </c>
      <c r="F1939" s="2" t="str">
        <f>VLOOKUP(Sales_Details2[[#This Row],[Customer_ID]],Customer_Details[#All],5,0)</f>
        <v>Female</v>
      </c>
      <c r="G1939" s="2" t="str">
        <f>VLOOKUP(Sales_Details2[[#This Row],[Customer_ID]],Customer_Details[#All],9,0)</f>
        <v>Silver</v>
      </c>
      <c r="H1939" s="2" t="s">
        <v>1629</v>
      </c>
      <c r="I1939" s="2" t="str">
        <f>VLOOKUP(Sales_Details2[[#This Row],[Product_ID]],Product_details[[#All],[Product_ID]:[Cost]],3,0)</f>
        <v>Beauty</v>
      </c>
      <c r="J1939" s="2" t="str">
        <f>VLOOKUP(Sales_Details2[[#This Row],[Product_ID]],Product_details[[#All],[Product_ID]:[Cost]],4,0)</f>
        <v>Fragrance</v>
      </c>
      <c r="K1939" s="2" t="s">
        <v>1780</v>
      </c>
      <c r="L1939" s="2" t="str">
        <f>_xlfn.XLOOKUP(Sales_Details2[[#This Row],[Store_ID]],Table2[Store_ID],Table2[Region],"Region not found")</f>
        <v>East</v>
      </c>
      <c r="M1939" s="25">
        <v>4</v>
      </c>
      <c r="N1939" s="36">
        <v>568.80999999999995</v>
      </c>
      <c r="O1939" s="29">
        <v>0.25</v>
      </c>
      <c r="P1939" s="2" t="s">
        <v>1807</v>
      </c>
      <c r="Q1939" s="36">
        <v>1706.43</v>
      </c>
    </row>
    <row r="1940" spans="1:17" x14ac:dyDescent="0.3">
      <c r="A1940" s="2" t="s">
        <v>3747</v>
      </c>
      <c r="B1940" s="14">
        <v>45607</v>
      </c>
      <c r="C1940" s="2">
        <f>YEAR(Sales_Details2[[#This Row],[Order_Date]])</f>
        <v>2024</v>
      </c>
      <c r="D1940" s="2" t="s">
        <v>1159</v>
      </c>
      <c r="E1940" s="2" t="str">
        <f>VLOOKUP(Sales_Details2[[#This Row],[Customer_ID]],Customer_Details[#All],4,0)</f>
        <v>Adult</v>
      </c>
      <c r="F1940" s="2" t="str">
        <f>VLOOKUP(Sales_Details2[[#This Row],[Customer_ID]],Customer_Details[#All],5,0)</f>
        <v>Male</v>
      </c>
      <c r="G1940" s="2" t="str">
        <f>VLOOKUP(Sales_Details2[[#This Row],[Customer_ID]],Customer_Details[#All],9,0)</f>
        <v>Platinum</v>
      </c>
      <c r="H1940" s="2" t="s">
        <v>1653</v>
      </c>
      <c r="I1940" s="2" t="str">
        <f>VLOOKUP(Sales_Details2[[#This Row],[Product_ID]],Product_details[[#All],[Product_ID]:[Cost]],3,0)</f>
        <v>Sports</v>
      </c>
      <c r="J1940" s="2" t="str">
        <f>VLOOKUP(Sales_Details2[[#This Row],[Product_ID]],Product_details[[#All],[Product_ID]:[Cost]],4,0)</f>
        <v>Equipment</v>
      </c>
      <c r="K1940" s="2" t="s">
        <v>1790</v>
      </c>
      <c r="L1940" s="2" t="str">
        <f>_xlfn.XLOOKUP(Sales_Details2[[#This Row],[Store_ID]],Table2[Store_ID],Table2[Region],"Region not found")</f>
        <v>North</v>
      </c>
      <c r="M1940" s="25">
        <v>2</v>
      </c>
      <c r="N1940" s="36">
        <v>352.63</v>
      </c>
      <c r="O1940" s="29">
        <v>0.15</v>
      </c>
      <c r="P1940" s="2" t="s">
        <v>1809</v>
      </c>
      <c r="Q1940" s="36">
        <v>599.471</v>
      </c>
    </row>
    <row r="1941" spans="1:17" x14ac:dyDescent="0.3">
      <c r="A1941" s="2" t="s">
        <v>3748</v>
      </c>
      <c r="B1941" s="14">
        <v>45382</v>
      </c>
      <c r="C1941" s="2">
        <f>YEAR(Sales_Details2[[#This Row],[Order_Date]])</f>
        <v>2024</v>
      </c>
      <c r="D1941" s="2" t="s">
        <v>518</v>
      </c>
      <c r="E1941" s="2" t="str">
        <f>VLOOKUP(Sales_Details2[[#This Row],[Customer_ID]],Customer_Details[#All],4,0)</f>
        <v>Mid-Adult</v>
      </c>
      <c r="F1941" s="2" t="str">
        <f>VLOOKUP(Sales_Details2[[#This Row],[Customer_ID]],Customer_Details[#All],5,0)</f>
        <v>Male</v>
      </c>
      <c r="G1941" s="2" t="str">
        <f>VLOOKUP(Sales_Details2[[#This Row],[Customer_ID]],Customer_Details[#All],9,0)</f>
        <v>Bronze</v>
      </c>
      <c r="H1941" s="2" t="s">
        <v>1723</v>
      </c>
      <c r="I1941" s="2" t="str">
        <f>VLOOKUP(Sales_Details2[[#This Row],[Product_ID]],Product_details[[#All],[Product_ID]:[Cost]],3,0)</f>
        <v>Clothing</v>
      </c>
      <c r="J1941" s="2" t="str">
        <f>VLOOKUP(Sales_Details2[[#This Row],[Product_ID]],Product_details[[#All],[Product_ID]:[Cost]],4,0)</f>
        <v>Outerwear</v>
      </c>
      <c r="K1941" s="2" t="s">
        <v>1780</v>
      </c>
      <c r="L1941" s="2" t="str">
        <f>_xlfn.XLOOKUP(Sales_Details2[[#This Row],[Store_ID]],Table2[Store_ID],Table2[Region],"Region not found")</f>
        <v>East</v>
      </c>
      <c r="M1941" s="25">
        <v>2</v>
      </c>
      <c r="N1941" s="36">
        <v>629.86</v>
      </c>
      <c r="O1941" s="29">
        <v>0.15</v>
      </c>
      <c r="P1941" s="2" t="s">
        <v>1809</v>
      </c>
      <c r="Q1941" s="36">
        <v>1070.7619999999999</v>
      </c>
    </row>
    <row r="1942" spans="1:17" x14ac:dyDescent="0.3">
      <c r="A1942" s="2" t="s">
        <v>3749</v>
      </c>
      <c r="B1942" s="14">
        <v>45793</v>
      </c>
      <c r="C1942" s="2">
        <f>YEAR(Sales_Details2[[#This Row],[Order_Date]])</f>
        <v>2025</v>
      </c>
      <c r="D1942" s="2" t="s">
        <v>1499</v>
      </c>
      <c r="E1942" s="2" t="str">
        <f>VLOOKUP(Sales_Details2[[#This Row],[Customer_ID]],Customer_Details[#All],4,0)</f>
        <v>Adult</v>
      </c>
      <c r="F1942" s="2" t="str">
        <f>VLOOKUP(Sales_Details2[[#This Row],[Customer_ID]],Customer_Details[#All],5,0)</f>
        <v>Male</v>
      </c>
      <c r="G1942" s="2" t="str">
        <f>VLOOKUP(Sales_Details2[[#This Row],[Customer_ID]],Customer_Details[#All],9,0)</f>
        <v>Silver</v>
      </c>
      <c r="H1942" s="2" t="s">
        <v>1727</v>
      </c>
      <c r="I1942" s="2" t="str">
        <f>VLOOKUP(Sales_Details2[[#This Row],[Product_ID]],Product_details[[#All],[Product_ID]:[Cost]],3,0)</f>
        <v>Electronics</v>
      </c>
      <c r="J1942" s="2" t="str">
        <f>VLOOKUP(Sales_Details2[[#This Row],[Product_ID]],Product_details[[#All],[Product_ID]:[Cost]],4,0)</f>
        <v>Audio</v>
      </c>
      <c r="K1942" s="2" t="s">
        <v>1749</v>
      </c>
      <c r="L1942" s="2" t="str">
        <f>_xlfn.XLOOKUP(Sales_Details2[[#This Row],[Store_ID]],Table2[Store_ID],Table2[Region],"Region not found")</f>
        <v>North</v>
      </c>
      <c r="M1942" s="25">
        <v>3</v>
      </c>
      <c r="N1942" s="36">
        <v>212.08</v>
      </c>
      <c r="O1942" s="29">
        <v>7.0000000000000007E-2</v>
      </c>
      <c r="P1942" s="2" t="s">
        <v>1807</v>
      </c>
      <c r="Q1942" s="36">
        <v>591.70319999999992</v>
      </c>
    </row>
    <row r="1943" spans="1:17" x14ac:dyDescent="0.3">
      <c r="A1943" s="2" t="s">
        <v>3750</v>
      </c>
      <c r="B1943" s="14">
        <v>45590</v>
      </c>
      <c r="C1943" s="2">
        <f>YEAR(Sales_Details2[[#This Row],[Order_Date]])</f>
        <v>2024</v>
      </c>
      <c r="D1943" s="2" t="s">
        <v>533</v>
      </c>
      <c r="E1943" s="2" t="str">
        <f>VLOOKUP(Sales_Details2[[#This Row],[Customer_ID]],Customer_Details[#All],4,0)</f>
        <v>Adult</v>
      </c>
      <c r="F1943" s="2" t="str">
        <f>VLOOKUP(Sales_Details2[[#This Row],[Customer_ID]],Customer_Details[#All],5,0)</f>
        <v>Female</v>
      </c>
      <c r="G1943" s="2" t="str">
        <f>VLOOKUP(Sales_Details2[[#This Row],[Customer_ID]],Customer_Details[#All],9,0)</f>
        <v>Silver</v>
      </c>
      <c r="H1943" s="2" t="s">
        <v>1645</v>
      </c>
      <c r="I1943" s="2" t="str">
        <f>VLOOKUP(Sales_Details2[[#This Row],[Product_ID]],Product_details[[#All],[Product_ID]:[Cost]],3,0)</f>
        <v>Sports</v>
      </c>
      <c r="J1943" s="2" t="str">
        <f>VLOOKUP(Sales_Details2[[#This Row],[Product_ID]],Product_details[[#All],[Product_ID]:[Cost]],4,0)</f>
        <v>Fitness</v>
      </c>
      <c r="K1943" s="2" t="s">
        <v>1744</v>
      </c>
      <c r="L1943" s="2" t="str">
        <f>_xlfn.XLOOKUP(Sales_Details2[[#This Row],[Store_ID]],Table2[Store_ID],Table2[Region],"Region not found")</f>
        <v>South</v>
      </c>
      <c r="M1943" s="25">
        <v>3</v>
      </c>
      <c r="N1943" s="36">
        <v>878.62</v>
      </c>
      <c r="O1943" s="29">
        <v>0.05</v>
      </c>
      <c r="P1943" s="2" t="s">
        <v>1809</v>
      </c>
      <c r="Q1943" s="36">
        <v>2504.067</v>
      </c>
    </row>
    <row r="1944" spans="1:17" x14ac:dyDescent="0.3">
      <c r="A1944" s="2" t="s">
        <v>3751</v>
      </c>
      <c r="B1944" s="14">
        <v>45679</v>
      </c>
      <c r="C1944" s="2">
        <f>YEAR(Sales_Details2[[#This Row],[Order_Date]])</f>
        <v>2025</v>
      </c>
      <c r="D1944" s="2" t="s">
        <v>826</v>
      </c>
      <c r="E1944" s="2" t="str">
        <f>VLOOKUP(Sales_Details2[[#This Row],[Customer_ID]],Customer_Details[#All],4,0)</f>
        <v>Adult</v>
      </c>
      <c r="F1944" s="2" t="str">
        <f>VLOOKUP(Sales_Details2[[#This Row],[Customer_ID]],Customer_Details[#All],5,0)</f>
        <v>Female</v>
      </c>
      <c r="G1944" s="2" t="str">
        <f>VLOOKUP(Sales_Details2[[#This Row],[Customer_ID]],Customer_Details[#All],9,0)</f>
        <v>Silver</v>
      </c>
      <c r="H1944" s="2" t="s">
        <v>1691</v>
      </c>
      <c r="I1944" s="2" t="str">
        <f>VLOOKUP(Sales_Details2[[#This Row],[Product_ID]],Product_details[[#All],[Product_ID]:[Cost]],3,0)</f>
        <v>Home</v>
      </c>
      <c r="J1944" s="2" t="str">
        <f>VLOOKUP(Sales_Details2[[#This Row],[Product_ID]],Product_details[[#All],[Product_ID]:[Cost]],4,0)</f>
        <v>Kitchen</v>
      </c>
      <c r="K1944" s="2" t="s">
        <v>1772</v>
      </c>
      <c r="L1944" s="2" t="str">
        <f>_xlfn.XLOOKUP(Sales_Details2[[#This Row],[Store_ID]],Table2[Store_ID],Table2[Region],"Region not found")</f>
        <v>East</v>
      </c>
      <c r="M1944" s="25">
        <v>4</v>
      </c>
      <c r="N1944" s="36">
        <v>87.83</v>
      </c>
      <c r="O1944" s="29">
        <v>0.23</v>
      </c>
      <c r="P1944" s="2" t="s">
        <v>1809</v>
      </c>
      <c r="Q1944" s="36">
        <v>270.51639999999998</v>
      </c>
    </row>
    <row r="1945" spans="1:17" x14ac:dyDescent="0.3">
      <c r="A1945" s="2" t="s">
        <v>3752</v>
      </c>
      <c r="B1945" s="14">
        <v>45814</v>
      </c>
      <c r="C1945" s="2">
        <f>YEAR(Sales_Details2[[#This Row],[Order_Date]])</f>
        <v>2025</v>
      </c>
      <c r="D1945" s="2" t="s">
        <v>867</v>
      </c>
      <c r="E1945" s="2" t="str">
        <f>VLOOKUP(Sales_Details2[[#This Row],[Customer_ID]],Customer_Details[#All],4,0)</f>
        <v>Adult</v>
      </c>
      <c r="F1945" s="2" t="str">
        <f>VLOOKUP(Sales_Details2[[#This Row],[Customer_ID]],Customer_Details[#All],5,0)</f>
        <v>Male</v>
      </c>
      <c r="G1945" s="2" t="str">
        <f>VLOOKUP(Sales_Details2[[#This Row],[Customer_ID]],Customer_Details[#All],9,0)</f>
        <v>Gold</v>
      </c>
      <c r="H1945" s="2" t="s">
        <v>1643</v>
      </c>
      <c r="I1945" s="2" t="str">
        <f>VLOOKUP(Sales_Details2[[#This Row],[Product_ID]],Product_details[[#All],[Product_ID]:[Cost]],3,0)</f>
        <v>Home</v>
      </c>
      <c r="J1945" s="2" t="str">
        <f>VLOOKUP(Sales_Details2[[#This Row],[Product_ID]],Product_details[[#All],[Product_ID]:[Cost]],4,0)</f>
        <v>Decor</v>
      </c>
      <c r="K1945" s="2" t="s">
        <v>1769</v>
      </c>
      <c r="L1945" s="2" t="str">
        <f>_xlfn.XLOOKUP(Sales_Details2[[#This Row],[Store_ID]],Table2[Store_ID],Table2[Region],"Region not found")</f>
        <v>South</v>
      </c>
      <c r="M1945" s="25">
        <v>3</v>
      </c>
      <c r="N1945" s="36">
        <v>442.64</v>
      </c>
      <c r="O1945" s="29">
        <v>0.15</v>
      </c>
      <c r="P1945" s="2" t="s">
        <v>1812</v>
      </c>
      <c r="Q1945" s="36">
        <v>1128.732</v>
      </c>
    </row>
    <row r="1946" spans="1:17" x14ac:dyDescent="0.3">
      <c r="A1946" s="2" t="s">
        <v>3753</v>
      </c>
      <c r="B1946" s="14">
        <v>45795</v>
      </c>
      <c r="C1946" s="2">
        <f>YEAR(Sales_Details2[[#This Row],[Order_Date]])</f>
        <v>2025</v>
      </c>
      <c r="D1946" s="2" t="s">
        <v>330</v>
      </c>
      <c r="E1946" s="2" t="str">
        <f>VLOOKUP(Sales_Details2[[#This Row],[Customer_ID]],Customer_Details[#All],4,0)</f>
        <v>Adult</v>
      </c>
      <c r="F1946" s="2" t="str">
        <f>VLOOKUP(Sales_Details2[[#This Row],[Customer_ID]],Customer_Details[#All],5,0)</f>
        <v>Female</v>
      </c>
      <c r="G1946" s="2" t="str">
        <f>VLOOKUP(Sales_Details2[[#This Row],[Customer_ID]],Customer_Details[#All],9,0)</f>
        <v>Gold</v>
      </c>
      <c r="H1946" s="2" t="s">
        <v>1607</v>
      </c>
      <c r="I1946" s="2" t="str">
        <f>VLOOKUP(Sales_Details2[[#This Row],[Product_ID]],Product_details[[#All],[Product_ID]:[Cost]],3,0)</f>
        <v>Sports</v>
      </c>
      <c r="J1946" s="2" t="str">
        <f>VLOOKUP(Sales_Details2[[#This Row],[Product_ID]],Product_details[[#All],[Product_ID]:[Cost]],4,0)</f>
        <v>Outdoor</v>
      </c>
      <c r="K1946" s="2" t="s">
        <v>1744</v>
      </c>
      <c r="L1946" s="2" t="str">
        <f>_xlfn.XLOOKUP(Sales_Details2[[#This Row],[Store_ID]],Table2[Store_ID],Table2[Region],"Region not found")</f>
        <v>South</v>
      </c>
      <c r="M1946" s="25">
        <v>3</v>
      </c>
      <c r="N1946" s="36">
        <v>410.04</v>
      </c>
      <c r="O1946" s="29">
        <v>0.09</v>
      </c>
      <c r="P1946" s="2" t="s">
        <v>1812</v>
      </c>
      <c r="Q1946" s="36">
        <v>1119.4092000000001</v>
      </c>
    </row>
    <row r="1947" spans="1:17" x14ac:dyDescent="0.3">
      <c r="A1947" s="2" t="s">
        <v>3754</v>
      </c>
      <c r="B1947" s="14">
        <v>45797</v>
      </c>
      <c r="C1947" s="2">
        <f>YEAR(Sales_Details2[[#This Row],[Order_Date]])</f>
        <v>2025</v>
      </c>
      <c r="D1947" s="2" t="s">
        <v>450</v>
      </c>
      <c r="E1947" s="2" t="str">
        <f>VLOOKUP(Sales_Details2[[#This Row],[Customer_ID]],Customer_Details[#All],4,0)</f>
        <v>Senior</v>
      </c>
      <c r="F1947" s="2" t="str">
        <f>VLOOKUP(Sales_Details2[[#This Row],[Customer_ID]],Customer_Details[#All],5,0)</f>
        <v>Female</v>
      </c>
      <c r="G1947" s="2" t="str">
        <f>VLOOKUP(Sales_Details2[[#This Row],[Customer_ID]],Customer_Details[#All],9,0)</f>
        <v>Bronze</v>
      </c>
      <c r="H1947" s="2" t="s">
        <v>1719</v>
      </c>
      <c r="I1947" s="2" t="str">
        <f>VLOOKUP(Sales_Details2[[#This Row],[Product_ID]],Product_details[[#All],[Product_ID]:[Cost]],3,0)</f>
        <v>Beauty</v>
      </c>
      <c r="J1947" s="2" t="str">
        <f>VLOOKUP(Sales_Details2[[#This Row],[Product_ID]],Product_details[[#All],[Product_ID]:[Cost]],4,0)</f>
        <v>Skincare</v>
      </c>
      <c r="K1947" s="2" t="s">
        <v>1790</v>
      </c>
      <c r="L1947" s="2" t="str">
        <f>_xlfn.XLOOKUP(Sales_Details2[[#This Row],[Store_ID]],Table2[Store_ID],Table2[Region],"Region not found")</f>
        <v>North</v>
      </c>
      <c r="M1947" s="25">
        <v>1</v>
      </c>
      <c r="N1947" s="36">
        <v>355.31</v>
      </c>
      <c r="O1947" s="29">
        <v>0.27</v>
      </c>
      <c r="P1947" s="2" t="s">
        <v>1807</v>
      </c>
      <c r="Q1947" s="36">
        <v>259.37630000000001</v>
      </c>
    </row>
    <row r="1948" spans="1:17" x14ac:dyDescent="0.3">
      <c r="A1948" s="2" t="s">
        <v>3755</v>
      </c>
      <c r="B1948" s="14">
        <v>45607</v>
      </c>
      <c r="C1948" s="2">
        <f>YEAR(Sales_Details2[[#This Row],[Order_Date]])</f>
        <v>2024</v>
      </c>
      <c r="D1948" s="2" t="s">
        <v>1162</v>
      </c>
      <c r="E1948" s="2" t="str">
        <f>VLOOKUP(Sales_Details2[[#This Row],[Customer_ID]],Customer_Details[#All],4,0)</f>
        <v>Adult</v>
      </c>
      <c r="F1948" s="2" t="str">
        <f>VLOOKUP(Sales_Details2[[#This Row],[Customer_ID]],Customer_Details[#All],5,0)</f>
        <v>Male</v>
      </c>
      <c r="G1948" s="2" t="str">
        <f>VLOOKUP(Sales_Details2[[#This Row],[Customer_ID]],Customer_Details[#All],9,0)</f>
        <v>Bronze</v>
      </c>
      <c r="H1948" s="2" t="s">
        <v>1548</v>
      </c>
      <c r="I1948" s="2" t="str">
        <f>VLOOKUP(Sales_Details2[[#This Row],[Product_ID]],Product_details[[#All],[Product_ID]:[Cost]],3,0)</f>
        <v>Sports</v>
      </c>
      <c r="J1948" s="2" t="str">
        <f>VLOOKUP(Sales_Details2[[#This Row],[Product_ID]],Product_details[[#All],[Product_ID]:[Cost]],4,0)</f>
        <v>Fitness</v>
      </c>
      <c r="K1948" s="2" t="s">
        <v>1780</v>
      </c>
      <c r="L1948" s="2" t="str">
        <f>_xlfn.XLOOKUP(Sales_Details2[[#This Row],[Store_ID]],Table2[Store_ID],Table2[Region],"Region not found")</f>
        <v>East</v>
      </c>
      <c r="M1948" s="25">
        <v>4</v>
      </c>
      <c r="N1948" s="36">
        <v>243.13</v>
      </c>
      <c r="O1948" s="29">
        <v>0.25</v>
      </c>
      <c r="P1948" s="2" t="s">
        <v>1812</v>
      </c>
      <c r="Q1948" s="36">
        <v>729.39</v>
      </c>
    </row>
    <row r="1949" spans="1:17" x14ac:dyDescent="0.3">
      <c r="A1949" s="2" t="s">
        <v>3756</v>
      </c>
      <c r="B1949" s="14">
        <v>45614</v>
      </c>
      <c r="C1949" s="2">
        <f>YEAR(Sales_Details2[[#This Row],[Order_Date]])</f>
        <v>2024</v>
      </c>
      <c r="D1949" s="2" t="s">
        <v>731</v>
      </c>
      <c r="E1949" s="2" t="str">
        <f>VLOOKUP(Sales_Details2[[#This Row],[Customer_ID]],Customer_Details[#All],4,0)</f>
        <v>Mid-Adult</v>
      </c>
      <c r="F1949" s="2" t="str">
        <f>VLOOKUP(Sales_Details2[[#This Row],[Customer_ID]],Customer_Details[#All],5,0)</f>
        <v>Female</v>
      </c>
      <c r="G1949" s="2" t="str">
        <f>VLOOKUP(Sales_Details2[[#This Row],[Customer_ID]],Customer_Details[#All],9,0)</f>
        <v>Bronze</v>
      </c>
      <c r="H1949" s="2" t="s">
        <v>1649</v>
      </c>
      <c r="I1949" s="2" t="str">
        <f>VLOOKUP(Sales_Details2[[#This Row],[Product_ID]],Product_details[[#All],[Product_ID]:[Cost]],3,0)</f>
        <v>Beauty</v>
      </c>
      <c r="J1949" s="2" t="str">
        <f>VLOOKUP(Sales_Details2[[#This Row],[Product_ID]],Product_details[[#All],[Product_ID]:[Cost]],4,0)</f>
        <v>Haircare</v>
      </c>
      <c r="K1949" s="2" t="s">
        <v>1775</v>
      </c>
      <c r="L1949" s="2" t="str">
        <f>_xlfn.XLOOKUP(Sales_Details2[[#This Row],[Store_ID]],Table2[Store_ID],Table2[Region],"Region not found")</f>
        <v>South</v>
      </c>
      <c r="M1949" s="25">
        <v>2</v>
      </c>
      <c r="N1949" s="36">
        <v>410.63</v>
      </c>
      <c r="O1949" s="29">
        <v>0.28000000000000003</v>
      </c>
      <c r="P1949" s="2" t="s">
        <v>1812</v>
      </c>
      <c r="Q1949" s="36">
        <v>591.30719999999997</v>
      </c>
    </row>
    <row r="1950" spans="1:17" x14ac:dyDescent="0.3">
      <c r="A1950" s="2" t="s">
        <v>3757</v>
      </c>
      <c r="B1950" s="14">
        <v>45293</v>
      </c>
      <c r="C1950" s="2">
        <f>YEAR(Sales_Details2[[#This Row],[Order_Date]])</f>
        <v>2024</v>
      </c>
      <c r="D1950" s="2" t="s">
        <v>1303</v>
      </c>
      <c r="E1950" s="2" t="str">
        <f>VLOOKUP(Sales_Details2[[#This Row],[Customer_ID]],Customer_Details[#All],4,0)</f>
        <v>Mid-Adult</v>
      </c>
      <c r="F1950" s="2" t="str">
        <f>VLOOKUP(Sales_Details2[[#This Row],[Customer_ID]],Customer_Details[#All],5,0)</f>
        <v>Male</v>
      </c>
      <c r="G1950" s="2" t="str">
        <f>VLOOKUP(Sales_Details2[[#This Row],[Customer_ID]],Customer_Details[#All],9,0)</f>
        <v>Bronze</v>
      </c>
      <c r="H1950" s="2" t="s">
        <v>1719</v>
      </c>
      <c r="I1950" s="2" t="str">
        <f>VLOOKUP(Sales_Details2[[#This Row],[Product_ID]],Product_details[[#All],[Product_ID]:[Cost]],3,0)</f>
        <v>Beauty</v>
      </c>
      <c r="J1950" s="2" t="str">
        <f>VLOOKUP(Sales_Details2[[#This Row],[Product_ID]],Product_details[[#All],[Product_ID]:[Cost]],4,0)</f>
        <v>Skincare</v>
      </c>
      <c r="K1950" s="2" t="s">
        <v>1772</v>
      </c>
      <c r="L1950" s="2" t="str">
        <f>_xlfn.XLOOKUP(Sales_Details2[[#This Row],[Store_ID]],Table2[Store_ID],Table2[Region],"Region not found")</f>
        <v>East</v>
      </c>
      <c r="M1950" s="25">
        <v>4</v>
      </c>
      <c r="N1950" s="36">
        <v>101.25</v>
      </c>
      <c r="O1950" s="29">
        <v>0.16</v>
      </c>
      <c r="P1950" s="2" t="s">
        <v>1809</v>
      </c>
      <c r="Q1950" s="36">
        <v>340.2</v>
      </c>
    </row>
    <row r="1951" spans="1:17" x14ac:dyDescent="0.3">
      <c r="A1951" s="2" t="s">
        <v>3758</v>
      </c>
      <c r="B1951" s="14">
        <v>45301</v>
      </c>
      <c r="C1951" s="2">
        <f>YEAR(Sales_Details2[[#This Row],[Order_Date]])</f>
        <v>2024</v>
      </c>
      <c r="D1951" s="2" t="s">
        <v>724</v>
      </c>
      <c r="E1951" s="2" t="str">
        <f>VLOOKUP(Sales_Details2[[#This Row],[Customer_ID]],Customer_Details[#All],4,0)</f>
        <v>Senior</v>
      </c>
      <c r="F1951" s="2" t="str">
        <f>VLOOKUP(Sales_Details2[[#This Row],[Customer_ID]],Customer_Details[#All],5,0)</f>
        <v>Male</v>
      </c>
      <c r="G1951" s="2" t="str">
        <f>VLOOKUP(Sales_Details2[[#This Row],[Customer_ID]],Customer_Details[#All],9,0)</f>
        <v>Gold</v>
      </c>
      <c r="H1951" s="2" t="s">
        <v>1543</v>
      </c>
      <c r="I1951" s="2" t="str">
        <f>VLOOKUP(Sales_Details2[[#This Row],[Product_ID]],Product_details[[#All],[Product_ID]:[Cost]],3,0)</f>
        <v>Home</v>
      </c>
      <c r="J1951" s="2" t="str">
        <f>VLOOKUP(Sales_Details2[[#This Row],[Product_ID]],Product_details[[#All],[Product_ID]:[Cost]],4,0)</f>
        <v>Lighting</v>
      </c>
      <c r="K1951" s="2" t="s">
        <v>1790</v>
      </c>
      <c r="L1951" s="2" t="str">
        <f>_xlfn.XLOOKUP(Sales_Details2[[#This Row],[Store_ID]],Table2[Store_ID],Table2[Region],"Region not found")</f>
        <v>North</v>
      </c>
      <c r="M1951" s="25">
        <v>4</v>
      </c>
      <c r="N1951" s="36">
        <v>716.39</v>
      </c>
      <c r="O1951" s="29">
        <v>0.03</v>
      </c>
      <c r="P1951" s="2" t="s">
        <v>1809</v>
      </c>
      <c r="Q1951" s="36">
        <v>2779.5931999999998</v>
      </c>
    </row>
    <row r="1952" spans="1:17" x14ac:dyDescent="0.3">
      <c r="A1952" s="2" t="s">
        <v>3759</v>
      </c>
      <c r="B1952" s="14">
        <v>45311</v>
      </c>
      <c r="C1952" s="2">
        <f>YEAR(Sales_Details2[[#This Row],[Order_Date]])</f>
        <v>2024</v>
      </c>
      <c r="D1952" s="2" t="s">
        <v>333</v>
      </c>
      <c r="E1952" s="2" t="str">
        <f>VLOOKUP(Sales_Details2[[#This Row],[Customer_ID]],Customer_Details[#All],4,0)</f>
        <v>Mid-Adult</v>
      </c>
      <c r="F1952" s="2" t="str">
        <f>VLOOKUP(Sales_Details2[[#This Row],[Customer_ID]],Customer_Details[#All],5,0)</f>
        <v>Female</v>
      </c>
      <c r="G1952" s="2" t="str">
        <f>VLOOKUP(Sales_Details2[[#This Row],[Customer_ID]],Customer_Details[#All],9,0)</f>
        <v>Gold</v>
      </c>
      <c r="H1952" s="2" t="s">
        <v>1677</v>
      </c>
      <c r="I1952" s="2" t="str">
        <f>VLOOKUP(Sales_Details2[[#This Row],[Product_ID]],Product_details[[#All],[Product_ID]:[Cost]],3,0)</f>
        <v>Sports</v>
      </c>
      <c r="J1952" s="2" t="str">
        <f>VLOOKUP(Sales_Details2[[#This Row],[Product_ID]],Product_details[[#All],[Product_ID]:[Cost]],4,0)</f>
        <v>Team Sports</v>
      </c>
      <c r="K1952" s="2" t="s">
        <v>1740</v>
      </c>
      <c r="L1952" s="2" t="str">
        <f>_xlfn.XLOOKUP(Sales_Details2[[#This Row],[Store_ID]],Table2[Store_ID],Table2[Region],"Region not found")</f>
        <v>North</v>
      </c>
      <c r="M1952" s="25">
        <v>1</v>
      </c>
      <c r="N1952" s="36">
        <v>721.74</v>
      </c>
      <c r="O1952" s="29">
        <v>0.24</v>
      </c>
      <c r="P1952" s="2" t="s">
        <v>1809</v>
      </c>
      <c r="Q1952" s="36">
        <v>548.52240000000006</v>
      </c>
    </row>
    <row r="1953" spans="1:17" x14ac:dyDescent="0.3">
      <c r="A1953" s="2" t="s">
        <v>3760</v>
      </c>
      <c r="B1953" s="14">
        <v>45702</v>
      </c>
      <c r="C1953" s="2">
        <f>YEAR(Sales_Details2[[#This Row],[Order_Date]])</f>
        <v>2025</v>
      </c>
      <c r="D1953" s="2" t="s">
        <v>202</v>
      </c>
      <c r="E1953" s="2" t="str">
        <f>VLOOKUP(Sales_Details2[[#This Row],[Customer_ID]],Customer_Details[#All],4,0)</f>
        <v>Adult</v>
      </c>
      <c r="F1953" s="2" t="str">
        <f>VLOOKUP(Sales_Details2[[#This Row],[Customer_ID]],Customer_Details[#All],5,0)</f>
        <v>Male</v>
      </c>
      <c r="G1953" s="2" t="str">
        <f>VLOOKUP(Sales_Details2[[#This Row],[Customer_ID]],Customer_Details[#All],9,0)</f>
        <v>Platinum</v>
      </c>
      <c r="H1953" s="2" t="s">
        <v>1655</v>
      </c>
      <c r="I1953" s="2" t="str">
        <f>VLOOKUP(Sales_Details2[[#This Row],[Product_ID]],Product_details[[#All],[Product_ID]:[Cost]],3,0)</f>
        <v>Electronics</v>
      </c>
      <c r="J1953" s="2" t="str">
        <f>VLOOKUP(Sales_Details2[[#This Row],[Product_ID]],Product_details[[#All],[Product_ID]:[Cost]],4,0)</f>
        <v>Computer</v>
      </c>
      <c r="K1953" s="2" t="s">
        <v>1775</v>
      </c>
      <c r="L1953" s="2" t="str">
        <f>_xlfn.XLOOKUP(Sales_Details2[[#This Row],[Store_ID]],Table2[Store_ID],Table2[Region],"Region not found")</f>
        <v>South</v>
      </c>
      <c r="M1953" s="25">
        <v>2</v>
      </c>
      <c r="N1953" s="36">
        <v>527.91</v>
      </c>
      <c r="O1953" s="29">
        <v>0.02</v>
      </c>
      <c r="P1953" s="2" t="s">
        <v>1807</v>
      </c>
      <c r="Q1953" s="36">
        <v>1034.7036000000001</v>
      </c>
    </row>
    <row r="1954" spans="1:17" x14ac:dyDescent="0.3">
      <c r="A1954" s="2" t="s">
        <v>3761</v>
      </c>
      <c r="B1954" s="14">
        <v>45525</v>
      </c>
      <c r="C1954" s="2">
        <f>YEAR(Sales_Details2[[#This Row],[Order_Date]])</f>
        <v>2024</v>
      </c>
      <c r="D1954" s="2" t="s">
        <v>995</v>
      </c>
      <c r="E1954" s="2" t="str">
        <f>VLOOKUP(Sales_Details2[[#This Row],[Customer_ID]],Customer_Details[#All],4,0)</f>
        <v>Senior</v>
      </c>
      <c r="F1954" s="2" t="str">
        <f>VLOOKUP(Sales_Details2[[#This Row],[Customer_ID]],Customer_Details[#All],5,0)</f>
        <v>Male</v>
      </c>
      <c r="G1954" s="2" t="str">
        <f>VLOOKUP(Sales_Details2[[#This Row],[Customer_ID]],Customer_Details[#All],9,0)</f>
        <v>Platinum</v>
      </c>
      <c r="H1954" s="2" t="s">
        <v>1635</v>
      </c>
      <c r="I1954" s="2" t="str">
        <f>VLOOKUP(Sales_Details2[[#This Row],[Product_ID]],Product_details[[#All],[Product_ID]:[Cost]],3,0)</f>
        <v>Sports</v>
      </c>
      <c r="J1954" s="2" t="str">
        <f>VLOOKUP(Sales_Details2[[#This Row],[Product_ID]],Product_details[[#All],[Product_ID]:[Cost]],4,0)</f>
        <v>Team Sports</v>
      </c>
      <c r="K1954" s="2" t="s">
        <v>1780</v>
      </c>
      <c r="L1954" s="2" t="str">
        <f>_xlfn.XLOOKUP(Sales_Details2[[#This Row],[Store_ID]],Table2[Store_ID],Table2[Region],"Region not found")</f>
        <v>East</v>
      </c>
      <c r="M1954" s="25">
        <v>2</v>
      </c>
      <c r="N1954" s="36">
        <v>945.92</v>
      </c>
      <c r="O1954" s="29">
        <v>0.19</v>
      </c>
      <c r="P1954" s="2" t="s">
        <v>1812</v>
      </c>
      <c r="Q1954" s="36">
        <v>1532.3904</v>
      </c>
    </row>
    <row r="1955" spans="1:17" x14ac:dyDescent="0.3">
      <c r="A1955" s="2" t="s">
        <v>3762</v>
      </c>
      <c r="B1955" s="14">
        <v>45780</v>
      </c>
      <c r="C1955" s="2">
        <f>YEAR(Sales_Details2[[#This Row],[Order_Date]])</f>
        <v>2025</v>
      </c>
      <c r="D1955" s="2" t="s">
        <v>292</v>
      </c>
      <c r="E1955" s="2" t="str">
        <f>VLOOKUP(Sales_Details2[[#This Row],[Customer_ID]],Customer_Details[#All],4,0)</f>
        <v>Mid-Adult</v>
      </c>
      <c r="F1955" s="2" t="str">
        <f>VLOOKUP(Sales_Details2[[#This Row],[Customer_ID]],Customer_Details[#All],5,0)</f>
        <v>Female</v>
      </c>
      <c r="G1955" s="2" t="str">
        <f>VLOOKUP(Sales_Details2[[#This Row],[Customer_ID]],Customer_Details[#All],9,0)</f>
        <v>Platinum</v>
      </c>
      <c r="H1955" s="2" t="s">
        <v>1643</v>
      </c>
      <c r="I1955" s="2" t="str">
        <f>VLOOKUP(Sales_Details2[[#This Row],[Product_ID]],Product_details[[#All],[Product_ID]:[Cost]],3,0)</f>
        <v>Home</v>
      </c>
      <c r="J1955" s="2" t="str">
        <f>VLOOKUP(Sales_Details2[[#This Row],[Product_ID]],Product_details[[#All],[Product_ID]:[Cost]],4,0)</f>
        <v>Decor</v>
      </c>
      <c r="K1955" s="2" t="s">
        <v>1790</v>
      </c>
      <c r="L1955" s="2" t="str">
        <f>_xlfn.XLOOKUP(Sales_Details2[[#This Row],[Store_ID]],Table2[Store_ID],Table2[Region],"Region not found")</f>
        <v>North</v>
      </c>
      <c r="M1955" s="25">
        <v>2</v>
      </c>
      <c r="N1955" s="36">
        <v>981.35</v>
      </c>
      <c r="O1955" s="29">
        <v>0.16</v>
      </c>
      <c r="P1955" s="2" t="s">
        <v>1809</v>
      </c>
      <c r="Q1955" s="36">
        <v>1648.6679999999999</v>
      </c>
    </row>
    <row r="1956" spans="1:17" x14ac:dyDescent="0.3">
      <c r="A1956" s="2" t="s">
        <v>3763</v>
      </c>
      <c r="B1956" s="14">
        <v>45819</v>
      </c>
      <c r="C1956" s="2">
        <f>YEAR(Sales_Details2[[#This Row],[Order_Date]])</f>
        <v>2025</v>
      </c>
      <c r="D1956" s="2" t="s">
        <v>716</v>
      </c>
      <c r="E1956" s="2" t="str">
        <f>VLOOKUP(Sales_Details2[[#This Row],[Customer_ID]],Customer_Details[#All],4,0)</f>
        <v>Mid-Adult</v>
      </c>
      <c r="F1956" s="2" t="str">
        <f>VLOOKUP(Sales_Details2[[#This Row],[Customer_ID]],Customer_Details[#All],5,0)</f>
        <v>Male</v>
      </c>
      <c r="G1956" s="2" t="str">
        <f>VLOOKUP(Sales_Details2[[#This Row],[Customer_ID]],Customer_Details[#All],9,0)</f>
        <v>Platinum</v>
      </c>
      <c r="H1956" s="2" t="s">
        <v>1649</v>
      </c>
      <c r="I1956" s="2" t="str">
        <f>VLOOKUP(Sales_Details2[[#This Row],[Product_ID]],Product_details[[#All],[Product_ID]:[Cost]],3,0)</f>
        <v>Beauty</v>
      </c>
      <c r="J1956" s="2" t="str">
        <f>VLOOKUP(Sales_Details2[[#This Row],[Product_ID]],Product_details[[#All],[Product_ID]:[Cost]],4,0)</f>
        <v>Haircare</v>
      </c>
      <c r="K1956" s="2" t="s">
        <v>1749</v>
      </c>
      <c r="L1956" s="2" t="str">
        <f>_xlfn.XLOOKUP(Sales_Details2[[#This Row],[Store_ID]],Table2[Store_ID],Table2[Region],"Region not found")</f>
        <v>North</v>
      </c>
      <c r="M1956" s="25">
        <v>1</v>
      </c>
      <c r="N1956" s="36">
        <v>913.99</v>
      </c>
      <c r="O1956" s="29">
        <v>0.14000000000000001</v>
      </c>
      <c r="P1956" s="2" t="s">
        <v>1807</v>
      </c>
      <c r="Q1956" s="36">
        <v>786.03139999999996</v>
      </c>
    </row>
    <row r="1957" spans="1:17" x14ac:dyDescent="0.3">
      <c r="A1957" s="2" t="s">
        <v>3764</v>
      </c>
      <c r="B1957" s="14">
        <v>45863</v>
      </c>
      <c r="C1957" s="2">
        <f>YEAR(Sales_Details2[[#This Row],[Order_Date]])</f>
        <v>2025</v>
      </c>
      <c r="D1957" s="2" t="s">
        <v>55</v>
      </c>
      <c r="E1957" s="2" t="str">
        <f>VLOOKUP(Sales_Details2[[#This Row],[Customer_ID]],Customer_Details[#All],4,0)</f>
        <v>Adult</v>
      </c>
      <c r="F1957" s="2" t="str">
        <f>VLOOKUP(Sales_Details2[[#This Row],[Customer_ID]],Customer_Details[#All],5,0)</f>
        <v>Female</v>
      </c>
      <c r="G1957" s="2" t="str">
        <f>VLOOKUP(Sales_Details2[[#This Row],[Customer_ID]],Customer_Details[#All],9,0)</f>
        <v>Gold</v>
      </c>
      <c r="H1957" s="2" t="s">
        <v>1663</v>
      </c>
      <c r="I1957" s="2" t="str">
        <f>VLOOKUP(Sales_Details2[[#This Row],[Product_ID]],Product_details[[#All],[Product_ID]:[Cost]],3,0)</f>
        <v>Beauty</v>
      </c>
      <c r="J1957" s="2" t="str">
        <f>VLOOKUP(Sales_Details2[[#This Row],[Product_ID]],Product_details[[#All],[Product_ID]:[Cost]],4,0)</f>
        <v>Haircare</v>
      </c>
      <c r="K1957" s="2" t="s">
        <v>1765</v>
      </c>
      <c r="L1957" s="2" t="str">
        <f>_xlfn.XLOOKUP(Sales_Details2[[#This Row],[Store_ID]],Table2[Store_ID],Table2[Region],"Region not found")</f>
        <v>West</v>
      </c>
      <c r="M1957" s="25">
        <v>4</v>
      </c>
      <c r="N1957" s="36">
        <v>270.69</v>
      </c>
      <c r="O1957" s="29">
        <v>0.18</v>
      </c>
      <c r="P1957" s="2" t="s">
        <v>1809</v>
      </c>
      <c r="Q1957" s="36">
        <v>887.86320000000001</v>
      </c>
    </row>
    <row r="1958" spans="1:17" x14ac:dyDescent="0.3">
      <c r="A1958" s="2" t="s">
        <v>3765</v>
      </c>
      <c r="B1958" s="14">
        <v>45687</v>
      </c>
      <c r="C1958" s="2">
        <f>YEAR(Sales_Details2[[#This Row],[Order_Date]])</f>
        <v>2025</v>
      </c>
      <c r="D1958" s="2" t="s">
        <v>533</v>
      </c>
      <c r="E1958" s="2" t="str">
        <f>VLOOKUP(Sales_Details2[[#This Row],[Customer_ID]],Customer_Details[#All],4,0)</f>
        <v>Adult</v>
      </c>
      <c r="F1958" s="2" t="str">
        <f>VLOOKUP(Sales_Details2[[#This Row],[Customer_ID]],Customer_Details[#All],5,0)</f>
        <v>Female</v>
      </c>
      <c r="G1958" s="2" t="str">
        <f>VLOOKUP(Sales_Details2[[#This Row],[Customer_ID]],Customer_Details[#All],9,0)</f>
        <v>Silver</v>
      </c>
      <c r="H1958" s="2" t="s">
        <v>1685</v>
      </c>
      <c r="I1958" s="2" t="str">
        <f>VLOOKUP(Sales_Details2[[#This Row],[Product_ID]],Product_details[[#All],[Product_ID]:[Cost]],3,0)</f>
        <v>Electronics</v>
      </c>
      <c r="J1958" s="2" t="str">
        <f>VLOOKUP(Sales_Details2[[#This Row],[Product_ID]],Product_details[[#All],[Product_ID]:[Cost]],4,0)</f>
        <v>Appliances</v>
      </c>
      <c r="K1958" s="2" t="s">
        <v>1759</v>
      </c>
      <c r="L1958" s="2" t="str">
        <f>_xlfn.XLOOKUP(Sales_Details2[[#This Row],[Store_ID]],Table2[Store_ID],Table2[Region],"Region not found")</f>
        <v>East</v>
      </c>
      <c r="M1958" s="25">
        <v>3</v>
      </c>
      <c r="N1958" s="36">
        <v>998.58</v>
      </c>
      <c r="O1958" s="29">
        <v>0.02</v>
      </c>
      <c r="P1958" s="2" t="s">
        <v>1807</v>
      </c>
      <c r="Q1958" s="36">
        <v>2935.8252000000002</v>
      </c>
    </row>
    <row r="1959" spans="1:17" x14ac:dyDescent="0.3">
      <c r="A1959" s="2" t="s">
        <v>3766</v>
      </c>
      <c r="B1959" s="14">
        <v>45806</v>
      </c>
      <c r="C1959" s="2">
        <f>YEAR(Sales_Details2[[#This Row],[Order_Date]])</f>
        <v>2025</v>
      </c>
      <c r="D1959" s="2" t="s">
        <v>1392</v>
      </c>
      <c r="E1959" s="2" t="str">
        <f>VLOOKUP(Sales_Details2[[#This Row],[Customer_ID]],Customer_Details[#All],4,0)</f>
        <v>Senior</v>
      </c>
      <c r="F1959" s="2" t="str">
        <f>VLOOKUP(Sales_Details2[[#This Row],[Customer_ID]],Customer_Details[#All],5,0)</f>
        <v>Female</v>
      </c>
      <c r="G1959" s="2" t="str">
        <f>VLOOKUP(Sales_Details2[[#This Row],[Customer_ID]],Customer_Details[#All],9,0)</f>
        <v>Gold</v>
      </c>
      <c r="H1959" s="2" t="s">
        <v>1605</v>
      </c>
      <c r="I1959" s="2" t="str">
        <f>VLOOKUP(Sales_Details2[[#This Row],[Product_ID]],Product_details[[#All],[Product_ID]:[Cost]],3,0)</f>
        <v>Clothing</v>
      </c>
      <c r="J1959" s="2" t="str">
        <f>VLOOKUP(Sales_Details2[[#This Row],[Product_ID]],Product_details[[#All],[Product_ID]:[Cost]],4,0)</f>
        <v>Footwear</v>
      </c>
      <c r="K1959" s="2" t="s">
        <v>1769</v>
      </c>
      <c r="L1959" s="2" t="str">
        <f>_xlfn.XLOOKUP(Sales_Details2[[#This Row],[Store_ID]],Table2[Store_ID],Table2[Region],"Region not found")</f>
        <v>South</v>
      </c>
      <c r="M1959" s="25">
        <v>3</v>
      </c>
      <c r="N1959" s="36">
        <v>765.12</v>
      </c>
      <c r="O1959" s="29">
        <v>0.18</v>
      </c>
      <c r="P1959" s="2" t="s">
        <v>1807</v>
      </c>
      <c r="Q1959" s="36">
        <v>1882.1952000000001</v>
      </c>
    </row>
    <row r="1960" spans="1:17" x14ac:dyDescent="0.3">
      <c r="A1960" s="2" t="s">
        <v>3767</v>
      </c>
      <c r="B1960" s="14">
        <v>45216</v>
      </c>
      <c r="C1960" s="2">
        <f>YEAR(Sales_Details2[[#This Row],[Order_Date]])</f>
        <v>2023</v>
      </c>
      <c r="D1960" s="2" t="s">
        <v>261</v>
      </c>
      <c r="E1960" s="2" t="str">
        <f>VLOOKUP(Sales_Details2[[#This Row],[Customer_ID]],Customer_Details[#All],4,0)</f>
        <v>Mid-Adult</v>
      </c>
      <c r="F1960" s="2" t="str">
        <f>VLOOKUP(Sales_Details2[[#This Row],[Customer_ID]],Customer_Details[#All],5,0)</f>
        <v>Female</v>
      </c>
      <c r="G1960" s="2" t="str">
        <f>VLOOKUP(Sales_Details2[[#This Row],[Customer_ID]],Customer_Details[#All],9,0)</f>
        <v>Gold</v>
      </c>
      <c r="H1960" s="2" t="s">
        <v>1659</v>
      </c>
      <c r="I1960" s="2" t="str">
        <f>VLOOKUP(Sales_Details2[[#This Row],[Product_ID]],Product_details[[#All],[Product_ID]:[Cost]],3,0)</f>
        <v>Beauty</v>
      </c>
      <c r="J1960" s="2" t="str">
        <f>VLOOKUP(Sales_Details2[[#This Row],[Product_ID]],Product_details[[#All],[Product_ID]:[Cost]],4,0)</f>
        <v>Makeup</v>
      </c>
      <c r="K1960" s="2" t="s">
        <v>1796</v>
      </c>
      <c r="L1960" s="2" t="str">
        <f>_xlfn.XLOOKUP(Sales_Details2[[#This Row],[Store_ID]],Table2[Store_ID],Table2[Region],"Region not found")</f>
        <v>East</v>
      </c>
      <c r="M1960" s="25">
        <v>3</v>
      </c>
      <c r="N1960" s="36">
        <v>449.99</v>
      </c>
      <c r="O1960" s="29">
        <v>0.17</v>
      </c>
      <c r="P1960" s="2" t="s">
        <v>1812</v>
      </c>
      <c r="Q1960" s="36">
        <v>1120.4751000000001</v>
      </c>
    </row>
    <row r="1961" spans="1:17" x14ac:dyDescent="0.3">
      <c r="A1961" s="2" t="s">
        <v>3768</v>
      </c>
      <c r="B1961" s="14">
        <v>45639</v>
      </c>
      <c r="C1961" s="2">
        <f>YEAR(Sales_Details2[[#This Row],[Order_Date]])</f>
        <v>2024</v>
      </c>
      <c r="D1961" s="2" t="s">
        <v>800</v>
      </c>
      <c r="E1961" s="2" t="str">
        <f>VLOOKUP(Sales_Details2[[#This Row],[Customer_ID]],Customer_Details[#All],4,0)</f>
        <v>Adult</v>
      </c>
      <c r="F1961" s="2" t="str">
        <f>VLOOKUP(Sales_Details2[[#This Row],[Customer_ID]],Customer_Details[#All],5,0)</f>
        <v>Male</v>
      </c>
      <c r="G1961" s="2" t="str">
        <f>VLOOKUP(Sales_Details2[[#This Row],[Customer_ID]],Customer_Details[#All],9,0)</f>
        <v>Silver</v>
      </c>
      <c r="H1961" s="2" t="s">
        <v>1617</v>
      </c>
      <c r="I1961" s="2" t="str">
        <f>VLOOKUP(Sales_Details2[[#This Row],[Product_ID]],Product_details[[#All],[Product_ID]:[Cost]],3,0)</f>
        <v>Electronics</v>
      </c>
      <c r="J1961" s="2" t="str">
        <f>VLOOKUP(Sales_Details2[[#This Row],[Product_ID]],Product_details[[#All],[Product_ID]:[Cost]],4,0)</f>
        <v>Computer</v>
      </c>
      <c r="K1961" s="2" t="s">
        <v>1775</v>
      </c>
      <c r="L1961" s="2" t="str">
        <f>_xlfn.XLOOKUP(Sales_Details2[[#This Row],[Store_ID]],Table2[Store_ID],Table2[Region],"Region not found")</f>
        <v>South</v>
      </c>
      <c r="M1961" s="25">
        <v>2</v>
      </c>
      <c r="N1961" s="36">
        <v>249.02</v>
      </c>
      <c r="O1961" s="29">
        <v>0.01</v>
      </c>
      <c r="P1961" s="2" t="s">
        <v>1812</v>
      </c>
      <c r="Q1961" s="36">
        <v>493.05959999999999</v>
      </c>
    </row>
    <row r="1962" spans="1:17" x14ac:dyDescent="0.3">
      <c r="A1962" s="2" t="s">
        <v>3769</v>
      </c>
      <c r="B1962" s="14">
        <v>45454</v>
      </c>
      <c r="C1962" s="2">
        <f>YEAR(Sales_Details2[[#This Row],[Order_Date]])</f>
        <v>2024</v>
      </c>
      <c r="D1962" s="2" t="s">
        <v>462</v>
      </c>
      <c r="E1962" s="2" t="str">
        <f>VLOOKUP(Sales_Details2[[#This Row],[Customer_ID]],Customer_Details[#All],4,0)</f>
        <v>Senior</v>
      </c>
      <c r="F1962" s="2" t="str">
        <f>VLOOKUP(Sales_Details2[[#This Row],[Customer_ID]],Customer_Details[#All],5,0)</f>
        <v>Female</v>
      </c>
      <c r="G1962" s="2" t="str">
        <f>VLOOKUP(Sales_Details2[[#This Row],[Customer_ID]],Customer_Details[#All],9,0)</f>
        <v>Platinum</v>
      </c>
      <c r="H1962" s="2" t="s">
        <v>1645</v>
      </c>
      <c r="I1962" s="2" t="str">
        <f>VLOOKUP(Sales_Details2[[#This Row],[Product_ID]],Product_details[[#All],[Product_ID]:[Cost]],3,0)</f>
        <v>Sports</v>
      </c>
      <c r="J1962" s="2" t="str">
        <f>VLOOKUP(Sales_Details2[[#This Row],[Product_ID]],Product_details[[#All],[Product_ID]:[Cost]],4,0)</f>
        <v>Fitness</v>
      </c>
      <c r="K1962" s="2" t="s">
        <v>1796</v>
      </c>
      <c r="L1962" s="2" t="str">
        <f>_xlfn.XLOOKUP(Sales_Details2[[#This Row],[Store_ID]],Table2[Store_ID],Table2[Region],"Region not found")</f>
        <v>East</v>
      </c>
      <c r="M1962" s="25">
        <v>3</v>
      </c>
      <c r="N1962" s="36">
        <v>223.64</v>
      </c>
      <c r="O1962" s="29">
        <v>0.05</v>
      </c>
      <c r="P1962" s="2" t="s">
        <v>1807</v>
      </c>
      <c r="Q1962" s="36">
        <v>637.37399999999991</v>
      </c>
    </row>
    <row r="1963" spans="1:17" x14ac:dyDescent="0.3">
      <c r="A1963" s="2" t="s">
        <v>3770</v>
      </c>
      <c r="B1963" s="14">
        <v>45934</v>
      </c>
      <c r="C1963" s="2">
        <f>YEAR(Sales_Details2[[#This Row],[Order_Date]])</f>
        <v>2025</v>
      </c>
      <c r="D1963" s="2" t="s">
        <v>370</v>
      </c>
      <c r="E1963" s="2" t="str">
        <f>VLOOKUP(Sales_Details2[[#This Row],[Customer_ID]],Customer_Details[#All],4,0)</f>
        <v>Senior</v>
      </c>
      <c r="F1963" s="2" t="str">
        <f>VLOOKUP(Sales_Details2[[#This Row],[Customer_ID]],Customer_Details[#All],5,0)</f>
        <v>Female</v>
      </c>
      <c r="G1963" s="2" t="str">
        <f>VLOOKUP(Sales_Details2[[#This Row],[Customer_ID]],Customer_Details[#All],9,0)</f>
        <v>Bronze</v>
      </c>
      <c r="H1963" s="2" t="s">
        <v>1579</v>
      </c>
      <c r="I1963" s="2" t="str">
        <f>VLOOKUP(Sales_Details2[[#This Row],[Product_ID]],Product_details[[#All],[Product_ID]:[Cost]],3,0)</f>
        <v>Sports</v>
      </c>
      <c r="J1963" s="2" t="str">
        <f>VLOOKUP(Sales_Details2[[#This Row],[Product_ID]],Product_details[[#All],[Product_ID]:[Cost]],4,0)</f>
        <v>Outdoor</v>
      </c>
      <c r="K1963" s="2" t="s">
        <v>1752</v>
      </c>
      <c r="L1963" s="2" t="str">
        <f>_xlfn.XLOOKUP(Sales_Details2[[#This Row],[Store_ID]],Table2[Store_ID],Table2[Region],"Region not found")</f>
        <v>South</v>
      </c>
      <c r="M1963" s="25">
        <v>2</v>
      </c>
      <c r="N1963" s="36">
        <v>92.94</v>
      </c>
      <c r="O1963" s="29">
        <v>0.12</v>
      </c>
      <c r="P1963" s="2" t="s">
        <v>1807</v>
      </c>
      <c r="Q1963" s="36">
        <v>163.5744</v>
      </c>
    </row>
    <row r="1964" spans="1:17" x14ac:dyDescent="0.3">
      <c r="A1964" s="2" t="s">
        <v>3771</v>
      </c>
      <c r="B1964" s="14">
        <v>45401</v>
      </c>
      <c r="C1964" s="2">
        <f>YEAR(Sales_Details2[[#This Row],[Order_Date]])</f>
        <v>2024</v>
      </c>
      <c r="D1964" s="2" t="s">
        <v>1118</v>
      </c>
      <c r="E1964" s="2" t="str">
        <f>VLOOKUP(Sales_Details2[[#This Row],[Customer_ID]],Customer_Details[#All],4,0)</f>
        <v>Senior</v>
      </c>
      <c r="F1964" s="2" t="str">
        <f>VLOOKUP(Sales_Details2[[#This Row],[Customer_ID]],Customer_Details[#All],5,0)</f>
        <v>Male</v>
      </c>
      <c r="G1964" s="2" t="str">
        <f>VLOOKUP(Sales_Details2[[#This Row],[Customer_ID]],Customer_Details[#All],9,0)</f>
        <v>Platinum</v>
      </c>
      <c r="H1964" s="2" t="s">
        <v>1563</v>
      </c>
      <c r="I1964" s="2" t="str">
        <f>VLOOKUP(Sales_Details2[[#This Row],[Product_ID]],Product_details[[#All],[Product_ID]:[Cost]],3,0)</f>
        <v>Beauty</v>
      </c>
      <c r="J1964" s="2" t="str">
        <f>VLOOKUP(Sales_Details2[[#This Row],[Product_ID]],Product_details[[#All],[Product_ID]:[Cost]],4,0)</f>
        <v>Grooming</v>
      </c>
      <c r="K1964" s="2" t="s">
        <v>1744</v>
      </c>
      <c r="L1964" s="2" t="str">
        <f>_xlfn.XLOOKUP(Sales_Details2[[#This Row],[Store_ID]],Table2[Store_ID],Table2[Region],"Region not found")</f>
        <v>South</v>
      </c>
      <c r="M1964" s="25">
        <v>4</v>
      </c>
      <c r="N1964" s="36">
        <v>268.3</v>
      </c>
      <c r="O1964" s="29">
        <v>0.02</v>
      </c>
      <c r="P1964" s="2" t="s">
        <v>1812</v>
      </c>
      <c r="Q1964" s="36">
        <v>1051.7360000000001</v>
      </c>
    </row>
    <row r="1965" spans="1:17" x14ac:dyDescent="0.3">
      <c r="A1965" s="2" t="s">
        <v>3772</v>
      </c>
      <c r="B1965" s="14">
        <v>45770</v>
      </c>
      <c r="C1965" s="2">
        <f>YEAR(Sales_Details2[[#This Row],[Order_Date]])</f>
        <v>2025</v>
      </c>
      <c r="D1965" s="2" t="s">
        <v>1352</v>
      </c>
      <c r="E1965" s="2" t="str">
        <f>VLOOKUP(Sales_Details2[[#This Row],[Customer_ID]],Customer_Details[#All],4,0)</f>
        <v>Mid-Adult</v>
      </c>
      <c r="F1965" s="2" t="str">
        <f>VLOOKUP(Sales_Details2[[#This Row],[Customer_ID]],Customer_Details[#All],5,0)</f>
        <v>Female</v>
      </c>
      <c r="G1965" s="2" t="str">
        <f>VLOOKUP(Sales_Details2[[#This Row],[Customer_ID]],Customer_Details[#All],9,0)</f>
        <v>Bronze</v>
      </c>
      <c r="H1965" s="2" t="s">
        <v>1649</v>
      </c>
      <c r="I1965" s="2" t="str">
        <f>VLOOKUP(Sales_Details2[[#This Row],[Product_ID]],Product_details[[#All],[Product_ID]:[Cost]],3,0)</f>
        <v>Beauty</v>
      </c>
      <c r="J1965" s="2" t="str">
        <f>VLOOKUP(Sales_Details2[[#This Row],[Product_ID]],Product_details[[#All],[Product_ID]:[Cost]],4,0)</f>
        <v>Haircare</v>
      </c>
      <c r="K1965" s="2" t="s">
        <v>1796</v>
      </c>
      <c r="L1965" s="2" t="str">
        <f>_xlfn.XLOOKUP(Sales_Details2[[#This Row],[Store_ID]],Table2[Store_ID],Table2[Region],"Region not found")</f>
        <v>East</v>
      </c>
      <c r="M1965" s="25">
        <v>4</v>
      </c>
      <c r="N1965" s="36">
        <v>835.61</v>
      </c>
      <c r="O1965" s="29">
        <v>0.03</v>
      </c>
      <c r="P1965" s="2" t="s">
        <v>1807</v>
      </c>
      <c r="Q1965" s="36">
        <v>3242.1668</v>
      </c>
    </row>
    <row r="1966" spans="1:17" x14ac:dyDescent="0.3">
      <c r="A1966" s="2" t="s">
        <v>3773</v>
      </c>
      <c r="B1966" s="14">
        <v>45405</v>
      </c>
      <c r="C1966" s="2">
        <f>YEAR(Sales_Details2[[#This Row],[Order_Date]])</f>
        <v>2024</v>
      </c>
      <c r="D1966" s="2" t="s">
        <v>1180</v>
      </c>
      <c r="E1966" s="2" t="str">
        <f>VLOOKUP(Sales_Details2[[#This Row],[Customer_ID]],Customer_Details[#All],4,0)</f>
        <v>Adult</v>
      </c>
      <c r="F1966" s="2" t="str">
        <f>VLOOKUP(Sales_Details2[[#This Row],[Customer_ID]],Customer_Details[#All],5,0)</f>
        <v>Female</v>
      </c>
      <c r="G1966" s="2" t="str">
        <f>VLOOKUP(Sales_Details2[[#This Row],[Customer_ID]],Customer_Details[#All],9,0)</f>
        <v>Gold</v>
      </c>
      <c r="H1966" s="2" t="s">
        <v>1667</v>
      </c>
      <c r="I1966" s="2" t="str">
        <f>VLOOKUP(Sales_Details2[[#This Row],[Product_ID]],Product_details[[#All],[Product_ID]:[Cost]],3,0)</f>
        <v>Home</v>
      </c>
      <c r="J1966" s="2" t="str">
        <f>VLOOKUP(Sales_Details2[[#This Row],[Product_ID]],Product_details[[#All],[Product_ID]:[Cost]],4,0)</f>
        <v>Furniture</v>
      </c>
      <c r="K1966" s="2" t="s">
        <v>1756</v>
      </c>
      <c r="L1966" s="2" t="str">
        <f>_xlfn.XLOOKUP(Sales_Details2[[#This Row],[Store_ID]],Table2[Store_ID],Table2[Region],"Region not found")</f>
        <v>North</v>
      </c>
      <c r="M1966" s="25">
        <v>3</v>
      </c>
      <c r="N1966" s="36">
        <v>120.97</v>
      </c>
      <c r="O1966" s="29">
        <v>0.11</v>
      </c>
      <c r="P1966" s="2" t="s">
        <v>1807</v>
      </c>
      <c r="Q1966" s="36">
        <v>322.98989999999998</v>
      </c>
    </row>
    <row r="1967" spans="1:17" x14ac:dyDescent="0.3">
      <c r="A1967" s="2" t="s">
        <v>3774</v>
      </c>
      <c r="B1967" s="14">
        <v>45424</v>
      </c>
      <c r="C1967" s="2">
        <f>YEAR(Sales_Details2[[#This Row],[Order_Date]])</f>
        <v>2024</v>
      </c>
      <c r="D1967" s="2" t="s">
        <v>124</v>
      </c>
      <c r="E1967" s="2" t="str">
        <f>VLOOKUP(Sales_Details2[[#This Row],[Customer_ID]],Customer_Details[#All],4,0)</f>
        <v>Senior</v>
      </c>
      <c r="F1967" s="2" t="str">
        <f>VLOOKUP(Sales_Details2[[#This Row],[Customer_ID]],Customer_Details[#All],5,0)</f>
        <v>Female</v>
      </c>
      <c r="G1967" s="2" t="str">
        <f>VLOOKUP(Sales_Details2[[#This Row],[Customer_ID]],Customer_Details[#All],9,0)</f>
        <v>Bronze</v>
      </c>
      <c r="H1967" s="2" t="s">
        <v>1611</v>
      </c>
      <c r="I1967" s="2" t="str">
        <f>VLOOKUP(Sales_Details2[[#This Row],[Product_ID]],Product_details[[#All],[Product_ID]:[Cost]],3,0)</f>
        <v>Electronics</v>
      </c>
      <c r="J1967" s="2" t="str">
        <f>VLOOKUP(Sales_Details2[[#This Row],[Product_ID]],Product_details[[#All],[Product_ID]:[Cost]],4,0)</f>
        <v>Audio</v>
      </c>
      <c r="K1967" s="2" t="s">
        <v>1769</v>
      </c>
      <c r="L1967" s="2" t="str">
        <f>_xlfn.XLOOKUP(Sales_Details2[[#This Row],[Store_ID]],Table2[Store_ID],Table2[Region],"Region not found")</f>
        <v>South</v>
      </c>
      <c r="M1967" s="25">
        <v>2</v>
      </c>
      <c r="N1967" s="36">
        <v>26.36</v>
      </c>
      <c r="O1967" s="29">
        <v>0.03</v>
      </c>
      <c r="P1967" s="2" t="s">
        <v>1812</v>
      </c>
      <c r="Q1967" s="36">
        <v>51.138399999999997</v>
      </c>
    </row>
    <row r="1968" spans="1:17" x14ac:dyDescent="0.3">
      <c r="A1968" s="2" t="s">
        <v>3775</v>
      </c>
      <c r="B1968" s="14">
        <v>45881</v>
      </c>
      <c r="C1968" s="2">
        <f>YEAR(Sales_Details2[[#This Row],[Order_Date]])</f>
        <v>2025</v>
      </c>
      <c r="D1968" s="2" t="s">
        <v>134</v>
      </c>
      <c r="E1968" s="2" t="str">
        <f>VLOOKUP(Sales_Details2[[#This Row],[Customer_ID]],Customer_Details[#All],4,0)</f>
        <v>Adult</v>
      </c>
      <c r="F1968" s="2" t="str">
        <f>VLOOKUP(Sales_Details2[[#This Row],[Customer_ID]],Customer_Details[#All],5,0)</f>
        <v>Male</v>
      </c>
      <c r="G1968" s="2" t="str">
        <f>VLOOKUP(Sales_Details2[[#This Row],[Customer_ID]],Customer_Details[#All],9,0)</f>
        <v>Platinum</v>
      </c>
      <c r="H1968" s="2" t="s">
        <v>1685</v>
      </c>
      <c r="I1968" s="2" t="str">
        <f>VLOOKUP(Sales_Details2[[#This Row],[Product_ID]],Product_details[[#All],[Product_ID]:[Cost]],3,0)</f>
        <v>Electronics</v>
      </c>
      <c r="J1968" s="2" t="str">
        <f>VLOOKUP(Sales_Details2[[#This Row],[Product_ID]],Product_details[[#All],[Product_ID]:[Cost]],4,0)</f>
        <v>Appliances</v>
      </c>
      <c r="K1968" s="2" t="s">
        <v>1759</v>
      </c>
      <c r="L1968" s="2" t="str">
        <f>_xlfn.XLOOKUP(Sales_Details2[[#This Row],[Store_ID]],Table2[Store_ID],Table2[Region],"Region not found")</f>
        <v>East</v>
      </c>
      <c r="M1968" s="25">
        <v>1</v>
      </c>
      <c r="N1968" s="36">
        <v>918.87</v>
      </c>
      <c r="O1968" s="29">
        <v>0.11</v>
      </c>
      <c r="P1968" s="2" t="s">
        <v>1809</v>
      </c>
      <c r="Q1968" s="36">
        <v>817.79430000000002</v>
      </c>
    </row>
    <row r="1969" spans="1:17" x14ac:dyDescent="0.3">
      <c r="A1969" s="2" t="s">
        <v>3776</v>
      </c>
      <c r="B1969" s="14">
        <v>45794</v>
      </c>
      <c r="C1969" s="2">
        <f>YEAR(Sales_Details2[[#This Row],[Order_Date]])</f>
        <v>2025</v>
      </c>
      <c r="D1969" s="2" t="s">
        <v>127</v>
      </c>
      <c r="E1969" s="2" t="str">
        <f>VLOOKUP(Sales_Details2[[#This Row],[Customer_ID]],Customer_Details[#All],4,0)</f>
        <v>Mid-Adult</v>
      </c>
      <c r="F1969" s="2" t="str">
        <f>VLOOKUP(Sales_Details2[[#This Row],[Customer_ID]],Customer_Details[#All],5,0)</f>
        <v>Male</v>
      </c>
      <c r="G1969" s="2" t="str">
        <f>VLOOKUP(Sales_Details2[[#This Row],[Customer_ID]],Customer_Details[#All],9,0)</f>
        <v>Silver</v>
      </c>
      <c r="H1969" s="2" t="s">
        <v>1665</v>
      </c>
      <c r="I1969" s="2" t="str">
        <f>VLOOKUP(Sales_Details2[[#This Row],[Product_ID]],Product_details[[#All],[Product_ID]:[Cost]],3,0)</f>
        <v>Electronics</v>
      </c>
      <c r="J1969" s="2" t="str">
        <f>VLOOKUP(Sales_Details2[[#This Row],[Product_ID]],Product_details[[#All],[Product_ID]:[Cost]],4,0)</f>
        <v>Accessories</v>
      </c>
      <c r="K1969" s="2" t="s">
        <v>1775</v>
      </c>
      <c r="L1969" s="2" t="str">
        <f>_xlfn.XLOOKUP(Sales_Details2[[#This Row],[Store_ID]],Table2[Store_ID],Table2[Region],"Region not found")</f>
        <v>South</v>
      </c>
      <c r="M1969" s="25">
        <v>2</v>
      </c>
      <c r="N1969" s="36">
        <v>924.73</v>
      </c>
      <c r="O1969" s="29">
        <v>0.28999999999999998</v>
      </c>
      <c r="P1969" s="2" t="s">
        <v>1809</v>
      </c>
      <c r="Q1969" s="36">
        <v>1313.1166000000001</v>
      </c>
    </row>
    <row r="1970" spans="1:17" x14ac:dyDescent="0.3">
      <c r="A1970" s="2" t="s">
        <v>3777</v>
      </c>
      <c r="B1970" s="14">
        <v>45665</v>
      </c>
      <c r="C1970" s="2">
        <f>YEAR(Sales_Details2[[#This Row],[Order_Date]])</f>
        <v>2025</v>
      </c>
      <c r="D1970" s="2" t="s">
        <v>93</v>
      </c>
      <c r="E1970" s="2" t="str">
        <f>VLOOKUP(Sales_Details2[[#This Row],[Customer_ID]],Customer_Details[#All],4,0)</f>
        <v>Mid-Adult</v>
      </c>
      <c r="F1970" s="2" t="str">
        <f>VLOOKUP(Sales_Details2[[#This Row],[Customer_ID]],Customer_Details[#All],5,0)</f>
        <v>Female</v>
      </c>
      <c r="G1970" s="2" t="str">
        <f>VLOOKUP(Sales_Details2[[#This Row],[Customer_ID]],Customer_Details[#All],9,0)</f>
        <v>Gold</v>
      </c>
      <c r="H1970" s="2" t="s">
        <v>1555</v>
      </c>
      <c r="I1970" s="2" t="str">
        <f>VLOOKUP(Sales_Details2[[#This Row],[Product_ID]],Product_details[[#All],[Product_ID]:[Cost]],3,0)</f>
        <v>Beauty</v>
      </c>
      <c r="J1970" s="2" t="str">
        <f>VLOOKUP(Sales_Details2[[#This Row],[Product_ID]],Product_details[[#All],[Product_ID]:[Cost]],4,0)</f>
        <v>Haircare</v>
      </c>
      <c r="K1970" s="2" t="s">
        <v>1772</v>
      </c>
      <c r="L1970" s="2" t="str">
        <f>_xlfn.XLOOKUP(Sales_Details2[[#This Row],[Store_ID]],Table2[Store_ID],Table2[Region],"Region not found")</f>
        <v>East</v>
      </c>
      <c r="M1970" s="25">
        <v>3</v>
      </c>
      <c r="N1970" s="36">
        <v>195.31</v>
      </c>
      <c r="O1970" s="29">
        <v>0.13</v>
      </c>
      <c r="P1970" s="2" t="s">
        <v>1812</v>
      </c>
      <c r="Q1970" s="36">
        <v>509.75909999999999</v>
      </c>
    </row>
    <row r="1971" spans="1:17" x14ac:dyDescent="0.3">
      <c r="A1971" s="2" t="s">
        <v>3778</v>
      </c>
      <c r="B1971" s="14">
        <v>45793</v>
      </c>
      <c r="C1971" s="2">
        <f>YEAR(Sales_Details2[[#This Row],[Order_Date]])</f>
        <v>2025</v>
      </c>
      <c r="D1971" s="2" t="s">
        <v>476</v>
      </c>
      <c r="E1971" s="2" t="str">
        <f>VLOOKUP(Sales_Details2[[#This Row],[Customer_ID]],Customer_Details[#All],4,0)</f>
        <v>Mid-Adult</v>
      </c>
      <c r="F1971" s="2" t="str">
        <f>VLOOKUP(Sales_Details2[[#This Row],[Customer_ID]],Customer_Details[#All],5,0)</f>
        <v>Male</v>
      </c>
      <c r="G1971" s="2" t="str">
        <f>VLOOKUP(Sales_Details2[[#This Row],[Customer_ID]],Customer_Details[#All],9,0)</f>
        <v>Bronze</v>
      </c>
      <c r="H1971" s="2" t="s">
        <v>1607</v>
      </c>
      <c r="I1971" s="2" t="str">
        <f>VLOOKUP(Sales_Details2[[#This Row],[Product_ID]],Product_details[[#All],[Product_ID]:[Cost]],3,0)</f>
        <v>Sports</v>
      </c>
      <c r="J1971" s="2" t="str">
        <f>VLOOKUP(Sales_Details2[[#This Row],[Product_ID]],Product_details[[#All],[Product_ID]:[Cost]],4,0)</f>
        <v>Outdoor</v>
      </c>
      <c r="K1971" s="2" t="s">
        <v>1765</v>
      </c>
      <c r="L1971" s="2" t="str">
        <f>_xlfn.XLOOKUP(Sales_Details2[[#This Row],[Store_ID]],Table2[Store_ID],Table2[Region],"Region not found")</f>
        <v>West</v>
      </c>
      <c r="M1971" s="25">
        <v>1</v>
      </c>
      <c r="N1971" s="36">
        <v>91.38</v>
      </c>
      <c r="O1971" s="29">
        <v>0.14000000000000001</v>
      </c>
      <c r="P1971" s="2" t="s">
        <v>1807</v>
      </c>
      <c r="Q1971" s="36">
        <v>78.586799999999997</v>
      </c>
    </row>
    <row r="1972" spans="1:17" x14ac:dyDescent="0.3">
      <c r="A1972" s="2" t="s">
        <v>3779</v>
      </c>
      <c r="B1972" s="14">
        <v>45563</v>
      </c>
      <c r="C1972" s="2">
        <f>YEAR(Sales_Details2[[#This Row],[Order_Date]])</f>
        <v>2024</v>
      </c>
      <c r="D1972" s="2" t="s">
        <v>1470</v>
      </c>
      <c r="E1972" s="2" t="str">
        <f>VLOOKUP(Sales_Details2[[#This Row],[Customer_ID]],Customer_Details[#All],4,0)</f>
        <v>Mid-Adult</v>
      </c>
      <c r="F1972" s="2" t="str">
        <f>VLOOKUP(Sales_Details2[[#This Row],[Customer_ID]],Customer_Details[#All],5,0)</f>
        <v>Male</v>
      </c>
      <c r="G1972" s="2" t="str">
        <f>VLOOKUP(Sales_Details2[[#This Row],[Customer_ID]],Customer_Details[#All],9,0)</f>
        <v>Gold</v>
      </c>
      <c r="H1972" s="2" t="s">
        <v>1703</v>
      </c>
      <c r="I1972" s="2" t="str">
        <f>VLOOKUP(Sales_Details2[[#This Row],[Product_ID]],Product_details[[#All],[Product_ID]:[Cost]],3,0)</f>
        <v>Home</v>
      </c>
      <c r="J1972" s="2" t="str">
        <f>VLOOKUP(Sales_Details2[[#This Row],[Product_ID]],Product_details[[#All],[Product_ID]:[Cost]],4,0)</f>
        <v>Kitchen</v>
      </c>
      <c r="K1972" s="2" t="s">
        <v>1775</v>
      </c>
      <c r="L1972" s="2" t="str">
        <f>_xlfn.XLOOKUP(Sales_Details2[[#This Row],[Store_ID]],Table2[Store_ID],Table2[Region],"Region not found")</f>
        <v>South</v>
      </c>
      <c r="M1972" s="25">
        <v>2</v>
      </c>
      <c r="N1972" s="36">
        <v>494.35</v>
      </c>
      <c r="O1972" s="29">
        <v>0.1</v>
      </c>
      <c r="P1972" s="2" t="s">
        <v>1807</v>
      </c>
      <c r="Q1972" s="36">
        <v>889.83</v>
      </c>
    </row>
    <row r="1973" spans="1:17" x14ac:dyDescent="0.3">
      <c r="A1973" s="2" t="s">
        <v>3780</v>
      </c>
      <c r="B1973" s="14">
        <v>45577</v>
      </c>
      <c r="C1973" s="2">
        <f>YEAR(Sales_Details2[[#This Row],[Order_Date]])</f>
        <v>2024</v>
      </c>
      <c r="D1973" s="2" t="s">
        <v>808</v>
      </c>
      <c r="E1973" s="2" t="str">
        <f>VLOOKUP(Sales_Details2[[#This Row],[Customer_ID]],Customer_Details[#All],4,0)</f>
        <v>Adult</v>
      </c>
      <c r="F1973" s="2" t="str">
        <f>VLOOKUP(Sales_Details2[[#This Row],[Customer_ID]],Customer_Details[#All],5,0)</f>
        <v>Male</v>
      </c>
      <c r="G1973" s="2" t="str">
        <f>VLOOKUP(Sales_Details2[[#This Row],[Customer_ID]],Customer_Details[#All],9,0)</f>
        <v>Gold</v>
      </c>
      <c r="H1973" s="2" t="s">
        <v>1579</v>
      </c>
      <c r="I1973" s="2" t="str">
        <f>VLOOKUP(Sales_Details2[[#This Row],[Product_ID]],Product_details[[#All],[Product_ID]:[Cost]],3,0)</f>
        <v>Sports</v>
      </c>
      <c r="J1973" s="2" t="str">
        <f>VLOOKUP(Sales_Details2[[#This Row],[Product_ID]],Product_details[[#All],[Product_ID]:[Cost]],4,0)</f>
        <v>Outdoor</v>
      </c>
      <c r="K1973" s="2" t="s">
        <v>1772</v>
      </c>
      <c r="L1973" s="2" t="str">
        <f>_xlfn.XLOOKUP(Sales_Details2[[#This Row],[Store_ID]],Table2[Store_ID],Table2[Region],"Region not found")</f>
        <v>East</v>
      </c>
      <c r="M1973" s="25">
        <v>1</v>
      </c>
      <c r="N1973" s="36">
        <v>412.2</v>
      </c>
      <c r="O1973" s="29">
        <v>0.11</v>
      </c>
      <c r="P1973" s="2" t="s">
        <v>1807</v>
      </c>
      <c r="Q1973" s="36">
        <v>366.858</v>
      </c>
    </row>
    <row r="1974" spans="1:17" x14ac:dyDescent="0.3">
      <c r="A1974" s="2" t="s">
        <v>3781</v>
      </c>
      <c r="B1974" s="14">
        <v>45466</v>
      </c>
      <c r="C1974" s="2">
        <f>YEAR(Sales_Details2[[#This Row],[Order_Date]])</f>
        <v>2024</v>
      </c>
      <c r="D1974" s="2" t="s">
        <v>1216</v>
      </c>
      <c r="E1974" s="2" t="str">
        <f>VLOOKUP(Sales_Details2[[#This Row],[Customer_ID]],Customer_Details[#All],4,0)</f>
        <v>Mid-Adult</v>
      </c>
      <c r="F1974" s="2" t="str">
        <f>VLOOKUP(Sales_Details2[[#This Row],[Customer_ID]],Customer_Details[#All],5,0)</f>
        <v>Female</v>
      </c>
      <c r="G1974" s="2" t="str">
        <f>VLOOKUP(Sales_Details2[[#This Row],[Customer_ID]],Customer_Details[#All],9,0)</f>
        <v>Bronze</v>
      </c>
      <c r="H1974" s="2" t="s">
        <v>1689</v>
      </c>
      <c r="I1974" s="2" t="str">
        <f>VLOOKUP(Sales_Details2[[#This Row],[Product_ID]],Product_details[[#All],[Product_ID]:[Cost]],3,0)</f>
        <v>Home</v>
      </c>
      <c r="J1974" s="2" t="str">
        <f>VLOOKUP(Sales_Details2[[#This Row],[Product_ID]],Product_details[[#All],[Product_ID]:[Cost]],4,0)</f>
        <v>Lighting</v>
      </c>
      <c r="K1974" s="2" t="s">
        <v>1787</v>
      </c>
      <c r="L1974" s="2" t="str">
        <f>_xlfn.XLOOKUP(Sales_Details2[[#This Row],[Store_ID]],Table2[Store_ID],Table2[Region],"Region not found")</f>
        <v>West</v>
      </c>
      <c r="M1974" s="25">
        <v>1</v>
      </c>
      <c r="N1974" s="36">
        <v>650.47</v>
      </c>
      <c r="O1974" s="29">
        <v>0.13</v>
      </c>
      <c r="P1974" s="2" t="s">
        <v>1809</v>
      </c>
      <c r="Q1974" s="36">
        <v>565.90890000000002</v>
      </c>
    </row>
    <row r="1975" spans="1:17" x14ac:dyDescent="0.3">
      <c r="A1975" s="2" t="s">
        <v>3782</v>
      </c>
      <c r="B1975" s="14">
        <v>45256</v>
      </c>
      <c r="C1975" s="2">
        <f>YEAR(Sales_Details2[[#This Row],[Order_Date]])</f>
        <v>2023</v>
      </c>
      <c r="D1975" s="2" t="s">
        <v>515</v>
      </c>
      <c r="E1975" s="2" t="str">
        <f>VLOOKUP(Sales_Details2[[#This Row],[Customer_ID]],Customer_Details[#All],4,0)</f>
        <v>Senior</v>
      </c>
      <c r="F1975" s="2" t="str">
        <f>VLOOKUP(Sales_Details2[[#This Row],[Customer_ID]],Customer_Details[#All],5,0)</f>
        <v>Female</v>
      </c>
      <c r="G1975" s="2" t="str">
        <f>VLOOKUP(Sales_Details2[[#This Row],[Customer_ID]],Customer_Details[#All],9,0)</f>
        <v>Gold</v>
      </c>
      <c r="H1975" s="2" t="s">
        <v>1559</v>
      </c>
      <c r="I1975" s="2" t="str">
        <f>VLOOKUP(Sales_Details2[[#This Row],[Product_ID]],Product_details[[#All],[Product_ID]:[Cost]],3,0)</f>
        <v>Home</v>
      </c>
      <c r="J1975" s="2" t="str">
        <f>VLOOKUP(Sales_Details2[[#This Row],[Product_ID]],Product_details[[#All],[Product_ID]:[Cost]],4,0)</f>
        <v>Decor</v>
      </c>
      <c r="K1975" s="2" t="s">
        <v>1777</v>
      </c>
      <c r="L1975" s="2" t="str">
        <f>_xlfn.XLOOKUP(Sales_Details2[[#This Row],[Store_ID]],Table2[Store_ID],Table2[Region],"Region not found")</f>
        <v>North</v>
      </c>
      <c r="M1975" s="25">
        <v>1</v>
      </c>
      <c r="N1975" s="36">
        <v>68.209999999999994</v>
      </c>
      <c r="O1975" s="29">
        <v>0.05</v>
      </c>
      <c r="P1975" s="2" t="s">
        <v>1809</v>
      </c>
      <c r="Q1975" s="36">
        <v>64.799499999999995</v>
      </c>
    </row>
    <row r="1976" spans="1:17" x14ac:dyDescent="0.3">
      <c r="A1976" s="2" t="s">
        <v>3783</v>
      </c>
      <c r="B1976" s="14">
        <v>45886</v>
      </c>
      <c r="C1976" s="2">
        <f>YEAR(Sales_Details2[[#This Row],[Order_Date]])</f>
        <v>2025</v>
      </c>
      <c r="D1976" s="2" t="s">
        <v>456</v>
      </c>
      <c r="E1976" s="2" t="str">
        <f>VLOOKUP(Sales_Details2[[#This Row],[Customer_ID]],Customer_Details[#All],4,0)</f>
        <v>Mid-Adult</v>
      </c>
      <c r="F1976" s="2" t="str">
        <f>VLOOKUP(Sales_Details2[[#This Row],[Customer_ID]],Customer_Details[#All],5,0)</f>
        <v>Female</v>
      </c>
      <c r="G1976" s="2" t="str">
        <f>VLOOKUP(Sales_Details2[[#This Row],[Customer_ID]],Customer_Details[#All],9,0)</f>
        <v>Platinum</v>
      </c>
      <c r="H1976" s="2" t="s">
        <v>1637</v>
      </c>
      <c r="I1976" s="2" t="str">
        <f>VLOOKUP(Sales_Details2[[#This Row],[Product_ID]],Product_details[[#All],[Product_ID]:[Cost]],3,0)</f>
        <v>Clothing</v>
      </c>
      <c r="J1976" s="2" t="str">
        <f>VLOOKUP(Sales_Details2[[#This Row],[Product_ID]],Product_details[[#All],[Product_ID]:[Cost]],4,0)</f>
        <v>Bottoms</v>
      </c>
      <c r="K1976" s="2" t="s">
        <v>1762</v>
      </c>
      <c r="L1976" s="2" t="str">
        <f>_xlfn.XLOOKUP(Sales_Details2[[#This Row],[Store_ID]],Table2[Store_ID],Table2[Region],"Region not found")</f>
        <v>South</v>
      </c>
      <c r="M1976" s="25">
        <v>2</v>
      </c>
      <c r="N1976" s="36">
        <v>842.89</v>
      </c>
      <c r="O1976" s="29">
        <v>0.25</v>
      </c>
      <c r="P1976" s="2" t="s">
        <v>1812</v>
      </c>
      <c r="Q1976" s="36">
        <v>1264.335</v>
      </c>
    </row>
    <row r="1977" spans="1:17" x14ac:dyDescent="0.3">
      <c r="A1977" s="2" t="s">
        <v>3784</v>
      </c>
      <c r="B1977" s="14">
        <v>45390</v>
      </c>
      <c r="C1977" s="2">
        <f>YEAR(Sales_Details2[[#This Row],[Order_Date]])</f>
        <v>2024</v>
      </c>
      <c r="D1977" s="2" t="s">
        <v>939</v>
      </c>
      <c r="E1977" s="2" t="str">
        <f>VLOOKUP(Sales_Details2[[#This Row],[Customer_ID]],Customer_Details[#All],4,0)</f>
        <v>Adult</v>
      </c>
      <c r="F1977" s="2" t="str">
        <f>VLOOKUP(Sales_Details2[[#This Row],[Customer_ID]],Customer_Details[#All],5,0)</f>
        <v>Male</v>
      </c>
      <c r="G1977" s="2" t="str">
        <f>VLOOKUP(Sales_Details2[[#This Row],[Customer_ID]],Customer_Details[#All],9,0)</f>
        <v>Silver</v>
      </c>
      <c r="H1977" s="2" t="s">
        <v>1538</v>
      </c>
      <c r="I1977" s="2" t="str">
        <f>VLOOKUP(Sales_Details2[[#This Row],[Product_ID]],Product_details[[#All],[Product_ID]:[Cost]],3,0)</f>
        <v>Clothing</v>
      </c>
      <c r="J1977" s="2" t="str">
        <f>VLOOKUP(Sales_Details2[[#This Row],[Product_ID]],Product_details[[#All],[Product_ID]:[Cost]],4,0)</f>
        <v>Accessories</v>
      </c>
      <c r="K1977" s="2" t="s">
        <v>1752</v>
      </c>
      <c r="L1977" s="2" t="str">
        <f>_xlfn.XLOOKUP(Sales_Details2[[#This Row],[Store_ID]],Table2[Store_ID],Table2[Region],"Region not found")</f>
        <v>South</v>
      </c>
      <c r="M1977" s="25">
        <v>2</v>
      </c>
      <c r="N1977" s="36">
        <v>227.95</v>
      </c>
      <c r="O1977" s="29">
        <v>0.24</v>
      </c>
      <c r="P1977" s="2" t="s">
        <v>1812</v>
      </c>
      <c r="Q1977" s="36">
        <v>346.48399999999998</v>
      </c>
    </row>
    <row r="1978" spans="1:17" x14ac:dyDescent="0.3">
      <c r="A1978" s="2" t="s">
        <v>3785</v>
      </c>
      <c r="B1978" s="14">
        <v>45388</v>
      </c>
      <c r="C1978" s="2">
        <f>YEAR(Sales_Details2[[#This Row],[Order_Date]])</f>
        <v>2024</v>
      </c>
      <c r="D1978" s="2" t="s">
        <v>625</v>
      </c>
      <c r="E1978" s="2" t="str">
        <f>VLOOKUP(Sales_Details2[[#This Row],[Customer_ID]],Customer_Details[#All],4,0)</f>
        <v>Adult</v>
      </c>
      <c r="F1978" s="2" t="str">
        <f>VLOOKUP(Sales_Details2[[#This Row],[Customer_ID]],Customer_Details[#All],5,0)</f>
        <v>Male</v>
      </c>
      <c r="G1978" s="2" t="str">
        <f>VLOOKUP(Sales_Details2[[#This Row],[Customer_ID]],Customer_Details[#All],9,0)</f>
        <v>Gold</v>
      </c>
      <c r="H1978" s="2" t="s">
        <v>1663</v>
      </c>
      <c r="I1978" s="2" t="str">
        <f>VLOOKUP(Sales_Details2[[#This Row],[Product_ID]],Product_details[[#All],[Product_ID]:[Cost]],3,0)</f>
        <v>Beauty</v>
      </c>
      <c r="J1978" s="2" t="str">
        <f>VLOOKUP(Sales_Details2[[#This Row],[Product_ID]],Product_details[[#All],[Product_ID]:[Cost]],4,0)</f>
        <v>Haircare</v>
      </c>
      <c r="K1978" s="2" t="s">
        <v>1777</v>
      </c>
      <c r="L1978" s="2" t="str">
        <f>_xlfn.XLOOKUP(Sales_Details2[[#This Row],[Store_ID]],Table2[Store_ID],Table2[Region],"Region not found")</f>
        <v>North</v>
      </c>
      <c r="M1978" s="25">
        <v>3</v>
      </c>
      <c r="N1978" s="36">
        <v>685.97</v>
      </c>
      <c r="O1978" s="29">
        <v>0.24</v>
      </c>
      <c r="P1978" s="2" t="s">
        <v>1809</v>
      </c>
      <c r="Q1978" s="36">
        <v>1564.0116</v>
      </c>
    </row>
    <row r="1979" spans="1:17" x14ac:dyDescent="0.3">
      <c r="A1979" s="2" t="s">
        <v>3786</v>
      </c>
      <c r="B1979" s="14">
        <v>45793</v>
      </c>
      <c r="C1979" s="2">
        <f>YEAR(Sales_Details2[[#This Row],[Order_Date]])</f>
        <v>2025</v>
      </c>
      <c r="D1979" s="2" t="s">
        <v>1129</v>
      </c>
      <c r="E1979" s="2" t="str">
        <f>VLOOKUP(Sales_Details2[[#This Row],[Customer_ID]],Customer_Details[#All],4,0)</f>
        <v>Senior</v>
      </c>
      <c r="F1979" s="2" t="str">
        <f>VLOOKUP(Sales_Details2[[#This Row],[Customer_ID]],Customer_Details[#All],5,0)</f>
        <v>Female</v>
      </c>
      <c r="G1979" s="2" t="str">
        <f>VLOOKUP(Sales_Details2[[#This Row],[Customer_ID]],Customer_Details[#All],9,0)</f>
        <v>Platinum</v>
      </c>
      <c r="H1979" s="2" t="s">
        <v>1589</v>
      </c>
      <c r="I1979" s="2" t="str">
        <f>VLOOKUP(Sales_Details2[[#This Row],[Product_ID]],Product_details[[#All],[Product_ID]:[Cost]],3,0)</f>
        <v>Home</v>
      </c>
      <c r="J1979" s="2" t="str">
        <f>VLOOKUP(Sales_Details2[[#This Row],[Product_ID]],Product_details[[#All],[Product_ID]:[Cost]],4,0)</f>
        <v>Decor</v>
      </c>
      <c r="K1979" s="2" t="s">
        <v>1744</v>
      </c>
      <c r="L1979" s="2" t="str">
        <f>_xlfn.XLOOKUP(Sales_Details2[[#This Row],[Store_ID]],Table2[Store_ID],Table2[Region],"Region not found")</f>
        <v>South</v>
      </c>
      <c r="M1979" s="25">
        <v>1</v>
      </c>
      <c r="N1979" s="36">
        <v>722.57</v>
      </c>
      <c r="O1979" s="29">
        <v>0.18</v>
      </c>
      <c r="P1979" s="2" t="s">
        <v>1807</v>
      </c>
      <c r="Q1979" s="36">
        <v>592.50740000000008</v>
      </c>
    </row>
    <row r="1980" spans="1:17" x14ac:dyDescent="0.3">
      <c r="A1980" s="2" t="s">
        <v>3787</v>
      </c>
      <c r="B1980" s="14">
        <v>45615</v>
      </c>
      <c r="C1980" s="2">
        <f>YEAR(Sales_Details2[[#This Row],[Order_Date]])</f>
        <v>2024</v>
      </c>
      <c r="D1980" s="2" t="s">
        <v>470</v>
      </c>
      <c r="E1980" s="2" t="str">
        <f>VLOOKUP(Sales_Details2[[#This Row],[Customer_ID]],Customer_Details[#All],4,0)</f>
        <v>Senior</v>
      </c>
      <c r="F1980" s="2" t="str">
        <f>VLOOKUP(Sales_Details2[[#This Row],[Customer_ID]],Customer_Details[#All],5,0)</f>
        <v>Female</v>
      </c>
      <c r="G1980" s="2" t="str">
        <f>VLOOKUP(Sales_Details2[[#This Row],[Customer_ID]],Customer_Details[#All],9,0)</f>
        <v>Gold</v>
      </c>
      <c r="H1980" s="2" t="s">
        <v>1601</v>
      </c>
      <c r="I1980" s="2" t="str">
        <f>VLOOKUP(Sales_Details2[[#This Row],[Product_ID]],Product_details[[#All],[Product_ID]:[Cost]],3,0)</f>
        <v>Home</v>
      </c>
      <c r="J1980" s="2" t="str">
        <f>VLOOKUP(Sales_Details2[[#This Row],[Product_ID]],Product_details[[#All],[Product_ID]:[Cost]],4,0)</f>
        <v>Lighting</v>
      </c>
      <c r="K1980" s="2" t="s">
        <v>1756</v>
      </c>
      <c r="L1980" s="2" t="str">
        <f>_xlfn.XLOOKUP(Sales_Details2[[#This Row],[Store_ID]],Table2[Store_ID],Table2[Region],"Region not found")</f>
        <v>North</v>
      </c>
      <c r="M1980" s="25">
        <v>3</v>
      </c>
      <c r="N1980" s="36">
        <v>585.54999999999995</v>
      </c>
      <c r="O1980" s="29">
        <v>0.14000000000000001</v>
      </c>
      <c r="P1980" s="2" t="s">
        <v>1812</v>
      </c>
      <c r="Q1980" s="36">
        <v>1510.7190000000001</v>
      </c>
    </row>
    <row r="1981" spans="1:17" x14ac:dyDescent="0.3">
      <c r="A1981" s="2" t="s">
        <v>3788</v>
      </c>
      <c r="B1981" s="14">
        <v>45666</v>
      </c>
      <c r="C1981" s="2">
        <f>YEAR(Sales_Details2[[#This Row],[Order_Date]])</f>
        <v>2025</v>
      </c>
      <c r="D1981" s="2" t="s">
        <v>965</v>
      </c>
      <c r="E1981" s="2" t="str">
        <f>VLOOKUP(Sales_Details2[[#This Row],[Customer_ID]],Customer_Details[#All],4,0)</f>
        <v>Mid-Adult</v>
      </c>
      <c r="F1981" s="2" t="str">
        <f>VLOOKUP(Sales_Details2[[#This Row],[Customer_ID]],Customer_Details[#All],5,0)</f>
        <v>Female</v>
      </c>
      <c r="G1981" s="2" t="str">
        <f>VLOOKUP(Sales_Details2[[#This Row],[Customer_ID]],Customer_Details[#All],9,0)</f>
        <v>Bronze</v>
      </c>
      <c r="H1981" s="2" t="s">
        <v>1623</v>
      </c>
      <c r="I1981" s="2" t="str">
        <f>VLOOKUP(Sales_Details2[[#This Row],[Product_ID]],Product_details[[#All],[Product_ID]:[Cost]],3,0)</f>
        <v>Clothing</v>
      </c>
      <c r="J1981" s="2" t="str">
        <f>VLOOKUP(Sales_Details2[[#This Row],[Product_ID]],Product_details[[#All],[Product_ID]:[Cost]],4,0)</f>
        <v>Outerwear</v>
      </c>
      <c r="K1981" s="2" t="s">
        <v>1780</v>
      </c>
      <c r="L1981" s="2" t="str">
        <f>_xlfn.XLOOKUP(Sales_Details2[[#This Row],[Store_ID]],Table2[Store_ID],Table2[Region],"Region not found")</f>
        <v>East</v>
      </c>
      <c r="M1981" s="25">
        <v>2</v>
      </c>
      <c r="N1981" s="36">
        <v>635.80999999999995</v>
      </c>
      <c r="O1981" s="29">
        <v>0.13</v>
      </c>
      <c r="P1981" s="2" t="s">
        <v>1809</v>
      </c>
      <c r="Q1981" s="36">
        <v>1106.3094000000001</v>
      </c>
    </row>
    <row r="1982" spans="1:17" x14ac:dyDescent="0.3">
      <c r="A1982" s="2" t="s">
        <v>3789</v>
      </c>
      <c r="B1982" s="14">
        <v>45644</v>
      </c>
      <c r="C1982" s="2">
        <f>YEAR(Sales_Details2[[#This Row],[Order_Date]])</f>
        <v>2024</v>
      </c>
      <c r="D1982" s="2" t="s">
        <v>873</v>
      </c>
      <c r="E1982" s="2" t="str">
        <f>VLOOKUP(Sales_Details2[[#This Row],[Customer_ID]],Customer_Details[#All],4,0)</f>
        <v>Adult</v>
      </c>
      <c r="F1982" s="2" t="str">
        <f>VLOOKUP(Sales_Details2[[#This Row],[Customer_ID]],Customer_Details[#All],5,0)</f>
        <v>Female</v>
      </c>
      <c r="G1982" s="2" t="str">
        <f>VLOOKUP(Sales_Details2[[#This Row],[Customer_ID]],Customer_Details[#All],9,0)</f>
        <v>Platinum</v>
      </c>
      <c r="H1982" s="2" t="s">
        <v>1559</v>
      </c>
      <c r="I1982" s="2" t="str">
        <f>VLOOKUP(Sales_Details2[[#This Row],[Product_ID]],Product_details[[#All],[Product_ID]:[Cost]],3,0)</f>
        <v>Home</v>
      </c>
      <c r="J1982" s="2" t="str">
        <f>VLOOKUP(Sales_Details2[[#This Row],[Product_ID]],Product_details[[#All],[Product_ID]:[Cost]],4,0)</f>
        <v>Decor</v>
      </c>
      <c r="K1982" s="2" t="s">
        <v>1752</v>
      </c>
      <c r="L1982" s="2" t="str">
        <f>_xlfn.XLOOKUP(Sales_Details2[[#This Row],[Store_ID]],Table2[Store_ID],Table2[Region],"Region not found")</f>
        <v>South</v>
      </c>
      <c r="M1982" s="25">
        <v>2</v>
      </c>
      <c r="N1982" s="36">
        <v>353.74</v>
      </c>
      <c r="O1982" s="29">
        <v>0.01</v>
      </c>
      <c r="P1982" s="2" t="s">
        <v>1807</v>
      </c>
      <c r="Q1982" s="36">
        <v>700.40520000000004</v>
      </c>
    </row>
    <row r="1983" spans="1:17" x14ac:dyDescent="0.3">
      <c r="A1983" s="2" t="s">
        <v>3790</v>
      </c>
      <c r="B1983" s="14">
        <v>45648</v>
      </c>
      <c r="C1983" s="2">
        <f>YEAR(Sales_Details2[[#This Row],[Order_Date]])</f>
        <v>2024</v>
      </c>
      <c r="D1983" s="2" t="s">
        <v>835</v>
      </c>
      <c r="E1983" s="2" t="str">
        <f>VLOOKUP(Sales_Details2[[#This Row],[Customer_ID]],Customer_Details[#All],4,0)</f>
        <v>Adult</v>
      </c>
      <c r="F1983" s="2" t="str">
        <f>VLOOKUP(Sales_Details2[[#This Row],[Customer_ID]],Customer_Details[#All],5,0)</f>
        <v>Male</v>
      </c>
      <c r="G1983" s="2" t="str">
        <f>VLOOKUP(Sales_Details2[[#This Row],[Customer_ID]],Customer_Details[#All],9,0)</f>
        <v>Gold</v>
      </c>
      <c r="H1983" s="2" t="s">
        <v>1603</v>
      </c>
      <c r="I1983" s="2" t="str">
        <f>VLOOKUP(Sales_Details2[[#This Row],[Product_ID]],Product_details[[#All],[Product_ID]:[Cost]],3,0)</f>
        <v>Clothing</v>
      </c>
      <c r="J1983" s="2" t="str">
        <f>VLOOKUP(Sales_Details2[[#This Row],[Product_ID]],Product_details[[#All],[Product_ID]:[Cost]],4,0)</f>
        <v>Tops</v>
      </c>
      <c r="K1983" s="2" t="s">
        <v>1762</v>
      </c>
      <c r="L1983" s="2" t="str">
        <f>_xlfn.XLOOKUP(Sales_Details2[[#This Row],[Store_ID]],Table2[Store_ID],Table2[Region],"Region not found")</f>
        <v>South</v>
      </c>
      <c r="M1983" s="25">
        <v>1</v>
      </c>
      <c r="N1983" s="36">
        <v>377.52</v>
      </c>
      <c r="O1983" s="29">
        <v>0.15</v>
      </c>
      <c r="P1983" s="2" t="s">
        <v>1807</v>
      </c>
      <c r="Q1983" s="36">
        <v>320.892</v>
      </c>
    </row>
    <row r="1984" spans="1:17" x14ac:dyDescent="0.3">
      <c r="A1984" s="2" t="s">
        <v>3791</v>
      </c>
      <c r="B1984" s="14">
        <v>45500</v>
      </c>
      <c r="C1984" s="2">
        <f>YEAR(Sales_Details2[[#This Row],[Order_Date]])</f>
        <v>2024</v>
      </c>
      <c r="D1984" s="2" t="s">
        <v>663</v>
      </c>
      <c r="E1984" s="2" t="str">
        <f>VLOOKUP(Sales_Details2[[#This Row],[Customer_ID]],Customer_Details[#All],4,0)</f>
        <v>Mid-Adult</v>
      </c>
      <c r="F1984" s="2" t="str">
        <f>VLOOKUP(Sales_Details2[[#This Row],[Customer_ID]],Customer_Details[#All],5,0)</f>
        <v>Female</v>
      </c>
      <c r="G1984" s="2" t="str">
        <f>VLOOKUP(Sales_Details2[[#This Row],[Customer_ID]],Customer_Details[#All],9,0)</f>
        <v>Gold</v>
      </c>
      <c r="H1984" s="2" t="s">
        <v>1667</v>
      </c>
      <c r="I1984" s="2" t="str">
        <f>VLOOKUP(Sales_Details2[[#This Row],[Product_ID]],Product_details[[#All],[Product_ID]:[Cost]],3,0)</f>
        <v>Home</v>
      </c>
      <c r="J1984" s="2" t="str">
        <f>VLOOKUP(Sales_Details2[[#This Row],[Product_ID]],Product_details[[#All],[Product_ID]:[Cost]],4,0)</f>
        <v>Furniture</v>
      </c>
      <c r="K1984" s="2" t="s">
        <v>1744</v>
      </c>
      <c r="L1984" s="2" t="str">
        <f>_xlfn.XLOOKUP(Sales_Details2[[#This Row],[Store_ID]],Table2[Store_ID],Table2[Region],"Region not found")</f>
        <v>South</v>
      </c>
      <c r="M1984" s="25">
        <v>3</v>
      </c>
      <c r="N1984" s="36">
        <v>901.49</v>
      </c>
      <c r="O1984" s="29">
        <v>0</v>
      </c>
      <c r="P1984" s="2" t="s">
        <v>1807</v>
      </c>
      <c r="Q1984" s="36">
        <v>2704.47</v>
      </c>
    </row>
    <row r="1985" spans="1:17" x14ac:dyDescent="0.3">
      <c r="A1985" s="2" t="s">
        <v>3792</v>
      </c>
      <c r="B1985" s="14">
        <v>45806</v>
      </c>
      <c r="C1985" s="2">
        <f>YEAR(Sales_Details2[[#This Row],[Order_Date]])</f>
        <v>2025</v>
      </c>
      <c r="D1985" s="2" t="s">
        <v>648</v>
      </c>
      <c r="E1985" s="2" t="str">
        <f>VLOOKUP(Sales_Details2[[#This Row],[Customer_ID]],Customer_Details[#All],4,0)</f>
        <v>Adult</v>
      </c>
      <c r="F1985" s="2" t="str">
        <f>VLOOKUP(Sales_Details2[[#This Row],[Customer_ID]],Customer_Details[#All],5,0)</f>
        <v>Male</v>
      </c>
      <c r="G1985" s="2" t="str">
        <f>VLOOKUP(Sales_Details2[[#This Row],[Customer_ID]],Customer_Details[#All],9,0)</f>
        <v>Platinum</v>
      </c>
      <c r="H1985" s="2" t="s">
        <v>1591</v>
      </c>
      <c r="I1985" s="2" t="str">
        <f>VLOOKUP(Sales_Details2[[#This Row],[Product_ID]],Product_details[[#All],[Product_ID]:[Cost]],3,0)</f>
        <v>Home</v>
      </c>
      <c r="J1985" s="2" t="str">
        <f>VLOOKUP(Sales_Details2[[#This Row],[Product_ID]],Product_details[[#All],[Product_ID]:[Cost]],4,0)</f>
        <v>Kitchen</v>
      </c>
      <c r="K1985" s="2" t="s">
        <v>1756</v>
      </c>
      <c r="L1985" s="2" t="str">
        <f>_xlfn.XLOOKUP(Sales_Details2[[#This Row],[Store_ID]],Table2[Store_ID],Table2[Region],"Region not found")</f>
        <v>North</v>
      </c>
      <c r="M1985" s="25">
        <v>1</v>
      </c>
      <c r="N1985" s="36">
        <v>563.01</v>
      </c>
      <c r="O1985" s="29">
        <v>0.1</v>
      </c>
      <c r="P1985" s="2" t="s">
        <v>1807</v>
      </c>
      <c r="Q1985" s="36">
        <v>506.709</v>
      </c>
    </row>
    <row r="1986" spans="1:17" x14ac:dyDescent="0.3">
      <c r="A1986" s="2" t="s">
        <v>3793</v>
      </c>
      <c r="B1986" s="14">
        <v>45365</v>
      </c>
      <c r="C1986" s="2">
        <f>YEAR(Sales_Details2[[#This Row],[Order_Date]])</f>
        <v>2024</v>
      </c>
      <c r="D1986" s="2" t="s">
        <v>195</v>
      </c>
      <c r="E1986" s="2" t="str">
        <f>VLOOKUP(Sales_Details2[[#This Row],[Customer_ID]],Customer_Details[#All],4,0)</f>
        <v>Senior</v>
      </c>
      <c r="F1986" s="2" t="str">
        <f>VLOOKUP(Sales_Details2[[#This Row],[Customer_ID]],Customer_Details[#All],5,0)</f>
        <v>Male</v>
      </c>
      <c r="G1986" s="2" t="str">
        <f>VLOOKUP(Sales_Details2[[#This Row],[Customer_ID]],Customer_Details[#All],9,0)</f>
        <v>Bronze</v>
      </c>
      <c r="H1986" s="2" t="s">
        <v>1671</v>
      </c>
      <c r="I1986" s="2" t="str">
        <f>VLOOKUP(Sales_Details2[[#This Row],[Product_ID]],Product_details[[#All],[Product_ID]:[Cost]],3,0)</f>
        <v>Home</v>
      </c>
      <c r="J1986" s="2" t="str">
        <f>VLOOKUP(Sales_Details2[[#This Row],[Product_ID]],Product_details[[#All],[Product_ID]:[Cost]],4,0)</f>
        <v>Storage</v>
      </c>
      <c r="K1986" s="2" t="s">
        <v>1759</v>
      </c>
      <c r="L1986" s="2" t="str">
        <f>_xlfn.XLOOKUP(Sales_Details2[[#This Row],[Store_ID]],Table2[Store_ID],Table2[Region],"Region not found")</f>
        <v>East</v>
      </c>
      <c r="M1986" s="25">
        <v>4</v>
      </c>
      <c r="N1986" s="36">
        <v>167.25</v>
      </c>
      <c r="O1986" s="29">
        <v>0.11</v>
      </c>
      <c r="P1986" s="2" t="s">
        <v>1807</v>
      </c>
      <c r="Q1986" s="36">
        <v>595.41</v>
      </c>
    </row>
    <row r="1987" spans="1:17" x14ac:dyDescent="0.3">
      <c r="A1987" s="2" t="s">
        <v>3794</v>
      </c>
      <c r="B1987" s="14">
        <v>45229</v>
      </c>
      <c r="C1987" s="2">
        <f>YEAR(Sales_Details2[[#This Row],[Order_Date]])</f>
        <v>2023</v>
      </c>
      <c r="D1987" s="2" t="s">
        <v>1387</v>
      </c>
      <c r="E1987" s="2" t="str">
        <f>VLOOKUP(Sales_Details2[[#This Row],[Customer_ID]],Customer_Details[#All],4,0)</f>
        <v>Senior</v>
      </c>
      <c r="F1987" s="2" t="str">
        <f>VLOOKUP(Sales_Details2[[#This Row],[Customer_ID]],Customer_Details[#All],5,0)</f>
        <v>Male</v>
      </c>
      <c r="G1987" s="2" t="str">
        <f>VLOOKUP(Sales_Details2[[#This Row],[Customer_ID]],Customer_Details[#All],9,0)</f>
        <v>Gold</v>
      </c>
      <c r="H1987" s="2" t="s">
        <v>1651</v>
      </c>
      <c r="I1987" s="2" t="str">
        <f>VLOOKUP(Sales_Details2[[#This Row],[Product_ID]],Product_details[[#All],[Product_ID]:[Cost]],3,0)</f>
        <v>Beauty</v>
      </c>
      <c r="J1987" s="2" t="str">
        <f>VLOOKUP(Sales_Details2[[#This Row],[Product_ID]],Product_details[[#All],[Product_ID]:[Cost]],4,0)</f>
        <v>Fragrance</v>
      </c>
      <c r="K1987" s="2" t="s">
        <v>1793</v>
      </c>
      <c r="L1987" s="2" t="str">
        <f>_xlfn.XLOOKUP(Sales_Details2[[#This Row],[Store_ID]],Table2[Store_ID],Table2[Region],"Region not found")</f>
        <v>East</v>
      </c>
      <c r="M1987" s="25">
        <v>3</v>
      </c>
      <c r="N1987" s="36">
        <v>345.43</v>
      </c>
      <c r="O1987" s="29">
        <v>0.08</v>
      </c>
      <c r="P1987" s="2" t="s">
        <v>1812</v>
      </c>
      <c r="Q1987" s="36">
        <v>953.38679999999999</v>
      </c>
    </row>
    <row r="1988" spans="1:17" x14ac:dyDescent="0.3">
      <c r="A1988" s="2" t="s">
        <v>3795</v>
      </c>
      <c r="B1988" s="14">
        <v>45349</v>
      </c>
      <c r="C1988" s="2">
        <f>YEAR(Sales_Details2[[#This Row],[Order_Date]])</f>
        <v>2024</v>
      </c>
      <c r="D1988" s="2" t="s">
        <v>962</v>
      </c>
      <c r="E1988" s="2" t="str">
        <f>VLOOKUP(Sales_Details2[[#This Row],[Customer_ID]],Customer_Details[#All],4,0)</f>
        <v>Senior</v>
      </c>
      <c r="F1988" s="2" t="str">
        <f>VLOOKUP(Sales_Details2[[#This Row],[Customer_ID]],Customer_Details[#All],5,0)</f>
        <v>Female</v>
      </c>
      <c r="G1988" s="2" t="str">
        <f>VLOOKUP(Sales_Details2[[#This Row],[Customer_ID]],Customer_Details[#All],9,0)</f>
        <v>Gold</v>
      </c>
      <c r="H1988" s="2" t="s">
        <v>1695</v>
      </c>
      <c r="I1988" s="2" t="str">
        <f>VLOOKUP(Sales_Details2[[#This Row],[Product_ID]],Product_details[[#All],[Product_ID]:[Cost]],3,0)</f>
        <v>Sports</v>
      </c>
      <c r="J1988" s="2" t="str">
        <f>VLOOKUP(Sales_Details2[[#This Row],[Product_ID]],Product_details[[#All],[Product_ID]:[Cost]],4,0)</f>
        <v>Fitness</v>
      </c>
      <c r="K1988" s="2" t="s">
        <v>1769</v>
      </c>
      <c r="L1988" s="2" t="str">
        <f>_xlfn.XLOOKUP(Sales_Details2[[#This Row],[Store_ID]],Table2[Store_ID],Table2[Region],"Region not found")</f>
        <v>South</v>
      </c>
      <c r="M1988" s="25">
        <v>4</v>
      </c>
      <c r="N1988" s="36">
        <v>752.48</v>
      </c>
      <c r="O1988" s="29">
        <v>0.23</v>
      </c>
      <c r="P1988" s="2" t="s">
        <v>1807</v>
      </c>
      <c r="Q1988" s="36">
        <v>2317.6383999999998</v>
      </c>
    </row>
    <row r="1989" spans="1:17" x14ac:dyDescent="0.3">
      <c r="A1989" s="2" t="s">
        <v>3796</v>
      </c>
      <c r="B1989" s="14">
        <v>45886</v>
      </c>
      <c r="C1989" s="2">
        <f>YEAR(Sales_Details2[[#This Row],[Order_Date]])</f>
        <v>2025</v>
      </c>
      <c r="D1989" s="2" t="s">
        <v>1373</v>
      </c>
      <c r="E1989" s="2" t="str">
        <f>VLOOKUP(Sales_Details2[[#This Row],[Customer_ID]],Customer_Details[#All],4,0)</f>
        <v>Adult</v>
      </c>
      <c r="F1989" s="2" t="str">
        <f>VLOOKUP(Sales_Details2[[#This Row],[Customer_ID]],Customer_Details[#All],5,0)</f>
        <v>Male</v>
      </c>
      <c r="G1989" s="2" t="str">
        <f>VLOOKUP(Sales_Details2[[#This Row],[Customer_ID]],Customer_Details[#All],9,0)</f>
        <v>Bronze</v>
      </c>
      <c r="H1989" s="2" t="s">
        <v>1645</v>
      </c>
      <c r="I1989" s="2" t="str">
        <f>VLOOKUP(Sales_Details2[[#This Row],[Product_ID]],Product_details[[#All],[Product_ID]:[Cost]],3,0)</f>
        <v>Sports</v>
      </c>
      <c r="J1989" s="2" t="str">
        <f>VLOOKUP(Sales_Details2[[#This Row],[Product_ID]],Product_details[[#All],[Product_ID]:[Cost]],4,0)</f>
        <v>Fitness</v>
      </c>
      <c r="K1989" s="2" t="s">
        <v>1796</v>
      </c>
      <c r="L1989" s="2" t="str">
        <f>_xlfn.XLOOKUP(Sales_Details2[[#This Row],[Store_ID]],Table2[Store_ID],Table2[Region],"Region not found")</f>
        <v>East</v>
      </c>
      <c r="M1989" s="25">
        <v>1</v>
      </c>
      <c r="N1989" s="36">
        <v>120.02</v>
      </c>
      <c r="O1989" s="29">
        <v>0.26</v>
      </c>
      <c r="P1989" s="2" t="s">
        <v>1807</v>
      </c>
      <c r="Q1989" s="36">
        <v>88.814799999999991</v>
      </c>
    </row>
    <row r="1990" spans="1:17" x14ac:dyDescent="0.3">
      <c r="A1990" s="2" t="s">
        <v>3797</v>
      </c>
      <c r="B1990" s="14">
        <v>45359</v>
      </c>
      <c r="C1990" s="2">
        <f>YEAR(Sales_Details2[[#This Row],[Order_Date]])</f>
        <v>2024</v>
      </c>
      <c r="D1990" s="2" t="s">
        <v>1007</v>
      </c>
      <c r="E1990" s="2" t="str">
        <f>VLOOKUP(Sales_Details2[[#This Row],[Customer_ID]],Customer_Details[#All],4,0)</f>
        <v>Senior</v>
      </c>
      <c r="F1990" s="2" t="str">
        <f>VLOOKUP(Sales_Details2[[#This Row],[Customer_ID]],Customer_Details[#All],5,0)</f>
        <v>Female</v>
      </c>
      <c r="G1990" s="2" t="str">
        <f>VLOOKUP(Sales_Details2[[#This Row],[Customer_ID]],Customer_Details[#All],9,0)</f>
        <v>Platinum</v>
      </c>
      <c r="H1990" s="2" t="s">
        <v>1613</v>
      </c>
      <c r="I1990" s="2" t="str">
        <f>VLOOKUP(Sales_Details2[[#This Row],[Product_ID]],Product_details[[#All],[Product_ID]:[Cost]],3,0)</f>
        <v>Sports</v>
      </c>
      <c r="J1990" s="2" t="str">
        <f>VLOOKUP(Sales_Details2[[#This Row],[Product_ID]],Product_details[[#All],[Product_ID]:[Cost]],4,0)</f>
        <v>Fitness</v>
      </c>
      <c r="K1990" s="2" t="s">
        <v>1765</v>
      </c>
      <c r="L1990" s="2" t="str">
        <f>_xlfn.XLOOKUP(Sales_Details2[[#This Row],[Store_ID]],Table2[Store_ID],Table2[Region],"Region not found")</f>
        <v>West</v>
      </c>
      <c r="M1990" s="25">
        <v>3</v>
      </c>
      <c r="N1990" s="36">
        <v>146.71</v>
      </c>
      <c r="O1990" s="29">
        <v>0.28000000000000003</v>
      </c>
      <c r="P1990" s="2" t="s">
        <v>1807</v>
      </c>
      <c r="Q1990" s="36">
        <v>316.89359999999999</v>
      </c>
    </row>
    <row r="1991" spans="1:17" x14ac:dyDescent="0.3">
      <c r="A1991" s="2" t="s">
        <v>3798</v>
      </c>
      <c r="B1991" s="14">
        <v>45730</v>
      </c>
      <c r="C1991" s="2">
        <f>YEAR(Sales_Details2[[#This Row],[Order_Date]])</f>
        <v>2025</v>
      </c>
      <c r="D1991" s="2" t="s">
        <v>295</v>
      </c>
      <c r="E1991" s="2" t="str">
        <f>VLOOKUP(Sales_Details2[[#This Row],[Customer_ID]],Customer_Details[#All],4,0)</f>
        <v>Senior</v>
      </c>
      <c r="F1991" s="2" t="str">
        <f>VLOOKUP(Sales_Details2[[#This Row],[Customer_ID]],Customer_Details[#All],5,0)</f>
        <v>Male</v>
      </c>
      <c r="G1991" s="2" t="str">
        <f>VLOOKUP(Sales_Details2[[#This Row],[Customer_ID]],Customer_Details[#All],9,0)</f>
        <v>Bronze</v>
      </c>
      <c r="H1991" s="2" t="s">
        <v>1659</v>
      </c>
      <c r="I1991" s="2" t="str">
        <f>VLOOKUP(Sales_Details2[[#This Row],[Product_ID]],Product_details[[#All],[Product_ID]:[Cost]],3,0)</f>
        <v>Beauty</v>
      </c>
      <c r="J1991" s="2" t="str">
        <f>VLOOKUP(Sales_Details2[[#This Row],[Product_ID]],Product_details[[#All],[Product_ID]:[Cost]],4,0)</f>
        <v>Makeup</v>
      </c>
      <c r="K1991" s="2" t="s">
        <v>1735</v>
      </c>
      <c r="L1991" s="2" t="str">
        <f>_xlfn.XLOOKUP(Sales_Details2[[#This Row],[Store_ID]],Table2[Store_ID],Table2[Region],"Region not found")</f>
        <v>East</v>
      </c>
      <c r="M1991" s="25">
        <v>2</v>
      </c>
      <c r="N1991" s="36">
        <v>358.87</v>
      </c>
      <c r="O1991" s="29">
        <v>0.24</v>
      </c>
      <c r="P1991" s="2" t="s">
        <v>1807</v>
      </c>
      <c r="Q1991" s="36">
        <v>545.48239999999998</v>
      </c>
    </row>
    <row r="1992" spans="1:17" x14ac:dyDescent="0.3">
      <c r="A1992" s="2" t="s">
        <v>3799</v>
      </c>
      <c r="B1992" s="14">
        <v>45456</v>
      </c>
      <c r="C1992" s="2">
        <f>YEAR(Sales_Details2[[#This Row],[Order_Date]])</f>
        <v>2024</v>
      </c>
      <c r="D1992" s="2" t="s">
        <v>767</v>
      </c>
      <c r="E1992" s="2" t="str">
        <f>VLOOKUP(Sales_Details2[[#This Row],[Customer_ID]],Customer_Details[#All],4,0)</f>
        <v>Mid-Adult</v>
      </c>
      <c r="F1992" s="2" t="str">
        <f>VLOOKUP(Sales_Details2[[#This Row],[Customer_ID]],Customer_Details[#All],5,0)</f>
        <v>Male</v>
      </c>
      <c r="G1992" s="2" t="str">
        <f>VLOOKUP(Sales_Details2[[#This Row],[Customer_ID]],Customer_Details[#All],9,0)</f>
        <v>Platinum</v>
      </c>
      <c r="H1992" s="2" t="s">
        <v>1635</v>
      </c>
      <c r="I1992" s="2" t="str">
        <f>VLOOKUP(Sales_Details2[[#This Row],[Product_ID]],Product_details[[#All],[Product_ID]:[Cost]],3,0)</f>
        <v>Sports</v>
      </c>
      <c r="J1992" s="2" t="str">
        <f>VLOOKUP(Sales_Details2[[#This Row],[Product_ID]],Product_details[[#All],[Product_ID]:[Cost]],4,0)</f>
        <v>Team Sports</v>
      </c>
      <c r="K1992" s="2" t="s">
        <v>1749</v>
      </c>
      <c r="L1992" s="2" t="str">
        <f>_xlfn.XLOOKUP(Sales_Details2[[#This Row],[Store_ID]],Table2[Store_ID],Table2[Region],"Region not found")</f>
        <v>North</v>
      </c>
      <c r="M1992" s="25">
        <v>4</v>
      </c>
      <c r="N1992" s="36">
        <v>212.75</v>
      </c>
      <c r="O1992" s="29">
        <v>0.11</v>
      </c>
      <c r="P1992" s="2" t="s">
        <v>1812</v>
      </c>
      <c r="Q1992" s="36">
        <v>757.39</v>
      </c>
    </row>
    <row r="1993" spans="1:17" x14ac:dyDescent="0.3">
      <c r="A1993" s="2" t="s">
        <v>3800</v>
      </c>
      <c r="B1993" s="14">
        <v>45450</v>
      </c>
      <c r="C1993" s="2">
        <f>YEAR(Sales_Details2[[#This Row],[Order_Date]])</f>
        <v>2024</v>
      </c>
      <c r="D1993" s="2" t="s">
        <v>1018</v>
      </c>
      <c r="E1993" s="2" t="str">
        <f>VLOOKUP(Sales_Details2[[#This Row],[Customer_ID]],Customer_Details[#All],4,0)</f>
        <v>Senior</v>
      </c>
      <c r="F1993" s="2" t="str">
        <f>VLOOKUP(Sales_Details2[[#This Row],[Customer_ID]],Customer_Details[#All],5,0)</f>
        <v>Female</v>
      </c>
      <c r="G1993" s="2" t="str">
        <f>VLOOKUP(Sales_Details2[[#This Row],[Customer_ID]],Customer_Details[#All],9,0)</f>
        <v>Bronze</v>
      </c>
      <c r="H1993" s="2" t="s">
        <v>1621</v>
      </c>
      <c r="I1993" s="2" t="str">
        <f>VLOOKUP(Sales_Details2[[#This Row],[Product_ID]],Product_details[[#All],[Product_ID]:[Cost]],3,0)</f>
        <v>Sports</v>
      </c>
      <c r="J1993" s="2" t="str">
        <f>VLOOKUP(Sales_Details2[[#This Row],[Product_ID]],Product_details[[#All],[Product_ID]:[Cost]],4,0)</f>
        <v>Team Sports</v>
      </c>
      <c r="K1993" s="2" t="s">
        <v>1775</v>
      </c>
      <c r="L1993" s="2" t="str">
        <f>_xlfn.XLOOKUP(Sales_Details2[[#This Row],[Store_ID]],Table2[Store_ID],Table2[Region],"Region not found")</f>
        <v>South</v>
      </c>
      <c r="M1993" s="25">
        <v>1</v>
      </c>
      <c r="N1993" s="36">
        <v>183.47</v>
      </c>
      <c r="O1993" s="29">
        <v>0.17</v>
      </c>
      <c r="P1993" s="2" t="s">
        <v>1809</v>
      </c>
      <c r="Q1993" s="36">
        <v>152.2801</v>
      </c>
    </row>
    <row r="1994" spans="1:17" x14ac:dyDescent="0.3">
      <c r="A1994" s="2" t="s">
        <v>3801</v>
      </c>
      <c r="B1994" s="14">
        <v>45493</v>
      </c>
      <c r="C1994" s="2">
        <f>YEAR(Sales_Details2[[#This Row],[Order_Date]])</f>
        <v>2024</v>
      </c>
      <c r="D1994" s="2" t="s">
        <v>248</v>
      </c>
      <c r="E1994" s="2" t="str">
        <f>VLOOKUP(Sales_Details2[[#This Row],[Customer_ID]],Customer_Details[#All],4,0)</f>
        <v>Adult</v>
      </c>
      <c r="F1994" s="2" t="str">
        <f>VLOOKUP(Sales_Details2[[#This Row],[Customer_ID]],Customer_Details[#All],5,0)</f>
        <v>Female</v>
      </c>
      <c r="G1994" s="2" t="str">
        <f>VLOOKUP(Sales_Details2[[#This Row],[Customer_ID]],Customer_Details[#All],9,0)</f>
        <v>Silver</v>
      </c>
      <c r="H1994" s="2" t="s">
        <v>1709</v>
      </c>
      <c r="I1994" s="2" t="str">
        <f>VLOOKUP(Sales_Details2[[#This Row],[Product_ID]],Product_details[[#All],[Product_ID]:[Cost]],3,0)</f>
        <v>Beauty</v>
      </c>
      <c r="J1994" s="2" t="str">
        <f>VLOOKUP(Sales_Details2[[#This Row],[Product_ID]],Product_details[[#All],[Product_ID]:[Cost]],4,0)</f>
        <v>Makeup</v>
      </c>
      <c r="K1994" s="2" t="s">
        <v>1784</v>
      </c>
      <c r="L1994" s="2" t="str">
        <f>_xlfn.XLOOKUP(Sales_Details2[[#This Row],[Store_ID]],Table2[Store_ID],Table2[Region],"Region not found")</f>
        <v>North</v>
      </c>
      <c r="M1994" s="25">
        <v>4</v>
      </c>
      <c r="N1994" s="36">
        <v>569.98</v>
      </c>
      <c r="O1994" s="29">
        <v>0.23</v>
      </c>
      <c r="P1994" s="2" t="s">
        <v>1807</v>
      </c>
      <c r="Q1994" s="36">
        <v>1755.5383999999999</v>
      </c>
    </row>
    <row r="1995" spans="1:17" x14ac:dyDescent="0.3">
      <c r="A1995" s="2" t="s">
        <v>3802</v>
      </c>
      <c r="B1995" s="14">
        <v>45274</v>
      </c>
      <c r="C1995" s="2">
        <f>YEAR(Sales_Details2[[#This Row],[Order_Date]])</f>
        <v>2023</v>
      </c>
      <c r="D1995" s="2" t="s">
        <v>1439</v>
      </c>
      <c r="E1995" s="2" t="str">
        <f>VLOOKUP(Sales_Details2[[#This Row],[Customer_ID]],Customer_Details[#All],4,0)</f>
        <v>Mid-Adult</v>
      </c>
      <c r="F1995" s="2" t="str">
        <f>VLOOKUP(Sales_Details2[[#This Row],[Customer_ID]],Customer_Details[#All],5,0)</f>
        <v>Male</v>
      </c>
      <c r="G1995" s="2" t="str">
        <f>VLOOKUP(Sales_Details2[[#This Row],[Customer_ID]],Customer_Details[#All],9,0)</f>
        <v>Silver</v>
      </c>
      <c r="H1995" s="2" t="s">
        <v>1573</v>
      </c>
      <c r="I1995" s="2" t="str">
        <f>VLOOKUP(Sales_Details2[[#This Row],[Product_ID]],Product_details[[#All],[Product_ID]:[Cost]],3,0)</f>
        <v>Home</v>
      </c>
      <c r="J1995" s="2" t="str">
        <f>VLOOKUP(Sales_Details2[[#This Row],[Product_ID]],Product_details[[#All],[Product_ID]:[Cost]],4,0)</f>
        <v>Storage</v>
      </c>
      <c r="K1995" s="2" t="s">
        <v>1777</v>
      </c>
      <c r="L1995" s="2" t="str">
        <f>_xlfn.XLOOKUP(Sales_Details2[[#This Row],[Store_ID]],Table2[Store_ID],Table2[Region],"Region not found")</f>
        <v>North</v>
      </c>
      <c r="M1995" s="25">
        <v>3</v>
      </c>
      <c r="N1995" s="36">
        <v>984.12</v>
      </c>
      <c r="O1995" s="29">
        <v>0.27</v>
      </c>
      <c r="P1995" s="2" t="s">
        <v>1807</v>
      </c>
      <c r="Q1995" s="36">
        <v>2155.2228</v>
      </c>
    </row>
    <row r="1996" spans="1:17" x14ac:dyDescent="0.3">
      <c r="A1996" s="2" t="s">
        <v>3803</v>
      </c>
      <c r="B1996" s="14">
        <v>45844</v>
      </c>
      <c r="C1996" s="2">
        <f>YEAR(Sales_Details2[[#This Row],[Order_Date]])</f>
        <v>2025</v>
      </c>
      <c r="D1996" s="2" t="s">
        <v>1442</v>
      </c>
      <c r="E1996" s="2" t="str">
        <f>VLOOKUP(Sales_Details2[[#This Row],[Customer_ID]],Customer_Details[#All],4,0)</f>
        <v>Senior</v>
      </c>
      <c r="F1996" s="2" t="str">
        <f>VLOOKUP(Sales_Details2[[#This Row],[Customer_ID]],Customer_Details[#All],5,0)</f>
        <v>Male</v>
      </c>
      <c r="G1996" s="2" t="str">
        <f>VLOOKUP(Sales_Details2[[#This Row],[Customer_ID]],Customer_Details[#All],9,0)</f>
        <v>Bronze</v>
      </c>
      <c r="H1996" s="2" t="s">
        <v>1699</v>
      </c>
      <c r="I1996" s="2" t="str">
        <f>VLOOKUP(Sales_Details2[[#This Row],[Product_ID]],Product_details[[#All],[Product_ID]:[Cost]],3,0)</f>
        <v>Home</v>
      </c>
      <c r="J1996" s="2" t="str">
        <f>VLOOKUP(Sales_Details2[[#This Row],[Product_ID]],Product_details[[#All],[Product_ID]:[Cost]],4,0)</f>
        <v>Furniture</v>
      </c>
      <c r="K1996" s="2" t="s">
        <v>1765</v>
      </c>
      <c r="L1996" s="2" t="str">
        <f>_xlfn.XLOOKUP(Sales_Details2[[#This Row],[Store_ID]],Table2[Store_ID],Table2[Region],"Region not found")</f>
        <v>West</v>
      </c>
      <c r="M1996" s="25">
        <v>1</v>
      </c>
      <c r="N1996" s="36">
        <v>905.23</v>
      </c>
      <c r="O1996" s="29">
        <v>0</v>
      </c>
      <c r="P1996" s="2" t="s">
        <v>1807</v>
      </c>
      <c r="Q1996" s="36">
        <v>905.23</v>
      </c>
    </row>
    <row r="1997" spans="1:17" x14ac:dyDescent="0.3">
      <c r="A1997" s="2" t="s">
        <v>3804</v>
      </c>
      <c r="B1997" s="14">
        <v>45264</v>
      </c>
      <c r="C1997" s="2">
        <f>YEAR(Sales_Details2[[#This Row],[Order_Date]])</f>
        <v>2023</v>
      </c>
      <c r="D1997" s="2" t="s">
        <v>607</v>
      </c>
      <c r="E1997" s="2" t="str">
        <f>VLOOKUP(Sales_Details2[[#This Row],[Customer_ID]],Customer_Details[#All],4,0)</f>
        <v>Senior</v>
      </c>
      <c r="F1997" s="2" t="str">
        <f>VLOOKUP(Sales_Details2[[#This Row],[Customer_ID]],Customer_Details[#All],5,0)</f>
        <v>Male</v>
      </c>
      <c r="G1997" s="2" t="str">
        <f>VLOOKUP(Sales_Details2[[#This Row],[Customer_ID]],Customer_Details[#All],9,0)</f>
        <v>Silver</v>
      </c>
      <c r="H1997" s="2" t="s">
        <v>1729</v>
      </c>
      <c r="I1997" s="2" t="str">
        <f>VLOOKUP(Sales_Details2[[#This Row],[Product_ID]],Product_details[[#All],[Product_ID]:[Cost]],3,0)</f>
        <v>Home</v>
      </c>
      <c r="J1997" s="2" t="str">
        <f>VLOOKUP(Sales_Details2[[#This Row],[Product_ID]],Product_details[[#All],[Product_ID]:[Cost]],4,0)</f>
        <v>Kitchen</v>
      </c>
      <c r="K1997" s="2" t="s">
        <v>1796</v>
      </c>
      <c r="L1997" s="2" t="str">
        <f>_xlfn.XLOOKUP(Sales_Details2[[#This Row],[Store_ID]],Table2[Store_ID],Table2[Region],"Region not found")</f>
        <v>East</v>
      </c>
      <c r="M1997" s="25">
        <v>3</v>
      </c>
      <c r="N1997" s="36">
        <v>112.77</v>
      </c>
      <c r="O1997" s="29">
        <v>0.19</v>
      </c>
      <c r="P1997" s="2" t="s">
        <v>1807</v>
      </c>
      <c r="Q1997" s="36">
        <v>274.03109999999998</v>
      </c>
    </row>
    <row r="1998" spans="1:17" x14ac:dyDescent="0.3">
      <c r="A1998" s="2" t="s">
        <v>3805</v>
      </c>
      <c r="B1998" s="14">
        <v>45773</v>
      </c>
      <c r="C1998" s="2">
        <f>YEAR(Sales_Details2[[#This Row],[Order_Date]])</f>
        <v>2025</v>
      </c>
      <c r="D1998" s="2" t="s">
        <v>533</v>
      </c>
      <c r="E1998" s="2" t="str">
        <f>VLOOKUP(Sales_Details2[[#This Row],[Customer_ID]],Customer_Details[#All],4,0)</f>
        <v>Adult</v>
      </c>
      <c r="F1998" s="2" t="str">
        <f>VLOOKUP(Sales_Details2[[#This Row],[Customer_ID]],Customer_Details[#All],5,0)</f>
        <v>Female</v>
      </c>
      <c r="G1998" s="2" t="str">
        <f>VLOOKUP(Sales_Details2[[#This Row],[Customer_ID]],Customer_Details[#All],9,0)</f>
        <v>Silver</v>
      </c>
      <c r="H1998" s="2" t="s">
        <v>1601</v>
      </c>
      <c r="I1998" s="2" t="str">
        <f>VLOOKUP(Sales_Details2[[#This Row],[Product_ID]],Product_details[[#All],[Product_ID]:[Cost]],3,0)</f>
        <v>Home</v>
      </c>
      <c r="J1998" s="2" t="str">
        <f>VLOOKUP(Sales_Details2[[#This Row],[Product_ID]],Product_details[[#All],[Product_ID]:[Cost]],4,0)</f>
        <v>Lighting</v>
      </c>
      <c r="K1998" s="2" t="s">
        <v>1765</v>
      </c>
      <c r="L1998" s="2" t="str">
        <f>_xlfn.XLOOKUP(Sales_Details2[[#This Row],[Store_ID]],Table2[Store_ID],Table2[Region],"Region not found")</f>
        <v>West</v>
      </c>
      <c r="M1998" s="25">
        <v>3</v>
      </c>
      <c r="N1998" s="36">
        <v>875.99</v>
      </c>
      <c r="O1998" s="29">
        <v>0.09</v>
      </c>
      <c r="P1998" s="2" t="s">
        <v>1809</v>
      </c>
      <c r="Q1998" s="36">
        <v>2391.4526999999998</v>
      </c>
    </row>
    <row r="1999" spans="1:17" x14ac:dyDescent="0.3">
      <c r="A1999" s="2" t="s">
        <v>3806</v>
      </c>
      <c r="B1999" s="14">
        <v>45460</v>
      </c>
      <c r="C1999" s="2">
        <f>YEAR(Sales_Details2[[#This Row],[Order_Date]])</f>
        <v>2024</v>
      </c>
      <c r="D1999" s="2" t="s">
        <v>436</v>
      </c>
      <c r="E1999" s="2" t="str">
        <f>VLOOKUP(Sales_Details2[[#This Row],[Customer_ID]],Customer_Details[#All],4,0)</f>
        <v>Mid-Adult</v>
      </c>
      <c r="F1999" s="2" t="str">
        <f>VLOOKUP(Sales_Details2[[#This Row],[Customer_ID]],Customer_Details[#All],5,0)</f>
        <v>Male</v>
      </c>
      <c r="G1999" s="2" t="str">
        <f>VLOOKUP(Sales_Details2[[#This Row],[Customer_ID]],Customer_Details[#All],9,0)</f>
        <v>Silver</v>
      </c>
      <c r="H1999" s="2" t="s">
        <v>1709</v>
      </c>
      <c r="I1999" s="2" t="str">
        <f>VLOOKUP(Sales_Details2[[#This Row],[Product_ID]],Product_details[[#All],[Product_ID]:[Cost]],3,0)</f>
        <v>Beauty</v>
      </c>
      <c r="J1999" s="2" t="str">
        <f>VLOOKUP(Sales_Details2[[#This Row],[Product_ID]],Product_details[[#All],[Product_ID]:[Cost]],4,0)</f>
        <v>Makeup</v>
      </c>
      <c r="K1999" s="2" t="s">
        <v>1772</v>
      </c>
      <c r="L1999" s="2" t="str">
        <f>_xlfn.XLOOKUP(Sales_Details2[[#This Row],[Store_ID]],Table2[Store_ID],Table2[Region],"Region not found")</f>
        <v>East</v>
      </c>
      <c r="M1999" s="25">
        <v>2</v>
      </c>
      <c r="N1999" s="36">
        <v>685.31</v>
      </c>
      <c r="O1999" s="29">
        <v>0.26</v>
      </c>
      <c r="P1999" s="2" t="s">
        <v>1809</v>
      </c>
      <c r="Q1999" s="36">
        <v>1014.2588</v>
      </c>
    </row>
    <row r="2000" spans="1:17" x14ac:dyDescent="0.3">
      <c r="A2000" s="2" t="s">
        <v>3807</v>
      </c>
      <c r="B2000" s="14">
        <v>45607</v>
      </c>
      <c r="C2000" s="2">
        <f>YEAR(Sales_Details2[[#This Row],[Order_Date]])</f>
        <v>2024</v>
      </c>
      <c r="D2000" s="2" t="s">
        <v>195</v>
      </c>
      <c r="E2000" s="2" t="str">
        <f>VLOOKUP(Sales_Details2[[#This Row],[Customer_ID]],Customer_Details[#All],4,0)</f>
        <v>Senior</v>
      </c>
      <c r="F2000" s="2" t="str">
        <f>VLOOKUP(Sales_Details2[[#This Row],[Customer_ID]],Customer_Details[#All],5,0)</f>
        <v>Male</v>
      </c>
      <c r="G2000" s="2" t="str">
        <f>VLOOKUP(Sales_Details2[[#This Row],[Customer_ID]],Customer_Details[#All],9,0)</f>
        <v>Bronze</v>
      </c>
      <c r="H2000" s="2" t="s">
        <v>1653</v>
      </c>
      <c r="I2000" s="2" t="str">
        <f>VLOOKUP(Sales_Details2[[#This Row],[Product_ID]],Product_details[[#All],[Product_ID]:[Cost]],3,0)</f>
        <v>Sports</v>
      </c>
      <c r="J2000" s="2" t="str">
        <f>VLOOKUP(Sales_Details2[[#This Row],[Product_ID]],Product_details[[#All],[Product_ID]:[Cost]],4,0)</f>
        <v>Equipment</v>
      </c>
      <c r="K2000" s="2" t="s">
        <v>1775</v>
      </c>
      <c r="L2000" s="2" t="str">
        <f>_xlfn.XLOOKUP(Sales_Details2[[#This Row],[Store_ID]],Table2[Store_ID],Table2[Region],"Region not found")</f>
        <v>South</v>
      </c>
      <c r="M2000" s="25">
        <v>3</v>
      </c>
      <c r="N2000" s="36">
        <v>945.37</v>
      </c>
      <c r="O2000" s="29">
        <v>0.05</v>
      </c>
      <c r="P2000" s="2" t="s">
        <v>1807</v>
      </c>
      <c r="Q2000" s="36">
        <v>2694.3045000000002</v>
      </c>
    </row>
    <row r="2001" spans="1:17" x14ac:dyDescent="0.3">
      <c r="A2001" s="2" t="s">
        <v>3808</v>
      </c>
      <c r="B2001" s="14">
        <v>45267</v>
      </c>
      <c r="C2001" s="2">
        <f>YEAR(Sales_Details2[[#This Row],[Order_Date]])</f>
        <v>2023</v>
      </c>
      <c r="D2001" s="2" t="s">
        <v>100</v>
      </c>
      <c r="E2001" s="2" t="str">
        <f>VLOOKUP(Sales_Details2[[#This Row],[Customer_ID]],Customer_Details[#All],4,0)</f>
        <v>Senior</v>
      </c>
      <c r="F2001" s="2" t="str">
        <f>VLOOKUP(Sales_Details2[[#This Row],[Customer_ID]],Customer_Details[#All],5,0)</f>
        <v>Female</v>
      </c>
      <c r="G2001" s="2" t="str">
        <f>VLOOKUP(Sales_Details2[[#This Row],[Customer_ID]],Customer_Details[#All],9,0)</f>
        <v>Silver</v>
      </c>
      <c r="H2001" s="2" t="s">
        <v>1683</v>
      </c>
      <c r="I2001" s="2" t="str">
        <f>VLOOKUP(Sales_Details2[[#This Row],[Product_ID]],Product_details[[#All],[Product_ID]:[Cost]],3,0)</f>
        <v>Electronics</v>
      </c>
      <c r="J2001" s="2" t="str">
        <f>VLOOKUP(Sales_Details2[[#This Row],[Product_ID]],Product_details[[#All],[Product_ID]:[Cost]],4,0)</f>
        <v>Computer</v>
      </c>
      <c r="K2001" s="2" t="s">
        <v>1796</v>
      </c>
      <c r="L2001" s="2" t="str">
        <f>_xlfn.XLOOKUP(Sales_Details2[[#This Row],[Store_ID]],Table2[Store_ID],Table2[Region],"Region not found")</f>
        <v>East</v>
      </c>
      <c r="M2001" s="25">
        <v>3</v>
      </c>
      <c r="N2001" s="36">
        <v>68.45</v>
      </c>
      <c r="O2001" s="29">
        <v>0.17</v>
      </c>
      <c r="P2001" s="2" t="s">
        <v>1809</v>
      </c>
      <c r="Q2001" s="36">
        <v>170.44049999999999</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501"/>
  <sheetViews>
    <sheetView workbookViewId="0">
      <selection activeCell="D2" sqref="D2:D18"/>
    </sheetView>
  </sheetViews>
  <sheetFormatPr defaultColWidth="20.44140625" defaultRowHeight="14.4" x14ac:dyDescent="0.3"/>
  <sheetData>
    <row r="1" spans="1:9" x14ac:dyDescent="0.3">
      <c r="A1" s="1" t="s">
        <v>0</v>
      </c>
      <c r="B1" s="3" t="s">
        <v>1</v>
      </c>
      <c r="C1" s="1" t="s">
        <v>2</v>
      </c>
      <c r="D1" s="3" t="s">
        <v>3959</v>
      </c>
      <c r="E1" s="1" t="s">
        <v>3</v>
      </c>
      <c r="F1" s="1" t="s">
        <v>4</v>
      </c>
      <c r="G1" s="1" t="s">
        <v>5</v>
      </c>
      <c r="H1" s="1" t="s">
        <v>6</v>
      </c>
      <c r="I1" s="3" t="s">
        <v>7</v>
      </c>
    </row>
    <row r="2" spans="1:9" x14ac:dyDescent="0.3">
      <c r="A2" s="2" t="s">
        <v>8</v>
      </c>
      <c r="B2" s="2" t="s">
        <v>3956</v>
      </c>
      <c r="C2" s="2">
        <v>55</v>
      </c>
      <c r="D2" s="2" t="str">
        <f>IF(Customer_Details[[#This Row],[Age]]&lt;=30,"Adult",IF(Customer_Details[[#This Row],[Age]]&lt;=50,"Mid-Adult","Senior"))</f>
        <v>Senior</v>
      </c>
      <c r="E2" s="2" t="s">
        <v>9</v>
      </c>
      <c r="F2" s="2" t="s">
        <v>10</v>
      </c>
      <c r="G2" s="2" t="s">
        <v>11</v>
      </c>
      <c r="H2" s="2" t="s">
        <v>12</v>
      </c>
      <c r="I2" s="2" t="s">
        <v>19</v>
      </c>
    </row>
    <row r="3" spans="1:9" x14ac:dyDescent="0.3">
      <c r="A3" s="2" t="s">
        <v>14</v>
      </c>
      <c r="B3" s="2" t="s">
        <v>15</v>
      </c>
      <c r="C3" s="2">
        <v>26</v>
      </c>
      <c r="D3" s="2" t="str">
        <f>IF(Customer_Details[[#This Row],[Age]]&lt;=30,"Adult",IF(Customer_Details[[#This Row],[Age]]&lt;=50,"Mid-Adult","Senior"))</f>
        <v>Adult</v>
      </c>
      <c r="E3" s="2" t="s">
        <v>16</v>
      </c>
      <c r="F3" s="2" t="s">
        <v>17</v>
      </c>
      <c r="G3" s="2" t="s">
        <v>18</v>
      </c>
      <c r="H3" s="2" t="s">
        <v>12</v>
      </c>
      <c r="I3" s="2" t="s">
        <v>19</v>
      </c>
    </row>
    <row r="4" spans="1:9" x14ac:dyDescent="0.3">
      <c r="A4" s="2" t="s">
        <v>20</v>
      </c>
      <c r="B4" s="2" t="s">
        <v>3937</v>
      </c>
      <c r="C4" s="2">
        <v>29</v>
      </c>
      <c r="D4" s="2" t="str">
        <f>IF(Customer_Details[[#This Row],[Age]]&lt;=30,"Adult",IF(Customer_Details[[#This Row],[Age]]&lt;=50,"Mid-Adult","Senior"))</f>
        <v>Adult</v>
      </c>
      <c r="E4" s="2" t="s">
        <v>16</v>
      </c>
      <c r="F4" s="2" t="s">
        <v>21</v>
      </c>
      <c r="G4" s="2" t="s">
        <v>22</v>
      </c>
      <c r="H4" s="2" t="s">
        <v>12</v>
      </c>
      <c r="I4" s="2" t="s">
        <v>19</v>
      </c>
    </row>
    <row r="5" spans="1:9" x14ac:dyDescent="0.3">
      <c r="A5" s="2" t="s">
        <v>23</v>
      </c>
      <c r="B5" s="2" t="s">
        <v>3938</v>
      </c>
      <c r="C5" s="2">
        <v>59</v>
      </c>
      <c r="D5" s="2" t="str">
        <f>IF(Customer_Details[[#This Row],[Age]]&lt;=30,"Adult",IF(Customer_Details[[#This Row],[Age]]&lt;=50,"Mid-Adult","Senior"))</f>
        <v>Senior</v>
      </c>
      <c r="E5" s="2" t="s">
        <v>16</v>
      </c>
      <c r="F5" s="2" t="s">
        <v>24</v>
      </c>
      <c r="G5" s="2" t="s">
        <v>25</v>
      </c>
      <c r="H5" s="2" t="s">
        <v>12</v>
      </c>
      <c r="I5" s="2" t="s">
        <v>26</v>
      </c>
    </row>
    <row r="6" spans="1:9" x14ac:dyDescent="0.3">
      <c r="A6" s="2" t="s">
        <v>27</v>
      </c>
      <c r="B6" s="2" t="s">
        <v>28</v>
      </c>
      <c r="C6" s="2">
        <v>64</v>
      </c>
      <c r="D6" s="2" t="str">
        <f>IF(Customer_Details[[#This Row],[Age]]&lt;=30,"Adult",IF(Customer_Details[[#This Row],[Age]]&lt;=50,"Mid-Adult","Senior"))</f>
        <v>Senior</v>
      </c>
      <c r="E6" s="2" t="s">
        <v>16</v>
      </c>
      <c r="F6" s="2" t="s">
        <v>29</v>
      </c>
      <c r="G6" s="2" t="s">
        <v>30</v>
      </c>
      <c r="H6" s="2" t="s">
        <v>12</v>
      </c>
      <c r="I6" s="2" t="s">
        <v>31</v>
      </c>
    </row>
    <row r="7" spans="1:9" x14ac:dyDescent="0.3">
      <c r="A7" s="2" t="s">
        <v>32</v>
      </c>
      <c r="B7" s="2" t="s">
        <v>33</v>
      </c>
      <c r="C7" s="2">
        <v>24</v>
      </c>
      <c r="D7" s="2" t="str">
        <f>IF(Customer_Details[[#This Row],[Age]]&lt;=30,"Adult",IF(Customer_Details[[#This Row],[Age]]&lt;=50,"Mid-Adult","Senior"))</f>
        <v>Adult</v>
      </c>
      <c r="E7" s="2" t="s">
        <v>9</v>
      </c>
      <c r="F7" s="2" t="s">
        <v>34</v>
      </c>
      <c r="G7" s="2" t="s">
        <v>35</v>
      </c>
      <c r="H7" s="2" t="s">
        <v>12</v>
      </c>
      <c r="I7" s="2" t="s">
        <v>26</v>
      </c>
    </row>
    <row r="8" spans="1:9" x14ac:dyDescent="0.3">
      <c r="A8" s="2" t="s">
        <v>36</v>
      </c>
      <c r="B8" s="2" t="s">
        <v>37</v>
      </c>
      <c r="C8" s="2">
        <v>29</v>
      </c>
      <c r="D8" s="2" t="str">
        <f>IF(Customer_Details[[#This Row],[Age]]&lt;=30,"Adult",IF(Customer_Details[[#This Row],[Age]]&lt;=50,"Mid-Adult","Senior"))</f>
        <v>Adult</v>
      </c>
      <c r="E8" s="2" t="s">
        <v>16</v>
      </c>
      <c r="F8" s="2" t="s">
        <v>38</v>
      </c>
      <c r="G8" s="2" t="s">
        <v>39</v>
      </c>
      <c r="H8" s="2" t="s">
        <v>12</v>
      </c>
      <c r="I8" s="2" t="s">
        <v>19</v>
      </c>
    </row>
    <row r="9" spans="1:9" x14ac:dyDescent="0.3">
      <c r="A9" s="2" t="s">
        <v>40</v>
      </c>
      <c r="B9" s="2" t="s">
        <v>41</v>
      </c>
      <c r="C9" s="2">
        <v>29</v>
      </c>
      <c r="D9" s="2" t="str">
        <f>IF(Customer_Details[[#This Row],[Age]]&lt;=30,"Adult",IF(Customer_Details[[#This Row],[Age]]&lt;=50,"Mid-Adult","Senior"))</f>
        <v>Adult</v>
      </c>
      <c r="E9" s="2" t="s">
        <v>16</v>
      </c>
      <c r="F9" s="2" t="s">
        <v>42</v>
      </c>
      <c r="G9" s="2" t="s">
        <v>43</v>
      </c>
      <c r="H9" s="2" t="s">
        <v>12</v>
      </c>
      <c r="I9" s="2" t="s">
        <v>26</v>
      </c>
    </row>
    <row r="10" spans="1:9" x14ac:dyDescent="0.3">
      <c r="A10" s="2" t="s">
        <v>44</v>
      </c>
      <c r="B10" s="2" t="s">
        <v>45</v>
      </c>
      <c r="C10" s="2">
        <v>53</v>
      </c>
      <c r="D10" s="2" t="str">
        <f>IF(Customer_Details[[#This Row],[Age]]&lt;=30,"Adult",IF(Customer_Details[[#This Row],[Age]]&lt;=50,"Mid-Adult","Senior"))</f>
        <v>Senior</v>
      </c>
      <c r="E10" s="2" t="s">
        <v>16</v>
      </c>
      <c r="F10" s="2" t="s">
        <v>46</v>
      </c>
      <c r="G10" s="2" t="s">
        <v>47</v>
      </c>
      <c r="H10" s="2" t="s">
        <v>12</v>
      </c>
      <c r="I10" s="2" t="s">
        <v>13</v>
      </c>
    </row>
    <row r="11" spans="1:9" x14ac:dyDescent="0.3">
      <c r="A11" s="2" t="s">
        <v>48</v>
      </c>
      <c r="B11" s="2" t="s">
        <v>49</v>
      </c>
      <c r="C11" s="2">
        <v>64</v>
      </c>
      <c r="D11" s="2" t="str">
        <f>IF(Customer_Details[[#This Row],[Age]]&lt;=30,"Adult",IF(Customer_Details[[#This Row],[Age]]&lt;=50,"Mid-Adult","Senior"))</f>
        <v>Senior</v>
      </c>
      <c r="E11" s="2" t="s">
        <v>9</v>
      </c>
      <c r="F11" s="2" t="s">
        <v>50</v>
      </c>
      <c r="G11" s="2" t="s">
        <v>51</v>
      </c>
      <c r="H11" s="2" t="s">
        <v>12</v>
      </c>
      <c r="I11" s="2" t="s">
        <v>19</v>
      </c>
    </row>
    <row r="12" spans="1:9" x14ac:dyDescent="0.3">
      <c r="A12" s="2" t="s">
        <v>52</v>
      </c>
      <c r="B12" s="2" t="s">
        <v>53</v>
      </c>
      <c r="C12" s="2">
        <v>53</v>
      </c>
      <c r="D12" s="2" t="str">
        <f>IF(Customer_Details[[#This Row],[Age]]&lt;=30,"Adult",IF(Customer_Details[[#This Row],[Age]]&lt;=50,"Mid-Adult","Senior"))</f>
        <v>Senior</v>
      </c>
      <c r="E12" s="2" t="s">
        <v>9</v>
      </c>
      <c r="F12" s="2" t="s">
        <v>54</v>
      </c>
      <c r="G12" s="2" t="s">
        <v>51</v>
      </c>
      <c r="H12" s="2" t="s">
        <v>12</v>
      </c>
      <c r="I12" s="2" t="s">
        <v>26</v>
      </c>
    </row>
    <row r="13" spans="1:9" x14ac:dyDescent="0.3">
      <c r="A13" s="2" t="s">
        <v>55</v>
      </c>
      <c r="B13" s="2" t="s">
        <v>56</v>
      </c>
      <c r="C13" s="2">
        <v>28</v>
      </c>
      <c r="D13" s="2" t="str">
        <f>IF(Customer_Details[[#This Row],[Age]]&lt;=30,"Adult",IF(Customer_Details[[#This Row],[Age]]&lt;=50,"Mid-Adult","Senior"))</f>
        <v>Adult</v>
      </c>
      <c r="E13" s="2" t="s">
        <v>16</v>
      </c>
      <c r="F13" s="2" t="s">
        <v>57</v>
      </c>
      <c r="G13" s="2" t="s">
        <v>58</v>
      </c>
      <c r="H13" s="2" t="s">
        <v>12</v>
      </c>
      <c r="I13" s="2" t="s">
        <v>13</v>
      </c>
    </row>
    <row r="14" spans="1:9" x14ac:dyDescent="0.3">
      <c r="A14" s="2" t="s">
        <v>59</v>
      </c>
      <c r="B14" s="2" t="s">
        <v>60</v>
      </c>
      <c r="C14" s="2">
        <v>55</v>
      </c>
      <c r="D14" s="2" t="str">
        <f>IF(Customer_Details[[#This Row],[Age]]&lt;=30,"Adult",IF(Customer_Details[[#This Row],[Age]]&lt;=50,"Mid-Adult","Senior"))</f>
        <v>Senior</v>
      </c>
      <c r="E14" s="2" t="s">
        <v>16</v>
      </c>
      <c r="F14" s="2" t="s">
        <v>61</v>
      </c>
      <c r="G14" s="2" t="s">
        <v>62</v>
      </c>
      <c r="H14" s="2" t="s">
        <v>12</v>
      </c>
      <c r="I14" s="2" t="s">
        <v>19</v>
      </c>
    </row>
    <row r="15" spans="1:9" x14ac:dyDescent="0.3">
      <c r="A15" s="2" t="s">
        <v>63</v>
      </c>
      <c r="B15" s="2" t="s">
        <v>64</v>
      </c>
      <c r="C15" s="2">
        <v>32</v>
      </c>
      <c r="D15" s="2" t="str">
        <f>IF(Customer_Details[[#This Row],[Age]]&lt;=30,"Adult",IF(Customer_Details[[#This Row],[Age]]&lt;=50,"Mid-Adult","Senior"))</f>
        <v>Mid-Adult</v>
      </c>
      <c r="E15" s="2" t="s">
        <v>16</v>
      </c>
      <c r="F15" s="2" t="s">
        <v>65</v>
      </c>
      <c r="G15" s="2" t="s">
        <v>66</v>
      </c>
      <c r="H15" s="2" t="s">
        <v>12</v>
      </c>
      <c r="I15" s="2" t="s">
        <v>31</v>
      </c>
    </row>
    <row r="16" spans="1:9" x14ac:dyDescent="0.3">
      <c r="A16" s="2" t="s">
        <v>67</v>
      </c>
      <c r="B16" s="2" t="s">
        <v>68</v>
      </c>
      <c r="C16" s="2">
        <v>53</v>
      </c>
      <c r="D16" s="2" t="str">
        <f>IF(Customer_Details[[#This Row],[Age]]&lt;=30,"Adult",IF(Customer_Details[[#This Row],[Age]]&lt;=50,"Mid-Adult","Senior"))</f>
        <v>Senior</v>
      </c>
      <c r="E16" s="2" t="s">
        <v>16</v>
      </c>
      <c r="F16" s="2" t="s">
        <v>69</v>
      </c>
      <c r="G16" s="2" t="s">
        <v>70</v>
      </c>
      <c r="H16" s="2" t="s">
        <v>12</v>
      </c>
      <c r="I16" s="2" t="s">
        <v>31</v>
      </c>
    </row>
    <row r="17" spans="1:9" x14ac:dyDescent="0.3">
      <c r="A17" s="2" t="s">
        <v>71</v>
      </c>
      <c r="B17" s="2" t="s">
        <v>72</v>
      </c>
      <c r="C17" s="2">
        <v>49</v>
      </c>
      <c r="D17" s="2" t="str">
        <f>IF(Customer_Details[[#This Row],[Age]]&lt;=30,"Adult",IF(Customer_Details[[#This Row],[Age]]&lt;=50,"Mid-Adult","Senior"))</f>
        <v>Mid-Adult</v>
      </c>
      <c r="E17" s="2" t="s">
        <v>16</v>
      </c>
      <c r="F17" s="2" t="s">
        <v>73</v>
      </c>
      <c r="G17" s="2" t="s">
        <v>74</v>
      </c>
      <c r="H17" s="2" t="s">
        <v>12</v>
      </c>
      <c r="I17" s="2" t="s">
        <v>19</v>
      </c>
    </row>
    <row r="18" spans="1:9" x14ac:dyDescent="0.3">
      <c r="A18" s="2" t="s">
        <v>75</v>
      </c>
      <c r="B18" s="2" t="s">
        <v>76</v>
      </c>
      <c r="C18" s="2">
        <v>24</v>
      </c>
      <c r="D18" s="2" t="str">
        <f>IF(Customer_Details[[#This Row],[Age]]&lt;=30,"Adult",IF(Customer_Details[[#This Row],[Age]]&lt;=50,"Mid-Adult","Senior"))</f>
        <v>Adult</v>
      </c>
      <c r="E18" s="2" t="s">
        <v>16</v>
      </c>
      <c r="F18" s="2" t="s">
        <v>77</v>
      </c>
      <c r="G18" s="2" t="s">
        <v>51</v>
      </c>
      <c r="H18" s="2" t="s">
        <v>12</v>
      </c>
      <c r="I18" s="2" t="s">
        <v>26</v>
      </c>
    </row>
    <row r="19" spans="1:9" x14ac:dyDescent="0.3">
      <c r="A19" s="2" t="s">
        <v>78</v>
      </c>
      <c r="B19" s="2" t="s">
        <v>79</v>
      </c>
      <c r="C19" s="2">
        <v>60</v>
      </c>
      <c r="D19" s="2" t="str">
        <f>IF(Customer_Details[[#This Row],[Age]]&lt;=30,"Adult",IF(Customer_Details[[#This Row],[Age]]&lt;=50,"Mid-Adult","Senior"))</f>
        <v>Senior</v>
      </c>
      <c r="E19" s="2" t="s">
        <v>16</v>
      </c>
      <c r="F19" s="2" t="s">
        <v>80</v>
      </c>
      <c r="G19" s="2" t="s">
        <v>81</v>
      </c>
      <c r="H19" s="2" t="s">
        <v>12</v>
      </c>
      <c r="I19" s="2" t="s">
        <v>19</v>
      </c>
    </row>
    <row r="20" spans="1:9" x14ac:dyDescent="0.3">
      <c r="A20" s="2" t="s">
        <v>82</v>
      </c>
      <c r="B20" s="2" t="s">
        <v>83</v>
      </c>
      <c r="C20" s="2">
        <v>43</v>
      </c>
      <c r="D20" s="2" t="str">
        <f>IF(Customer_Details[[#This Row],[Age]]&lt;=30,"Adult",IF(Customer_Details[[#This Row],[Age]]&lt;=50,"Mid-Adult","Senior"))</f>
        <v>Mid-Adult</v>
      </c>
      <c r="E20" s="2" t="s">
        <v>9</v>
      </c>
      <c r="F20" s="2" t="s">
        <v>84</v>
      </c>
      <c r="G20" s="2" t="s">
        <v>62</v>
      </c>
      <c r="H20" s="2" t="s">
        <v>12</v>
      </c>
      <c r="I20" s="2" t="s">
        <v>19</v>
      </c>
    </row>
    <row r="21" spans="1:9" x14ac:dyDescent="0.3">
      <c r="A21" s="2" t="s">
        <v>85</v>
      </c>
      <c r="B21" s="2" t="s">
        <v>86</v>
      </c>
      <c r="C21" s="2">
        <v>46</v>
      </c>
      <c r="D21" s="2" t="str">
        <f>IF(Customer_Details[[#This Row],[Age]]&lt;=30,"Adult",IF(Customer_Details[[#This Row],[Age]]&lt;=50,"Mid-Adult","Senior"))</f>
        <v>Mid-Adult</v>
      </c>
      <c r="E21" s="2" t="s">
        <v>16</v>
      </c>
      <c r="F21" s="2" t="s">
        <v>87</v>
      </c>
      <c r="G21" s="2" t="s">
        <v>88</v>
      </c>
      <c r="H21" s="2" t="s">
        <v>12</v>
      </c>
      <c r="I21" s="2" t="s">
        <v>19</v>
      </c>
    </row>
    <row r="22" spans="1:9" x14ac:dyDescent="0.3">
      <c r="A22" s="2" t="s">
        <v>89</v>
      </c>
      <c r="B22" s="2" t="s">
        <v>90</v>
      </c>
      <c r="C22" s="2">
        <v>59</v>
      </c>
      <c r="D22" s="2" t="str">
        <f>IF(Customer_Details[[#This Row],[Age]]&lt;=30,"Adult",IF(Customer_Details[[#This Row],[Age]]&lt;=50,"Mid-Adult","Senior"))</f>
        <v>Senior</v>
      </c>
      <c r="E22" s="2" t="s">
        <v>9</v>
      </c>
      <c r="F22" s="2" t="s">
        <v>91</v>
      </c>
      <c r="G22" s="2" t="s">
        <v>92</v>
      </c>
      <c r="H22" s="2" t="s">
        <v>12</v>
      </c>
      <c r="I22" s="2" t="s">
        <v>31</v>
      </c>
    </row>
    <row r="23" spans="1:9" x14ac:dyDescent="0.3">
      <c r="A23" s="2" t="s">
        <v>93</v>
      </c>
      <c r="B23" s="2" t="s">
        <v>94</v>
      </c>
      <c r="C23" s="2">
        <v>36</v>
      </c>
      <c r="D23" s="2" t="str">
        <f>IF(Customer_Details[[#This Row],[Age]]&lt;=30,"Adult",IF(Customer_Details[[#This Row],[Age]]&lt;=50,"Mid-Adult","Senior"))</f>
        <v>Mid-Adult</v>
      </c>
      <c r="E23" s="2" t="s">
        <v>16</v>
      </c>
      <c r="F23" s="2" t="s">
        <v>95</v>
      </c>
      <c r="G23" s="2" t="s">
        <v>96</v>
      </c>
      <c r="H23" s="2" t="s">
        <v>12</v>
      </c>
      <c r="I23" s="2" t="s">
        <v>13</v>
      </c>
    </row>
    <row r="24" spans="1:9" x14ac:dyDescent="0.3">
      <c r="A24" s="2" t="s">
        <v>97</v>
      </c>
      <c r="B24" s="2" t="s">
        <v>3957</v>
      </c>
      <c r="C24" s="2">
        <v>33</v>
      </c>
      <c r="D24" s="2" t="str">
        <f>IF(Customer_Details[[#This Row],[Age]]&lt;=30,"Adult",IF(Customer_Details[[#This Row],[Age]]&lt;=50,"Mid-Adult","Senior"))</f>
        <v>Mid-Adult</v>
      </c>
      <c r="E24" s="2" t="s">
        <v>16</v>
      </c>
      <c r="F24" s="2" t="s">
        <v>98</v>
      </c>
      <c r="G24" s="2" t="s">
        <v>99</v>
      </c>
      <c r="H24" s="2" t="s">
        <v>12</v>
      </c>
      <c r="I24" s="2" t="s">
        <v>31</v>
      </c>
    </row>
    <row r="25" spans="1:9" x14ac:dyDescent="0.3">
      <c r="A25" s="2" t="s">
        <v>100</v>
      </c>
      <c r="B25" s="2" t="s">
        <v>101</v>
      </c>
      <c r="C25" s="2">
        <v>52</v>
      </c>
      <c r="D25" s="2" t="str">
        <f>IF(Customer_Details[[#This Row],[Age]]&lt;=30,"Adult",IF(Customer_Details[[#This Row],[Age]]&lt;=50,"Mid-Adult","Senior"))</f>
        <v>Senior</v>
      </c>
      <c r="E25" s="2" t="s">
        <v>16</v>
      </c>
      <c r="F25" s="2" t="s">
        <v>102</v>
      </c>
      <c r="G25" s="2" t="s">
        <v>35</v>
      </c>
      <c r="H25" s="2" t="s">
        <v>12</v>
      </c>
      <c r="I25" s="2" t="s">
        <v>31</v>
      </c>
    </row>
    <row r="26" spans="1:9" x14ac:dyDescent="0.3">
      <c r="A26" s="2" t="s">
        <v>103</v>
      </c>
      <c r="B26" s="2" t="s">
        <v>104</v>
      </c>
      <c r="C26" s="2">
        <v>40</v>
      </c>
      <c r="D26" s="2" t="str">
        <f>IF(Customer_Details[[#This Row],[Age]]&lt;=30,"Adult",IF(Customer_Details[[#This Row],[Age]]&lt;=50,"Mid-Adult","Senior"))</f>
        <v>Mid-Adult</v>
      </c>
      <c r="E26" s="2" t="s">
        <v>9</v>
      </c>
      <c r="F26" s="2" t="s">
        <v>105</v>
      </c>
      <c r="G26" s="2" t="s">
        <v>106</v>
      </c>
      <c r="H26" s="2" t="s">
        <v>12</v>
      </c>
      <c r="I26" s="2" t="s">
        <v>19</v>
      </c>
    </row>
    <row r="27" spans="1:9" x14ac:dyDescent="0.3">
      <c r="A27" s="2" t="s">
        <v>107</v>
      </c>
      <c r="B27" s="2" t="s">
        <v>108</v>
      </c>
      <c r="C27" s="2">
        <v>59</v>
      </c>
      <c r="D27" s="2" t="str">
        <f>IF(Customer_Details[[#This Row],[Age]]&lt;=30,"Adult",IF(Customer_Details[[#This Row],[Age]]&lt;=50,"Mid-Adult","Senior"))</f>
        <v>Senior</v>
      </c>
      <c r="E27" s="2" t="s">
        <v>16</v>
      </c>
      <c r="F27" s="2" t="s">
        <v>109</v>
      </c>
      <c r="G27" s="2" t="s">
        <v>30</v>
      </c>
      <c r="H27" s="2" t="s">
        <v>12</v>
      </c>
      <c r="I27" s="2" t="s">
        <v>26</v>
      </c>
    </row>
    <row r="28" spans="1:9" x14ac:dyDescent="0.3">
      <c r="A28" s="2" t="s">
        <v>110</v>
      </c>
      <c r="B28" s="2" t="s">
        <v>111</v>
      </c>
      <c r="C28" s="2">
        <v>18</v>
      </c>
      <c r="D28" s="2" t="str">
        <f>IF(Customer_Details[[#This Row],[Age]]&lt;=30,"Adult",IF(Customer_Details[[#This Row],[Age]]&lt;=50,"Mid-Adult","Senior"))</f>
        <v>Adult</v>
      </c>
      <c r="E28" s="2" t="s">
        <v>16</v>
      </c>
      <c r="F28" s="2" t="s">
        <v>112</v>
      </c>
      <c r="G28" s="2" t="s">
        <v>113</v>
      </c>
      <c r="H28" s="2" t="s">
        <v>12</v>
      </c>
      <c r="I28" s="2" t="s">
        <v>13</v>
      </c>
    </row>
    <row r="29" spans="1:9" x14ac:dyDescent="0.3">
      <c r="A29" s="2" t="s">
        <v>114</v>
      </c>
      <c r="B29" s="2" t="s">
        <v>115</v>
      </c>
      <c r="C29" s="2">
        <v>31</v>
      </c>
      <c r="D29" s="2" t="str">
        <f>IF(Customer_Details[[#This Row],[Age]]&lt;=30,"Adult",IF(Customer_Details[[#This Row],[Age]]&lt;=50,"Mid-Adult","Senior"))</f>
        <v>Mid-Adult</v>
      </c>
      <c r="E29" s="2" t="s">
        <v>9</v>
      </c>
      <c r="F29" s="2" t="s">
        <v>116</v>
      </c>
      <c r="G29" s="2" t="s">
        <v>117</v>
      </c>
      <c r="H29" s="2" t="s">
        <v>12</v>
      </c>
      <c r="I29" s="2" t="s">
        <v>19</v>
      </c>
    </row>
    <row r="30" spans="1:9" x14ac:dyDescent="0.3">
      <c r="A30" s="2" t="s">
        <v>118</v>
      </c>
      <c r="B30" s="2" t="s">
        <v>119</v>
      </c>
      <c r="C30" s="2">
        <v>27</v>
      </c>
      <c r="D30" s="2" t="str">
        <f>IF(Customer_Details[[#This Row],[Age]]&lt;=30,"Adult",IF(Customer_Details[[#This Row],[Age]]&lt;=50,"Mid-Adult","Senior"))</f>
        <v>Adult</v>
      </c>
      <c r="E30" s="2" t="s">
        <v>16</v>
      </c>
      <c r="F30" s="2" t="s">
        <v>120</v>
      </c>
      <c r="G30" s="2" t="s">
        <v>88</v>
      </c>
      <c r="H30" s="2" t="s">
        <v>12</v>
      </c>
      <c r="I30" s="2" t="s">
        <v>19</v>
      </c>
    </row>
    <row r="31" spans="1:9" x14ac:dyDescent="0.3">
      <c r="A31" s="2" t="s">
        <v>121</v>
      </c>
      <c r="B31" s="2" t="s">
        <v>122</v>
      </c>
      <c r="C31" s="2">
        <v>54</v>
      </c>
      <c r="D31" s="2" t="str">
        <f>IF(Customer_Details[[#This Row],[Age]]&lt;=30,"Adult",IF(Customer_Details[[#This Row],[Age]]&lt;=50,"Mid-Adult","Senior"))</f>
        <v>Senior</v>
      </c>
      <c r="E31" s="2" t="s">
        <v>16</v>
      </c>
      <c r="F31" s="2" t="s">
        <v>123</v>
      </c>
      <c r="G31" s="2" t="s">
        <v>30</v>
      </c>
      <c r="H31" s="2" t="s">
        <v>12</v>
      </c>
      <c r="I31" s="2" t="s">
        <v>31</v>
      </c>
    </row>
    <row r="32" spans="1:9" x14ac:dyDescent="0.3">
      <c r="A32" s="2" t="s">
        <v>124</v>
      </c>
      <c r="B32" s="2" t="s">
        <v>125</v>
      </c>
      <c r="C32" s="2">
        <v>64</v>
      </c>
      <c r="D32" s="2" t="str">
        <f>IF(Customer_Details[[#This Row],[Age]]&lt;=30,"Adult",IF(Customer_Details[[#This Row],[Age]]&lt;=50,"Mid-Adult","Senior"))</f>
        <v>Senior</v>
      </c>
      <c r="E32" s="2" t="s">
        <v>16</v>
      </c>
      <c r="F32" s="2" t="s">
        <v>126</v>
      </c>
      <c r="G32" s="2" t="s">
        <v>51</v>
      </c>
      <c r="H32" s="2" t="s">
        <v>12</v>
      </c>
      <c r="I32" s="2" t="s">
        <v>26</v>
      </c>
    </row>
    <row r="33" spans="1:9" x14ac:dyDescent="0.3">
      <c r="A33" s="2" t="s">
        <v>127</v>
      </c>
      <c r="B33" s="2" t="s">
        <v>128</v>
      </c>
      <c r="C33" s="2">
        <v>41</v>
      </c>
      <c r="D33" s="2" t="str">
        <f>IF(Customer_Details[[#This Row],[Age]]&lt;=30,"Adult",IF(Customer_Details[[#This Row],[Age]]&lt;=50,"Mid-Adult","Senior"))</f>
        <v>Mid-Adult</v>
      </c>
      <c r="E33" s="2" t="s">
        <v>9</v>
      </c>
      <c r="F33" s="2" t="s">
        <v>129</v>
      </c>
      <c r="G33" s="2" t="s">
        <v>35</v>
      </c>
      <c r="H33" s="2" t="s">
        <v>12</v>
      </c>
      <c r="I33" s="2" t="s">
        <v>31</v>
      </c>
    </row>
    <row r="34" spans="1:9" x14ac:dyDescent="0.3">
      <c r="A34" s="2" t="s">
        <v>130</v>
      </c>
      <c r="B34" s="2" t="s">
        <v>131</v>
      </c>
      <c r="C34" s="2">
        <v>48</v>
      </c>
      <c r="D34" s="2" t="str">
        <f>IF(Customer_Details[[#This Row],[Age]]&lt;=30,"Adult",IF(Customer_Details[[#This Row],[Age]]&lt;=50,"Mid-Adult","Senior"))</f>
        <v>Mid-Adult</v>
      </c>
      <c r="E34" s="2" t="s">
        <v>16</v>
      </c>
      <c r="F34" s="2" t="s">
        <v>132</v>
      </c>
      <c r="G34" s="2" t="s">
        <v>133</v>
      </c>
      <c r="H34" s="2" t="s">
        <v>12</v>
      </c>
      <c r="I34" s="2" t="s">
        <v>13</v>
      </c>
    </row>
    <row r="35" spans="1:9" x14ac:dyDescent="0.3">
      <c r="A35" s="2" t="s">
        <v>134</v>
      </c>
      <c r="B35" s="2" t="s">
        <v>3939</v>
      </c>
      <c r="C35" s="2">
        <v>25</v>
      </c>
      <c r="D35" s="2" t="str">
        <f>IF(Customer_Details[[#This Row],[Age]]&lt;=30,"Adult",IF(Customer_Details[[#This Row],[Age]]&lt;=50,"Mid-Adult","Senior"))</f>
        <v>Adult</v>
      </c>
      <c r="E35" s="2" t="s">
        <v>9</v>
      </c>
      <c r="F35" s="2" t="s">
        <v>135</v>
      </c>
      <c r="G35" s="2" t="s">
        <v>96</v>
      </c>
      <c r="H35" s="2" t="s">
        <v>12</v>
      </c>
      <c r="I35" s="2" t="s">
        <v>19</v>
      </c>
    </row>
    <row r="36" spans="1:9" x14ac:dyDescent="0.3">
      <c r="A36" s="2" t="s">
        <v>136</v>
      </c>
      <c r="B36" s="2" t="s">
        <v>137</v>
      </c>
      <c r="C36" s="2">
        <v>27</v>
      </c>
      <c r="D36" s="2" t="str">
        <f>IF(Customer_Details[[#This Row],[Age]]&lt;=30,"Adult",IF(Customer_Details[[#This Row],[Age]]&lt;=50,"Mid-Adult","Senior"))</f>
        <v>Adult</v>
      </c>
      <c r="E36" s="2" t="s">
        <v>16</v>
      </c>
      <c r="F36" s="2" t="s">
        <v>138</v>
      </c>
      <c r="G36" s="2" t="s">
        <v>139</v>
      </c>
      <c r="H36" s="2" t="s">
        <v>12</v>
      </c>
      <c r="I36" s="2" t="s">
        <v>19</v>
      </c>
    </row>
    <row r="37" spans="1:9" x14ac:dyDescent="0.3">
      <c r="A37" s="2" t="s">
        <v>140</v>
      </c>
      <c r="B37" s="2" t="s">
        <v>141</v>
      </c>
      <c r="C37" s="2">
        <v>52</v>
      </c>
      <c r="D37" s="2" t="str">
        <f>IF(Customer_Details[[#This Row],[Age]]&lt;=30,"Adult",IF(Customer_Details[[#This Row],[Age]]&lt;=50,"Mid-Adult","Senior"))</f>
        <v>Senior</v>
      </c>
      <c r="E37" s="2" t="s">
        <v>9</v>
      </c>
      <c r="F37" s="2" t="s">
        <v>142</v>
      </c>
      <c r="G37" s="2" t="s">
        <v>18</v>
      </c>
      <c r="H37" s="2" t="s">
        <v>12</v>
      </c>
      <c r="I37" s="2" t="s">
        <v>31</v>
      </c>
    </row>
    <row r="38" spans="1:9" x14ac:dyDescent="0.3">
      <c r="A38" s="2" t="s">
        <v>143</v>
      </c>
      <c r="B38" s="2" t="s">
        <v>144</v>
      </c>
      <c r="C38" s="2">
        <v>20</v>
      </c>
      <c r="D38" s="2" t="str">
        <f>IF(Customer_Details[[#This Row],[Age]]&lt;=30,"Adult",IF(Customer_Details[[#This Row],[Age]]&lt;=50,"Mid-Adult","Senior"))</f>
        <v>Adult</v>
      </c>
      <c r="E38" s="2" t="s">
        <v>16</v>
      </c>
      <c r="F38" s="2" t="s">
        <v>145</v>
      </c>
      <c r="G38" s="2" t="s">
        <v>81</v>
      </c>
      <c r="H38" s="2" t="s">
        <v>12</v>
      </c>
      <c r="I38" s="2" t="s">
        <v>13</v>
      </c>
    </row>
    <row r="39" spans="1:9" x14ac:dyDescent="0.3">
      <c r="A39" s="2" t="s">
        <v>146</v>
      </c>
      <c r="B39" s="2" t="s">
        <v>147</v>
      </c>
      <c r="C39" s="2">
        <v>27</v>
      </c>
      <c r="D39" s="2" t="str">
        <f>IF(Customer_Details[[#This Row],[Age]]&lt;=30,"Adult",IF(Customer_Details[[#This Row],[Age]]&lt;=50,"Mid-Adult","Senior"))</f>
        <v>Adult</v>
      </c>
      <c r="E39" s="2" t="s">
        <v>16</v>
      </c>
      <c r="F39" s="2" t="s">
        <v>148</v>
      </c>
      <c r="G39" s="2" t="s">
        <v>39</v>
      </c>
      <c r="H39" s="2" t="s">
        <v>12</v>
      </c>
      <c r="I39" s="2" t="s">
        <v>19</v>
      </c>
    </row>
    <row r="40" spans="1:9" x14ac:dyDescent="0.3">
      <c r="A40" s="2" t="s">
        <v>149</v>
      </c>
      <c r="B40" s="2" t="s">
        <v>150</v>
      </c>
      <c r="C40" s="2">
        <v>35</v>
      </c>
      <c r="D40" s="2" t="str">
        <f>IF(Customer_Details[[#This Row],[Age]]&lt;=30,"Adult",IF(Customer_Details[[#This Row],[Age]]&lt;=50,"Mid-Adult","Senior"))</f>
        <v>Mid-Adult</v>
      </c>
      <c r="E40" s="2" t="s">
        <v>16</v>
      </c>
      <c r="F40" s="2" t="s">
        <v>151</v>
      </c>
      <c r="G40" s="2" t="s">
        <v>18</v>
      </c>
      <c r="H40" s="2" t="s">
        <v>12</v>
      </c>
      <c r="I40" s="2" t="s">
        <v>26</v>
      </c>
    </row>
    <row r="41" spans="1:9" x14ac:dyDescent="0.3">
      <c r="A41" s="2" t="s">
        <v>152</v>
      </c>
      <c r="B41" s="2" t="s">
        <v>153</v>
      </c>
      <c r="C41" s="2">
        <v>55</v>
      </c>
      <c r="D41" s="2" t="str">
        <f>IF(Customer_Details[[#This Row],[Age]]&lt;=30,"Adult",IF(Customer_Details[[#This Row],[Age]]&lt;=50,"Mid-Adult","Senior"))</f>
        <v>Senior</v>
      </c>
      <c r="E41" s="2" t="s">
        <v>16</v>
      </c>
      <c r="F41" s="2" t="s">
        <v>154</v>
      </c>
      <c r="G41" s="2" t="s">
        <v>155</v>
      </c>
      <c r="H41" s="2" t="s">
        <v>12</v>
      </c>
      <c r="I41" s="2" t="s">
        <v>13</v>
      </c>
    </row>
    <row r="42" spans="1:9" x14ac:dyDescent="0.3">
      <c r="A42" s="2" t="s">
        <v>156</v>
      </c>
      <c r="B42" s="2" t="s">
        <v>157</v>
      </c>
      <c r="C42" s="2">
        <v>50</v>
      </c>
      <c r="D42" s="2" t="str">
        <f>IF(Customer_Details[[#This Row],[Age]]&lt;=30,"Adult",IF(Customer_Details[[#This Row],[Age]]&lt;=50,"Mid-Adult","Senior"))</f>
        <v>Mid-Adult</v>
      </c>
      <c r="E42" s="2" t="s">
        <v>9</v>
      </c>
      <c r="F42" s="2" t="s">
        <v>158</v>
      </c>
      <c r="G42" s="2" t="s">
        <v>62</v>
      </c>
      <c r="H42" s="2" t="s">
        <v>12</v>
      </c>
      <c r="I42" s="2" t="s">
        <v>13</v>
      </c>
    </row>
    <row r="43" spans="1:9" x14ac:dyDescent="0.3">
      <c r="A43" s="2" t="s">
        <v>159</v>
      </c>
      <c r="B43" s="2" t="s">
        <v>160</v>
      </c>
      <c r="C43" s="2">
        <v>21</v>
      </c>
      <c r="D43" s="2" t="str">
        <f>IF(Customer_Details[[#This Row],[Age]]&lt;=30,"Adult",IF(Customer_Details[[#This Row],[Age]]&lt;=50,"Mid-Adult","Senior"))</f>
        <v>Adult</v>
      </c>
      <c r="E43" s="2" t="s">
        <v>9</v>
      </c>
      <c r="F43" s="2" t="s">
        <v>161</v>
      </c>
      <c r="G43" s="2" t="s">
        <v>162</v>
      </c>
      <c r="H43" s="2" t="s">
        <v>12</v>
      </c>
      <c r="I43" s="2" t="s">
        <v>19</v>
      </c>
    </row>
    <row r="44" spans="1:9" x14ac:dyDescent="0.3">
      <c r="A44" s="2" t="s">
        <v>163</v>
      </c>
      <c r="B44" s="2" t="s">
        <v>164</v>
      </c>
      <c r="C44" s="2">
        <v>19</v>
      </c>
      <c r="D44" s="2" t="str">
        <f>IF(Customer_Details[[#This Row],[Age]]&lt;=30,"Adult",IF(Customer_Details[[#This Row],[Age]]&lt;=50,"Mid-Adult","Senior"))</f>
        <v>Adult</v>
      </c>
      <c r="E44" s="2" t="s">
        <v>9</v>
      </c>
      <c r="F44" s="2" t="s">
        <v>165</v>
      </c>
      <c r="G44" s="2" t="s">
        <v>166</v>
      </c>
      <c r="H44" s="2" t="s">
        <v>12</v>
      </c>
      <c r="I44" s="2" t="s">
        <v>19</v>
      </c>
    </row>
    <row r="45" spans="1:9" x14ac:dyDescent="0.3">
      <c r="A45" s="2" t="s">
        <v>167</v>
      </c>
      <c r="B45" s="2" t="s">
        <v>168</v>
      </c>
      <c r="C45" s="2">
        <v>45</v>
      </c>
      <c r="D45" s="2" t="str">
        <f>IF(Customer_Details[[#This Row],[Age]]&lt;=30,"Adult",IF(Customer_Details[[#This Row],[Age]]&lt;=50,"Mid-Adult","Senior"))</f>
        <v>Mid-Adult</v>
      </c>
      <c r="E45" s="2" t="s">
        <v>9</v>
      </c>
      <c r="F45" s="2" t="s">
        <v>169</v>
      </c>
      <c r="G45" s="2" t="s">
        <v>170</v>
      </c>
      <c r="H45" s="2" t="s">
        <v>12</v>
      </c>
      <c r="I45" s="2" t="s">
        <v>13</v>
      </c>
    </row>
    <row r="46" spans="1:9" x14ac:dyDescent="0.3">
      <c r="A46" s="2" t="s">
        <v>171</v>
      </c>
      <c r="B46" s="2" t="s">
        <v>172</v>
      </c>
      <c r="C46" s="2">
        <v>34</v>
      </c>
      <c r="D46" s="2" t="str">
        <f>IF(Customer_Details[[#This Row],[Age]]&lt;=30,"Adult",IF(Customer_Details[[#This Row],[Age]]&lt;=50,"Mid-Adult","Senior"))</f>
        <v>Mid-Adult</v>
      </c>
      <c r="E46" s="2" t="s">
        <v>9</v>
      </c>
      <c r="F46" s="2" t="s">
        <v>173</v>
      </c>
      <c r="G46" s="2" t="s">
        <v>99</v>
      </c>
      <c r="H46" s="2" t="s">
        <v>12</v>
      </c>
      <c r="I46" s="2" t="s">
        <v>26</v>
      </c>
    </row>
    <row r="47" spans="1:9" x14ac:dyDescent="0.3">
      <c r="A47" s="2" t="s">
        <v>174</v>
      </c>
      <c r="B47" s="2" t="s">
        <v>3940</v>
      </c>
      <c r="C47" s="2">
        <v>54</v>
      </c>
      <c r="D47" s="2" t="str">
        <f>IF(Customer_Details[[#This Row],[Age]]&lt;=30,"Adult",IF(Customer_Details[[#This Row],[Age]]&lt;=50,"Mid-Adult","Senior"))</f>
        <v>Senior</v>
      </c>
      <c r="E47" s="2" t="s">
        <v>9</v>
      </c>
      <c r="F47" s="2" t="s">
        <v>175</v>
      </c>
      <c r="G47" s="2" t="s">
        <v>133</v>
      </c>
      <c r="H47" s="2" t="s">
        <v>12</v>
      </c>
      <c r="I47" s="2" t="s">
        <v>13</v>
      </c>
    </row>
    <row r="48" spans="1:9" x14ac:dyDescent="0.3">
      <c r="A48" s="2" t="s">
        <v>176</v>
      </c>
      <c r="B48" s="2" t="s">
        <v>3941</v>
      </c>
      <c r="C48" s="2">
        <v>55</v>
      </c>
      <c r="D48" s="2" t="str">
        <f>IF(Customer_Details[[#This Row],[Age]]&lt;=30,"Adult",IF(Customer_Details[[#This Row],[Age]]&lt;=50,"Mid-Adult","Senior"))</f>
        <v>Senior</v>
      </c>
      <c r="E48" s="2" t="s">
        <v>16</v>
      </c>
      <c r="F48" s="2" t="s">
        <v>177</v>
      </c>
      <c r="G48" s="2" t="s">
        <v>25</v>
      </c>
      <c r="H48" s="2" t="s">
        <v>12</v>
      </c>
      <c r="I48" s="2" t="s">
        <v>19</v>
      </c>
    </row>
    <row r="49" spans="1:9" x14ac:dyDescent="0.3">
      <c r="A49" s="2" t="s">
        <v>178</v>
      </c>
      <c r="B49" s="2" t="s">
        <v>179</v>
      </c>
      <c r="C49" s="2">
        <v>54</v>
      </c>
      <c r="D49" s="2" t="str">
        <f>IF(Customer_Details[[#This Row],[Age]]&lt;=30,"Adult",IF(Customer_Details[[#This Row],[Age]]&lt;=50,"Mid-Adult","Senior"))</f>
        <v>Senior</v>
      </c>
      <c r="E49" s="2" t="s">
        <v>16</v>
      </c>
      <c r="F49" s="2" t="s">
        <v>180</v>
      </c>
      <c r="G49" s="2" t="s">
        <v>181</v>
      </c>
      <c r="H49" s="2" t="s">
        <v>12</v>
      </c>
      <c r="I49" s="2" t="s">
        <v>31</v>
      </c>
    </row>
    <row r="50" spans="1:9" x14ac:dyDescent="0.3">
      <c r="A50" s="2" t="s">
        <v>182</v>
      </c>
      <c r="B50" s="2" t="s">
        <v>183</v>
      </c>
      <c r="C50" s="2">
        <v>54</v>
      </c>
      <c r="D50" s="2" t="str">
        <f>IF(Customer_Details[[#This Row],[Age]]&lt;=30,"Adult",IF(Customer_Details[[#This Row],[Age]]&lt;=50,"Mid-Adult","Senior"))</f>
        <v>Senior</v>
      </c>
      <c r="E50" s="2" t="s">
        <v>9</v>
      </c>
      <c r="F50" s="2" t="s">
        <v>184</v>
      </c>
      <c r="G50" s="2" t="s">
        <v>11</v>
      </c>
      <c r="H50" s="2" t="s">
        <v>12</v>
      </c>
      <c r="I50" s="2" t="s">
        <v>19</v>
      </c>
    </row>
    <row r="51" spans="1:9" x14ac:dyDescent="0.3">
      <c r="A51" s="2" t="s">
        <v>185</v>
      </c>
      <c r="B51" s="2" t="s">
        <v>186</v>
      </c>
      <c r="C51" s="2">
        <v>45</v>
      </c>
      <c r="D51" s="2" t="str">
        <f>IF(Customer_Details[[#This Row],[Age]]&lt;=30,"Adult",IF(Customer_Details[[#This Row],[Age]]&lt;=50,"Mid-Adult","Senior"))</f>
        <v>Mid-Adult</v>
      </c>
      <c r="E51" s="2" t="s">
        <v>16</v>
      </c>
      <c r="F51" s="2" t="s">
        <v>187</v>
      </c>
      <c r="G51" s="2" t="s">
        <v>25</v>
      </c>
      <c r="H51" s="2" t="s">
        <v>12</v>
      </c>
      <c r="I51" s="2" t="s">
        <v>13</v>
      </c>
    </row>
    <row r="52" spans="1:9" x14ac:dyDescent="0.3">
      <c r="A52" s="2" t="s">
        <v>188</v>
      </c>
      <c r="B52" s="2" t="s">
        <v>189</v>
      </c>
      <c r="C52" s="2">
        <v>61</v>
      </c>
      <c r="D52" s="2" t="str">
        <f>IF(Customer_Details[[#This Row],[Age]]&lt;=30,"Adult",IF(Customer_Details[[#This Row],[Age]]&lt;=50,"Mid-Adult","Senior"))</f>
        <v>Senior</v>
      </c>
      <c r="E52" s="2" t="s">
        <v>16</v>
      </c>
      <c r="F52" s="2" t="s">
        <v>190</v>
      </c>
      <c r="G52" s="2" t="s">
        <v>191</v>
      </c>
      <c r="H52" s="2" t="s">
        <v>12</v>
      </c>
      <c r="I52" s="2" t="s">
        <v>13</v>
      </c>
    </row>
    <row r="53" spans="1:9" x14ac:dyDescent="0.3">
      <c r="A53" s="2" t="s">
        <v>192</v>
      </c>
      <c r="B53" s="2" t="s">
        <v>193</v>
      </c>
      <c r="C53" s="2">
        <v>23</v>
      </c>
      <c r="D53" s="2" t="str">
        <f>IF(Customer_Details[[#This Row],[Age]]&lt;=30,"Adult",IF(Customer_Details[[#This Row],[Age]]&lt;=50,"Mid-Adult","Senior"))</f>
        <v>Adult</v>
      </c>
      <c r="E53" s="2" t="s">
        <v>16</v>
      </c>
      <c r="F53" s="2" t="s">
        <v>194</v>
      </c>
      <c r="G53" s="2" t="s">
        <v>43</v>
      </c>
      <c r="H53" s="2" t="s">
        <v>12</v>
      </c>
      <c r="I53" s="2" t="s">
        <v>13</v>
      </c>
    </row>
    <row r="54" spans="1:9" x14ac:dyDescent="0.3">
      <c r="A54" s="2" t="s">
        <v>195</v>
      </c>
      <c r="B54" s="2" t="s">
        <v>196</v>
      </c>
      <c r="C54" s="2">
        <v>55</v>
      </c>
      <c r="D54" s="2" t="str">
        <f>IF(Customer_Details[[#This Row],[Age]]&lt;=30,"Adult",IF(Customer_Details[[#This Row],[Age]]&lt;=50,"Mid-Adult","Senior"))</f>
        <v>Senior</v>
      </c>
      <c r="E54" s="2" t="s">
        <v>9</v>
      </c>
      <c r="F54" s="2" t="s">
        <v>197</v>
      </c>
      <c r="G54" s="2" t="s">
        <v>198</v>
      </c>
      <c r="H54" s="2" t="s">
        <v>12</v>
      </c>
      <c r="I54" s="2" t="s">
        <v>26</v>
      </c>
    </row>
    <row r="55" spans="1:9" x14ac:dyDescent="0.3">
      <c r="A55" s="2" t="s">
        <v>199</v>
      </c>
      <c r="B55" s="2" t="s">
        <v>200</v>
      </c>
      <c r="C55" s="2">
        <v>37</v>
      </c>
      <c r="D55" s="2" t="str">
        <f>IF(Customer_Details[[#This Row],[Age]]&lt;=30,"Adult",IF(Customer_Details[[#This Row],[Age]]&lt;=50,"Mid-Adult","Senior"))</f>
        <v>Mid-Adult</v>
      </c>
      <c r="E55" s="2" t="s">
        <v>16</v>
      </c>
      <c r="F55" s="2" t="s">
        <v>201</v>
      </c>
      <c r="G55" s="2" t="s">
        <v>155</v>
      </c>
      <c r="H55" s="2" t="s">
        <v>12</v>
      </c>
      <c r="I55" s="2" t="s">
        <v>13</v>
      </c>
    </row>
    <row r="56" spans="1:9" x14ac:dyDescent="0.3">
      <c r="A56" s="2" t="s">
        <v>202</v>
      </c>
      <c r="B56" s="2" t="s">
        <v>203</v>
      </c>
      <c r="C56" s="2">
        <v>24</v>
      </c>
      <c r="D56" s="2" t="str">
        <f>IF(Customer_Details[[#This Row],[Age]]&lt;=30,"Adult",IF(Customer_Details[[#This Row],[Age]]&lt;=50,"Mid-Adult","Senior"))</f>
        <v>Adult</v>
      </c>
      <c r="E56" s="2" t="s">
        <v>9</v>
      </c>
      <c r="F56" s="2" t="s">
        <v>204</v>
      </c>
      <c r="G56" s="2" t="s">
        <v>96</v>
      </c>
      <c r="H56" s="2" t="s">
        <v>12</v>
      </c>
      <c r="I56" s="2" t="s">
        <v>19</v>
      </c>
    </row>
    <row r="57" spans="1:9" x14ac:dyDescent="0.3">
      <c r="A57" s="2" t="s">
        <v>205</v>
      </c>
      <c r="B57" s="2" t="s">
        <v>206</v>
      </c>
      <c r="C57" s="2">
        <v>56</v>
      </c>
      <c r="D57" s="2" t="str">
        <f>IF(Customer_Details[[#This Row],[Age]]&lt;=30,"Adult",IF(Customer_Details[[#This Row],[Age]]&lt;=50,"Mid-Adult","Senior"))</f>
        <v>Senior</v>
      </c>
      <c r="E57" s="2" t="s">
        <v>16</v>
      </c>
      <c r="F57" s="2" t="s">
        <v>207</v>
      </c>
      <c r="G57" s="2" t="s">
        <v>198</v>
      </c>
      <c r="H57" s="2" t="s">
        <v>12</v>
      </c>
      <c r="I57" s="2" t="s">
        <v>26</v>
      </c>
    </row>
    <row r="58" spans="1:9" x14ac:dyDescent="0.3">
      <c r="A58" s="2" t="s">
        <v>208</v>
      </c>
      <c r="B58" s="2" t="s">
        <v>209</v>
      </c>
      <c r="C58" s="2">
        <v>49</v>
      </c>
      <c r="D58" s="2" t="str">
        <f>IF(Customer_Details[[#This Row],[Age]]&lt;=30,"Adult",IF(Customer_Details[[#This Row],[Age]]&lt;=50,"Mid-Adult","Senior"))</f>
        <v>Mid-Adult</v>
      </c>
      <c r="E58" s="2" t="s">
        <v>16</v>
      </c>
      <c r="F58" s="2" t="s">
        <v>210</v>
      </c>
      <c r="G58" s="2" t="s">
        <v>51</v>
      </c>
      <c r="H58" s="2" t="s">
        <v>12</v>
      </c>
      <c r="I58" s="2" t="s">
        <v>13</v>
      </c>
    </row>
    <row r="59" spans="1:9" x14ac:dyDescent="0.3">
      <c r="A59" s="2" t="s">
        <v>211</v>
      </c>
      <c r="B59" s="2" t="s">
        <v>212</v>
      </c>
      <c r="C59" s="2">
        <v>43</v>
      </c>
      <c r="D59" s="2" t="str">
        <f>IF(Customer_Details[[#This Row],[Age]]&lt;=30,"Adult",IF(Customer_Details[[#This Row],[Age]]&lt;=50,"Mid-Adult","Senior"))</f>
        <v>Mid-Adult</v>
      </c>
      <c r="E59" s="2" t="s">
        <v>16</v>
      </c>
      <c r="F59" s="2" t="s">
        <v>213</v>
      </c>
      <c r="G59" s="2" t="s">
        <v>214</v>
      </c>
      <c r="H59" s="2" t="s">
        <v>12</v>
      </c>
      <c r="I59" s="2" t="s">
        <v>19</v>
      </c>
    </row>
    <row r="60" spans="1:9" x14ac:dyDescent="0.3">
      <c r="A60" s="2" t="s">
        <v>215</v>
      </c>
      <c r="B60" s="2" t="s">
        <v>216</v>
      </c>
      <c r="C60" s="2">
        <v>51</v>
      </c>
      <c r="D60" s="2" t="str">
        <f>IF(Customer_Details[[#This Row],[Age]]&lt;=30,"Adult",IF(Customer_Details[[#This Row],[Age]]&lt;=50,"Mid-Adult","Senior"))</f>
        <v>Senior</v>
      </c>
      <c r="E60" s="2" t="s">
        <v>9</v>
      </c>
      <c r="F60" s="2" t="s">
        <v>217</v>
      </c>
      <c r="G60" s="2" t="s">
        <v>139</v>
      </c>
      <c r="H60" s="2" t="s">
        <v>12</v>
      </c>
      <c r="I60" s="2" t="s">
        <v>19</v>
      </c>
    </row>
    <row r="61" spans="1:9" x14ac:dyDescent="0.3">
      <c r="A61" s="2" t="s">
        <v>218</v>
      </c>
      <c r="B61" s="2" t="s">
        <v>219</v>
      </c>
      <c r="C61" s="2">
        <v>53</v>
      </c>
      <c r="D61" s="2" t="str">
        <f>IF(Customer_Details[[#This Row],[Age]]&lt;=30,"Adult",IF(Customer_Details[[#This Row],[Age]]&lt;=50,"Mid-Adult","Senior"))</f>
        <v>Senior</v>
      </c>
      <c r="E61" s="2" t="s">
        <v>9</v>
      </c>
      <c r="F61" s="2" t="s">
        <v>220</v>
      </c>
      <c r="G61" s="2" t="s">
        <v>66</v>
      </c>
      <c r="H61" s="2" t="s">
        <v>12</v>
      </c>
      <c r="I61" s="2" t="s">
        <v>19</v>
      </c>
    </row>
    <row r="62" spans="1:9" x14ac:dyDescent="0.3">
      <c r="A62" s="2" t="s">
        <v>221</v>
      </c>
      <c r="B62" s="2" t="s">
        <v>222</v>
      </c>
      <c r="C62" s="2">
        <v>22</v>
      </c>
      <c r="D62" s="2" t="str">
        <f>IF(Customer_Details[[#This Row],[Age]]&lt;=30,"Adult",IF(Customer_Details[[#This Row],[Age]]&lt;=50,"Mid-Adult","Senior"))</f>
        <v>Adult</v>
      </c>
      <c r="E62" s="2" t="s">
        <v>16</v>
      </c>
      <c r="F62" s="2" t="s">
        <v>223</v>
      </c>
      <c r="G62" s="2" t="s">
        <v>162</v>
      </c>
      <c r="H62" s="2" t="s">
        <v>12</v>
      </c>
      <c r="I62" s="2" t="s">
        <v>31</v>
      </c>
    </row>
    <row r="63" spans="1:9" x14ac:dyDescent="0.3">
      <c r="A63" s="2" t="s">
        <v>224</v>
      </c>
      <c r="B63" s="2" t="s">
        <v>225</v>
      </c>
      <c r="C63" s="2">
        <v>23</v>
      </c>
      <c r="D63" s="2" t="str">
        <f>IF(Customer_Details[[#This Row],[Age]]&lt;=30,"Adult",IF(Customer_Details[[#This Row],[Age]]&lt;=50,"Mid-Adult","Senior"))</f>
        <v>Adult</v>
      </c>
      <c r="E63" s="2" t="s">
        <v>9</v>
      </c>
      <c r="F63" s="2" t="s">
        <v>226</v>
      </c>
      <c r="G63" s="2" t="s">
        <v>113</v>
      </c>
      <c r="H63" s="2" t="s">
        <v>12</v>
      </c>
      <c r="I63" s="2" t="s">
        <v>31</v>
      </c>
    </row>
    <row r="64" spans="1:9" x14ac:dyDescent="0.3">
      <c r="A64" s="2" t="s">
        <v>227</v>
      </c>
      <c r="B64" s="2" t="s">
        <v>228</v>
      </c>
      <c r="C64" s="2">
        <v>50</v>
      </c>
      <c r="D64" s="2" t="str">
        <f>IF(Customer_Details[[#This Row],[Age]]&lt;=30,"Adult",IF(Customer_Details[[#This Row],[Age]]&lt;=50,"Mid-Adult","Senior"))</f>
        <v>Mid-Adult</v>
      </c>
      <c r="E64" s="2" t="s">
        <v>9</v>
      </c>
      <c r="F64" s="2" t="s">
        <v>229</v>
      </c>
      <c r="G64" s="2" t="s">
        <v>230</v>
      </c>
      <c r="H64" s="2" t="s">
        <v>12</v>
      </c>
      <c r="I64" s="2" t="s">
        <v>26</v>
      </c>
    </row>
    <row r="65" spans="1:9" x14ac:dyDescent="0.3">
      <c r="A65" s="2" t="s">
        <v>231</v>
      </c>
      <c r="B65" s="2" t="s">
        <v>232</v>
      </c>
      <c r="C65" s="2">
        <v>51</v>
      </c>
      <c r="D65" s="2" t="str">
        <f>IF(Customer_Details[[#This Row],[Age]]&lt;=30,"Adult",IF(Customer_Details[[#This Row],[Age]]&lt;=50,"Mid-Adult","Senior"))</f>
        <v>Senior</v>
      </c>
      <c r="E65" s="2" t="s">
        <v>9</v>
      </c>
      <c r="F65" s="2" t="s">
        <v>233</v>
      </c>
      <c r="G65" s="2" t="s">
        <v>234</v>
      </c>
      <c r="H65" s="2" t="s">
        <v>12</v>
      </c>
      <c r="I65" s="2" t="s">
        <v>19</v>
      </c>
    </row>
    <row r="66" spans="1:9" x14ac:dyDescent="0.3">
      <c r="A66" s="2" t="s">
        <v>235</v>
      </c>
      <c r="B66" s="2" t="s">
        <v>236</v>
      </c>
      <c r="C66" s="2">
        <v>33</v>
      </c>
      <c r="D66" s="2" t="str">
        <f>IF(Customer_Details[[#This Row],[Age]]&lt;=30,"Adult",IF(Customer_Details[[#This Row],[Age]]&lt;=50,"Mid-Adult","Senior"))</f>
        <v>Mid-Adult</v>
      </c>
      <c r="E66" s="2" t="s">
        <v>9</v>
      </c>
      <c r="F66" s="2" t="s">
        <v>237</v>
      </c>
      <c r="G66" s="2" t="s">
        <v>133</v>
      </c>
      <c r="H66" s="2" t="s">
        <v>12</v>
      </c>
      <c r="I66" s="2" t="s">
        <v>13</v>
      </c>
    </row>
    <row r="67" spans="1:9" x14ac:dyDescent="0.3">
      <c r="A67" s="2" t="s">
        <v>238</v>
      </c>
      <c r="B67" s="2" t="s">
        <v>239</v>
      </c>
      <c r="C67" s="2">
        <v>21</v>
      </c>
      <c r="D67" s="2" t="str">
        <f>IF(Customer_Details[[#This Row],[Age]]&lt;=30,"Adult",IF(Customer_Details[[#This Row],[Age]]&lt;=50,"Mid-Adult","Senior"))</f>
        <v>Adult</v>
      </c>
      <c r="E67" s="2" t="s">
        <v>16</v>
      </c>
      <c r="F67" s="2" t="s">
        <v>240</v>
      </c>
      <c r="G67" s="2" t="s">
        <v>181</v>
      </c>
      <c r="H67" s="2" t="s">
        <v>12</v>
      </c>
      <c r="I67" s="2" t="s">
        <v>31</v>
      </c>
    </row>
    <row r="68" spans="1:9" x14ac:dyDescent="0.3">
      <c r="A68" s="2" t="s">
        <v>241</v>
      </c>
      <c r="B68" s="2" t="s">
        <v>242</v>
      </c>
      <c r="C68" s="2">
        <v>27</v>
      </c>
      <c r="D68" s="2" t="str">
        <f>IF(Customer_Details[[#This Row],[Age]]&lt;=30,"Adult",IF(Customer_Details[[#This Row],[Age]]&lt;=50,"Mid-Adult","Senior"))</f>
        <v>Adult</v>
      </c>
      <c r="E68" s="2" t="s">
        <v>16</v>
      </c>
      <c r="F68" s="2" t="s">
        <v>243</v>
      </c>
      <c r="G68" s="2" t="s">
        <v>47</v>
      </c>
      <c r="H68" s="2" t="s">
        <v>12</v>
      </c>
      <c r="I68" s="2" t="s">
        <v>31</v>
      </c>
    </row>
    <row r="69" spans="1:9" x14ac:dyDescent="0.3">
      <c r="A69" s="2" t="s">
        <v>244</v>
      </c>
      <c r="B69" s="2" t="s">
        <v>245</v>
      </c>
      <c r="C69" s="2">
        <v>58</v>
      </c>
      <c r="D69" s="2" t="str">
        <f>IF(Customer_Details[[#This Row],[Age]]&lt;=30,"Adult",IF(Customer_Details[[#This Row],[Age]]&lt;=50,"Mid-Adult","Senior"))</f>
        <v>Senior</v>
      </c>
      <c r="E69" s="2" t="s">
        <v>9</v>
      </c>
      <c r="F69" s="2" t="s">
        <v>246</v>
      </c>
      <c r="G69" s="2" t="s">
        <v>247</v>
      </c>
      <c r="H69" s="2" t="s">
        <v>12</v>
      </c>
      <c r="I69" s="2" t="s">
        <v>31</v>
      </c>
    </row>
    <row r="70" spans="1:9" x14ac:dyDescent="0.3">
      <c r="A70" s="2" t="s">
        <v>248</v>
      </c>
      <c r="B70" s="2" t="s">
        <v>249</v>
      </c>
      <c r="C70" s="2">
        <v>24</v>
      </c>
      <c r="D70" s="2" t="str">
        <f>IF(Customer_Details[[#This Row],[Age]]&lt;=30,"Adult",IF(Customer_Details[[#This Row],[Age]]&lt;=50,"Mid-Adult","Senior"))</f>
        <v>Adult</v>
      </c>
      <c r="E70" s="2" t="s">
        <v>16</v>
      </c>
      <c r="F70" s="2" t="s">
        <v>250</v>
      </c>
      <c r="G70" s="2" t="s">
        <v>251</v>
      </c>
      <c r="H70" s="2" t="s">
        <v>12</v>
      </c>
      <c r="I70" s="2" t="s">
        <v>31</v>
      </c>
    </row>
    <row r="71" spans="1:9" x14ac:dyDescent="0.3">
      <c r="A71" s="2" t="s">
        <v>252</v>
      </c>
      <c r="B71" s="2" t="s">
        <v>253</v>
      </c>
      <c r="C71" s="2">
        <v>24</v>
      </c>
      <c r="D71" s="2" t="str">
        <f>IF(Customer_Details[[#This Row],[Age]]&lt;=30,"Adult",IF(Customer_Details[[#This Row],[Age]]&lt;=50,"Mid-Adult","Senior"))</f>
        <v>Adult</v>
      </c>
      <c r="E71" s="2" t="s">
        <v>16</v>
      </c>
      <c r="F71" s="2" t="s">
        <v>254</v>
      </c>
      <c r="G71" s="2" t="s">
        <v>88</v>
      </c>
      <c r="H71" s="2" t="s">
        <v>12</v>
      </c>
      <c r="I71" s="2" t="s">
        <v>19</v>
      </c>
    </row>
    <row r="72" spans="1:9" x14ac:dyDescent="0.3">
      <c r="A72" s="2" t="s">
        <v>255</v>
      </c>
      <c r="B72" s="2" t="s">
        <v>256</v>
      </c>
      <c r="C72" s="2">
        <v>29</v>
      </c>
      <c r="D72" s="2" t="str">
        <f>IF(Customer_Details[[#This Row],[Age]]&lt;=30,"Adult",IF(Customer_Details[[#This Row],[Age]]&lt;=50,"Mid-Adult","Senior"))</f>
        <v>Adult</v>
      </c>
      <c r="E72" s="2" t="s">
        <v>16</v>
      </c>
      <c r="F72" s="2" t="s">
        <v>257</v>
      </c>
      <c r="G72" s="2" t="s">
        <v>230</v>
      </c>
      <c r="H72" s="2" t="s">
        <v>12</v>
      </c>
      <c r="I72" s="2" t="s">
        <v>13</v>
      </c>
    </row>
    <row r="73" spans="1:9" x14ac:dyDescent="0.3">
      <c r="A73" s="2" t="s">
        <v>258</v>
      </c>
      <c r="B73" s="2" t="s">
        <v>259</v>
      </c>
      <c r="C73" s="2">
        <v>61</v>
      </c>
      <c r="D73" s="2" t="str">
        <f>IF(Customer_Details[[#This Row],[Age]]&lt;=30,"Adult",IF(Customer_Details[[#This Row],[Age]]&lt;=50,"Mid-Adult","Senior"))</f>
        <v>Senior</v>
      </c>
      <c r="E73" s="2" t="s">
        <v>16</v>
      </c>
      <c r="F73" s="2" t="s">
        <v>260</v>
      </c>
      <c r="G73" s="2" t="s">
        <v>230</v>
      </c>
      <c r="H73" s="2" t="s">
        <v>12</v>
      </c>
      <c r="I73" s="2" t="s">
        <v>13</v>
      </c>
    </row>
    <row r="74" spans="1:9" x14ac:dyDescent="0.3">
      <c r="A74" s="2" t="s">
        <v>261</v>
      </c>
      <c r="B74" s="2" t="s">
        <v>262</v>
      </c>
      <c r="C74" s="2">
        <v>39</v>
      </c>
      <c r="D74" s="2" t="str">
        <f>IF(Customer_Details[[#This Row],[Age]]&lt;=30,"Adult",IF(Customer_Details[[#This Row],[Age]]&lt;=50,"Mid-Adult","Senior"))</f>
        <v>Mid-Adult</v>
      </c>
      <c r="E74" s="2" t="s">
        <v>16</v>
      </c>
      <c r="F74" s="2" t="s">
        <v>263</v>
      </c>
      <c r="G74" s="2" t="s">
        <v>264</v>
      </c>
      <c r="H74" s="2" t="s">
        <v>12</v>
      </c>
      <c r="I74" s="2" t="s">
        <v>13</v>
      </c>
    </row>
    <row r="75" spans="1:9" x14ac:dyDescent="0.3">
      <c r="A75" s="2" t="s">
        <v>265</v>
      </c>
      <c r="B75" s="2" t="s">
        <v>266</v>
      </c>
      <c r="C75" s="2">
        <v>56</v>
      </c>
      <c r="D75" s="2" t="str">
        <f>IF(Customer_Details[[#This Row],[Age]]&lt;=30,"Adult",IF(Customer_Details[[#This Row],[Age]]&lt;=50,"Mid-Adult","Senior"))</f>
        <v>Senior</v>
      </c>
      <c r="E75" s="2" t="s">
        <v>16</v>
      </c>
      <c r="F75" s="2" t="s">
        <v>267</v>
      </c>
      <c r="G75" s="2" t="s">
        <v>43</v>
      </c>
      <c r="H75" s="2" t="s">
        <v>12</v>
      </c>
      <c r="I75" s="2" t="s">
        <v>31</v>
      </c>
    </row>
    <row r="76" spans="1:9" x14ac:dyDescent="0.3">
      <c r="A76" s="2" t="s">
        <v>268</v>
      </c>
      <c r="B76" s="2" t="s">
        <v>269</v>
      </c>
      <c r="C76" s="2">
        <v>58</v>
      </c>
      <c r="D76" s="2" t="str">
        <f>IF(Customer_Details[[#This Row],[Age]]&lt;=30,"Adult",IF(Customer_Details[[#This Row],[Age]]&lt;=50,"Mid-Adult","Senior"))</f>
        <v>Senior</v>
      </c>
      <c r="E76" s="2" t="s">
        <v>9</v>
      </c>
      <c r="F76" s="2" t="s">
        <v>270</v>
      </c>
      <c r="G76" s="2" t="s">
        <v>271</v>
      </c>
      <c r="H76" s="2" t="s">
        <v>12</v>
      </c>
      <c r="I76" s="2" t="s">
        <v>26</v>
      </c>
    </row>
    <row r="77" spans="1:9" x14ac:dyDescent="0.3">
      <c r="A77" s="2" t="s">
        <v>272</v>
      </c>
      <c r="B77" s="2" t="s">
        <v>273</v>
      </c>
      <c r="C77" s="2">
        <v>61</v>
      </c>
      <c r="D77" s="2" t="str">
        <f>IF(Customer_Details[[#This Row],[Age]]&lt;=30,"Adult",IF(Customer_Details[[#This Row],[Age]]&lt;=50,"Mid-Adult","Senior"))</f>
        <v>Senior</v>
      </c>
      <c r="E77" s="2" t="s">
        <v>16</v>
      </c>
      <c r="F77" s="2" t="s">
        <v>274</v>
      </c>
      <c r="G77" s="2" t="s">
        <v>30</v>
      </c>
      <c r="H77" s="2" t="s">
        <v>12</v>
      </c>
      <c r="I77" s="2" t="s">
        <v>13</v>
      </c>
    </row>
    <row r="78" spans="1:9" x14ac:dyDescent="0.3">
      <c r="A78" s="2" t="s">
        <v>275</v>
      </c>
      <c r="B78" s="2" t="s">
        <v>276</v>
      </c>
      <c r="C78" s="2">
        <v>37</v>
      </c>
      <c r="D78" s="2" t="str">
        <f>IF(Customer_Details[[#This Row],[Age]]&lt;=30,"Adult",IF(Customer_Details[[#This Row],[Age]]&lt;=50,"Mid-Adult","Senior"))</f>
        <v>Mid-Adult</v>
      </c>
      <c r="E78" s="2" t="s">
        <v>9</v>
      </c>
      <c r="F78" s="2" t="s">
        <v>277</v>
      </c>
      <c r="G78" s="2" t="s">
        <v>96</v>
      </c>
      <c r="H78" s="2" t="s">
        <v>12</v>
      </c>
      <c r="I78" s="2" t="s">
        <v>13</v>
      </c>
    </row>
    <row r="79" spans="1:9" x14ac:dyDescent="0.3">
      <c r="A79" s="2" t="s">
        <v>278</v>
      </c>
      <c r="B79" s="2" t="s">
        <v>279</v>
      </c>
      <c r="C79" s="2">
        <v>29</v>
      </c>
      <c r="D79" s="2" t="str">
        <f>IF(Customer_Details[[#This Row],[Age]]&lt;=30,"Adult",IF(Customer_Details[[#This Row],[Age]]&lt;=50,"Mid-Adult","Senior"))</f>
        <v>Adult</v>
      </c>
      <c r="E79" s="2" t="s">
        <v>9</v>
      </c>
      <c r="F79" s="2" t="s">
        <v>280</v>
      </c>
      <c r="G79" s="2" t="s">
        <v>170</v>
      </c>
      <c r="H79" s="2" t="s">
        <v>12</v>
      </c>
      <c r="I79" s="2" t="s">
        <v>13</v>
      </c>
    </row>
    <row r="80" spans="1:9" x14ac:dyDescent="0.3">
      <c r="A80" s="2" t="s">
        <v>281</v>
      </c>
      <c r="B80" s="2" t="s">
        <v>282</v>
      </c>
      <c r="C80" s="2">
        <v>21</v>
      </c>
      <c r="D80" s="2" t="str">
        <f>IF(Customer_Details[[#This Row],[Age]]&lt;=30,"Adult",IF(Customer_Details[[#This Row],[Age]]&lt;=50,"Mid-Adult","Senior"))</f>
        <v>Adult</v>
      </c>
      <c r="E80" s="2" t="s">
        <v>9</v>
      </c>
      <c r="F80" s="2" t="s">
        <v>283</v>
      </c>
      <c r="G80" s="2" t="s">
        <v>284</v>
      </c>
      <c r="H80" s="2" t="s">
        <v>12</v>
      </c>
      <c r="I80" s="2" t="s">
        <v>13</v>
      </c>
    </row>
    <row r="81" spans="1:9" x14ac:dyDescent="0.3">
      <c r="A81" s="2" t="s">
        <v>285</v>
      </c>
      <c r="B81" s="2" t="s">
        <v>286</v>
      </c>
      <c r="C81" s="2">
        <v>22</v>
      </c>
      <c r="D81" s="2" t="str">
        <f>IF(Customer_Details[[#This Row],[Age]]&lt;=30,"Adult",IF(Customer_Details[[#This Row],[Age]]&lt;=50,"Mid-Adult","Senior"))</f>
        <v>Adult</v>
      </c>
      <c r="E81" s="2" t="s">
        <v>16</v>
      </c>
      <c r="F81" s="2" t="s">
        <v>287</v>
      </c>
      <c r="G81" s="2" t="s">
        <v>288</v>
      </c>
      <c r="H81" s="2" t="s">
        <v>12</v>
      </c>
      <c r="I81" s="2" t="s">
        <v>19</v>
      </c>
    </row>
    <row r="82" spans="1:9" x14ac:dyDescent="0.3">
      <c r="A82" s="2" t="s">
        <v>289</v>
      </c>
      <c r="B82" s="2" t="s">
        <v>290</v>
      </c>
      <c r="C82" s="2">
        <v>61</v>
      </c>
      <c r="D82" s="2" t="str">
        <f>IF(Customer_Details[[#This Row],[Age]]&lt;=30,"Adult",IF(Customer_Details[[#This Row],[Age]]&lt;=50,"Mid-Adult","Senior"))</f>
        <v>Senior</v>
      </c>
      <c r="E82" s="2" t="s">
        <v>16</v>
      </c>
      <c r="F82" s="2" t="s">
        <v>291</v>
      </c>
      <c r="G82" s="2" t="s">
        <v>230</v>
      </c>
      <c r="H82" s="2" t="s">
        <v>12</v>
      </c>
      <c r="I82" s="2" t="s">
        <v>26</v>
      </c>
    </row>
    <row r="83" spans="1:9" x14ac:dyDescent="0.3">
      <c r="A83" s="2" t="s">
        <v>292</v>
      </c>
      <c r="B83" s="2" t="s">
        <v>293</v>
      </c>
      <c r="C83" s="2">
        <v>34</v>
      </c>
      <c r="D83" s="2" t="str">
        <f>IF(Customer_Details[[#This Row],[Age]]&lt;=30,"Adult",IF(Customer_Details[[#This Row],[Age]]&lt;=50,"Mid-Adult","Senior"))</f>
        <v>Mid-Adult</v>
      </c>
      <c r="E83" s="2" t="s">
        <v>16</v>
      </c>
      <c r="F83" s="2" t="s">
        <v>294</v>
      </c>
      <c r="G83" s="2" t="s">
        <v>133</v>
      </c>
      <c r="H83" s="2" t="s">
        <v>12</v>
      </c>
      <c r="I83" s="2" t="s">
        <v>19</v>
      </c>
    </row>
    <row r="84" spans="1:9" x14ac:dyDescent="0.3">
      <c r="A84" s="2" t="s">
        <v>295</v>
      </c>
      <c r="B84" s="2" t="s">
        <v>296</v>
      </c>
      <c r="C84" s="2">
        <v>53</v>
      </c>
      <c r="D84" s="2" t="str">
        <f>IF(Customer_Details[[#This Row],[Age]]&lt;=30,"Adult",IF(Customer_Details[[#This Row],[Age]]&lt;=50,"Mid-Adult","Senior"))</f>
        <v>Senior</v>
      </c>
      <c r="E84" s="2" t="s">
        <v>9</v>
      </c>
      <c r="F84" s="2" t="s">
        <v>297</v>
      </c>
      <c r="G84" s="2" t="s">
        <v>247</v>
      </c>
      <c r="H84" s="2" t="s">
        <v>12</v>
      </c>
      <c r="I84" s="2" t="s">
        <v>26</v>
      </c>
    </row>
    <row r="85" spans="1:9" x14ac:dyDescent="0.3">
      <c r="A85" s="2" t="s">
        <v>298</v>
      </c>
      <c r="B85" s="2" t="s">
        <v>299</v>
      </c>
      <c r="C85" s="2">
        <v>48</v>
      </c>
      <c r="D85" s="2" t="str">
        <f>IF(Customer_Details[[#This Row],[Age]]&lt;=30,"Adult",IF(Customer_Details[[#This Row],[Age]]&lt;=50,"Mid-Adult","Senior"))</f>
        <v>Mid-Adult</v>
      </c>
      <c r="E85" s="2" t="s">
        <v>16</v>
      </c>
      <c r="F85" s="2" t="s">
        <v>300</v>
      </c>
      <c r="G85" s="2" t="s">
        <v>81</v>
      </c>
      <c r="H85" s="2" t="s">
        <v>12</v>
      </c>
      <c r="I85" s="2" t="s">
        <v>26</v>
      </c>
    </row>
    <row r="86" spans="1:9" x14ac:dyDescent="0.3">
      <c r="A86" s="2" t="s">
        <v>301</v>
      </c>
      <c r="B86" s="2" t="s">
        <v>302</v>
      </c>
      <c r="C86" s="2">
        <v>26</v>
      </c>
      <c r="D86" s="2" t="str">
        <f>IF(Customer_Details[[#This Row],[Age]]&lt;=30,"Adult",IF(Customer_Details[[#This Row],[Age]]&lt;=50,"Mid-Adult","Senior"))</f>
        <v>Adult</v>
      </c>
      <c r="E86" s="2" t="s">
        <v>16</v>
      </c>
      <c r="F86" s="2" t="s">
        <v>303</v>
      </c>
      <c r="G86" s="2" t="s">
        <v>251</v>
      </c>
      <c r="H86" s="2" t="s">
        <v>12</v>
      </c>
      <c r="I86" s="2" t="s">
        <v>19</v>
      </c>
    </row>
    <row r="87" spans="1:9" x14ac:dyDescent="0.3">
      <c r="A87" s="2" t="s">
        <v>304</v>
      </c>
      <c r="B87" s="2" t="s">
        <v>305</v>
      </c>
      <c r="C87" s="2">
        <v>36</v>
      </c>
      <c r="D87" s="2" t="str">
        <f>IF(Customer_Details[[#This Row],[Age]]&lt;=30,"Adult",IF(Customer_Details[[#This Row],[Age]]&lt;=50,"Mid-Adult","Senior"))</f>
        <v>Mid-Adult</v>
      </c>
      <c r="E87" s="2" t="s">
        <v>9</v>
      </c>
      <c r="F87" s="2" t="s">
        <v>306</v>
      </c>
      <c r="G87" s="2" t="s">
        <v>51</v>
      </c>
      <c r="H87" s="2" t="s">
        <v>12</v>
      </c>
      <c r="I87" s="2" t="s">
        <v>31</v>
      </c>
    </row>
    <row r="88" spans="1:9" x14ac:dyDescent="0.3">
      <c r="A88" s="2" t="s">
        <v>307</v>
      </c>
      <c r="B88" s="2" t="s">
        <v>3942</v>
      </c>
      <c r="C88" s="2">
        <v>19</v>
      </c>
      <c r="D88" s="2" t="str">
        <f>IF(Customer_Details[[#This Row],[Age]]&lt;=30,"Adult",IF(Customer_Details[[#This Row],[Age]]&lt;=50,"Mid-Adult","Senior"))</f>
        <v>Adult</v>
      </c>
      <c r="E88" s="2" t="s">
        <v>16</v>
      </c>
      <c r="F88" s="2" t="s">
        <v>308</v>
      </c>
      <c r="G88" s="2" t="s">
        <v>309</v>
      </c>
      <c r="H88" s="2" t="s">
        <v>12</v>
      </c>
      <c r="I88" s="2" t="s">
        <v>13</v>
      </c>
    </row>
    <row r="89" spans="1:9" x14ac:dyDescent="0.3">
      <c r="A89" s="2" t="s">
        <v>310</v>
      </c>
      <c r="B89" s="2" t="s">
        <v>3943</v>
      </c>
      <c r="C89" s="2">
        <v>58</v>
      </c>
      <c r="D89" s="2" t="str">
        <f>IF(Customer_Details[[#This Row],[Age]]&lt;=30,"Adult",IF(Customer_Details[[#This Row],[Age]]&lt;=50,"Mid-Adult","Senior"))</f>
        <v>Senior</v>
      </c>
      <c r="E89" s="2" t="s">
        <v>16</v>
      </c>
      <c r="F89" s="2" t="s">
        <v>311</v>
      </c>
      <c r="G89" s="2" t="s">
        <v>312</v>
      </c>
      <c r="H89" s="2" t="s">
        <v>12</v>
      </c>
      <c r="I89" s="2" t="s">
        <v>26</v>
      </c>
    </row>
    <row r="90" spans="1:9" x14ac:dyDescent="0.3">
      <c r="A90" s="2" t="s">
        <v>313</v>
      </c>
      <c r="B90" s="2" t="s">
        <v>314</v>
      </c>
      <c r="C90" s="2">
        <v>58</v>
      </c>
      <c r="D90" s="2" t="str">
        <f>IF(Customer_Details[[#This Row],[Age]]&lt;=30,"Adult",IF(Customer_Details[[#This Row],[Age]]&lt;=50,"Mid-Adult","Senior"))</f>
        <v>Senior</v>
      </c>
      <c r="E90" s="2" t="s">
        <v>9</v>
      </c>
      <c r="F90" s="2" t="s">
        <v>315</v>
      </c>
      <c r="G90" s="2" t="s">
        <v>288</v>
      </c>
      <c r="H90" s="2" t="s">
        <v>12</v>
      </c>
      <c r="I90" s="2" t="s">
        <v>31</v>
      </c>
    </row>
    <row r="91" spans="1:9" x14ac:dyDescent="0.3">
      <c r="A91" s="2" t="s">
        <v>316</v>
      </c>
      <c r="B91" s="2" t="s">
        <v>317</v>
      </c>
      <c r="C91" s="2">
        <v>43</v>
      </c>
      <c r="D91" s="2" t="str">
        <f>IF(Customer_Details[[#This Row],[Age]]&lt;=30,"Adult",IF(Customer_Details[[#This Row],[Age]]&lt;=50,"Mid-Adult","Senior"))</f>
        <v>Mid-Adult</v>
      </c>
      <c r="E91" s="2" t="s">
        <v>9</v>
      </c>
      <c r="F91" s="2" t="s">
        <v>318</v>
      </c>
      <c r="G91" s="2" t="s">
        <v>319</v>
      </c>
      <c r="H91" s="2" t="s">
        <v>12</v>
      </c>
      <c r="I91" s="2" t="s">
        <v>19</v>
      </c>
    </row>
    <row r="92" spans="1:9" x14ac:dyDescent="0.3">
      <c r="A92" s="2" t="s">
        <v>320</v>
      </c>
      <c r="B92" s="2" t="s">
        <v>321</v>
      </c>
      <c r="C92" s="2">
        <v>58</v>
      </c>
      <c r="D92" s="2" t="str">
        <f>IF(Customer_Details[[#This Row],[Age]]&lt;=30,"Adult",IF(Customer_Details[[#This Row],[Age]]&lt;=50,"Mid-Adult","Senior"))</f>
        <v>Senior</v>
      </c>
      <c r="E92" s="2" t="s">
        <v>16</v>
      </c>
      <c r="F92" s="2" t="s">
        <v>322</v>
      </c>
      <c r="G92" s="2" t="s">
        <v>323</v>
      </c>
      <c r="H92" s="2" t="s">
        <v>12</v>
      </c>
      <c r="I92" s="2" t="s">
        <v>19</v>
      </c>
    </row>
    <row r="93" spans="1:9" x14ac:dyDescent="0.3">
      <c r="A93" s="2" t="s">
        <v>324</v>
      </c>
      <c r="B93" s="2" t="s">
        <v>325</v>
      </c>
      <c r="C93" s="2">
        <v>29</v>
      </c>
      <c r="D93" s="2" t="str">
        <f>IF(Customer_Details[[#This Row],[Age]]&lt;=30,"Adult",IF(Customer_Details[[#This Row],[Age]]&lt;=50,"Mid-Adult","Senior"))</f>
        <v>Adult</v>
      </c>
      <c r="E93" s="2" t="s">
        <v>16</v>
      </c>
      <c r="F93" s="2" t="s">
        <v>326</v>
      </c>
      <c r="G93" s="2" t="s">
        <v>133</v>
      </c>
      <c r="H93" s="2" t="s">
        <v>12</v>
      </c>
      <c r="I93" s="2" t="s">
        <v>31</v>
      </c>
    </row>
    <row r="94" spans="1:9" x14ac:dyDescent="0.3">
      <c r="A94" s="2" t="s">
        <v>327</v>
      </c>
      <c r="B94" s="2" t="s">
        <v>328</v>
      </c>
      <c r="C94" s="2">
        <v>44</v>
      </c>
      <c r="D94" s="2" t="str">
        <f>IF(Customer_Details[[#This Row],[Age]]&lt;=30,"Adult",IF(Customer_Details[[#This Row],[Age]]&lt;=50,"Mid-Adult","Senior"))</f>
        <v>Mid-Adult</v>
      </c>
      <c r="E94" s="2" t="s">
        <v>16</v>
      </c>
      <c r="F94" s="2" t="s">
        <v>329</v>
      </c>
      <c r="G94" s="2" t="s">
        <v>234</v>
      </c>
      <c r="H94" s="2" t="s">
        <v>12</v>
      </c>
      <c r="I94" s="2" t="s">
        <v>19</v>
      </c>
    </row>
    <row r="95" spans="1:9" x14ac:dyDescent="0.3">
      <c r="A95" s="2" t="s">
        <v>330</v>
      </c>
      <c r="B95" s="2" t="s">
        <v>331</v>
      </c>
      <c r="C95" s="2">
        <v>28</v>
      </c>
      <c r="D95" s="2" t="str">
        <f>IF(Customer_Details[[#This Row],[Age]]&lt;=30,"Adult",IF(Customer_Details[[#This Row],[Age]]&lt;=50,"Mid-Adult","Senior"))</f>
        <v>Adult</v>
      </c>
      <c r="E95" s="2" t="s">
        <v>16</v>
      </c>
      <c r="F95" s="2" t="s">
        <v>332</v>
      </c>
      <c r="G95" s="2" t="s">
        <v>312</v>
      </c>
      <c r="H95" s="2" t="s">
        <v>12</v>
      </c>
      <c r="I95" s="2" t="s">
        <v>13</v>
      </c>
    </row>
    <row r="96" spans="1:9" x14ac:dyDescent="0.3">
      <c r="A96" s="2" t="s">
        <v>333</v>
      </c>
      <c r="B96" s="2" t="s">
        <v>334</v>
      </c>
      <c r="C96" s="2">
        <v>43</v>
      </c>
      <c r="D96" s="2" t="str">
        <f>IF(Customer_Details[[#This Row],[Age]]&lt;=30,"Adult",IF(Customer_Details[[#This Row],[Age]]&lt;=50,"Mid-Adult","Senior"))</f>
        <v>Mid-Adult</v>
      </c>
      <c r="E96" s="2" t="s">
        <v>16</v>
      </c>
      <c r="F96" s="2" t="s">
        <v>335</v>
      </c>
      <c r="G96" s="2" t="s">
        <v>181</v>
      </c>
      <c r="H96" s="2" t="s">
        <v>12</v>
      </c>
      <c r="I96" s="2" t="s">
        <v>13</v>
      </c>
    </row>
    <row r="97" spans="1:9" x14ac:dyDescent="0.3">
      <c r="A97" s="2" t="s">
        <v>336</v>
      </c>
      <c r="B97" s="2" t="s">
        <v>337</v>
      </c>
      <c r="C97" s="2">
        <v>62</v>
      </c>
      <c r="D97" s="2" t="str">
        <f>IF(Customer_Details[[#This Row],[Age]]&lt;=30,"Adult",IF(Customer_Details[[#This Row],[Age]]&lt;=50,"Mid-Adult","Senior"))</f>
        <v>Senior</v>
      </c>
      <c r="E97" s="2" t="s">
        <v>16</v>
      </c>
      <c r="F97" s="2" t="s">
        <v>338</v>
      </c>
      <c r="G97" s="2" t="s">
        <v>58</v>
      </c>
      <c r="H97" s="2" t="s">
        <v>12</v>
      </c>
      <c r="I97" s="2" t="s">
        <v>19</v>
      </c>
    </row>
    <row r="98" spans="1:9" x14ac:dyDescent="0.3">
      <c r="A98" s="2" t="s">
        <v>339</v>
      </c>
      <c r="B98" s="2" t="s">
        <v>340</v>
      </c>
      <c r="C98" s="2">
        <v>30</v>
      </c>
      <c r="D98" s="2" t="str">
        <f>IF(Customer_Details[[#This Row],[Age]]&lt;=30,"Adult",IF(Customer_Details[[#This Row],[Age]]&lt;=50,"Mid-Adult","Senior"))</f>
        <v>Adult</v>
      </c>
      <c r="E98" s="2" t="s">
        <v>16</v>
      </c>
      <c r="F98" s="2" t="s">
        <v>341</v>
      </c>
      <c r="G98" s="2" t="s">
        <v>323</v>
      </c>
      <c r="H98" s="2" t="s">
        <v>12</v>
      </c>
      <c r="I98" s="2" t="s">
        <v>19</v>
      </c>
    </row>
    <row r="99" spans="1:9" x14ac:dyDescent="0.3">
      <c r="A99" s="2" t="s">
        <v>342</v>
      </c>
      <c r="B99" s="2" t="s">
        <v>343</v>
      </c>
      <c r="C99" s="2">
        <v>36</v>
      </c>
      <c r="D99" s="2" t="str">
        <f>IF(Customer_Details[[#This Row],[Age]]&lt;=30,"Adult",IF(Customer_Details[[#This Row],[Age]]&lt;=50,"Mid-Adult","Senior"))</f>
        <v>Mid-Adult</v>
      </c>
      <c r="E99" s="2" t="s">
        <v>9</v>
      </c>
      <c r="F99" s="2" t="s">
        <v>344</v>
      </c>
      <c r="G99" s="2" t="s">
        <v>39</v>
      </c>
      <c r="H99" s="2" t="s">
        <v>12</v>
      </c>
      <c r="I99" s="2" t="s">
        <v>31</v>
      </c>
    </row>
    <row r="100" spans="1:9" x14ac:dyDescent="0.3">
      <c r="A100" s="2" t="s">
        <v>345</v>
      </c>
      <c r="B100" s="2" t="s">
        <v>346</v>
      </c>
      <c r="C100" s="2">
        <v>24</v>
      </c>
      <c r="D100" s="2" t="str">
        <f>IF(Customer_Details[[#This Row],[Age]]&lt;=30,"Adult",IF(Customer_Details[[#This Row],[Age]]&lt;=50,"Mid-Adult","Senior"))</f>
        <v>Adult</v>
      </c>
      <c r="E100" s="2" t="s">
        <v>9</v>
      </c>
      <c r="F100" s="2" t="s">
        <v>347</v>
      </c>
      <c r="G100" s="2" t="s">
        <v>162</v>
      </c>
      <c r="H100" s="2" t="s">
        <v>12</v>
      </c>
      <c r="I100" s="2" t="s">
        <v>13</v>
      </c>
    </row>
    <row r="101" spans="1:9" x14ac:dyDescent="0.3">
      <c r="A101" s="2" t="s">
        <v>348</v>
      </c>
      <c r="B101" s="2" t="s">
        <v>349</v>
      </c>
      <c r="C101" s="2">
        <v>35</v>
      </c>
      <c r="D101" s="2" t="str">
        <f>IF(Customer_Details[[#This Row],[Age]]&lt;=30,"Adult",IF(Customer_Details[[#This Row],[Age]]&lt;=50,"Mid-Adult","Senior"))</f>
        <v>Mid-Adult</v>
      </c>
      <c r="E101" s="2" t="s">
        <v>9</v>
      </c>
      <c r="F101" s="2" t="s">
        <v>350</v>
      </c>
      <c r="G101" s="2" t="s">
        <v>234</v>
      </c>
      <c r="H101" s="2" t="s">
        <v>12</v>
      </c>
      <c r="I101" s="2" t="s">
        <v>31</v>
      </c>
    </row>
    <row r="102" spans="1:9" x14ac:dyDescent="0.3">
      <c r="A102" s="2" t="s">
        <v>351</v>
      </c>
      <c r="B102" s="2" t="s">
        <v>352</v>
      </c>
      <c r="C102" s="2">
        <v>53</v>
      </c>
      <c r="D102" s="2" t="str">
        <f>IF(Customer_Details[[#This Row],[Age]]&lt;=30,"Adult",IF(Customer_Details[[#This Row],[Age]]&lt;=50,"Mid-Adult","Senior"))</f>
        <v>Senior</v>
      </c>
      <c r="E102" s="2" t="s">
        <v>16</v>
      </c>
      <c r="F102" s="2" t="s">
        <v>353</v>
      </c>
      <c r="G102" s="2" t="s">
        <v>354</v>
      </c>
      <c r="H102" s="2" t="s">
        <v>12</v>
      </c>
      <c r="I102" s="2" t="s">
        <v>19</v>
      </c>
    </row>
    <row r="103" spans="1:9" x14ac:dyDescent="0.3">
      <c r="A103" s="2" t="s">
        <v>355</v>
      </c>
      <c r="B103" s="2" t="s">
        <v>356</v>
      </c>
      <c r="C103" s="2">
        <v>29</v>
      </c>
      <c r="D103" s="2" t="str">
        <f>IF(Customer_Details[[#This Row],[Age]]&lt;=30,"Adult",IF(Customer_Details[[#This Row],[Age]]&lt;=50,"Mid-Adult","Senior"))</f>
        <v>Adult</v>
      </c>
      <c r="E103" s="2" t="s">
        <v>9</v>
      </c>
      <c r="F103" s="2" t="s">
        <v>357</v>
      </c>
      <c r="G103" s="2" t="s">
        <v>117</v>
      </c>
      <c r="H103" s="2" t="s">
        <v>12</v>
      </c>
      <c r="I103" s="2" t="s">
        <v>13</v>
      </c>
    </row>
    <row r="104" spans="1:9" x14ac:dyDescent="0.3">
      <c r="A104" s="2" t="s">
        <v>358</v>
      </c>
      <c r="B104" s="2" t="s">
        <v>359</v>
      </c>
      <c r="C104" s="2">
        <v>34</v>
      </c>
      <c r="D104" s="2" t="str">
        <f>IF(Customer_Details[[#This Row],[Age]]&lt;=30,"Adult",IF(Customer_Details[[#This Row],[Age]]&lt;=50,"Mid-Adult","Senior"))</f>
        <v>Mid-Adult</v>
      </c>
      <c r="E104" s="2" t="s">
        <v>16</v>
      </c>
      <c r="F104" s="2" t="s">
        <v>360</v>
      </c>
      <c r="G104" s="2" t="s">
        <v>51</v>
      </c>
      <c r="H104" s="2" t="s">
        <v>12</v>
      </c>
      <c r="I104" s="2" t="s">
        <v>26</v>
      </c>
    </row>
    <row r="105" spans="1:9" x14ac:dyDescent="0.3">
      <c r="A105" s="2" t="s">
        <v>361</v>
      </c>
      <c r="B105" s="2" t="s">
        <v>362</v>
      </c>
      <c r="C105" s="2">
        <v>21</v>
      </c>
      <c r="D105" s="2" t="str">
        <f>IF(Customer_Details[[#This Row],[Age]]&lt;=30,"Adult",IF(Customer_Details[[#This Row],[Age]]&lt;=50,"Mid-Adult","Senior"))</f>
        <v>Adult</v>
      </c>
      <c r="E105" s="2" t="s">
        <v>9</v>
      </c>
      <c r="F105" s="2" t="s">
        <v>363</v>
      </c>
      <c r="G105" s="2" t="s">
        <v>166</v>
      </c>
      <c r="H105" s="2" t="s">
        <v>12</v>
      </c>
      <c r="I105" s="2" t="s">
        <v>26</v>
      </c>
    </row>
    <row r="106" spans="1:9" x14ac:dyDescent="0.3">
      <c r="A106" s="2" t="s">
        <v>364</v>
      </c>
      <c r="B106" s="2" t="s">
        <v>365</v>
      </c>
      <c r="C106" s="2">
        <v>64</v>
      </c>
      <c r="D106" s="2" t="str">
        <f>IF(Customer_Details[[#This Row],[Age]]&lt;=30,"Adult",IF(Customer_Details[[#This Row],[Age]]&lt;=50,"Mid-Adult","Senior"))</f>
        <v>Senior</v>
      </c>
      <c r="E106" s="2" t="s">
        <v>9</v>
      </c>
      <c r="F106" s="2" t="s">
        <v>366</v>
      </c>
      <c r="G106" s="2" t="s">
        <v>81</v>
      </c>
      <c r="H106" s="2" t="s">
        <v>12</v>
      </c>
      <c r="I106" s="2" t="s">
        <v>31</v>
      </c>
    </row>
    <row r="107" spans="1:9" x14ac:dyDescent="0.3">
      <c r="A107" s="2" t="s">
        <v>367</v>
      </c>
      <c r="B107" s="2" t="s">
        <v>368</v>
      </c>
      <c r="C107" s="2">
        <v>50</v>
      </c>
      <c r="D107" s="2" t="str">
        <f>IF(Customer_Details[[#This Row],[Age]]&lt;=30,"Adult",IF(Customer_Details[[#This Row],[Age]]&lt;=50,"Mid-Adult","Senior"))</f>
        <v>Mid-Adult</v>
      </c>
      <c r="E107" s="2" t="s">
        <v>16</v>
      </c>
      <c r="F107" s="2" t="s">
        <v>369</v>
      </c>
      <c r="G107" s="2" t="s">
        <v>247</v>
      </c>
      <c r="H107" s="2" t="s">
        <v>12</v>
      </c>
      <c r="I107" s="2" t="s">
        <v>13</v>
      </c>
    </row>
    <row r="108" spans="1:9" x14ac:dyDescent="0.3">
      <c r="A108" s="2" t="s">
        <v>370</v>
      </c>
      <c r="B108" s="2" t="s">
        <v>371</v>
      </c>
      <c r="C108" s="2">
        <v>53</v>
      </c>
      <c r="D108" s="2" t="str">
        <f>IF(Customer_Details[[#This Row],[Age]]&lt;=30,"Adult",IF(Customer_Details[[#This Row],[Age]]&lt;=50,"Mid-Adult","Senior"))</f>
        <v>Senior</v>
      </c>
      <c r="E108" s="2" t="s">
        <v>16</v>
      </c>
      <c r="F108" s="2" t="s">
        <v>372</v>
      </c>
      <c r="G108" s="2" t="s">
        <v>214</v>
      </c>
      <c r="H108" s="2" t="s">
        <v>12</v>
      </c>
      <c r="I108" s="2" t="s">
        <v>26</v>
      </c>
    </row>
    <row r="109" spans="1:9" x14ac:dyDescent="0.3">
      <c r="A109" s="2" t="s">
        <v>373</v>
      </c>
      <c r="B109" s="2" t="s">
        <v>374</v>
      </c>
      <c r="C109" s="2">
        <v>62</v>
      </c>
      <c r="D109" s="2" t="str">
        <f>IF(Customer_Details[[#This Row],[Age]]&lt;=30,"Adult",IF(Customer_Details[[#This Row],[Age]]&lt;=50,"Mid-Adult","Senior"))</f>
        <v>Senior</v>
      </c>
      <c r="E109" s="2" t="s">
        <v>16</v>
      </c>
      <c r="F109" s="2" t="s">
        <v>375</v>
      </c>
      <c r="G109" s="2" t="s">
        <v>18</v>
      </c>
      <c r="H109" s="2" t="s">
        <v>12</v>
      </c>
      <c r="I109" s="2" t="s">
        <v>19</v>
      </c>
    </row>
    <row r="110" spans="1:9" x14ac:dyDescent="0.3">
      <c r="A110" s="2" t="s">
        <v>376</v>
      </c>
      <c r="B110" s="2" t="s">
        <v>377</v>
      </c>
      <c r="C110" s="2">
        <v>38</v>
      </c>
      <c r="D110" s="2" t="str">
        <f>IF(Customer_Details[[#This Row],[Age]]&lt;=30,"Adult",IF(Customer_Details[[#This Row],[Age]]&lt;=50,"Mid-Adult","Senior"))</f>
        <v>Mid-Adult</v>
      </c>
      <c r="E110" s="2" t="s">
        <v>9</v>
      </c>
      <c r="F110" s="2" t="s">
        <v>378</v>
      </c>
      <c r="G110" s="2" t="s">
        <v>47</v>
      </c>
      <c r="H110" s="2" t="s">
        <v>12</v>
      </c>
      <c r="I110" s="2" t="s">
        <v>26</v>
      </c>
    </row>
    <row r="111" spans="1:9" x14ac:dyDescent="0.3">
      <c r="A111" s="2" t="s">
        <v>379</v>
      </c>
      <c r="B111" s="2" t="s">
        <v>380</v>
      </c>
      <c r="C111" s="2">
        <v>27</v>
      </c>
      <c r="D111" s="2" t="str">
        <f>IF(Customer_Details[[#This Row],[Age]]&lt;=30,"Adult",IF(Customer_Details[[#This Row],[Age]]&lt;=50,"Mid-Adult","Senior"))</f>
        <v>Adult</v>
      </c>
      <c r="E111" s="2" t="s">
        <v>9</v>
      </c>
      <c r="F111" s="2" t="s">
        <v>381</v>
      </c>
      <c r="G111" s="2" t="s">
        <v>43</v>
      </c>
      <c r="H111" s="2" t="s">
        <v>12</v>
      </c>
      <c r="I111" s="2" t="s">
        <v>31</v>
      </c>
    </row>
    <row r="112" spans="1:9" x14ac:dyDescent="0.3">
      <c r="A112" s="2" t="s">
        <v>382</v>
      </c>
      <c r="B112" s="2" t="s">
        <v>383</v>
      </c>
      <c r="C112" s="2">
        <v>40</v>
      </c>
      <c r="D112" s="2" t="str">
        <f>IF(Customer_Details[[#This Row],[Age]]&lt;=30,"Adult",IF(Customer_Details[[#This Row],[Age]]&lt;=50,"Mid-Adult","Senior"))</f>
        <v>Mid-Adult</v>
      </c>
      <c r="E112" s="2" t="s">
        <v>16</v>
      </c>
      <c r="F112" s="2" t="s">
        <v>384</v>
      </c>
      <c r="G112" s="2" t="s">
        <v>139</v>
      </c>
      <c r="H112" s="2" t="s">
        <v>12</v>
      </c>
      <c r="I112" s="2" t="s">
        <v>13</v>
      </c>
    </row>
    <row r="113" spans="1:9" x14ac:dyDescent="0.3">
      <c r="A113" s="2" t="s">
        <v>385</v>
      </c>
      <c r="B113" s="2" t="s">
        <v>386</v>
      </c>
      <c r="C113" s="2">
        <v>18</v>
      </c>
      <c r="D113" s="2" t="str">
        <f>IF(Customer_Details[[#This Row],[Age]]&lt;=30,"Adult",IF(Customer_Details[[#This Row],[Age]]&lt;=50,"Mid-Adult","Senior"))</f>
        <v>Adult</v>
      </c>
      <c r="E113" s="2" t="s">
        <v>16</v>
      </c>
      <c r="F113" s="2" t="s">
        <v>387</v>
      </c>
      <c r="G113" s="2" t="s">
        <v>133</v>
      </c>
      <c r="H113" s="2" t="s">
        <v>12</v>
      </c>
      <c r="I113" s="2" t="s">
        <v>19</v>
      </c>
    </row>
    <row r="114" spans="1:9" x14ac:dyDescent="0.3">
      <c r="A114" s="2" t="s">
        <v>388</v>
      </c>
      <c r="B114" s="2" t="s">
        <v>389</v>
      </c>
      <c r="C114" s="2">
        <v>27</v>
      </c>
      <c r="D114" s="2" t="str">
        <f>IF(Customer_Details[[#This Row],[Age]]&lt;=30,"Adult",IF(Customer_Details[[#This Row],[Age]]&lt;=50,"Mid-Adult","Senior"))</f>
        <v>Adult</v>
      </c>
      <c r="E114" s="2" t="s">
        <v>16</v>
      </c>
      <c r="F114" s="2" t="s">
        <v>390</v>
      </c>
      <c r="G114" s="2" t="s">
        <v>155</v>
      </c>
      <c r="H114" s="2" t="s">
        <v>12</v>
      </c>
      <c r="I114" s="2" t="s">
        <v>31</v>
      </c>
    </row>
    <row r="115" spans="1:9" x14ac:dyDescent="0.3">
      <c r="A115" s="2" t="s">
        <v>391</v>
      </c>
      <c r="B115" s="2" t="s">
        <v>392</v>
      </c>
      <c r="C115" s="2">
        <v>51</v>
      </c>
      <c r="D115" s="2" t="str">
        <f>IF(Customer_Details[[#This Row],[Age]]&lt;=30,"Adult",IF(Customer_Details[[#This Row],[Age]]&lt;=50,"Mid-Adult","Senior"))</f>
        <v>Senior</v>
      </c>
      <c r="E115" s="2" t="s">
        <v>9</v>
      </c>
      <c r="F115" s="2" t="s">
        <v>393</v>
      </c>
      <c r="G115" s="2" t="s">
        <v>230</v>
      </c>
      <c r="H115" s="2" t="s">
        <v>12</v>
      </c>
      <c r="I115" s="2" t="s">
        <v>13</v>
      </c>
    </row>
    <row r="116" spans="1:9" x14ac:dyDescent="0.3">
      <c r="A116" s="2" t="s">
        <v>394</v>
      </c>
      <c r="B116" s="2" t="s">
        <v>395</v>
      </c>
      <c r="C116" s="2">
        <v>30</v>
      </c>
      <c r="D116" s="2" t="str">
        <f>IF(Customer_Details[[#This Row],[Age]]&lt;=30,"Adult",IF(Customer_Details[[#This Row],[Age]]&lt;=50,"Mid-Adult","Senior"))</f>
        <v>Adult</v>
      </c>
      <c r="E116" s="2" t="s">
        <v>9</v>
      </c>
      <c r="F116" s="2" t="s">
        <v>396</v>
      </c>
      <c r="G116" s="2" t="s">
        <v>181</v>
      </c>
      <c r="H116" s="2" t="s">
        <v>12</v>
      </c>
      <c r="I116" s="2" t="s">
        <v>26</v>
      </c>
    </row>
    <row r="117" spans="1:9" x14ac:dyDescent="0.3">
      <c r="A117" s="2" t="s">
        <v>397</v>
      </c>
      <c r="B117" s="2" t="s">
        <v>398</v>
      </c>
      <c r="C117" s="2">
        <v>53</v>
      </c>
      <c r="D117" s="2" t="str">
        <f>IF(Customer_Details[[#This Row],[Age]]&lt;=30,"Adult",IF(Customer_Details[[#This Row],[Age]]&lt;=50,"Mid-Adult","Senior"))</f>
        <v>Senior</v>
      </c>
      <c r="E117" s="2" t="s">
        <v>16</v>
      </c>
      <c r="F117" s="2" t="s">
        <v>399</v>
      </c>
      <c r="G117" s="2" t="s">
        <v>18</v>
      </c>
      <c r="H117" s="2" t="s">
        <v>12</v>
      </c>
      <c r="I117" s="2" t="s">
        <v>19</v>
      </c>
    </row>
    <row r="118" spans="1:9" x14ac:dyDescent="0.3">
      <c r="A118" s="2" t="s">
        <v>400</v>
      </c>
      <c r="B118" s="2" t="s">
        <v>401</v>
      </c>
      <c r="C118" s="2">
        <v>18</v>
      </c>
      <c r="D118" s="2" t="str">
        <f>IF(Customer_Details[[#This Row],[Age]]&lt;=30,"Adult",IF(Customer_Details[[#This Row],[Age]]&lt;=50,"Mid-Adult","Senior"))</f>
        <v>Adult</v>
      </c>
      <c r="E118" s="2" t="s">
        <v>16</v>
      </c>
      <c r="F118" s="2" t="s">
        <v>402</v>
      </c>
      <c r="G118" s="2" t="s">
        <v>214</v>
      </c>
      <c r="H118" s="2" t="s">
        <v>12</v>
      </c>
      <c r="I118" s="2" t="s">
        <v>19</v>
      </c>
    </row>
    <row r="119" spans="1:9" x14ac:dyDescent="0.3">
      <c r="A119" s="2" t="s">
        <v>403</v>
      </c>
      <c r="B119" s="2" t="s">
        <v>404</v>
      </c>
      <c r="C119" s="2">
        <v>21</v>
      </c>
      <c r="D119" s="2" t="str">
        <f>IF(Customer_Details[[#This Row],[Age]]&lt;=30,"Adult",IF(Customer_Details[[#This Row],[Age]]&lt;=50,"Mid-Adult","Senior"))</f>
        <v>Adult</v>
      </c>
      <c r="E119" s="2" t="s">
        <v>16</v>
      </c>
      <c r="F119" s="2" t="s">
        <v>405</v>
      </c>
      <c r="G119" s="2" t="s">
        <v>74</v>
      </c>
      <c r="H119" s="2" t="s">
        <v>12</v>
      </c>
      <c r="I119" s="2" t="s">
        <v>19</v>
      </c>
    </row>
    <row r="120" spans="1:9" x14ac:dyDescent="0.3">
      <c r="A120" s="2" t="s">
        <v>406</v>
      </c>
      <c r="B120" s="2" t="s">
        <v>407</v>
      </c>
      <c r="C120" s="2">
        <v>36</v>
      </c>
      <c r="D120" s="2" t="str">
        <f>IF(Customer_Details[[#This Row],[Age]]&lt;=30,"Adult",IF(Customer_Details[[#This Row],[Age]]&lt;=50,"Mid-Adult","Senior"))</f>
        <v>Mid-Adult</v>
      </c>
      <c r="E120" s="2" t="s">
        <v>9</v>
      </c>
      <c r="F120" s="2" t="s">
        <v>408</v>
      </c>
      <c r="G120" s="2" t="s">
        <v>70</v>
      </c>
      <c r="H120" s="2" t="s">
        <v>12</v>
      </c>
      <c r="I120" s="2" t="s">
        <v>19</v>
      </c>
    </row>
    <row r="121" spans="1:9" x14ac:dyDescent="0.3">
      <c r="A121" s="2" t="s">
        <v>409</v>
      </c>
      <c r="B121" s="2" t="s">
        <v>410</v>
      </c>
      <c r="C121" s="2">
        <v>40</v>
      </c>
      <c r="D121" s="2" t="str">
        <f>IF(Customer_Details[[#This Row],[Age]]&lt;=30,"Adult",IF(Customer_Details[[#This Row],[Age]]&lt;=50,"Mid-Adult","Senior"))</f>
        <v>Mid-Adult</v>
      </c>
      <c r="E121" s="2" t="s">
        <v>9</v>
      </c>
      <c r="F121" s="2" t="s">
        <v>411</v>
      </c>
      <c r="G121" s="2" t="s">
        <v>234</v>
      </c>
      <c r="H121" s="2" t="s">
        <v>12</v>
      </c>
      <c r="I121" s="2" t="s">
        <v>26</v>
      </c>
    </row>
    <row r="122" spans="1:9" x14ac:dyDescent="0.3">
      <c r="A122" s="2" t="s">
        <v>412</v>
      </c>
      <c r="B122" s="2" t="s">
        <v>413</v>
      </c>
      <c r="C122" s="2">
        <v>44</v>
      </c>
      <c r="D122" s="2" t="str">
        <f>IF(Customer_Details[[#This Row],[Age]]&lt;=30,"Adult",IF(Customer_Details[[#This Row],[Age]]&lt;=50,"Mid-Adult","Senior"))</f>
        <v>Mid-Adult</v>
      </c>
      <c r="E122" s="2" t="s">
        <v>16</v>
      </c>
      <c r="F122" s="2" t="s">
        <v>3809</v>
      </c>
      <c r="G122" s="2" t="s">
        <v>51</v>
      </c>
      <c r="H122" s="2" t="s">
        <v>12</v>
      </c>
      <c r="I122" s="2" t="s">
        <v>19</v>
      </c>
    </row>
    <row r="123" spans="1:9" x14ac:dyDescent="0.3">
      <c r="A123" s="2" t="s">
        <v>414</v>
      </c>
      <c r="B123" s="2" t="s">
        <v>415</v>
      </c>
      <c r="C123" s="2">
        <v>62</v>
      </c>
      <c r="D123" s="2" t="str">
        <f>IF(Customer_Details[[#This Row],[Age]]&lt;=30,"Adult",IF(Customer_Details[[#This Row],[Age]]&lt;=50,"Mid-Adult","Senior"))</f>
        <v>Senior</v>
      </c>
      <c r="E123" s="2" t="s">
        <v>9</v>
      </c>
      <c r="F123" s="2" t="s">
        <v>416</v>
      </c>
      <c r="G123" s="2" t="s">
        <v>99</v>
      </c>
      <c r="H123" s="2" t="s">
        <v>12</v>
      </c>
      <c r="I123" s="2" t="s">
        <v>19</v>
      </c>
    </row>
    <row r="124" spans="1:9" x14ac:dyDescent="0.3">
      <c r="A124" s="2" t="s">
        <v>417</v>
      </c>
      <c r="B124" s="2" t="s">
        <v>418</v>
      </c>
      <c r="C124" s="2">
        <v>50</v>
      </c>
      <c r="D124" s="2" t="str">
        <f>IF(Customer_Details[[#This Row],[Age]]&lt;=30,"Adult",IF(Customer_Details[[#This Row],[Age]]&lt;=50,"Mid-Adult","Senior"))</f>
        <v>Mid-Adult</v>
      </c>
      <c r="E124" s="2" t="s">
        <v>9</v>
      </c>
      <c r="F124" s="2" t="s">
        <v>419</v>
      </c>
      <c r="G124" s="2" t="s">
        <v>11</v>
      </c>
      <c r="H124" s="2" t="s">
        <v>12</v>
      </c>
      <c r="I124" s="2" t="s">
        <v>19</v>
      </c>
    </row>
    <row r="125" spans="1:9" x14ac:dyDescent="0.3">
      <c r="A125" s="2" t="s">
        <v>420</v>
      </c>
      <c r="B125" s="2" t="s">
        <v>421</v>
      </c>
      <c r="C125" s="2">
        <v>40</v>
      </c>
      <c r="D125" s="2" t="str">
        <f>IF(Customer_Details[[#This Row],[Age]]&lt;=30,"Adult",IF(Customer_Details[[#This Row],[Age]]&lt;=50,"Mid-Adult","Senior"))</f>
        <v>Mid-Adult</v>
      </c>
      <c r="E125" s="2" t="s">
        <v>9</v>
      </c>
      <c r="F125" s="2" t="s">
        <v>422</v>
      </c>
      <c r="G125" s="2" t="s">
        <v>264</v>
      </c>
      <c r="H125" s="2" t="s">
        <v>12</v>
      </c>
      <c r="I125" s="2" t="s">
        <v>31</v>
      </c>
    </row>
    <row r="126" spans="1:9" x14ac:dyDescent="0.3">
      <c r="A126" s="2" t="s">
        <v>423</v>
      </c>
      <c r="B126" s="2" t="s">
        <v>424</v>
      </c>
      <c r="C126" s="2">
        <v>26</v>
      </c>
      <c r="D126" s="2" t="str">
        <f>IF(Customer_Details[[#This Row],[Age]]&lt;=30,"Adult",IF(Customer_Details[[#This Row],[Age]]&lt;=50,"Mid-Adult","Senior"))</f>
        <v>Adult</v>
      </c>
      <c r="E126" s="2" t="s">
        <v>9</v>
      </c>
      <c r="F126" s="2" t="s">
        <v>425</v>
      </c>
      <c r="G126" s="2" t="s">
        <v>191</v>
      </c>
      <c r="H126" s="2" t="s">
        <v>12</v>
      </c>
      <c r="I126" s="2" t="s">
        <v>26</v>
      </c>
    </row>
    <row r="127" spans="1:9" x14ac:dyDescent="0.3">
      <c r="A127" s="2" t="s">
        <v>426</v>
      </c>
      <c r="B127" s="2" t="s">
        <v>427</v>
      </c>
      <c r="C127" s="2">
        <v>64</v>
      </c>
      <c r="D127" s="2" t="str">
        <f>IF(Customer_Details[[#This Row],[Age]]&lt;=30,"Adult",IF(Customer_Details[[#This Row],[Age]]&lt;=50,"Mid-Adult","Senior"))</f>
        <v>Senior</v>
      </c>
      <c r="E127" s="2" t="s">
        <v>16</v>
      </c>
      <c r="F127" s="2" t="s">
        <v>428</v>
      </c>
      <c r="G127" s="2" t="s">
        <v>429</v>
      </c>
      <c r="H127" s="2" t="s">
        <v>12</v>
      </c>
      <c r="I127" s="2" t="s">
        <v>19</v>
      </c>
    </row>
    <row r="128" spans="1:9" x14ac:dyDescent="0.3">
      <c r="A128" s="2" t="s">
        <v>430</v>
      </c>
      <c r="B128" s="2" t="s">
        <v>431</v>
      </c>
      <c r="C128" s="2">
        <v>62</v>
      </c>
      <c r="D128" s="2" t="str">
        <f>IF(Customer_Details[[#This Row],[Age]]&lt;=30,"Adult",IF(Customer_Details[[#This Row],[Age]]&lt;=50,"Mid-Adult","Senior"))</f>
        <v>Senior</v>
      </c>
      <c r="E128" s="2" t="s">
        <v>16</v>
      </c>
      <c r="F128" s="2" t="s">
        <v>432</v>
      </c>
      <c r="G128" s="2" t="s">
        <v>133</v>
      </c>
      <c r="H128" s="2" t="s">
        <v>12</v>
      </c>
      <c r="I128" s="2" t="s">
        <v>13</v>
      </c>
    </row>
    <row r="129" spans="1:9" x14ac:dyDescent="0.3">
      <c r="A129" s="2" t="s">
        <v>433</v>
      </c>
      <c r="B129" s="2" t="s">
        <v>434</v>
      </c>
      <c r="C129" s="2">
        <v>39</v>
      </c>
      <c r="D129" s="2" t="str">
        <f>IF(Customer_Details[[#This Row],[Age]]&lt;=30,"Adult",IF(Customer_Details[[#This Row],[Age]]&lt;=50,"Mid-Adult","Senior"))</f>
        <v>Mid-Adult</v>
      </c>
      <c r="E129" s="2" t="s">
        <v>9</v>
      </c>
      <c r="F129" s="2" t="s">
        <v>435</v>
      </c>
      <c r="G129" s="2" t="s">
        <v>170</v>
      </c>
      <c r="H129" s="2" t="s">
        <v>12</v>
      </c>
      <c r="I129" s="2" t="s">
        <v>19</v>
      </c>
    </row>
    <row r="130" spans="1:9" x14ac:dyDescent="0.3">
      <c r="A130" s="2" t="s">
        <v>436</v>
      </c>
      <c r="B130" s="2" t="s">
        <v>437</v>
      </c>
      <c r="C130" s="2">
        <v>45</v>
      </c>
      <c r="D130" s="2" t="str">
        <f>IF(Customer_Details[[#This Row],[Age]]&lt;=30,"Adult",IF(Customer_Details[[#This Row],[Age]]&lt;=50,"Mid-Adult","Senior"))</f>
        <v>Mid-Adult</v>
      </c>
      <c r="E130" s="2" t="s">
        <v>9</v>
      </c>
      <c r="F130" s="2" t="s">
        <v>438</v>
      </c>
      <c r="G130" s="2" t="s">
        <v>288</v>
      </c>
      <c r="H130" s="2" t="s">
        <v>12</v>
      </c>
      <c r="I130" s="2" t="s">
        <v>31</v>
      </c>
    </row>
    <row r="131" spans="1:9" x14ac:dyDescent="0.3">
      <c r="A131" s="2" t="s">
        <v>439</v>
      </c>
      <c r="B131" s="2" t="s">
        <v>440</v>
      </c>
      <c r="C131" s="2">
        <v>43</v>
      </c>
      <c r="D131" s="2" t="str">
        <f>IF(Customer_Details[[#This Row],[Age]]&lt;=30,"Adult",IF(Customer_Details[[#This Row],[Age]]&lt;=50,"Mid-Adult","Senior"))</f>
        <v>Mid-Adult</v>
      </c>
      <c r="E131" s="2" t="s">
        <v>16</v>
      </c>
      <c r="F131" s="2" t="s">
        <v>441</v>
      </c>
      <c r="G131" s="2" t="s">
        <v>39</v>
      </c>
      <c r="H131" s="2" t="s">
        <v>12</v>
      </c>
      <c r="I131" s="2" t="s">
        <v>31</v>
      </c>
    </row>
    <row r="132" spans="1:9" x14ac:dyDescent="0.3">
      <c r="A132" s="2" t="s">
        <v>442</v>
      </c>
      <c r="B132" s="2" t="s">
        <v>443</v>
      </c>
      <c r="C132" s="2">
        <v>29</v>
      </c>
      <c r="D132" s="2" t="str">
        <f>IF(Customer_Details[[#This Row],[Age]]&lt;=30,"Adult",IF(Customer_Details[[#This Row],[Age]]&lt;=50,"Mid-Adult","Senior"))</f>
        <v>Adult</v>
      </c>
      <c r="E132" s="2" t="s">
        <v>9</v>
      </c>
      <c r="F132" s="2" t="s">
        <v>3810</v>
      </c>
      <c r="G132" s="2" t="s">
        <v>166</v>
      </c>
      <c r="H132" s="2" t="s">
        <v>12</v>
      </c>
      <c r="I132" s="2" t="s">
        <v>19</v>
      </c>
    </row>
    <row r="133" spans="1:9" x14ac:dyDescent="0.3">
      <c r="A133" s="2" t="s">
        <v>444</v>
      </c>
      <c r="B133" s="2" t="s">
        <v>445</v>
      </c>
      <c r="C133" s="2">
        <v>34</v>
      </c>
      <c r="D133" s="2" t="str">
        <f>IF(Customer_Details[[#This Row],[Age]]&lt;=30,"Adult",IF(Customer_Details[[#This Row],[Age]]&lt;=50,"Mid-Adult","Senior"))</f>
        <v>Mid-Adult</v>
      </c>
      <c r="E133" s="2" t="s">
        <v>16</v>
      </c>
      <c r="F133" s="2" t="s">
        <v>446</v>
      </c>
      <c r="G133" s="2" t="s">
        <v>22</v>
      </c>
      <c r="H133" s="2" t="s">
        <v>12</v>
      </c>
      <c r="I133" s="2" t="s">
        <v>26</v>
      </c>
    </row>
    <row r="134" spans="1:9" x14ac:dyDescent="0.3">
      <c r="A134" s="2" t="s">
        <v>447</v>
      </c>
      <c r="B134" s="2" t="s">
        <v>448</v>
      </c>
      <c r="C134" s="2">
        <v>57</v>
      </c>
      <c r="D134" s="2" t="str">
        <f>IF(Customer_Details[[#This Row],[Age]]&lt;=30,"Adult",IF(Customer_Details[[#This Row],[Age]]&lt;=50,"Mid-Adult","Senior"))</f>
        <v>Senior</v>
      </c>
      <c r="E134" s="2" t="s">
        <v>16</v>
      </c>
      <c r="F134" s="2" t="s">
        <v>449</v>
      </c>
      <c r="G134" s="2" t="s">
        <v>25</v>
      </c>
      <c r="H134" s="2" t="s">
        <v>12</v>
      </c>
      <c r="I134" s="2" t="s">
        <v>13</v>
      </c>
    </row>
    <row r="135" spans="1:9" x14ac:dyDescent="0.3">
      <c r="A135" s="2" t="s">
        <v>450</v>
      </c>
      <c r="B135" s="2" t="s">
        <v>451</v>
      </c>
      <c r="C135" s="2">
        <v>62</v>
      </c>
      <c r="D135" s="2" t="str">
        <f>IF(Customer_Details[[#This Row],[Age]]&lt;=30,"Adult",IF(Customer_Details[[#This Row],[Age]]&lt;=50,"Mid-Adult","Senior"))</f>
        <v>Senior</v>
      </c>
      <c r="E135" s="2" t="s">
        <v>16</v>
      </c>
      <c r="F135" s="2" t="s">
        <v>452</v>
      </c>
      <c r="G135" s="2" t="s">
        <v>247</v>
      </c>
      <c r="H135" s="2" t="s">
        <v>12</v>
      </c>
      <c r="I135" s="2" t="s">
        <v>26</v>
      </c>
    </row>
    <row r="136" spans="1:9" x14ac:dyDescent="0.3">
      <c r="A136" s="2" t="s">
        <v>453</v>
      </c>
      <c r="B136" s="2" t="s">
        <v>454</v>
      </c>
      <c r="C136" s="2">
        <v>54</v>
      </c>
      <c r="D136" s="2" t="str">
        <f>IF(Customer_Details[[#This Row],[Age]]&lt;=30,"Adult",IF(Customer_Details[[#This Row],[Age]]&lt;=50,"Mid-Adult","Senior"))</f>
        <v>Senior</v>
      </c>
      <c r="E136" s="2" t="s">
        <v>9</v>
      </c>
      <c r="F136" s="2" t="s">
        <v>455</v>
      </c>
      <c r="G136" s="2" t="s">
        <v>74</v>
      </c>
      <c r="H136" s="2" t="s">
        <v>12</v>
      </c>
      <c r="I136" s="2" t="s">
        <v>13</v>
      </c>
    </row>
    <row r="137" spans="1:9" x14ac:dyDescent="0.3">
      <c r="A137" s="2" t="s">
        <v>456</v>
      </c>
      <c r="B137" s="2" t="s">
        <v>457</v>
      </c>
      <c r="C137" s="2">
        <v>33</v>
      </c>
      <c r="D137" s="2" t="str">
        <f>IF(Customer_Details[[#This Row],[Age]]&lt;=30,"Adult",IF(Customer_Details[[#This Row],[Age]]&lt;=50,"Mid-Adult","Senior"))</f>
        <v>Mid-Adult</v>
      </c>
      <c r="E137" s="2" t="s">
        <v>16</v>
      </c>
      <c r="F137" s="2" t="s">
        <v>458</v>
      </c>
      <c r="G137" s="2" t="s">
        <v>155</v>
      </c>
      <c r="H137" s="2" t="s">
        <v>12</v>
      </c>
      <c r="I137" s="2" t="s">
        <v>19</v>
      </c>
    </row>
    <row r="138" spans="1:9" x14ac:dyDescent="0.3">
      <c r="A138" s="2" t="s">
        <v>459</v>
      </c>
      <c r="B138" s="2" t="s">
        <v>460</v>
      </c>
      <c r="C138" s="2">
        <v>29</v>
      </c>
      <c r="D138" s="2" t="str">
        <f>IF(Customer_Details[[#This Row],[Age]]&lt;=30,"Adult",IF(Customer_Details[[#This Row],[Age]]&lt;=50,"Mid-Adult","Senior"))</f>
        <v>Adult</v>
      </c>
      <c r="E138" s="2" t="s">
        <v>9</v>
      </c>
      <c r="F138" s="2" t="s">
        <v>461</v>
      </c>
      <c r="G138" s="2" t="s">
        <v>70</v>
      </c>
      <c r="H138" s="2" t="s">
        <v>12</v>
      </c>
      <c r="I138" s="2" t="s">
        <v>31</v>
      </c>
    </row>
    <row r="139" spans="1:9" x14ac:dyDescent="0.3">
      <c r="A139" s="2" t="s">
        <v>462</v>
      </c>
      <c r="B139" s="2" t="s">
        <v>463</v>
      </c>
      <c r="C139" s="2">
        <v>55</v>
      </c>
      <c r="D139" s="2" t="str">
        <f>IF(Customer_Details[[#This Row],[Age]]&lt;=30,"Adult",IF(Customer_Details[[#This Row],[Age]]&lt;=50,"Mid-Adult","Senior"))</f>
        <v>Senior</v>
      </c>
      <c r="E139" s="2" t="s">
        <v>16</v>
      </c>
      <c r="F139" s="2" t="s">
        <v>464</v>
      </c>
      <c r="G139" s="2" t="s">
        <v>25</v>
      </c>
      <c r="H139" s="2" t="s">
        <v>12</v>
      </c>
      <c r="I139" s="2" t="s">
        <v>19</v>
      </c>
    </row>
    <row r="140" spans="1:9" x14ac:dyDescent="0.3">
      <c r="A140" s="2" t="s">
        <v>465</v>
      </c>
      <c r="B140" s="2" t="s">
        <v>466</v>
      </c>
      <c r="C140" s="2">
        <v>43</v>
      </c>
      <c r="D140" s="2" t="str">
        <f>IF(Customer_Details[[#This Row],[Age]]&lt;=30,"Adult",IF(Customer_Details[[#This Row],[Age]]&lt;=50,"Mid-Adult","Senior"))</f>
        <v>Mid-Adult</v>
      </c>
      <c r="E140" s="2" t="s">
        <v>9</v>
      </c>
      <c r="F140" s="2" t="s">
        <v>390</v>
      </c>
      <c r="G140" s="2" t="s">
        <v>284</v>
      </c>
      <c r="H140" s="2" t="s">
        <v>12</v>
      </c>
      <c r="I140" s="2" t="s">
        <v>13</v>
      </c>
    </row>
    <row r="141" spans="1:9" x14ac:dyDescent="0.3">
      <c r="A141" s="2" t="s">
        <v>467</v>
      </c>
      <c r="B141" s="2" t="s">
        <v>468</v>
      </c>
      <c r="C141" s="2">
        <v>32</v>
      </c>
      <c r="D141" s="2" t="str">
        <f>IF(Customer_Details[[#This Row],[Age]]&lt;=30,"Adult",IF(Customer_Details[[#This Row],[Age]]&lt;=50,"Mid-Adult","Senior"))</f>
        <v>Mid-Adult</v>
      </c>
      <c r="E141" s="2" t="s">
        <v>9</v>
      </c>
      <c r="F141" s="2" t="s">
        <v>469</v>
      </c>
      <c r="G141" s="2" t="s">
        <v>117</v>
      </c>
      <c r="H141" s="2" t="s">
        <v>12</v>
      </c>
      <c r="I141" s="2" t="s">
        <v>26</v>
      </c>
    </row>
    <row r="142" spans="1:9" x14ac:dyDescent="0.3">
      <c r="A142" s="2" t="s">
        <v>470</v>
      </c>
      <c r="B142" s="2" t="s">
        <v>471</v>
      </c>
      <c r="C142" s="2">
        <v>63</v>
      </c>
      <c r="D142" s="2" t="str">
        <f>IF(Customer_Details[[#This Row],[Age]]&lt;=30,"Adult",IF(Customer_Details[[#This Row],[Age]]&lt;=50,"Mid-Adult","Senior"))</f>
        <v>Senior</v>
      </c>
      <c r="E142" s="2" t="s">
        <v>16</v>
      </c>
      <c r="F142" s="2" t="s">
        <v>472</v>
      </c>
      <c r="G142" s="2" t="s">
        <v>51</v>
      </c>
      <c r="H142" s="2" t="s">
        <v>12</v>
      </c>
      <c r="I142" s="2" t="s">
        <v>13</v>
      </c>
    </row>
    <row r="143" spans="1:9" x14ac:dyDescent="0.3">
      <c r="A143" s="2" t="s">
        <v>473</v>
      </c>
      <c r="B143" s="2" t="s">
        <v>474</v>
      </c>
      <c r="C143" s="2">
        <v>30</v>
      </c>
      <c r="D143" s="2" t="str">
        <f>IF(Customer_Details[[#This Row],[Age]]&lt;=30,"Adult",IF(Customer_Details[[#This Row],[Age]]&lt;=50,"Mid-Adult","Senior"))</f>
        <v>Adult</v>
      </c>
      <c r="E143" s="2" t="s">
        <v>9</v>
      </c>
      <c r="F143" s="2" t="s">
        <v>475</v>
      </c>
      <c r="G143" s="2" t="s">
        <v>30</v>
      </c>
      <c r="H143" s="2" t="s">
        <v>12</v>
      </c>
      <c r="I143" s="2" t="s">
        <v>26</v>
      </c>
    </row>
    <row r="144" spans="1:9" x14ac:dyDescent="0.3">
      <c r="A144" s="2" t="s">
        <v>476</v>
      </c>
      <c r="B144" s="2" t="s">
        <v>477</v>
      </c>
      <c r="C144" s="2">
        <v>37</v>
      </c>
      <c r="D144" s="2" t="str">
        <f>IF(Customer_Details[[#This Row],[Age]]&lt;=30,"Adult",IF(Customer_Details[[#This Row],[Age]]&lt;=50,"Mid-Adult","Senior"))</f>
        <v>Mid-Adult</v>
      </c>
      <c r="E144" s="2" t="s">
        <v>9</v>
      </c>
      <c r="F144" s="2" t="s">
        <v>478</v>
      </c>
      <c r="G144" s="2" t="s">
        <v>66</v>
      </c>
      <c r="H144" s="2" t="s">
        <v>12</v>
      </c>
      <c r="I144" s="2" t="s">
        <v>26</v>
      </c>
    </row>
    <row r="145" spans="1:9" x14ac:dyDescent="0.3">
      <c r="A145" s="2" t="s">
        <v>479</v>
      </c>
      <c r="B145" s="2" t="s">
        <v>480</v>
      </c>
      <c r="C145" s="2">
        <v>46</v>
      </c>
      <c r="D145" s="2" t="str">
        <f>IF(Customer_Details[[#This Row],[Age]]&lt;=30,"Adult",IF(Customer_Details[[#This Row],[Age]]&lt;=50,"Mid-Adult","Senior"))</f>
        <v>Mid-Adult</v>
      </c>
      <c r="E145" s="2" t="s">
        <v>9</v>
      </c>
      <c r="F145" s="2" t="s">
        <v>481</v>
      </c>
      <c r="G145" s="2" t="s">
        <v>22</v>
      </c>
      <c r="H145" s="2" t="s">
        <v>12</v>
      </c>
      <c r="I145" s="2" t="s">
        <v>26</v>
      </c>
    </row>
    <row r="146" spans="1:9" x14ac:dyDescent="0.3">
      <c r="A146" s="2" t="s">
        <v>482</v>
      </c>
      <c r="B146" s="2" t="s">
        <v>483</v>
      </c>
      <c r="C146" s="2">
        <v>62</v>
      </c>
      <c r="D146" s="2" t="str">
        <f>IF(Customer_Details[[#This Row],[Age]]&lt;=30,"Adult",IF(Customer_Details[[#This Row],[Age]]&lt;=50,"Mid-Adult","Senior"))</f>
        <v>Senior</v>
      </c>
      <c r="E146" s="2" t="s">
        <v>16</v>
      </c>
      <c r="F146" s="2" t="s">
        <v>484</v>
      </c>
      <c r="G146" s="2" t="s">
        <v>181</v>
      </c>
      <c r="H146" s="2" t="s">
        <v>12</v>
      </c>
      <c r="I146" s="2" t="s">
        <v>26</v>
      </c>
    </row>
    <row r="147" spans="1:9" x14ac:dyDescent="0.3">
      <c r="A147" s="2" t="s">
        <v>485</v>
      </c>
      <c r="B147" s="2" t="s">
        <v>486</v>
      </c>
      <c r="C147" s="2">
        <v>46</v>
      </c>
      <c r="D147" s="2" t="str">
        <f>IF(Customer_Details[[#This Row],[Age]]&lt;=30,"Adult",IF(Customer_Details[[#This Row],[Age]]&lt;=50,"Mid-Adult","Senior"))</f>
        <v>Mid-Adult</v>
      </c>
      <c r="E147" s="2" t="s">
        <v>9</v>
      </c>
      <c r="F147" s="2" t="s">
        <v>487</v>
      </c>
      <c r="G147" s="2" t="s">
        <v>251</v>
      </c>
      <c r="H147" s="2" t="s">
        <v>12</v>
      </c>
      <c r="I147" s="2" t="s">
        <v>19</v>
      </c>
    </row>
    <row r="148" spans="1:9" x14ac:dyDescent="0.3">
      <c r="A148" s="2" t="s">
        <v>488</v>
      </c>
      <c r="B148" s="2" t="s">
        <v>489</v>
      </c>
      <c r="C148" s="2">
        <v>32</v>
      </c>
      <c r="D148" s="2" t="str">
        <f>IF(Customer_Details[[#This Row],[Age]]&lt;=30,"Adult",IF(Customer_Details[[#This Row],[Age]]&lt;=50,"Mid-Adult","Senior"))</f>
        <v>Mid-Adult</v>
      </c>
      <c r="E148" s="2" t="s">
        <v>16</v>
      </c>
      <c r="F148" s="2" t="s">
        <v>490</v>
      </c>
      <c r="G148" s="2" t="s">
        <v>312</v>
      </c>
      <c r="H148" s="2" t="s">
        <v>12</v>
      </c>
      <c r="I148" s="2" t="s">
        <v>13</v>
      </c>
    </row>
    <row r="149" spans="1:9" x14ac:dyDescent="0.3">
      <c r="A149" s="2" t="s">
        <v>491</v>
      </c>
      <c r="B149" s="2" t="s">
        <v>492</v>
      </c>
      <c r="C149" s="2">
        <v>49</v>
      </c>
      <c r="D149" s="2" t="str">
        <f>IF(Customer_Details[[#This Row],[Age]]&lt;=30,"Adult",IF(Customer_Details[[#This Row],[Age]]&lt;=50,"Mid-Adult","Senior"))</f>
        <v>Mid-Adult</v>
      </c>
      <c r="E149" s="2" t="s">
        <v>16</v>
      </c>
      <c r="F149" s="2" t="s">
        <v>493</v>
      </c>
      <c r="G149" s="2" t="s">
        <v>162</v>
      </c>
      <c r="H149" s="2" t="s">
        <v>12</v>
      </c>
      <c r="I149" s="2" t="s">
        <v>19</v>
      </c>
    </row>
    <row r="150" spans="1:9" x14ac:dyDescent="0.3">
      <c r="A150" s="2" t="s">
        <v>494</v>
      </c>
      <c r="B150" s="2" t="s">
        <v>495</v>
      </c>
      <c r="C150" s="2">
        <v>42</v>
      </c>
      <c r="D150" s="2" t="str">
        <f>IF(Customer_Details[[#This Row],[Age]]&lt;=30,"Adult",IF(Customer_Details[[#This Row],[Age]]&lt;=50,"Mid-Adult","Senior"))</f>
        <v>Mid-Adult</v>
      </c>
      <c r="E150" s="2" t="s">
        <v>16</v>
      </c>
      <c r="F150" s="2" t="s">
        <v>496</v>
      </c>
      <c r="G150" s="2" t="s">
        <v>319</v>
      </c>
      <c r="H150" s="2" t="s">
        <v>12</v>
      </c>
      <c r="I150" s="2" t="s">
        <v>26</v>
      </c>
    </row>
    <row r="151" spans="1:9" x14ac:dyDescent="0.3">
      <c r="A151" s="2" t="s">
        <v>497</v>
      </c>
      <c r="B151" s="2" t="s">
        <v>498</v>
      </c>
      <c r="C151" s="2">
        <v>33</v>
      </c>
      <c r="D151" s="2" t="str">
        <f>IF(Customer_Details[[#This Row],[Age]]&lt;=30,"Adult",IF(Customer_Details[[#This Row],[Age]]&lt;=50,"Mid-Adult","Senior"))</f>
        <v>Mid-Adult</v>
      </c>
      <c r="E151" s="2" t="s">
        <v>9</v>
      </c>
      <c r="F151" s="2" t="s">
        <v>499</v>
      </c>
      <c r="G151" s="2" t="s">
        <v>247</v>
      </c>
      <c r="H151" s="2" t="s">
        <v>12</v>
      </c>
      <c r="I151" s="2" t="s">
        <v>19</v>
      </c>
    </row>
    <row r="152" spans="1:9" x14ac:dyDescent="0.3">
      <c r="A152" s="2" t="s">
        <v>500</v>
      </c>
      <c r="B152" s="2" t="s">
        <v>501</v>
      </c>
      <c r="C152" s="2">
        <v>24</v>
      </c>
      <c r="D152" s="2" t="str">
        <f>IF(Customer_Details[[#This Row],[Age]]&lt;=30,"Adult",IF(Customer_Details[[#This Row],[Age]]&lt;=50,"Mid-Adult","Senior"))</f>
        <v>Adult</v>
      </c>
      <c r="E152" s="2" t="s">
        <v>9</v>
      </c>
      <c r="F152" s="2" t="s">
        <v>502</v>
      </c>
      <c r="G152" s="2" t="s">
        <v>309</v>
      </c>
      <c r="H152" s="2" t="s">
        <v>12</v>
      </c>
      <c r="I152" s="2" t="s">
        <v>13</v>
      </c>
    </row>
    <row r="153" spans="1:9" x14ac:dyDescent="0.3">
      <c r="A153" s="2" t="s">
        <v>503</v>
      </c>
      <c r="B153" s="2" t="s">
        <v>504</v>
      </c>
      <c r="C153" s="2">
        <v>25</v>
      </c>
      <c r="D153" s="2" t="str">
        <f>IF(Customer_Details[[#This Row],[Age]]&lt;=30,"Adult",IF(Customer_Details[[#This Row],[Age]]&lt;=50,"Mid-Adult","Senior"))</f>
        <v>Adult</v>
      </c>
      <c r="E153" s="2" t="s">
        <v>16</v>
      </c>
      <c r="F153" s="2" t="s">
        <v>505</v>
      </c>
      <c r="G153" s="2" t="s">
        <v>35</v>
      </c>
      <c r="H153" s="2" t="s">
        <v>12</v>
      </c>
      <c r="I153" s="2" t="s">
        <v>13</v>
      </c>
    </row>
    <row r="154" spans="1:9" x14ac:dyDescent="0.3">
      <c r="A154" s="2" t="s">
        <v>506</v>
      </c>
      <c r="B154" s="2" t="s">
        <v>507</v>
      </c>
      <c r="C154" s="2">
        <v>41</v>
      </c>
      <c r="D154" s="2" t="str">
        <f>IF(Customer_Details[[#This Row],[Age]]&lt;=30,"Adult",IF(Customer_Details[[#This Row],[Age]]&lt;=50,"Mid-Adult","Senior"))</f>
        <v>Mid-Adult</v>
      </c>
      <c r="E154" s="2" t="s">
        <v>16</v>
      </c>
      <c r="F154" s="2" t="s">
        <v>508</v>
      </c>
      <c r="G154" s="2" t="s">
        <v>113</v>
      </c>
      <c r="H154" s="2" t="s">
        <v>12</v>
      </c>
      <c r="I154" s="2" t="s">
        <v>19</v>
      </c>
    </row>
    <row r="155" spans="1:9" x14ac:dyDescent="0.3">
      <c r="A155" s="2" t="s">
        <v>509</v>
      </c>
      <c r="B155" s="2" t="s">
        <v>510</v>
      </c>
      <c r="C155" s="2">
        <v>31</v>
      </c>
      <c r="D155" s="2" t="str">
        <f>IF(Customer_Details[[#This Row],[Age]]&lt;=30,"Adult",IF(Customer_Details[[#This Row],[Age]]&lt;=50,"Mid-Adult","Senior"))</f>
        <v>Mid-Adult</v>
      </c>
      <c r="E155" s="2" t="s">
        <v>9</v>
      </c>
      <c r="F155" s="2" t="s">
        <v>511</v>
      </c>
      <c r="G155" s="2" t="s">
        <v>18</v>
      </c>
      <c r="H155" s="2" t="s">
        <v>12</v>
      </c>
      <c r="I155" s="2" t="s">
        <v>26</v>
      </c>
    </row>
    <row r="156" spans="1:9" x14ac:dyDescent="0.3">
      <c r="A156" s="2" t="s">
        <v>512</v>
      </c>
      <c r="B156" s="2" t="s">
        <v>513</v>
      </c>
      <c r="C156" s="2">
        <v>35</v>
      </c>
      <c r="D156" s="2" t="str">
        <f>IF(Customer_Details[[#This Row],[Age]]&lt;=30,"Adult",IF(Customer_Details[[#This Row],[Age]]&lt;=50,"Mid-Adult","Senior"))</f>
        <v>Mid-Adult</v>
      </c>
      <c r="E156" s="2" t="s">
        <v>16</v>
      </c>
      <c r="F156" s="2" t="s">
        <v>514</v>
      </c>
      <c r="G156" s="2" t="s">
        <v>170</v>
      </c>
      <c r="H156" s="2" t="s">
        <v>12</v>
      </c>
      <c r="I156" s="2" t="s">
        <v>13</v>
      </c>
    </row>
    <row r="157" spans="1:9" x14ac:dyDescent="0.3">
      <c r="A157" s="2" t="s">
        <v>515</v>
      </c>
      <c r="B157" s="2" t="s">
        <v>516</v>
      </c>
      <c r="C157" s="2">
        <v>60</v>
      </c>
      <c r="D157" s="2" t="str">
        <f>IF(Customer_Details[[#This Row],[Age]]&lt;=30,"Adult",IF(Customer_Details[[#This Row],[Age]]&lt;=50,"Mid-Adult","Senior"))</f>
        <v>Senior</v>
      </c>
      <c r="E157" s="2" t="s">
        <v>16</v>
      </c>
      <c r="F157" s="2" t="s">
        <v>517</v>
      </c>
      <c r="G157" s="2" t="s">
        <v>264</v>
      </c>
      <c r="H157" s="2" t="s">
        <v>12</v>
      </c>
      <c r="I157" s="2" t="s">
        <v>13</v>
      </c>
    </row>
    <row r="158" spans="1:9" x14ac:dyDescent="0.3">
      <c r="A158" s="2" t="s">
        <v>518</v>
      </c>
      <c r="B158" s="2" t="s">
        <v>519</v>
      </c>
      <c r="C158" s="2">
        <v>46</v>
      </c>
      <c r="D158" s="2" t="str">
        <f>IF(Customer_Details[[#This Row],[Age]]&lt;=30,"Adult",IF(Customer_Details[[#This Row],[Age]]&lt;=50,"Mid-Adult","Senior"))</f>
        <v>Mid-Adult</v>
      </c>
      <c r="E158" s="2" t="s">
        <v>9</v>
      </c>
      <c r="F158" s="2" t="s">
        <v>520</v>
      </c>
      <c r="G158" s="2" t="s">
        <v>18</v>
      </c>
      <c r="H158" s="2" t="s">
        <v>12</v>
      </c>
      <c r="I158" s="2" t="s">
        <v>26</v>
      </c>
    </row>
    <row r="159" spans="1:9" x14ac:dyDescent="0.3">
      <c r="A159" s="2" t="s">
        <v>521</v>
      </c>
      <c r="B159" s="2" t="s">
        <v>522</v>
      </c>
      <c r="C159" s="2">
        <v>59</v>
      </c>
      <c r="D159" s="2" t="str">
        <f>IF(Customer_Details[[#This Row],[Age]]&lt;=30,"Adult",IF(Customer_Details[[#This Row],[Age]]&lt;=50,"Mid-Adult","Senior"))</f>
        <v>Senior</v>
      </c>
      <c r="E159" s="2" t="s">
        <v>9</v>
      </c>
      <c r="F159" s="2" t="s">
        <v>523</v>
      </c>
      <c r="G159" s="2" t="s">
        <v>18</v>
      </c>
      <c r="H159" s="2" t="s">
        <v>12</v>
      </c>
      <c r="I159" s="2" t="s">
        <v>19</v>
      </c>
    </row>
    <row r="160" spans="1:9" x14ac:dyDescent="0.3">
      <c r="A160" s="2" t="s">
        <v>524</v>
      </c>
      <c r="B160" s="2" t="s">
        <v>525</v>
      </c>
      <c r="C160" s="2">
        <v>43</v>
      </c>
      <c r="D160" s="2" t="str">
        <f>IF(Customer_Details[[#This Row],[Age]]&lt;=30,"Adult",IF(Customer_Details[[#This Row],[Age]]&lt;=50,"Mid-Adult","Senior"))</f>
        <v>Mid-Adult</v>
      </c>
      <c r="E160" s="2" t="s">
        <v>9</v>
      </c>
      <c r="F160" s="2" t="s">
        <v>526</v>
      </c>
      <c r="G160" s="2" t="s">
        <v>170</v>
      </c>
      <c r="H160" s="2" t="s">
        <v>12</v>
      </c>
      <c r="I160" s="2" t="s">
        <v>26</v>
      </c>
    </row>
    <row r="161" spans="1:9" x14ac:dyDescent="0.3">
      <c r="A161" s="2" t="s">
        <v>527</v>
      </c>
      <c r="B161" s="2" t="s">
        <v>528</v>
      </c>
      <c r="C161" s="2">
        <v>46</v>
      </c>
      <c r="D161" s="2" t="str">
        <f>IF(Customer_Details[[#This Row],[Age]]&lt;=30,"Adult",IF(Customer_Details[[#This Row],[Age]]&lt;=50,"Mid-Adult","Senior"))</f>
        <v>Mid-Adult</v>
      </c>
      <c r="E161" s="2" t="s">
        <v>16</v>
      </c>
      <c r="F161" s="2" t="s">
        <v>529</v>
      </c>
      <c r="G161" s="2" t="s">
        <v>88</v>
      </c>
      <c r="H161" s="2" t="s">
        <v>12</v>
      </c>
      <c r="I161" s="2" t="s">
        <v>13</v>
      </c>
    </row>
    <row r="162" spans="1:9" x14ac:dyDescent="0.3">
      <c r="A162" s="2" t="s">
        <v>530</v>
      </c>
      <c r="B162" s="2" t="s">
        <v>531</v>
      </c>
      <c r="C162" s="2">
        <v>41</v>
      </c>
      <c r="D162" s="2" t="str">
        <f>IF(Customer_Details[[#This Row],[Age]]&lt;=30,"Adult",IF(Customer_Details[[#This Row],[Age]]&lt;=50,"Mid-Adult","Senior"))</f>
        <v>Mid-Adult</v>
      </c>
      <c r="E162" s="2" t="s">
        <v>16</v>
      </c>
      <c r="F162" s="2" t="s">
        <v>532</v>
      </c>
      <c r="G162" s="2" t="s">
        <v>11</v>
      </c>
      <c r="H162" s="2" t="s">
        <v>12</v>
      </c>
      <c r="I162" s="2" t="s">
        <v>19</v>
      </c>
    </row>
    <row r="163" spans="1:9" x14ac:dyDescent="0.3">
      <c r="A163" s="2" t="s">
        <v>533</v>
      </c>
      <c r="B163" s="2" t="s">
        <v>534</v>
      </c>
      <c r="C163" s="2">
        <v>18</v>
      </c>
      <c r="D163" s="2" t="str">
        <f>IF(Customer_Details[[#This Row],[Age]]&lt;=30,"Adult",IF(Customer_Details[[#This Row],[Age]]&lt;=50,"Mid-Adult","Senior"))</f>
        <v>Adult</v>
      </c>
      <c r="E163" s="2" t="s">
        <v>16</v>
      </c>
      <c r="F163" s="2" t="s">
        <v>535</v>
      </c>
      <c r="G163" s="2" t="s">
        <v>133</v>
      </c>
      <c r="H163" s="2" t="s">
        <v>12</v>
      </c>
      <c r="I163" s="2" t="s">
        <v>31</v>
      </c>
    </row>
    <row r="164" spans="1:9" x14ac:dyDescent="0.3">
      <c r="A164" s="2" t="s">
        <v>536</v>
      </c>
      <c r="B164" s="2" t="s">
        <v>537</v>
      </c>
      <c r="C164" s="2">
        <v>37</v>
      </c>
      <c r="D164" s="2" t="str">
        <f>IF(Customer_Details[[#This Row],[Age]]&lt;=30,"Adult",IF(Customer_Details[[#This Row],[Age]]&lt;=50,"Mid-Adult","Senior"))</f>
        <v>Mid-Adult</v>
      </c>
      <c r="E164" s="2" t="s">
        <v>9</v>
      </c>
      <c r="F164" s="2" t="s">
        <v>538</v>
      </c>
      <c r="G164" s="2" t="s">
        <v>234</v>
      </c>
      <c r="H164" s="2" t="s">
        <v>12</v>
      </c>
      <c r="I164" s="2" t="s">
        <v>31</v>
      </c>
    </row>
    <row r="165" spans="1:9" x14ac:dyDescent="0.3">
      <c r="A165" s="2" t="s">
        <v>539</v>
      </c>
      <c r="B165" s="2" t="s">
        <v>540</v>
      </c>
      <c r="C165" s="2">
        <v>21</v>
      </c>
      <c r="D165" s="2" t="str">
        <f>IF(Customer_Details[[#This Row],[Age]]&lt;=30,"Adult",IF(Customer_Details[[#This Row],[Age]]&lt;=50,"Mid-Adult","Senior"))</f>
        <v>Adult</v>
      </c>
      <c r="E165" s="2" t="s">
        <v>9</v>
      </c>
      <c r="F165" s="2" t="s">
        <v>541</v>
      </c>
      <c r="G165" s="2" t="s">
        <v>191</v>
      </c>
      <c r="H165" s="2" t="s">
        <v>12</v>
      </c>
      <c r="I165" s="2" t="s">
        <v>26</v>
      </c>
    </row>
    <row r="166" spans="1:9" x14ac:dyDescent="0.3">
      <c r="A166" s="2" t="s">
        <v>542</v>
      </c>
      <c r="B166" s="2" t="s">
        <v>543</v>
      </c>
      <c r="C166" s="2">
        <v>39</v>
      </c>
      <c r="D166" s="2" t="str">
        <f>IF(Customer_Details[[#This Row],[Age]]&lt;=30,"Adult",IF(Customer_Details[[#This Row],[Age]]&lt;=50,"Mid-Adult","Senior"))</f>
        <v>Mid-Adult</v>
      </c>
      <c r="E166" s="2" t="s">
        <v>16</v>
      </c>
      <c r="F166" s="2" t="s">
        <v>544</v>
      </c>
      <c r="G166" s="2" t="s">
        <v>81</v>
      </c>
      <c r="H166" s="2" t="s">
        <v>12</v>
      </c>
      <c r="I166" s="2" t="s">
        <v>31</v>
      </c>
    </row>
    <row r="167" spans="1:9" x14ac:dyDescent="0.3">
      <c r="A167" s="2" t="s">
        <v>545</v>
      </c>
      <c r="B167" s="2" t="s">
        <v>546</v>
      </c>
      <c r="C167" s="2">
        <v>47</v>
      </c>
      <c r="D167" s="2" t="str">
        <f>IF(Customer_Details[[#This Row],[Age]]&lt;=30,"Adult",IF(Customer_Details[[#This Row],[Age]]&lt;=50,"Mid-Adult","Senior"))</f>
        <v>Mid-Adult</v>
      </c>
      <c r="E167" s="2" t="s">
        <v>16</v>
      </c>
      <c r="F167" s="2" t="s">
        <v>547</v>
      </c>
      <c r="G167" s="2" t="s">
        <v>191</v>
      </c>
      <c r="H167" s="2" t="s">
        <v>12</v>
      </c>
      <c r="I167" s="2" t="s">
        <v>19</v>
      </c>
    </row>
    <row r="168" spans="1:9" x14ac:dyDescent="0.3">
      <c r="A168" s="2" t="s">
        <v>548</v>
      </c>
      <c r="B168" s="2" t="s">
        <v>549</v>
      </c>
      <c r="C168" s="2">
        <v>25</v>
      </c>
      <c r="D168" s="2" t="str">
        <f>IF(Customer_Details[[#This Row],[Age]]&lt;=30,"Adult",IF(Customer_Details[[#This Row],[Age]]&lt;=50,"Mid-Adult","Senior"))</f>
        <v>Adult</v>
      </c>
      <c r="E168" s="2" t="s">
        <v>16</v>
      </c>
      <c r="F168" s="2" t="s">
        <v>550</v>
      </c>
      <c r="G168" s="2" t="s">
        <v>155</v>
      </c>
      <c r="H168" s="2" t="s">
        <v>12</v>
      </c>
      <c r="I168" s="2" t="s">
        <v>31</v>
      </c>
    </row>
    <row r="169" spans="1:9" x14ac:dyDescent="0.3">
      <c r="A169" s="2" t="s">
        <v>551</v>
      </c>
      <c r="B169" s="2" t="s">
        <v>552</v>
      </c>
      <c r="C169" s="2">
        <v>36</v>
      </c>
      <c r="D169" s="2" t="str">
        <f>IF(Customer_Details[[#This Row],[Age]]&lt;=30,"Adult",IF(Customer_Details[[#This Row],[Age]]&lt;=50,"Mid-Adult","Senior"))</f>
        <v>Mid-Adult</v>
      </c>
      <c r="E169" s="2" t="s">
        <v>16</v>
      </c>
      <c r="F169" s="2" t="s">
        <v>553</v>
      </c>
      <c r="G169" s="2" t="s">
        <v>234</v>
      </c>
      <c r="H169" s="2" t="s">
        <v>12</v>
      </c>
      <c r="I169" s="2" t="s">
        <v>13</v>
      </c>
    </row>
    <row r="170" spans="1:9" x14ac:dyDescent="0.3">
      <c r="A170" s="2" t="s">
        <v>554</v>
      </c>
      <c r="B170" s="2" t="s">
        <v>555</v>
      </c>
      <c r="C170" s="2">
        <v>36</v>
      </c>
      <c r="D170" s="2" t="str">
        <f>IF(Customer_Details[[#This Row],[Age]]&lt;=30,"Adult",IF(Customer_Details[[#This Row],[Age]]&lt;=50,"Mid-Adult","Senior"))</f>
        <v>Mid-Adult</v>
      </c>
      <c r="E170" s="2" t="s">
        <v>16</v>
      </c>
      <c r="F170" s="2" t="s">
        <v>556</v>
      </c>
      <c r="G170" s="2" t="s">
        <v>247</v>
      </c>
      <c r="H170" s="2" t="s">
        <v>12</v>
      </c>
      <c r="I170" s="2" t="s">
        <v>19</v>
      </c>
    </row>
    <row r="171" spans="1:9" x14ac:dyDescent="0.3">
      <c r="A171" s="2" t="s">
        <v>557</v>
      </c>
      <c r="B171" s="2" t="s">
        <v>558</v>
      </c>
      <c r="C171" s="2">
        <v>64</v>
      </c>
      <c r="D171" s="2" t="str">
        <f>IF(Customer_Details[[#This Row],[Age]]&lt;=30,"Adult",IF(Customer_Details[[#This Row],[Age]]&lt;=50,"Mid-Adult","Senior"))</f>
        <v>Senior</v>
      </c>
      <c r="E171" s="2" t="s">
        <v>9</v>
      </c>
      <c r="F171" s="2" t="s">
        <v>559</v>
      </c>
      <c r="G171" s="2" t="s">
        <v>47</v>
      </c>
      <c r="H171" s="2" t="s">
        <v>12</v>
      </c>
      <c r="I171" s="2" t="s">
        <v>26</v>
      </c>
    </row>
    <row r="172" spans="1:9" x14ac:dyDescent="0.3">
      <c r="A172" s="2" t="s">
        <v>560</v>
      </c>
      <c r="B172" s="2" t="s">
        <v>3944</v>
      </c>
      <c r="C172" s="2">
        <v>18</v>
      </c>
      <c r="D172" s="2" t="str">
        <f>IF(Customer_Details[[#This Row],[Age]]&lt;=30,"Adult",IF(Customer_Details[[#This Row],[Age]]&lt;=50,"Mid-Adult","Senior"))</f>
        <v>Adult</v>
      </c>
      <c r="E172" s="2" t="s">
        <v>9</v>
      </c>
      <c r="F172" s="2" t="s">
        <v>561</v>
      </c>
      <c r="G172" s="2" t="s">
        <v>113</v>
      </c>
      <c r="H172" s="2" t="s">
        <v>12</v>
      </c>
      <c r="I172" s="2" t="s">
        <v>13</v>
      </c>
    </row>
    <row r="173" spans="1:9" x14ac:dyDescent="0.3">
      <c r="A173" s="2" t="s">
        <v>562</v>
      </c>
      <c r="B173" s="2" t="s">
        <v>563</v>
      </c>
      <c r="C173" s="2">
        <v>44</v>
      </c>
      <c r="D173" s="2" t="str">
        <f>IF(Customer_Details[[#This Row],[Age]]&lt;=30,"Adult",IF(Customer_Details[[#This Row],[Age]]&lt;=50,"Mid-Adult","Senior"))</f>
        <v>Mid-Adult</v>
      </c>
      <c r="E173" s="2" t="s">
        <v>16</v>
      </c>
      <c r="F173" s="2" t="s">
        <v>564</v>
      </c>
      <c r="G173" s="2" t="s">
        <v>251</v>
      </c>
      <c r="H173" s="2" t="s">
        <v>12</v>
      </c>
      <c r="I173" s="2" t="s">
        <v>19</v>
      </c>
    </row>
    <row r="174" spans="1:9" x14ac:dyDescent="0.3">
      <c r="A174" s="2" t="s">
        <v>565</v>
      </c>
      <c r="B174" s="2" t="s">
        <v>566</v>
      </c>
      <c r="C174" s="2">
        <v>41</v>
      </c>
      <c r="D174" s="2" t="str">
        <f>IF(Customer_Details[[#This Row],[Age]]&lt;=30,"Adult",IF(Customer_Details[[#This Row],[Age]]&lt;=50,"Mid-Adult","Senior"))</f>
        <v>Mid-Adult</v>
      </c>
      <c r="E174" s="2" t="s">
        <v>16</v>
      </c>
      <c r="F174" s="2" t="s">
        <v>567</v>
      </c>
      <c r="G174" s="2" t="s">
        <v>43</v>
      </c>
      <c r="H174" s="2" t="s">
        <v>12</v>
      </c>
      <c r="I174" s="2" t="s">
        <v>26</v>
      </c>
    </row>
    <row r="175" spans="1:9" x14ac:dyDescent="0.3">
      <c r="A175" s="2" t="s">
        <v>568</v>
      </c>
      <c r="B175" s="2" t="s">
        <v>569</v>
      </c>
      <c r="C175" s="2">
        <v>41</v>
      </c>
      <c r="D175" s="2" t="str">
        <f>IF(Customer_Details[[#This Row],[Age]]&lt;=30,"Adult",IF(Customer_Details[[#This Row],[Age]]&lt;=50,"Mid-Adult","Senior"))</f>
        <v>Mid-Adult</v>
      </c>
      <c r="E175" s="2" t="s">
        <v>16</v>
      </c>
      <c r="F175" s="2" t="s">
        <v>393</v>
      </c>
      <c r="G175" s="2" t="s">
        <v>264</v>
      </c>
      <c r="H175" s="2" t="s">
        <v>12</v>
      </c>
      <c r="I175" s="2" t="s">
        <v>19</v>
      </c>
    </row>
    <row r="176" spans="1:9" x14ac:dyDescent="0.3">
      <c r="A176" s="2" t="s">
        <v>570</v>
      </c>
      <c r="B176" s="2" t="s">
        <v>571</v>
      </c>
      <c r="C176" s="2">
        <v>26</v>
      </c>
      <c r="D176" s="2" t="str">
        <f>IF(Customer_Details[[#This Row],[Age]]&lt;=30,"Adult",IF(Customer_Details[[#This Row],[Age]]&lt;=50,"Mid-Adult","Senior"))</f>
        <v>Adult</v>
      </c>
      <c r="E176" s="2" t="s">
        <v>16</v>
      </c>
      <c r="F176" s="2" t="s">
        <v>572</v>
      </c>
      <c r="G176" s="2" t="s">
        <v>170</v>
      </c>
      <c r="H176" s="2" t="s">
        <v>12</v>
      </c>
      <c r="I176" s="2" t="s">
        <v>13</v>
      </c>
    </row>
    <row r="177" spans="1:9" x14ac:dyDescent="0.3">
      <c r="A177" s="2" t="s">
        <v>573</v>
      </c>
      <c r="B177" s="2" t="s">
        <v>574</v>
      </c>
      <c r="C177" s="2">
        <v>56</v>
      </c>
      <c r="D177" s="2" t="str">
        <f>IF(Customer_Details[[#This Row],[Age]]&lt;=30,"Adult",IF(Customer_Details[[#This Row],[Age]]&lt;=50,"Mid-Adult","Senior"))</f>
        <v>Senior</v>
      </c>
      <c r="E177" s="2" t="s">
        <v>9</v>
      </c>
      <c r="F177" s="2" t="s">
        <v>575</v>
      </c>
      <c r="G177" s="2" t="s">
        <v>99</v>
      </c>
      <c r="H177" s="2" t="s">
        <v>12</v>
      </c>
      <c r="I177" s="2" t="s">
        <v>19</v>
      </c>
    </row>
    <row r="178" spans="1:9" x14ac:dyDescent="0.3">
      <c r="A178" s="2" t="s">
        <v>576</v>
      </c>
      <c r="B178" s="2" t="s">
        <v>577</v>
      </c>
      <c r="C178" s="2">
        <v>48</v>
      </c>
      <c r="D178" s="2" t="str">
        <f>IF(Customer_Details[[#This Row],[Age]]&lt;=30,"Adult",IF(Customer_Details[[#This Row],[Age]]&lt;=50,"Mid-Adult","Senior"))</f>
        <v>Mid-Adult</v>
      </c>
      <c r="E178" s="2" t="s">
        <v>9</v>
      </c>
      <c r="F178" s="2" t="s">
        <v>578</v>
      </c>
      <c r="G178" s="2" t="s">
        <v>170</v>
      </c>
      <c r="H178" s="2" t="s">
        <v>12</v>
      </c>
      <c r="I178" s="2" t="s">
        <v>31</v>
      </c>
    </row>
    <row r="179" spans="1:9" x14ac:dyDescent="0.3">
      <c r="A179" s="2" t="s">
        <v>579</v>
      </c>
      <c r="B179" s="2" t="s">
        <v>580</v>
      </c>
      <c r="C179" s="2">
        <v>55</v>
      </c>
      <c r="D179" s="2" t="str">
        <f>IF(Customer_Details[[#This Row],[Age]]&lt;=30,"Adult",IF(Customer_Details[[#This Row],[Age]]&lt;=50,"Mid-Adult","Senior"))</f>
        <v>Senior</v>
      </c>
      <c r="E179" s="2" t="s">
        <v>9</v>
      </c>
      <c r="F179" s="2" t="s">
        <v>581</v>
      </c>
      <c r="G179" s="2" t="s">
        <v>582</v>
      </c>
      <c r="H179" s="2" t="s">
        <v>12</v>
      </c>
      <c r="I179" s="2" t="s">
        <v>19</v>
      </c>
    </row>
    <row r="180" spans="1:9" x14ac:dyDescent="0.3">
      <c r="A180" s="2" t="s">
        <v>583</v>
      </c>
      <c r="B180" s="2" t="s">
        <v>584</v>
      </c>
      <c r="C180" s="2">
        <v>33</v>
      </c>
      <c r="D180" s="2" t="str">
        <f>IF(Customer_Details[[#This Row],[Age]]&lt;=30,"Adult",IF(Customer_Details[[#This Row],[Age]]&lt;=50,"Mid-Adult","Senior"))</f>
        <v>Mid-Adult</v>
      </c>
      <c r="E180" s="2" t="s">
        <v>16</v>
      </c>
      <c r="F180" s="2" t="s">
        <v>585</v>
      </c>
      <c r="G180" s="2" t="s">
        <v>312</v>
      </c>
      <c r="H180" s="2" t="s">
        <v>12</v>
      </c>
      <c r="I180" s="2" t="s">
        <v>26</v>
      </c>
    </row>
    <row r="181" spans="1:9" x14ac:dyDescent="0.3">
      <c r="A181" s="2" t="s">
        <v>586</v>
      </c>
      <c r="B181" s="2" t="s">
        <v>587</v>
      </c>
      <c r="C181" s="2">
        <v>43</v>
      </c>
      <c r="D181" s="2" t="str">
        <f>IF(Customer_Details[[#This Row],[Age]]&lt;=30,"Adult",IF(Customer_Details[[#This Row],[Age]]&lt;=50,"Mid-Adult","Senior"))</f>
        <v>Mid-Adult</v>
      </c>
      <c r="E181" s="2" t="s">
        <v>16</v>
      </c>
      <c r="F181" s="2" t="s">
        <v>588</v>
      </c>
      <c r="G181" s="2" t="s">
        <v>117</v>
      </c>
      <c r="H181" s="2" t="s">
        <v>12</v>
      </c>
      <c r="I181" s="2" t="s">
        <v>31</v>
      </c>
    </row>
    <row r="182" spans="1:9" x14ac:dyDescent="0.3">
      <c r="A182" s="2" t="s">
        <v>589</v>
      </c>
      <c r="B182" s="2" t="s">
        <v>590</v>
      </c>
      <c r="C182" s="2">
        <v>38</v>
      </c>
      <c r="D182" s="2" t="str">
        <f>IF(Customer_Details[[#This Row],[Age]]&lt;=30,"Adult",IF(Customer_Details[[#This Row],[Age]]&lt;=50,"Mid-Adult","Senior"))</f>
        <v>Mid-Adult</v>
      </c>
      <c r="E182" s="2" t="s">
        <v>9</v>
      </c>
      <c r="F182" s="2" t="s">
        <v>591</v>
      </c>
      <c r="G182" s="2" t="s">
        <v>429</v>
      </c>
      <c r="H182" s="2" t="s">
        <v>12</v>
      </c>
      <c r="I182" s="2" t="s">
        <v>26</v>
      </c>
    </row>
    <row r="183" spans="1:9" x14ac:dyDescent="0.3">
      <c r="A183" s="2" t="s">
        <v>592</v>
      </c>
      <c r="B183" s="2" t="s">
        <v>593</v>
      </c>
      <c r="C183" s="2">
        <v>60</v>
      </c>
      <c r="D183" s="2" t="str">
        <f>IF(Customer_Details[[#This Row],[Age]]&lt;=30,"Adult",IF(Customer_Details[[#This Row],[Age]]&lt;=50,"Mid-Adult","Senior"))</f>
        <v>Senior</v>
      </c>
      <c r="E183" s="2" t="s">
        <v>9</v>
      </c>
      <c r="F183" s="2" t="s">
        <v>594</v>
      </c>
      <c r="G183" s="2" t="s">
        <v>58</v>
      </c>
      <c r="H183" s="2" t="s">
        <v>12</v>
      </c>
      <c r="I183" s="2" t="s">
        <v>26</v>
      </c>
    </row>
    <row r="184" spans="1:9" x14ac:dyDescent="0.3">
      <c r="A184" s="2" t="s">
        <v>595</v>
      </c>
      <c r="B184" s="2" t="s">
        <v>596</v>
      </c>
      <c r="C184" s="2">
        <v>23</v>
      </c>
      <c r="D184" s="2" t="str">
        <f>IF(Customer_Details[[#This Row],[Age]]&lt;=30,"Adult",IF(Customer_Details[[#This Row],[Age]]&lt;=50,"Mid-Adult","Senior"))</f>
        <v>Adult</v>
      </c>
      <c r="E184" s="2" t="s">
        <v>16</v>
      </c>
      <c r="F184" s="2" t="s">
        <v>597</v>
      </c>
      <c r="G184" s="2" t="s">
        <v>96</v>
      </c>
      <c r="H184" s="2" t="s">
        <v>12</v>
      </c>
      <c r="I184" s="2" t="s">
        <v>31</v>
      </c>
    </row>
    <row r="185" spans="1:9" x14ac:dyDescent="0.3">
      <c r="A185" s="2" t="s">
        <v>598</v>
      </c>
      <c r="B185" s="2" t="s">
        <v>599</v>
      </c>
      <c r="C185" s="2">
        <v>18</v>
      </c>
      <c r="D185" s="2" t="str">
        <f>IF(Customer_Details[[#This Row],[Age]]&lt;=30,"Adult",IF(Customer_Details[[#This Row],[Age]]&lt;=50,"Mid-Adult","Senior"))</f>
        <v>Adult</v>
      </c>
      <c r="E185" s="2" t="s">
        <v>9</v>
      </c>
      <c r="F185" s="2" t="s">
        <v>600</v>
      </c>
      <c r="G185" s="2" t="s">
        <v>58</v>
      </c>
      <c r="H185" s="2" t="s">
        <v>12</v>
      </c>
      <c r="I185" s="2" t="s">
        <v>19</v>
      </c>
    </row>
    <row r="186" spans="1:9" x14ac:dyDescent="0.3">
      <c r="A186" s="2" t="s">
        <v>601</v>
      </c>
      <c r="B186" s="2" t="s">
        <v>602</v>
      </c>
      <c r="C186" s="2">
        <v>46</v>
      </c>
      <c r="D186" s="2" t="str">
        <f>IF(Customer_Details[[#This Row],[Age]]&lt;=30,"Adult",IF(Customer_Details[[#This Row],[Age]]&lt;=50,"Mid-Adult","Senior"))</f>
        <v>Mid-Adult</v>
      </c>
      <c r="E186" s="2" t="s">
        <v>16</v>
      </c>
      <c r="F186" s="2" t="s">
        <v>603</v>
      </c>
      <c r="G186" s="2" t="s">
        <v>18</v>
      </c>
      <c r="H186" s="2" t="s">
        <v>12</v>
      </c>
      <c r="I186" s="2" t="s">
        <v>31</v>
      </c>
    </row>
    <row r="187" spans="1:9" x14ac:dyDescent="0.3">
      <c r="A187" s="2" t="s">
        <v>604</v>
      </c>
      <c r="B187" s="2" t="s">
        <v>605</v>
      </c>
      <c r="C187" s="2">
        <v>54</v>
      </c>
      <c r="D187" s="2" t="str">
        <f>IF(Customer_Details[[#This Row],[Age]]&lt;=30,"Adult",IF(Customer_Details[[#This Row],[Age]]&lt;=50,"Mid-Adult","Senior"))</f>
        <v>Senior</v>
      </c>
      <c r="E187" s="2" t="s">
        <v>16</v>
      </c>
      <c r="F187" s="2" t="s">
        <v>606</v>
      </c>
      <c r="G187" s="2" t="s">
        <v>88</v>
      </c>
      <c r="H187" s="2" t="s">
        <v>12</v>
      </c>
      <c r="I187" s="2" t="s">
        <v>19</v>
      </c>
    </row>
    <row r="188" spans="1:9" x14ac:dyDescent="0.3">
      <c r="A188" s="2" t="s">
        <v>607</v>
      </c>
      <c r="B188" s="2" t="s">
        <v>608</v>
      </c>
      <c r="C188" s="2">
        <v>53</v>
      </c>
      <c r="D188" s="2" t="str">
        <f>IF(Customer_Details[[#This Row],[Age]]&lt;=30,"Adult",IF(Customer_Details[[#This Row],[Age]]&lt;=50,"Mid-Adult","Senior"))</f>
        <v>Senior</v>
      </c>
      <c r="E188" s="2" t="s">
        <v>9</v>
      </c>
      <c r="F188" s="2" t="s">
        <v>609</v>
      </c>
      <c r="G188" s="2" t="s">
        <v>113</v>
      </c>
      <c r="H188" s="2" t="s">
        <v>12</v>
      </c>
      <c r="I188" s="2" t="s">
        <v>31</v>
      </c>
    </row>
    <row r="189" spans="1:9" x14ac:dyDescent="0.3">
      <c r="A189" s="2" t="s">
        <v>610</v>
      </c>
      <c r="B189" s="2" t="s">
        <v>611</v>
      </c>
      <c r="C189" s="2">
        <v>60</v>
      </c>
      <c r="D189" s="2" t="str">
        <f>IF(Customer_Details[[#This Row],[Age]]&lt;=30,"Adult",IF(Customer_Details[[#This Row],[Age]]&lt;=50,"Mid-Adult","Senior"))</f>
        <v>Senior</v>
      </c>
      <c r="E189" s="2" t="s">
        <v>16</v>
      </c>
      <c r="F189" s="2" t="s">
        <v>612</v>
      </c>
      <c r="G189" s="2" t="s">
        <v>22</v>
      </c>
      <c r="H189" s="2" t="s">
        <v>12</v>
      </c>
      <c r="I189" s="2" t="s">
        <v>19</v>
      </c>
    </row>
    <row r="190" spans="1:9" x14ac:dyDescent="0.3">
      <c r="A190" s="2" t="s">
        <v>613</v>
      </c>
      <c r="B190" s="2" t="s">
        <v>614</v>
      </c>
      <c r="C190" s="2">
        <v>42</v>
      </c>
      <c r="D190" s="2" t="str">
        <f>IF(Customer_Details[[#This Row],[Age]]&lt;=30,"Adult",IF(Customer_Details[[#This Row],[Age]]&lt;=50,"Mid-Adult","Senior"))</f>
        <v>Mid-Adult</v>
      </c>
      <c r="E190" s="2" t="s">
        <v>9</v>
      </c>
      <c r="F190" s="2" t="s">
        <v>615</v>
      </c>
      <c r="G190" s="2" t="s">
        <v>230</v>
      </c>
      <c r="H190" s="2" t="s">
        <v>12</v>
      </c>
      <c r="I190" s="2" t="s">
        <v>31</v>
      </c>
    </row>
    <row r="191" spans="1:9" x14ac:dyDescent="0.3">
      <c r="A191" s="2" t="s">
        <v>616</v>
      </c>
      <c r="B191" s="2" t="s">
        <v>617</v>
      </c>
      <c r="C191" s="2">
        <v>29</v>
      </c>
      <c r="D191" s="2" t="str">
        <f>IF(Customer_Details[[#This Row],[Age]]&lt;=30,"Adult",IF(Customer_Details[[#This Row],[Age]]&lt;=50,"Mid-Adult","Senior"))</f>
        <v>Adult</v>
      </c>
      <c r="E191" s="2" t="s">
        <v>9</v>
      </c>
      <c r="F191" s="2" t="s">
        <v>618</v>
      </c>
      <c r="G191" s="2" t="s">
        <v>582</v>
      </c>
      <c r="H191" s="2" t="s">
        <v>12</v>
      </c>
      <c r="I191" s="2" t="s">
        <v>13</v>
      </c>
    </row>
    <row r="192" spans="1:9" x14ac:dyDescent="0.3">
      <c r="A192" s="2" t="s">
        <v>619</v>
      </c>
      <c r="B192" s="2" t="s">
        <v>620</v>
      </c>
      <c r="C192" s="2">
        <v>21</v>
      </c>
      <c r="D192" s="2" t="str">
        <f>IF(Customer_Details[[#This Row],[Age]]&lt;=30,"Adult",IF(Customer_Details[[#This Row],[Age]]&lt;=50,"Mid-Adult","Senior"))</f>
        <v>Adult</v>
      </c>
      <c r="E192" s="2" t="s">
        <v>9</v>
      </c>
      <c r="F192" s="2" t="s">
        <v>621</v>
      </c>
      <c r="G192" s="2" t="s">
        <v>58</v>
      </c>
      <c r="H192" s="2" t="s">
        <v>12</v>
      </c>
      <c r="I192" s="2" t="s">
        <v>26</v>
      </c>
    </row>
    <row r="193" spans="1:9" x14ac:dyDescent="0.3">
      <c r="A193" s="2" t="s">
        <v>622</v>
      </c>
      <c r="B193" s="2" t="s">
        <v>623</v>
      </c>
      <c r="C193" s="2">
        <v>29</v>
      </c>
      <c r="D193" s="2" t="str">
        <f>IF(Customer_Details[[#This Row],[Age]]&lt;=30,"Adult",IF(Customer_Details[[#This Row],[Age]]&lt;=50,"Mid-Adult","Senior"))</f>
        <v>Adult</v>
      </c>
      <c r="E193" s="2" t="s">
        <v>16</v>
      </c>
      <c r="F193" s="2" t="s">
        <v>624</v>
      </c>
      <c r="G193" s="2" t="s">
        <v>25</v>
      </c>
      <c r="H193" s="2" t="s">
        <v>12</v>
      </c>
      <c r="I193" s="2" t="s">
        <v>26</v>
      </c>
    </row>
    <row r="194" spans="1:9" x14ac:dyDescent="0.3">
      <c r="A194" s="2" t="s">
        <v>625</v>
      </c>
      <c r="B194" s="2" t="s">
        <v>626</v>
      </c>
      <c r="C194" s="2">
        <v>26</v>
      </c>
      <c r="D194" s="2" t="str">
        <f>IF(Customer_Details[[#This Row],[Age]]&lt;=30,"Adult",IF(Customer_Details[[#This Row],[Age]]&lt;=50,"Mid-Adult","Senior"))</f>
        <v>Adult</v>
      </c>
      <c r="E194" s="2" t="s">
        <v>9</v>
      </c>
      <c r="F194" s="2" t="s">
        <v>627</v>
      </c>
      <c r="G194" s="2" t="s">
        <v>106</v>
      </c>
      <c r="H194" s="2" t="s">
        <v>12</v>
      </c>
      <c r="I194" s="2" t="s">
        <v>13</v>
      </c>
    </row>
    <row r="195" spans="1:9" x14ac:dyDescent="0.3">
      <c r="A195" s="2" t="s">
        <v>628</v>
      </c>
      <c r="B195" s="2" t="s">
        <v>629</v>
      </c>
      <c r="C195" s="2">
        <v>38</v>
      </c>
      <c r="D195" s="2" t="str">
        <f>IF(Customer_Details[[#This Row],[Age]]&lt;=30,"Adult",IF(Customer_Details[[#This Row],[Age]]&lt;=50,"Mid-Adult","Senior"))</f>
        <v>Mid-Adult</v>
      </c>
      <c r="E195" s="2" t="s">
        <v>9</v>
      </c>
      <c r="F195" s="2" t="s">
        <v>630</v>
      </c>
      <c r="G195" s="2" t="s">
        <v>81</v>
      </c>
      <c r="H195" s="2" t="s">
        <v>12</v>
      </c>
      <c r="I195" s="2" t="s">
        <v>13</v>
      </c>
    </row>
    <row r="196" spans="1:9" x14ac:dyDescent="0.3">
      <c r="A196" s="2" t="s">
        <v>631</v>
      </c>
      <c r="B196" s="2" t="s">
        <v>632</v>
      </c>
      <c r="C196" s="2">
        <v>46</v>
      </c>
      <c r="D196" s="2" t="str">
        <f>IF(Customer_Details[[#This Row],[Age]]&lt;=30,"Adult",IF(Customer_Details[[#This Row],[Age]]&lt;=50,"Mid-Adult","Senior"))</f>
        <v>Mid-Adult</v>
      </c>
      <c r="E196" s="2" t="s">
        <v>9</v>
      </c>
      <c r="F196" s="2" t="s">
        <v>633</v>
      </c>
      <c r="G196" s="2" t="s">
        <v>51</v>
      </c>
      <c r="H196" s="2" t="s">
        <v>12</v>
      </c>
      <c r="I196" s="2" t="s">
        <v>13</v>
      </c>
    </row>
    <row r="197" spans="1:9" x14ac:dyDescent="0.3">
      <c r="A197" s="2" t="s">
        <v>634</v>
      </c>
      <c r="B197" s="2" t="s">
        <v>635</v>
      </c>
      <c r="C197" s="2">
        <v>60</v>
      </c>
      <c r="D197" s="2" t="str">
        <f>IF(Customer_Details[[#This Row],[Age]]&lt;=30,"Adult",IF(Customer_Details[[#This Row],[Age]]&lt;=50,"Mid-Adult","Senior"))</f>
        <v>Senior</v>
      </c>
      <c r="E197" s="2" t="s">
        <v>9</v>
      </c>
      <c r="F197" s="2" t="s">
        <v>636</v>
      </c>
      <c r="G197" s="2" t="s">
        <v>133</v>
      </c>
      <c r="H197" s="2" t="s">
        <v>12</v>
      </c>
      <c r="I197" s="2" t="s">
        <v>31</v>
      </c>
    </row>
    <row r="198" spans="1:9" x14ac:dyDescent="0.3">
      <c r="A198" s="2" t="s">
        <v>637</v>
      </c>
      <c r="B198" s="2" t="s">
        <v>638</v>
      </c>
      <c r="C198" s="2">
        <v>18</v>
      </c>
      <c r="D198" s="2" t="str">
        <f>IF(Customer_Details[[#This Row],[Age]]&lt;=30,"Adult",IF(Customer_Details[[#This Row],[Age]]&lt;=50,"Mid-Adult","Senior"))</f>
        <v>Adult</v>
      </c>
      <c r="E198" s="2" t="s">
        <v>16</v>
      </c>
      <c r="F198" s="2" t="s">
        <v>639</v>
      </c>
      <c r="G198" s="2" t="s">
        <v>162</v>
      </c>
      <c r="H198" s="2" t="s">
        <v>12</v>
      </c>
      <c r="I198" s="2" t="s">
        <v>19</v>
      </c>
    </row>
    <row r="199" spans="1:9" x14ac:dyDescent="0.3">
      <c r="A199" s="2" t="s">
        <v>640</v>
      </c>
      <c r="B199" s="2" t="s">
        <v>641</v>
      </c>
      <c r="C199" s="2">
        <v>45</v>
      </c>
      <c r="D199" s="2" t="str">
        <f>IF(Customer_Details[[#This Row],[Age]]&lt;=30,"Adult",IF(Customer_Details[[#This Row],[Age]]&lt;=50,"Mid-Adult","Senior"))</f>
        <v>Mid-Adult</v>
      </c>
      <c r="E199" s="2" t="s">
        <v>16</v>
      </c>
      <c r="F199" s="2" t="s">
        <v>204</v>
      </c>
      <c r="G199" s="2" t="s">
        <v>198</v>
      </c>
      <c r="H199" s="2" t="s">
        <v>12</v>
      </c>
      <c r="I199" s="2" t="s">
        <v>19</v>
      </c>
    </row>
    <row r="200" spans="1:9" x14ac:dyDescent="0.3">
      <c r="A200" s="2" t="s">
        <v>642</v>
      </c>
      <c r="B200" s="2" t="s">
        <v>643</v>
      </c>
      <c r="C200" s="2">
        <v>54</v>
      </c>
      <c r="D200" s="2" t="str">
        <f>IF(Customer_Details[[#This Row],[Age]]&lt;=30,"Adult",IF(Customer_Details[[#This Row],[Age]]&lt;=50,"Mid-Adult","Senior"))</f>
        <v>Senior</v>
      </c>
      <c r="E200" s="2" t="s">
        <v>9</v>
      </c>
      <c r="F200" s="2" t="s">
        <v>644</v>
      </c>
      <c r="G200" s="2" t="s">
        <v>170</v>
      </c>
      <c r="H200" s="2" t="s">
        <v>12</v>
      </c>
      <c r="I200" s="2" t="s">
        <v>26</v>
      </c>
    </row>
    <row r="201" spans="1:9" x14ac:dyDescent="0.3">
      <c r="A201" s="2" t="s">
        <v>645</v>
      </c>
      <c r="B201" s="2" t="s">
        <v>646</v>
      </c>
      <c r="C201" s="2">
        <v>46</v>
      </c>
      <c r="D201" s="2" t="str">
        <f>IF(Customer_Details[[#This Row],[Age]]&lt;=30,"Adult",IF(Customer_Details[[#This Row],[Age]]&lt;=50,"Mid-Adult","Senior"))</f>
        <v>Mid-Adult</v>
      </c>
      <c r="E201" s="2" t="s">
        <v>9</v>
      </c>
      <c r="F201" s="2" t="s">
        <v>647</v>
      </c>
      <c r="G201" s="2" t="s">
        <v>234</v>
      </c>
      <c r="H201" s="2" t="s">
        <v>12</v>
      </c>
      <c r="I201" s="2" t="s">
        <v>26</v>
      </c>
    </row>
    <row r="202" spans="1:9" x14ac:dyDescent="0.3">
      <c r="A202" s="2" t="s">
        <v>648</v>
      </c>
      <c r="B202" s="2" t="s">
        <v>649</v>
      </c>
      <c r="C202" s="2">
        <v>30</v>
      </c>
      <c r="D202" s="2" t="str">
        <f>IF(Customer_Details[[#This Row],[Age]]&lt;=30,"Adult",IF(Customer_Details[[#This Row],[Age]]&lt;=50,"Mid-Adult","Senior"))</f>
        <v>Adult</v>
      </c>
      <c r="E202" s="2" t="s">
        <v>9</v>
      </c>
      <c r="F202" s="2" t="s">
        <v>650</v>
      </c>
      <c r="G202" s="2" t="s">
        <v>429</v>
      </c>
      <c r="H202" s="2" t="s">
        <v>12</v>
      </c>
      <c r="I202" s="2" t="s">
        <v>19</v>
      </c>
    </row>
    <row r="203" spans="1:9" x14ac:dyDescent="0.3">
      <c r="A203" s="2" t="s">
        <v>651</v>
      </c>
      <c r="B203" s="2" t="s">
        <v>652</v>
      </c>
      <c r="C203" s="2">
        <v>25</v>
      </c>
      <c r="D203" s="2" t="str">
        <f>IF(Customer_Details[[#This Row],[Age]]&lt;=30,"Adult",IF(Customer_Details[[#This Row],[Age]]&lt;=50,"Mid-Adult","Senior"))</f>
        <v>Adult</v>
      </c>
      <c r="E203" s="2" t="s">
        <v>16</v>
      </c>
      <c r="F203" s="2" t="s">
        <v>653</v>
      </c>
      <c r="G203" s="2" t="s">
        <v>155</v>
      </c>
      <c r="H203" s="2" t="s">
        <v>12</v>
      </c>
      <c r="I203" s="2" t="s">
        <v>26</v>
      </c>
    </row>
    <row r="204" spans="1:9" x14ac:dyDescent="0.3">
      <c r="A204" s="2" t="s">
        <v>654</v>
      </c>
      <c r="B204" s="2" t="s">
        <v>655</v>
      </c>
      <c r="C204" s="2">
        <v>37</v>
      </c>
      <c r="D204" s="2" t="str">
        <f>IF(Customer_Details[[#This Row],[Age]]&lt;=30,"Adult",IF(Customer_Details[[#This Row],[Age]]&lt;=50,"Mid-Adult","Senior"))</f>
        <v>Mid-Adult</v>
      </c>
      <c r="E204" s="2" t="s">
        <v>16</v>
      </c>
      <c r="F204" s="2" t="s">
        <v>656</v>
      </c>
      <c r="G204" s="2" t="s">
        <v>62</v>
      </c>
      <c r="H204" s="2" t="s">
        <v>12</v>
      </c>
      <c r="I204" s="2" t="s">
        <v>19</v>
      </c>
    </row>
    <row r="205" spans="1:9" x14ac:dyDescent="0.3">
      <c r="A205" s="2" t="s">
        <v>657</v>
      </c>
      <c r="B205" s="2" t="s">
        <v>658</v>
      </c>
      <c r="C205" s="2">
        <v>47</v>
      </c>
      <c r="D205" s="2" t="str">
        <f>IF(Customer_Details[[#This Row],[Age]]&lt;=30,"Adult",IF(Customer_Details[[#This Row],[Age]]&lt;=50,"Mid-Adult","Senior"))</f>
        <v>Mid-Adult</v>
      </c>
      <c r="E205" s="2" t="s">
        <v>9</v>
      </c>
      <c r="F205" s="2" t="s">
        <v>659</v>
      </c>
      <c r="G205" s="2" t="s">
        <v>264</v>
      </c>
      <c r="H205" s="2" t="s">
        <v>12</v>
      </c>
      <c r="I205" s="2" t="s">
        <v>19</v>
      </c>
    </row>
    <row r="206" spans="1:9" x14ac:dyDescent="0.3">
      <c r="A206" s="2" t="s">
        <v>660</v>
      </c>
      <c r="B206" s="2" t="s">
        <v>661</v>
      </c>
      <c r="C206" s="2">
        <v>52</v>
      </c>
      <c r="D206" s="2" t="str">
        <f>IF(Customer_Details[[#This Row],[Age]]&lt;=30,"Adult",IF(Customer_Details[[#This Row],[Age]]&lt;=50,"Mid-Adult","Senior"))</f>
        <v>Senior</v>
      </c>
      <c r="E206" s="2" t="s">
        <v>9</v>
      </c>
      <c r="F206" s="2" t="s">
        <v>662</v>
      </c>
      <c r="G206" s="2" t="s">
        <v>284</v>
      </c>
      <c r="H206" s="2" t="s">
        <v>12</v>
      </c>
      <c r="I206" s="2" t="s">
        <v>19</v>
      </c>
    </row>
    <row r="207" spans="1:9" x14ac:dyDescent="0.3">
      <c r="A207" s="2" t="s">
        <v>663</v>
      </c>
      <c r="B207" s="2" t="s">
        <v>664</v>
      </c>
      <c r="C207" s="2">
        <v>44</v>
      </c>
      <c r="D207" s="2" t="str">
        <f>IF(Customer_Details[[#This Row],[Age]]&lt;=30,"Adult",IF(Customer_Details[[#This Row],[Age]]&lt;=50,"Mid-Adult","Senior"))</f>
        <v>Mid-Adult</v>
      </c>
      <c r="E207" s="2" t="s">
        <v>16</v>
      </c>
      <c r="F207" s="2" t="s">
        <v>665</v>
      </c>
      <c r="G207" s="2" t="s">
        <v>88</v>
      </c>
      <c r="H207" s="2" t="s">
        <v>12</v>
      </c>
      <c r="I207" s="2" t="s">
        <v>13</v>
      </c>
    </row>
    <row r="208" spans="1:9" x14ac:dyDescent="0.3">
      <c r="A208" s="2" t="s">
        <v>666</v>
      </c>
      <c r="B208" s="2" t="s">
        <v>667</v>
      </c>
      <c r="C208" s="2">
        <v>26</v>
      </c>
      <c r="D208" s="2" t="str">
        <f>IF(Customer_Details[[#This Row],[Age]]&lt;=30,"Adult",IF(Customer_Details[[#This Row],[Age]]&lt;=50,"Mid-Adult","Senior"))</f>
        <v>Adult</v>
      </c>
      <c r="E208" s="2" t="s">
        <v>16</v>
      </c>
      <c r="F208" s="2" t="s">
        <v>668</v>
      </c>
      <c r="G208" s="2" t="s">
        <v>234</v>
      </c>
      <c r="H208" s="2" t="s">
        <v>12</v>
      </c>
      <c r="I208" s="2" t="s">
        <v>31</v>
      </c>
    </row>
    <row r="209" spans="1:9" x14ac:dyDescent="0.3">
      <c r="A209" s="2" t="s">
        <v>669</v>
      </c>
      <c r="B209" s="2" t="s">
        <v>670</v>
      </c>
      <c r="C209" s="2">
        <v>28</v>
      </c>
      <c r="D209" s="2" t="str">
        <f>IF(Customer_Details[[#This Row],[Age]]&lt;=30,"Adult",IF(Customer_Details[[#This Row],[Age]]&lt;=50,"Mid-Adult","Senior"))</f>
        <v>Adult</v>
      </c>
      <c r="E209" s="2" t="s">
        <v>16</v>
      </c>
      <c r="F209" s="2" t="s">
        <v>671</v>
      </c>
      <c r="G209" s="2" t="s">
        <v>88</v>
      </c>
      <c r="H209" s="2" t="s">
        <v>12</v>
      </c>
      <c r="I209" s="2" t="s">
        <v>26</v>
      </c>
    </row>
    <row r="210" spans="1:9" x14ac:dyDescent="0.3">
      <c r="A210" s="2" t="s">
        <v>672</v>
      </c>
      <c r="B210" s="2" t="s">
        <v>673</v>
      </c>
      <c r="C210" s="2">
        <v>54</v>
      </c>
      <c r="D210" s="2" t="str">
        <f>IF(Customer_Details[[#This Row],[Age]]&lt;=30,"Adult",IF(Customer_Details[[#This Row],[Age]]&lt;=50,"Mid-Adult","Senior"))</f>
        <v>Senior</v>
      </c>
      <c r="E210" s="2" t="s">
        <v>9</v>
      </c>
      <c r="F210" s="2" t="s">
        <v>674</v>
      </c>
      <c r="G210" s="2" t="s">
        <v>323</v>
      </c>
      <c r="H210" s="2" t="s">
        <v>12</v>
      </c>
      <c r="I210" s="2" t="s">
        <v>19</v>
      </c>
    </row>
    <row r="211" spans="1:9" x14ac:dyDescent="0.3">
      <c r="A211" s="2" t="s">
        <v>675</v>
      </c>
      <c r="B211" s="2" t="s">
        <v>676</v>
      </c>
      <c r="C211" s="2">
        <v>50</v>
      </c>
      <c r="D211" s="2" t="str">
        <f>IF(Customer_Details[[#This Row],[Age]]&lt;=30,"Adult",IF(Customer_Details[[#This Row],[Age]]&lt;=50,"Mid-Adult","Senior"))</f>
        <v>Mid-Adult</v>
      </c>
      <c r="E211" s="2" t="s">
        <v>16</v>
      </c>
      <c r="F211" s="2" t="s">
        <v>677</v>
      </c>
      <c r="G211" s="2" t="s">
        <v>429</v>
      </c>
      <c r="H211" s="2" t="s">
        <v>12</v>
      </c>
      <c r="I211" s="2" t="s">
        <v>19</v>
      </c>
    </row>
    <row r="212" spans="1:9" x14ac:dyDescent="0.3">
      <c r="A212" s="2" t="s">
        <v>678</v>
      </c>
      <c r="B212" s="2" t="s">
        <v>679</v>
      </c>
      <c r="C212" s="2">
        <v>48</v>
      </c>
      <c r="D212" s="2" t="str">
        <f>IF(Customer_Details[[#This Row],[Age]]&lt;=30,"Adult",IF(Customer_Details[[#This Row],[Age]]&lt;=50,"Mid-Adult","Senior"))</f>
        <v>Mid-Adult</v>
      </c>
      <c r="E212" s="2" t="s">
        <v>9</v>
      </c>
      <c r="F212" s="2" t="s">
        <v>680</v>
      </c>
      <c r="G212" s="2" t="s">
        <v>81</v>
      </c>
      <c r="H212" s="2" t="s">
        <v>12</v>
      </c>
      <c r="I212" s="2" t="s">
        <v>31</v>
      </c>
    </row>
    <row r="213" spans="1:9" x14ac:dyDescent="0.3">
      <c r="A213" s="2" t="s">
        <v>681</v>
      </c>
      <c r="B213" s="2" t="s">
        <v>682</v>
      </c>
      <c r="C213" s="2">
        <v>20</v>
      </c>
      <c r="D213" s="2" t="str">
        <f>IF(Customer_Details[[#This Row],[Age]]&lt;=30,"Adult",IF(Customer_Details[[#This Row],[Age]]&lt;=50,"Mid-Adult","Senior"))</f>
        <v>Adult</v>
      </c>
      <c r="E213" s="2" t="s">
        <v>16</v>
      </c>
      <c r="F213" s="2" t="s">
        <v>683</v>
      </c>
      <c r="G213" s="2" t="s">
        <v>92</v>
      </c>
      <c r="H213" s="2" t="s">
        <v>12</v>
      </c>
      <c r="I213" s="2" t="s">
        <v>31</v>
      </c>
    </row>
    <row r="214" spans="1:9" x14ac:dyDescent="0.3">
      <c r="A214" s="2" t="s">
        <v>684</v>
      </c>
      <c r="B214" s="2" t="s">
        <v>685</v>
      </c>
      <c r="C214" s="2">
        <v>63</v>
      </c>
      <c r="D214" s="2" t="str">
        <f>IF(Customer_Details[[#This Row],[Age]]&lt;=30,"Adult",IF(Customer_Details[[#This Row],[Age]]&lt;=50,"Mid-Adult","Senior"))</f>
        <v>Senior</v>
      </c>
      <c r="E214" s="2" t="s">
        <v>16</v>
      </c>
      <c r="F214" s="2" t="s">
        <v>686</v>
      </c>
      <c r="G214" s="2" t="s">
        <v>74</v>
      </c>
      <c r="H214" s="2" t="s">
        <v>12</v>
      </c>
      <c r="I214" s="2" t="s">
        <v>19</v>
      </c>
    </row>
    <row r="215" spans="1:9" x14ac:dyDescent="0.3">
      <c r="A215" s="2" t="s">
        <v>687</v>
      </c>
      <c r="B215" s="2" t="s">
        <v>688</v>
      </c>
      <c r="C215" s="2">
        <v>42</v>
      </c>
      <c r="D215" s="2" t="str">
        <f>IF(Customer_Details[[#This Row],[Age]]&lt;=30,"Adult",IF(Customer_Details[[#This Row],[Age]]&lt;=50,"Mid-Adult","Senior"))</f>
        <v>Mid-Adult</v>
      </c>
      <c r="E215" s="2" t="s">
        <v>16</v>
      </c>
      <c r="F215" s="2" t="s">
        <v>689</v>
      </c>
      <c r="G215" s="2" t="s">
        <v>18</v>
      </c>
      <c r="H215" s="2" t="s">
        <v>12</v>
      </c>
      <c r="I215" s="2" t="s">
        <v>19</v>
      </c>
    </row>
    <row r="216" spans="1:9" x14ac:dyDescent="0.3">
      <c r="A216" s="2" t="s">
        <v>690</v>
      </c>
      <c r="B216" s="2" t="s">
        <v>691</v>
      </c>
      <c r="C216" s="2">
        <v>61</v>
      </c>
      <c r="D216" s="2" t="str">
        <f>IF(Customer_Details[[#This Row],[Age]]&lt;=30,"Adult",IF(Customer_Details[[#This Row],[Age]]&lt;=50,"Mid-Adult","Senior"))</f>
        <v>Senior</v>
      </c>
      <c r="E216" s="2" t="s">
        <v>9</v>
      </c>
      <c r="F216" s="2" t="s">
        <v>692</v>
      </c>
      <c r="G216" s="2" t="s">
        <v>66</v>
      </c>
      <c r="H216" s="2" t="s">
        <v>12</v>
      </c>
      <c r="I216" s="2" t="s">
        <v>13</v>
      </c>
    </row>
    <row r="217" spans="1:9" x14ac:dyDescent="0.3">
      <c r="A217" s="2" t="s">
        <v>693</v>
      </c>
      <c r="B217" s="2" t="s">
        <v>694</v>
      </c>
      <c r="C217" s="2">
        <v>50</v>
      </c>
      <c r="D217" s="2" t="str">
        <f>IF(Customer_Details[[#This Row],[Age]]&lt;=30,"Adult",IF(Customer_Details[[#This Row],[Age]]&lt;=50,"Mid-Adult","Senior"))</f>
        <v>Mid-Adult</v>
      </c>
      <c r="E217" s="2" t="s">
        <v>16</v>
      </c>
      <c r="F217" s="2" t="s">
        <v>695</v>
      </c>
      <c r="G217" s="2" t="s">
        <v>35</v>
      </c>
      <c r="H217" s="2" t="s">
        <v>12</v>
      </c>
      <c r="I217" s="2" t="s">
        <v>13</v>
      </c>
    </row>
    <row r="218" spans="1:9" x14ac:dyDescent="0.3">
      <c r="A218" s="2" t="s">
        <v>696</v>
      </c>
      <c r="B218" s="2" t="s">
        <v>697</v>
      </c>
      <c r="C218" s="2">
        <v>44</v>
      </c>
      <c r="D218" s="2" t="str">
        <f>IF(Customer_Details[[#This Row],[Age]]&lt;=30,"Adult",IF(Customer_Details[[#This Row],[Age]]&lt;=50,"Mid-Adult","Senior"))</f>
        <v>Mid-Adult</v>
      </c>
      <c r="E218" s="2" t="s">
        <v>9</v>
      </c>
      <c r="F218" s="2" t="s">
        <v>698</v>
      </c>
      <c r="G218" s="2" t="s">
        <v>30</v>
      </c>
      <c r="H218" s="2" t="s">
        <v>12</v>
      </c>
      <c r="I218" s="2" t="s">
        <v>19</v>
      </c>
    </row>
    <row r="219" spans="1:9" x14ac:dyDescent="0.3">
      <c r="A219" s="2" t="s">
        <v>699</v>
      </c>
      <c r="B219" s="2" t="s">
        <v>700</v>
      </c>
      <c r="C219" s="2">
        <v>42</v>
      </c>
      <c r="D219" s="2" t="str">
        <f>IF(Customer_Details[[#This Row],[Age]]&lt;=30,"Adult",IF(Customer_Details[[#This Row],[Age]]&lt;=50,"Mid-Adult","Senior"))</f>
        <v>Mid-Adult</v>
      </c>
      <c r="E219" s="2" t="s">
        <v>9</v>
      </c>
      <c r="F219" s="2" t="s">
        <v>701</v>
      </c>
      <c r="G219" s="2" t="s">
        <v>113</v>
      </c>
      <c r="H219" s="2" t="s">
        <v>12</v>
      </c>
      <c r="I219" s="2" t="s">
        <v>31</v>
      </c>
    </row>
    <row r="220" spans="1:9" x14ac:dyDescent="0.3">
      <c r="A220" s="2" t="s">
        <v>702</v>
      </c>
      <c r="B220" s="2" t="s">
        <v>703</v>
      </c>
      <c r="C220" s="2">
        <v>46</v>
      </c>
      <c r="D220" s="2" t="str">
        <f>IF(Customer_Details[[#This Row],[Age]]&lt;=30,"Adult",IF(Customer_Details[[#This Row],[Age]]&lt;=50,"Mid-Adult","Senior"))</f>
        <v>Mid-Adult</v>
      </c>
      <c r="E220" s="2" t="s">
        <v>9</v>
      </c>
      <c r="F220" s="2" t="s">
        <v>704</v>
      </c>
      <c r="G220" s="2" t="s">
        <v>30</v>
      </c>
      <c r="H220" s="2" t="s">
        <v>12</v>
      </c>
      <c r="I220" s="2" t="s">
        <v>19</v>
      </c>
    </row>
    <row r="221" spans="1:9" x14ac:dyDescent="0.3">
      <c r="A221" s="2" t="s">
        <v>705</v>
      </c>
      <c r="B221" s="2" t="s">
        <v>706</v>
      </c>
      <c r="C221" s="2">
        <v>47</v>
      </c>
      <c r="D221" s="2" t="str">
        <f>IF(Customer_Details[[#This Row],[Age]]&lt;=30,"Adult",IF(Customer_Details[[#This Row],[Age]]&lt;=50,"Mid-Adult","Senior"))</f>
        <v>Mid-Adult</v>
      </c>
      <c r="E221" s="2" t="s">
        <v>16</v>
      </c>
      <c r="F221" s="2" t="s">
        <v>3812</v>
      </c>
      <c r="G221" s="2" t="s">
        <v>88</v>
      </c>
      <c r="H221" s="2" t="s">
        <v>12</v>
      </c>
      <c r="I221" s="2" t="s">
        <v>13</v>
      </c>
    </row>
    <row r="222" spans="1:9" x14ac:dyDescent="0.3">
      <c r="A222" s="2" t="s">
        <v>707</v>
      </c>
      <c r="B222" s="2" t="s">
        <v>708</v>
      </c>
      <c r="C222" s="2">
        <v>50</v>
      </c>
      <c r="D222" s="2" t="str">
        <f>IF(Customer_Details[[#This Row],[Age]]&lt;=30,"Adult",IF(Customer_Details[[#This Row],[Age]]&lt;=50,"Mid-Adult","Senior"))</f>
        <v>Mid-Adult</v>
      </c>
      <c r="E222" s="2" t="s">
        <v>16</v>
      </c>
      <c r="F222" s="2" t="s">
        <v>3811</v>
      </c>
      <c r="G222" s="2" t="s">
        <v>709</v>
      </c>
      <c r="H222" s="2" t="s">
        <v>12</v>
      </c>
      <c r="I222" s="2" t="s">
        <v>26</v>
      </c>
    </row>
    <row r="223" spans="1:9" x14ac:dyDescent="0.3">
      <c r="A223" s="2" t="s">
        <v>710</v>
      </c>
      <c r="B223" s="2" t="s">
        <v>711</v>
      </c>
      <c r="C223" s="2">
        <v>38</v>
      </c>
      <c r="D223" s="2" t="str">
        <f>IF(Customer_Details[[#This Row],[Age]]&lt;=30,"Adult",IF(Customer_Details[[#This Row],[Age]]&lt;=50,"Mid-Adult","Senior"))</f>
        <v>Mid-Adult</v>
      </c>
      <c r="E223" s="2" t="s">
        <v>9</v>
      </c>
      <c r="F223" s="2" t="s">
        <v>712</v>
      </c>
      <c r="G223" s="2" t="s">
        <v>81</v>
      </c>
      <c r="H223" s="2" t="s">
        <v>12</v>
      </c>
      <c r="I223" s="2" t="s">
        <v>19</v>
      </c>
    </row>
    <row r="224" spans="1:9" x14ac:dyDescent="0.3">
      <c r="A224" s="2" t="s">
        <v>713</v>
      </c>
      <c r="B224" s="2" t="s">
        <v>714</v>
      </c>
      <c r="C224" s="2">
        <v>35</v>
      </c>
      <c r="D224" s="2" t="str">
        <f>IF(Customer_Details[[#This Row],[Age]]&lt;=30,"Adult",IF(Customer_Details[[#This Row],[Age]]&lt;=50,"Mid-Adult","Senior"))</f>
        <v>Mid-Adult</v>
      </c>
      <c r="E224" s="2" t="s">
        <v>9</v>
      </c>
      <c r="F224" s="2" t="s">
        <v>715</v>
      </c>
      <c r="G224" s="2" t="s">
        <v>230</v>
      </c>
      <c r="H224" s="2" t="s">
        <v>12</v>
      </c>
      <c r="I224" s="2" t="s">
        <v>19</v>
      </c>
    </row>
    <row r="225" spans="1:9" x14ac:dyDescent="0.3">
      <c r="A225" s="2" t="s">
        <v>716</v>
      </c>
      <c r="B225" s="2" t="s">
        <v>717</v>
      </c>
      <c r="C225" s="2">
        <v>50</v>
      </c>
      <c r="D225" s="2" t="str">
        <f>IF(Customer_Details[[#This Row],[Age]]&lt;=30,"Adult",IF(Customer_Details[[#This Row],[Age]]&lt;=50,"Mid-Adult","Senior"))</f>
        <v>Mid-Adult</v>
      </c>
      <c r="E225" s="2" t="s">
        <v>9</v>
      </c>
      <c r="F225" s="2" t="s">
        <v>3813</v>
      </c>
      <c r="G225" s="2" t="s">
        <v>264</v>
      </c>
      <c r="H225" s="2" t="s">
        <v>12</v>
      </c>
      <c r="I225" s="2" t="s">
        <v>19</v>
      </c>
    </row>
    <row r="226" spans="1:9" x14ac:dyDescent="0.3">
      <c r="A226" s="2" t="s">
        <v>718</v>
      </c>
      <c r="B226" s="2" t="s">
        <v>719</v>
      </c>
      <c r="C226" s="2">
        <v>29</v>
      </c>
      <c r="D226" s="2" t="str">
        <f>IF(Customer_Details[[#This Row],[Age]]&lt;=30,"Adult",IF(Customer_Details[[#This Row],[Age]]&lt;=50,"Mid-Adult","Senior"))</f>
        <v>Adult</v>
      </c>
      <c r="E226" s="2" t="s">
        <v>9</v>
      </c>
      <c r="F226" s="2" t="s">
        <v>720</v>
      </c>
      <c r="G226" s="2" t="s">
        <v>113</v>
      </c>
      <c r="H226" s="2" t="s">
        <v>12</v>
      </c>
      <c r="I226" s="2" t="s">
        <v>31</v>
      </c>
    </row>
    <row r="227" spans="1:9" x14ac:dyDescent="0.3">
      <c r="A227" s="2" t="s">
        <v>721</v>
      </c>
      <c r="B227" s="2" t="s">
        <v>722</v>
      </c>
      <c r="C227" s="2">
        <v>46</v>
      </c>
      <c r="D227" s="2" t="str">
        <f>IF(Customer_Details[[#This Row],[Age]]&lt;=30,"Adult",IF(Customer_Details[[#This Row],[Age]]&lt;=50,"Mid-Adult","Senior"))</f>
        <v>Mid-Adult</v>
      </c>
      <c r="E227" s="2" t="s">
        <v>16</v>
      </c>
      <c r="F227" s="2" t="s">
        <v>723</v>
      </c>
      <c r="G227" s="2" t="s">
        <v>117</v>
      </c>
      <c r="H227" s="2" t="s">
        <v>12</v>
      </c>
      <c r="I227" s="2" t="s">
        <v>19</v>
      </c>
    </row>
    <row r="228" spans="1:9" x14ac:dyDescent="0.3">
      <c r="A228" s="2" t="s">
        <v>724</v>
      </c>
      <c r="B228" s="2" t="s">
        <v>725</v>
      </c>
      <c r="C228" s="2">
        <v>54</v>
      </c>
      <c r="D228" s="2" t="str">
        <f>IF(Customer_Details[[#This Row],[Age]]&lt;=30,"Adult",IF(Customer_Details[[#This Row],[Age]]&lt;=50,"Mid-Adult","Senior"))</f>
        <v>Senior</v>
      </c>
      <c r="E228" s="2" t="s">
        <v>9</v>
      </c>
      <c r="F228" s="2" t="s">
        <v>213</v>
      </c>
      <c r="G228" s="2" t="s">
        <v>162</v>
      </c>
      <c r="H228" s="2" t="s">
        <v>12</v>
      </c>
      <c r="I228" s="2" t="s">
        <v>13</v>
      </c>
    </row>
    <row r="229" spans="1:9" x14ac:dyDescent="0.3">
      <c r="A229" s="2" t="s">
        <v>726</v>
      </c>
      <c r="B229" s="2" t="s">
        <v>727</v>
      </c>
      <c r="C229" s="2">
        <v>63</v>
      </c>
      <c r="D229" s="2" t="str">
        <f>IF(Customer_Details[[#This Row],[Age]]&lt;=30,"Adult",IF(Customer_Details[[#This Row],[Age]]&lt;=50,"Mid-Adult","Senior"))</f>
        <v>Senior</v>
      </c>
      <c r="E229" s="2" t="s">
        <v>16</v>
      </c>
      <c r="F229" s="2" t="s">
        <v>728</v>
      </c>
      <c r="G229" s="2" t="s">
        <v>62</v>
      </c>
      <c r="H229" s="2" t="s">
        <v>12</v>
      </c>
      <c r="I229" s="2" t="s">
        <v>13</v>
      </c>
    </row>
    <row r="230" spans="1:9" x14ac:dyDescent="0.3">
      <c r="A230" s="2" t="s">
        <v>729</v>
      </c>
      <c r="B230" s="2" t="s">
        <v>730</v>
      </c>
      <c r="C230" s="2">
        <v>52</v>
      </c>
      <c r="D230" s="2" t="str">
        <f>IF(Customer_Details[[#This Row],[Age]]&lt;=30,"Adult",IF(Customer_Details[[#This Row],[Age]]&lt;=50,"Mid-Adult","Senior"))</f>
        <v>Senior</v>
      </c>
      <c r="E230" s="2" t="s">
        <v>16</v>
      </c>
      <c r="F230" s="2" t="s">
        <v>390</v>
      </c>
      <c r="G230" s="2" t="s">
        <v>117</v>
      </c>
      <c r="H230" s="2" t="s">
        <v>12</v>
      </c>
      <c r="I230" s="2" t="s">
        <v>13</v>
      </c>
    </row>
    <row r="231" spans="1:9" x14ac:dyDescent="0.3">
      <c r="A231" s="2" t="s">
        <v>731</v>
      </c>
      <c r="B231" s="2" t="s">
        <v>732</v>
      </c>
      <c r="C231" s="2">
        <v>32</v>
      </c>
      <c r="D231" s="2" t="str">
        <f>IF(Customer_Details[[#This Row],[Age]]&lt;=30,"Adult",IF(Customer_Details[[#This Row],[Age]]&lt;=50,"Mid-Adult","Senior"))</f>
        <v>Mid-Adult</v>
      </c>
      <c r="E231" s="2" t="s">
        <v>16</v>
      </c>
      <c r="F231" s="2" t="s">
        <v>733</v>
      </c>
      <c r="G231" s="2" t="s">
        <v>139</v>
      </c>
      <c r="H231" s="2" t="s">
        <v>12</v>
      </c>
      <c r="I231" s="2" t="s">
        <v>26</v>
      </c>
    </row>
    <row r="232" spans="1:9" x14ac:dyDescent="0.3">
      <c r="A232" s="2" t="s">
        <v>734</v>
      </c>
      <c r="B232" s="2" t="s">
        <v>735</v>
      </c>
      <c r="C232" s="2">
        <v>29</v>
      </c>
      <c r="D232" s="2" t="str">
        <f>IF(Customer_Details[[#This Row],[Age]]&lt;=30,"Adult",IF(Customer_Details[[#This Row],[Age]]&lt;=50,"Mid-Adult","Senior"))</f>
        <v>Adult</v>
      </c>
      <c r="E232" s="2" t="s">
        <v>9</v>
      </c>
      <c r="F232" s="2" t="s">
        <v>736</v>
      </c>
      <c r="G232" s="2" t="s">
        <v>247</v>
      </c>
      <c r="H232" s="2" t="s">
        <v>12</v>
      </c>
      <c r="I232" s="2" t="s">
        <v>26</v>
      </c>
    </row>
    <row r="233" spans="1:9" x14ac:dyDescent="0.3">
      <c r="A233" s="2" t="s">
        <v>737</v>
      </c>
      <c r="B233" s="2" t="s">
        <v>738</v>
      </c>
      <c r="C233" s="2">
        <v>22</v>
      </c>
      <c r="D233" s="2" t="str">
        <f>IF(Customer_Details[[#This Row],[Age]]&lt;=30,"Adult",IF(Customer_Details[[#This Row],[Age]]&lt;=50,"Mid-Adult","Senior"))</f>
        <v>Adult</v>
      </c>
      <c r="E233" s="2" t="s">
        <v>16</v>
      </c>
      <c r="F233" s="2" t="s">
        <v>739</v>
      </c>
      <c r="G233" s="2" t="s">
        <v>312</v>
      </c>
      <c r="H233" s="2" t="s">
        <v>12</v>
      </c>
      <c r="I233" s="2" t="s">
        <v>26</v>
      </c>
    </row>
    <row r="234" spans="1:9" x14ac:dyDescent="0.3">
      <c r="A234" s="2" t="s">
        <v>740</v>
      </c>
      <c r="B234" s="2" t="s">
        <v>741</v>
      </c>
      <c r="C234" s="2">
        <v>27</v>
      </c>
      <c r="D234" s="2" t="str">
        <f>IF(Customer_Details[[#This Row],[Age]]&lt;=30,"Adult",IF(Customer_Details[[#This Row],[Age]]&lt;=50,"Mid-Adult","Senior"))</f>
        <v>Adult</v>
      </c>
      <c r="E234" s="2" t="s">
        <v>16</v>
      </c>
      <c r="F234" s="2" t="s">
        <v>742</v>
      </c>
      <c r="G234" s="2" t="s">
        <v>88</v>
      </c>
      <c r="H234" s="2" t="s">
        <v>12</v>
      </c>
      <c r="I234" s="2" t="s">
        <v>19</v>
      </c>
    </row>
    <row r="235" spans="1:9" x14ac:dyDescent="0.3">
      <c r="A235" s="2" t="s">
        <v>743</v>
      </c>
      <c r="B235" s="2" t="s">
        <v>744</v>
      </c>
      <c r="C235" s="2">
        <v>59</v>
      </c>
      <c r="D235" s="2" t="str">
        <f>IF(Customer_Details[[#This Row],[Age]]&lt;=30,"Adult",IF(Customer_Details[[#This Row],[Age]]&lt;=50,"Mid-Adult","Senior"))</f>
        <v>Senior</v>
      </c>
      <c r="E235" s="2" t="s">
        <v>9</v>
      </c>
      <c r="F235" s="2" t="s">
        <v>745</v>
      </c>
      <c r="G235" s="2" t="s">
        <v>43</v>
      </c>
      <c r="H235" s="2" t="s">
        <v>12</v>
      </c>
      <c r="I235" s="2" t="s">
        <v>31</v>
      </c>
    </row>
    <row r="236" spans="1:9" x14ac:dyDescent="0.3">
      <c r="A236" s="2" t="s">
        <v>746</v>
      </c>
      <c r="B236" s="2" t="s">
        <v>747</v>
      </c>
      <c r="C236" s="2">
        <v>43</v>
      </c>
      <c r="D236" s="2" t="str">
        <f>IF(Customer_Details[[#This Row],[Age]]&lt;=30,"Adult",IF(Customer_Details[[#This Row],[Age]]&lt;=50,"Mid-Adult","Senior"))</f>
        <v>Mid-Adult</v>
      </c>
      <c r="E236" s="2" t="s">
        <v>16</v>
      </c>
      <c r="F236" s="2" t="s">
        <v>748</v>
      </c>
      <c r="G236" s="2" t="s">
        <v>62</v>
      </c>
      <c r="H236" s="2" t="s">
        <v>12</v>
      </c>
      <c r="I236" s="2" t="s">
        <v>13</v>
      </c>
    </row>
    <row r="237" spans="1:9" x14ac:dyDescent="0.3">
      <c r="A237" s="2" t="s">
        <v>749</v>
      </c>
      <c r="B237" s="2" t="s">
        <v>750</v>
      </c>
      <c r="C237" s="2">
        <v>28</v>
      </c>
      <c r="D237" s="2" t="str">
        <f>IF(Customer_Details[[#This Row],[Age]]&lt;=30,"Adult",IF(Customer_Details[[#This Row],[Age]]&lt;=50,"Mid-Adult","Senior"))</f>
        <v>Adult</v>
      </c>
      <c r="E237" s="2" t="s">
        <v>16</v>
      </c>
      <c r="F237" s="2" t="s">
        <v>751</v>
      </c>
      <c r="G237" s="2" t="s">
        <v>92</v>
      </c>
      <c r="H237" s="2" t="s">
        <v>12</v>
      </c>
      <c r="I237" s="2" t="s">
        <v>26</v>
      </c>
    </row>
    <row r="238" spans="1:9" x14ac:dyDescent="0.3">
      <c r="A238" s="2" t="s">
        <v>752</v>
      </c>
      <c r="B238" s="2" t="s">
        <v>753</v>
      </c>
      <c r="C238" s="2">
        <v>42</v>
      </c>
      <c r="D238" s="2" t="str">
        <f>IF(Customer_Details[[#This Row],[Age]]&lt;=30,"Adult",IF(Customer_Details[[#This Row],[Age]]&lt;=50,"Mid-Adult","Senior"))</f>
        <v>Mid-Adult</v>
      </c>
      <c r="E238" s="2" t="s">
        <v>16</v>
      </c>
      <c r="F238" s="2" t="s">
        <v>754</v>
      </c>
      <c r="G238" s="2" t="s">
        <v>284</v>
      </c>
      <c r="H238" s="2" t="s">
        <v>12</v>
      </c>
      <c r="I238" s="2" t="s">
        <v>26</v>
      </c>
    </row>
    <row r="239" spans="1:9" x14ac:dyDescent="0.3">
      <c r="A239" s="2" t="s">
        <v>755</v>
      </c>
      <c r="B239" s="2" t="s">
        <v>756</v>
      </c>
      <c r="C239" s="2">
        <v>41</v>
      </c>
      <c r="D239" s="2" t="str">
        <f>IF(Customer_Details[[#This Row],[Age]]&lt;=30,"Adult",IF(Customer_Details[[#This Row],[Age]]&lt;=50,"Mid-Adult","Senior"))</f>
        <v>Mid-Adult</v>
      </c>
      <c r="E239" s="2" t="s">
        <v>16</v>
      </c>
      <c r="F239" s="2" t="s">
        <v>757</v>
      </c>
      <c r="G239" s="2" t="s">
        <v>66</v>
      </c>
      <c r="H239" s="2" t="s">
        <v>12</v>
      </c>
      <c r="I239" s="2" t="s">
        <v>13</v>
      </c>
    </row>
    <row r="240" spans="1:9" x14ac:dyDescent="0.3">
      <c r="A240" s="2" t="s">
        <v>758</v>
      </c>
      <c r="B240" s="2" t="s">
        <v>759</v>
      </c>
      <c r="C240" s="2">
        <v>40</v>
      </c>
      <c r="D240" s="2" t="str">
        <f>IF(Customer_Details[[#This Row],[Age]]&lt;=30,"Adult",IF(Customer_Details[[#This Row],[Age]]&lt;=50,"Mid-Adult","Senior"))</f>
        <v>Mid-Adult</v>
      </c>
      <c r="E240" s="2" t="s">
        <v>9</v>
      </c>
      <c r="F240" s="2" t="s">
        <v>760</v>
      </c>
      <c r="G240" s="2" t="s">
        <v>43</v>
      </c>
      <c r="H240" s="2" t="s">
        <v>12</v>
      </c>
      <c r="I240" s="2" t="s">
        <v>19</v>
      </c>
    </row>
    <row r="241" spans="1:9" x14ac:dyDescent="0.3">
      <c r="A241" s="2" t="s">
        <v>761</v>
      </c>
      <c r="B241" s="2" t="s">
        <v>762</v>
      </c>
      <c r="C241" s="2">
        <v>58</v>
      </c>
      <c r="D241" s="2" t="str">
        <f>IF(Customer_Details[[#This Row],[Age]]&lt;=30,"Adult",IF(Customer_Details[[#This Row],[Age]]&lt;=50,"Mid-Adult","Senior"))</f>
        <v>Senior</v>
      </c>
      <c r="E241" s="2" t="s">
        <v>16</v>
      </c>
      <c r="F241" s="2" t="s">
        <v>763</v>
      </c>
      <c r="G241" s="2" t="s">
        <v>181</v>
      </c>
      <c r="H241" s="2" t="s">
        <v>12</v>
      </c>
      <c r="I241" s="2" t="s">
        <v>19</v>
      </c>
    </row>
    <row r="242" spans="1:9" x14ac:dyDescent="0.3">
      <c r="A242" s="2" t="s">
        <v>764</v>
      </c>
      <c r="B242" s="2" t="s">
        <v>765</v>
      </c>
      <c r="C242" s="2">
        <v>59</v>
      </c>
      <c r="D242" s="2" t="str">
        <f>IF(Customer_Details[[#This Row],[Age]]&lt;=30,"Adult",IF(Customer_Details[[#This Row],[Age]]&lt;=50,"Mid-Adult","Senior"))</f>
        <v>Senior</v>
      </c>
      <c r="E242" s="2" t="s">
        <v>16</v>
      </c>
      <c r="F242" s="2" t="s">
        <v>766</v>
      </c>
      <c r="G242" s="2" t="s">
        <v>155</v>
      </c>
      <c r="H242" s="2" t="s">
        <v>12</v>
      </c>
      <c r="I242" s="2" t="s">
        <v>19</v>
      </c>
    </row>
    <row r="243" spans="1:9" x14ac:dyDescent="0.3">
      <c r="A243" s="2" t="s">
        <v>767</v>
      </c>
      <c r="B243" s="2" t="s">
        <v>768</v>
      </c>
      <c r="C243" s="2">
        <v>31</v>
      </c>
      <c r="D243" s="2" t="str">
        <f>IF(Customer_Details[[#This Row],[Age]]&lt;=30,"Adult",IF(Customer_Details[[#This Row],[Age]]&lt;=50,"Mid-Adult","Senior"))</f>
        <v>Mid-Adult</v>
      </c>
      <c r="E243" s="2" t="s">
        <v>9</v>
      </c>
      <c r="F243" s="2" t="s">
        <v>769</v>
      </c>
      <c r="G243" s="2" t="s">
        <v>284</v>
      </c>
      <c r="H243" s="2" t="s">
        <v>12</v>
      </c>
      <c r="I243" s="2" t="s">
        <v>19</v>
      </c>
    </row>
    <row r="244" spans="1:9" x14ac:dyDescent="0.3">
      <c r="A244" s="2" t="s">
        <v>770</v>
      </c>
      <c r="B244" s="2" t="s">
        <v>771</v>
      </c>
      <c r="C244" s="2">
        <v>58</v>
      </c>
      <c r="D244" s="2" t="str">
        <f>IF(Customer_Details[[#This Row],[Age]]&lt;=30,"Adult",IF(Customer_Details[[#This Row],[Age]]&lt;=50,"Mid-Adult","Senior"))</f>
        <v>Senior</v>
      </c>
      <c r="E244" s="2" t="s">
        <v>16</v>
      </c>
      <c r="F244" s="2" t="s">
        <v>772</v>
      </c>
      <c r="G244" s="2" t="s">
        <v>166</v>
      </c>
      <c r="H244" s="2" t="s">
        <v>12</v>
      </c>
      <c r="I244" s="2" t="s">
        <v>31</v>
      </c>
    </row>
    <row r="245" spans="1:9" x14ac:dyDescent="0.3">
      <c r="A245" s="2" t="s">
        <v>773</v>
      </c>
      <c r="B245" s="2" t="s">
        <v>774</v>
      </c>
      <c r="C245" s="2">
        <v>56</v>
      </c>
      <c r="D245" s="2" t="str">
        <f>IF(Customer_Details[[#This Row],[Age]]&lt;=30,"Adult",IF(Customer_Details[[#This Row],[Age]]&lt;=50,"Mid-Adult","Senior"))</f>
        <v>Senior</v>
      </c>
      <c r="E245" s="2" t="s">
        <v>16</v>
      </c>
      <c r="F245" s="2" t="s">
        <v>775</v>
      </c>
      <c r="G245" s="2" t="s">
        <v>354</v>
      </c>
      <c r="H245" s="2" t="s">
        <v>12</v>
      </c>
      <c r="I245" s="2" t="s">
        <v>13</v>
      </c>
    </row>
    <row r="246" spans="1:9" x14ac:dyDescent="0.3">
      <c r="A246" s="2" t="s">
        <v>776</v>
      </c>
      <c r="B246" s="2" t="s">
        <v>777</v>
      </c>
      <c r="C246" s="2">
        <v>19</v>
      </c>
      <c r="D246" s="2" t="str">
        <f>IF(Customer_Details[[#This Row],[Age]]&lt;=30,"Adult",IF(Customer_Details[[#This Row],[Age]]&lt;=50,"Mid-Adult","Senior"))</f>
        <v>Adult</v>
      </c>
      <c r="E246" s="2" t="s">
        <v>9</v>
      </c>
      <c r="F246" s="2" t="s">
        <v>778</v>
      </c>
      <c r="G246" s="2" t="s">
        <v>117</v>
      </c>
      <c r="H246" s="2" t="s">
        <v>12</v>
      </c>
      <c r="I246" s="2" t="s">
        <v>26</v>
      </c>
    </row>
    <row r="247" spans="1:9" x14ac:dyDescent="0.3">
      <c r="A247" s="2" t="s">
        <v>779</v>
      </c>
      <c r="B247" s="2" t="s">
        <v>780</v>
      </c>
      <c r="C247" s="2">
        <v>57</v>
      </c>
      <c r="D247" s="2" t="str">
        <f>IF(Customer_Details[[#This Row],[Age]]&lt;=30,"Adult",IF(Customer_Details[[#This Row],[Age]]&lt;=50,"Mid-Adult","Senior"))</f>
        <v>Senior</v>
      </c>
      <c r="E247" s="2" t="s">
        <v>16</v>
      </c>
      <c r="F247" s="2" t="s">
        <v>781</v>
      </c>
      <c r="G247" s="2" t="s">
        <v>155</v>
      </c>
      <c r="H247" s="2" t="s">
        <v>12</v>
      </c>
      <c r="I247" s="2" t="s">
        <v>19</v>
      </c>
    </row>
    <row r="248" spans="1:9" x14ac:dyDescent="0.3">
      <c r="A248" s="2" t="s">
        <v>782</v>
      </c>
      <c r="B248" s="2" t="s">
        <v>783</v>
      </c>
      <c r="C248" s="2">
        <v>58</v>
      </c>
      <c r="D248" s="2" t="str">
        <f>IF(Customer_Details[[#This Row],[Age]]&lt;=30,"Adult",IF(Customer_Details[[#This Row],[Age]]&lt;=50,"Mid-Adult","Senior"))</f>
        <v>Senior</v>
      </c>
      <c r="E248" s="2" t="s">
        <v>9</v>
      </c>
      <c r="F248" s="2" t="s">
        <v>784</v>
      </c>
      <c r="G248" s="2" t="s">
        <v>288</v>
      </c>
      <c r="H248" s="2" t="s">
        <v>12</v>
      </c>
      <c r="I248" s="2" t="s">
        <v>26</v>
      </c>
    </row>
    <row r="249" spans="1:9" x14ac:dyDescent="0.3">
      <c r="A249" s="2" t="s">
        <v>785</v>
      </c>
      <c r="B249" s="2" t="s">
        <v>786</v>
      </c>
      <c r="C249" s="2">
        <v>32</v>
      </c>
      <c r="D249" s="2" t="str">
        <f>IF(Customer_Details[[#This Row],[Age]]&lt;=30,"Adult",IF(Customer_Details[[#This Row],[Age]]&lt;=50,"Mid-Adult","Senior"))</f>
        <v>Mid-Adult</v>
      </c>
      <c r="E249" s="2" t="s">
        <v>9</v>
      </c>
      <c r="F249" s="2" t="s">
        <v>787</v>
      </c>
      <c r="G249" s="2" t="s">
        <v>47</v>
      </c>
      <c r="H249" s="2" t="s">
        <v>12</v>
      </c>
      <c r="I249" s="2" t="s">
        <v>19</v>
      </c>
    </row>
    <row r="250" spans="1:9" x14ac:dyDescent="0.3">
      <c r="A250" s="2" t="s">
        <v>788</v>
      </c>
      <c r="B250" s="2" t="s">
        <v>789</v>
      </c>
      <c r="C250" s="2">
        <v>19</v>
      </c>
      <c r="D250" s="2" t="str">
        <f>IF(Customer_Details[[#This Row],[Age]]&lt;=30,"Adult",IF(Customer_Details[[#This Row],[Age]]&lt;=50,"Mid-Adult","Senior"))</f>
        <v>Adult</v>
      </c>
      <c r="E250" s="2" t="s">
        <v>9</v>
      </c>
      <c r="F250" s="2" t="s">
        <v>790</v>
      </c>
      <c r="G250" s="2" t="s">
        <v>181</v>
      </c>
      <c r="H250" s="2" t="s">
        <v>12</v>
      </c>
      <c r="I250" s="2" t="s">
        <v>13</v>
      </c>
    </row>
    <row r="251" spans="1:9" x14ac:dyDescent="0.3">
      <c r="A251" s="2" t="s">
        <v>791</v>
      </c>
      <c r="B251" s="2" t="s">
        <v>792</v>
      </c>
      <c r="C251" s="2">
        <v>41</v>
      </c>
      <c r="D251" s="2" t="str">
        <f>IF(Customer_Details[[#This Row],[Age]]&lt;=30,"Adult",IF(Customer_Details[[#This Row],[Age]]&lt;=50,"Mid-Adult","Senior"))</f>
        <v>Mid-Adult</v>
      </c>
      <c r="E251" s="2" t="s">
        <v>16</v>
      </c>
      <c r="F251" s="2" t="s">
        <v>793</v>
      </c>
      <c r="G251" s="2" t="s">
        <v>58</v>
      </c>
      <c r="H251" s="2" t="s">
        <v>12</v>
      </c>
      <c r="I251" s="2" t="s">
        <v>13</v>
      </c>
    </row>
    <row r="252" spans="1:9" x14ac:dyDescent="0.3">
      <c r="A252" s="2" t="s">
        <v>794</v>
      </c>
      <c r="B252" s="2" t="s">
        <v>795</v>
      </c>
      <c r="C252" s="2">
        <v>48</v>
      </c>
      <c r="D252" s="2" t="str">
        <f>IF(Customer_Details[[#This Row],[Age]]&lt;=30,"Adult",IF(Customer_Details[[#This Row],[Age]]&lt;=50,"Mid-Adult","Senior"))</f>
        <v>Mid-Adult</v>
      </c>
      <c r="E252" s="2" t="s">
        <v>9</v>
      </c>
      <c r="F252" s="2" t="s">
        <v>796</v>
      </c>
      <c r="G252" s="2" t="s">
        <v>92</v>
      </c>
      <c r="H252" s="2" t="s">
        <v>12</v>
      </c>
      <c r="I252" s="2" t="s">
        <v>19</v>
      </c>
    </row>
    <row r="253" spans="1:9" x14ac:dyDescent="0.3">
      <c r="A253" s="2" t="s">
        <v>797</v>
      </c>
      <c r="B253" s="2" t="s">
        <v>798</v>
      </c>
      <c r="C253" s="2">
        <v>64</v>
      </c>
      <c r="D253" s="2" t="str">
        <f>IF(Customer_Details[[#This Row],[Age]]&lt;=30,"Adult",IF(Customer_Details[[#This Row],[Age]]&lt;=50,"Mid-Adult","Senior"))</f>
        <v>Senior</v>
      </c>
      <c r="E253" s="2" t="s">
        <v>9</v>
      </c>
      <c r="F253" s="2" t="s">
        <v>799</v>
      </c>
      <c r="G253" s="2" t="s">
        <v>22</v>
      </c>
      <c r="H253" s="2" t="s">
        <v>12</v>
      </c>
      <c r="I253" s="2" t="s">
        <v>31</v>
      </c>
    </row>
    <row r="254" spans="1:9" x14ac:dyDescent="0.3">
      <c r="A254" s="2" t="s">
        <v>800</v>
      </c>
      <c r="B254" s="2" t="s">
        <v>801</v>
      </c>
      <c r="C254" s="2">
        <v>26</v>
      </c>
      <c r="D254" s="2" t="str">
        <f>IF(Customer_Details[[#This Row],[Age]]&lt;=30,"Adult",IF(Customer_Details[[#This Row],[Age]]&lt;=50,"Mid-Adult","Senior"))</f>
        <v>Adult</v>
      </c>
      <c r="E254" s="2" t="s">
        <v>9</v>
      </c>
      <c r="F254" s="2" t="s">
        <v>802</v>
      </c>
      <c r="G254" s="2" t="s">
        <v>39</v>
      </c>
      <c r="H254" s="2" t="s">
        <v>12</v>
      </c>
      <c r="I254" s="2" t="s">
        <v>31</v>
      </c>
    </row>
    <row r="255" spans="1:9" x14ac:dyDescent="0.3">
      <c r="A255" s="2" t="s">
        <v>803</v>
      </c>
      <c r="B255" s="2" t="s">
        <v>3945</v>
      </c>
      <c r="C255" s="2">
        <v>32</v>
      </c>
      <c r="D255" s="2" t="str">
        <f>IF(Customer_Details[[#This Row],[Age]]&lt;=30,"Adult",IF(Customer_Details[[#This Row],[Age]]&lt;=50,"Mid-Adult","Senior"))</f>
        <v>Mid-Adult</v>
      </c>
      <c r="E255" s="2" t="s">
        <v>9</v>
      </c>
      <c r="F255" s="2" t="s">
        <v>804</v>
      </c>
      <c r="G255" s="2" t="s">
        <v>319</v>
      </c>
      <c r="H255" s="2" t="s">
        <v>12</v>
      </c>
      <c r="I255" s="2" t="s">
        <v>26</v>
      </c>
    </row>
    <row r="256" spans="1:9" x14ac:dyDescent="0.3">
      <c r="A256" s="2" t="s">
        <v>805</v>
      </c>
      <c r="B256" s="2" t="s">
        <v>806</v>
      </c>
      <c r="C256" s="2">
        <v>34</v>
      </c>
      <c r="D256" s="2" t="str">
        <f>IF(Customer_Details[[#This Row],[Age]]&lt;=30,"Adult",IF(Customer_Details[[#This Row],[Age]]&lt;=50,"Mid-Adult","Senior"))</f>
        <v>Mid-Adult</v>
      </c>
      <c r="E256" s="2" t="s">
        <v>9</v>
      </c>
      <c r="F256" s="2" t="s">
        <v>807</v>
      </c>
      <c r="G256" s="2" t="s">
        <v>162</v>
      </c>
      <c r="H256" s="2" t="s">
        <v>12</v>
      </c>
      <c r="I256" s="2" t="s">
        <v>31</v>
      </c>
    </row>
    <row r="257" spans="1:9" x14ac:dyDescent="0.3">
      <c r="A257" s="2" t="s">
        <v>808</v>
      </c>
      <c r="B257" s="2" t="s">
        <v>809</v>
      </c>
      <c r="C257" s="2">
        <v>21</v>
      </c>
      <c r="D257" s="2" t="str">
        <f>IF(Customer_Details[[#This Row],[Age]]&lt;=30,"Adult",IF(Customer_Details[[#This Row],[Age]]&lt;=50,"Mid-Adult","Senior"))</f>
        <v>Adult</v>
      </c>
      <c r="E257" s="2" t="s">
        <v>9</v>
      </c>
      <c r="F257" s="2" t="s">
        <v>810</v>
      </c>
      <c r="G257" s="2" t="s">
        <v>25</v>
      </c>
      <c r="H257" s="2" t="s">
        <v>12</v>
      </c>
      <c r="I257" s="2" t="s">
        <v>13</v>
      </c>
    </row>
    <row r="258" spans="1:9" x14ac:dyDescent="0.3">
      <c r="A258" s="2" t="s">
        <v>811</v>
      </c>
      <c r="B258" s="2" t="s">
        <v>812</v>
      </c>
      <c r="C258" s="2">
        <v>57</v>
      </c>
      <c r="D258" s="2" t="str">
        <f>IF(Customer_Details[[#This Row],[Age]]&lt;=30,"Adult",IF(Customer_Details[[#This Row],[Age]]&lt;=50,"Mid-Adult","Senior"))</f>
        <v>Senior</v>
      </c>
      <c r="E258" s="2" t="s">
        <v>9</v>
      </c>
      <c r="F258" s="2" t="s">
        <v>813</v>
      </c>
      <c r="G258" s="2" t="s">
        <v>288</v>
      </c>
      <c r="H258" s="2" t="s">
        <v>12</v>
      </c>
      <c r="I258" s="2" t="s">
        <v>19</v>
      </c>
    </row>
    <row r="259" spans="1:9" x14ac:dyDescent="0.3">
      <c r="A259" s="2" t="s">
        <v>814</v>
      </c>
      <c r="B259" s="2" t="s">
        <v>815</v>
      </c>
      <c r="C259" s="2">
        <v>42</v>
      </c>
      <c r="D259" s="2" t="str">
        <f>IF(Customer_Details[[#This Row],[Age]]&lt;=30,"Adult",IF(Customer_Details[[#This Row],[Age]]&lt;=50,"Mid-Adult","Senior"))</f>
        <v>Mid-Adult</v>
      </c>
      <c r="E259" s="2" t="s">
        <v>9</v>
      </c>
      <c r="F259" s="2" t="s">
        <v>816</v>
      </c>
      <c r="G259" s="2" t="s">
        <v>709</v>
      </c>
      <c r="H259" s="2" t="s">
        <v>12</v>
      </c>
      <c r="I259" s="2" t="s">
        <v>31</v>
      </c>
    </row>
    <row r="260" spans="1:9" x14ac:dyDescent="0.3">
      <c r="A260" s="2" t="s">
        <v>817</v>
      </c>
      <c r="B260" s="2" t="s">
        <v>818</v>
      </c>
      <c r="C260" s="2">
        <v>24</v>
      </c>
      <c r="D260" s="2" t="str">
        <f>IF(Customer_Details[[#This Row],[Age]]&lt;=30,"Adult",IF(Customer_Details[[#This Row],[Age]]&lt;=50,"Mid-Adult","Senior"))</f>
        <v>Adult</v>
      </c>
      <c r="E260" s="2" t="s">
        <v>16</v>
      </c>
      <c r="F260" s="2" t="s">
        <v>819</v>
      </c>
      <c r="G260" s="2" t="s">
        <v>354</v>
      </c>
      <c r="H260" s="2" t="s">
        <v>12</v>
      </c>
      <c r="I260" s="2" t="s">
        <v>19</v>
      </c>
    </row>
    <row r="261" spans="1:9" x14ac:dyDescent="0.3">
      <c r="A261" s="2" t="s">
        <v>820</v>
      </c>
      <c r="B261" s="2" t="s">
        <v>821</v>
      </c>
      <c r="C261" s="2">
        <v>32</v>
      </c>
      <c r="D261" s="2" t="str">
        <f>IF(Customer_Details[[#This Row],[Age]]&lt;=30,"Adult",IF(Customer_Details[[#This Row],[Age]]&lt;=50,"Mid-Adult","Senior"))</f>
        <v>Mid-Adult</v>
      </c>
      <c r="E261" s="2" t="s">
        <v>16</v>
      </c>
      <c r="F261" s="2" t="s">
        <v>822</v>
      </c>
      <c r="G261" s="2" t="s">
        <v>96</v>
      </c>
      <c r="H261" s="2" t="s">
        <v>12</v>
      </c>
      <c r="I261" s="2" t="s">
        <v>31</v>
      </c>
    </row>
    <row r="262" spans="1:9" x14ac:dyDescent="0.3">
      <c r="A262" s="2" t="s">
        <v>823</v>
      </c>
      <c r="B262" s="2" t="s">
        <v>824</v>
      </c>
      <c r="C262" s="2">
        <v>63</v>
      </c>
      <c r="D262" s="2" t="str">
        <f>IF(Customer_Details[[#This Row],[Age]]&lt;=30,"Adult",IF(Customer_Details[[#This Row],[Age]]&lt;=50,"Mid-Adult","Senior"))</f>
        <v>Senior</v>
      </c>
      <c r="E262" s="2" t="s">
        <v>16</v>
      </c>
      <c r="F262" s="2" t="s">
        <v>825</v>
      </c>
      <c r="G262" s="2" t="s">
        <v>133</v>
      </c>
      <c r="H262" s="2" t="s">
        <v>12</v>
      </c>
      <c r="I262" s="2" t="s">
        <v>19</v>
      </c>
    </row>
    <row r="263" spans="1:9" x14ac:dyDescent="0.3">
      <c r="A263" s="2" t="s">
        <v>826</v>
      </c>
      <c r="B263" s="2" t="s">
        <v>827</v>
      </c>
      <c r="C263" s="2">
        <v>27</v>
      </c>
      <c r="D263" s="2" t="str">
        <f>IF(Customer_Details[[#This Row],[Age]]&lt;=30,"Adult",IF(Customer_Details[[#This Row],[Age]]&lt;=50,"Mid-Adult","Senior"))</f>
        <v>Adult</v>
      </c>
      <c r="E263" s="2" t="s">
        <v>16</v>
      </c>
      <c r="F263" s="2" t="s">
        <v>828</v>
      </c>
      <c r="G263" s="2" t="s">
        <v>35</v>
      </c>
      <c r="H263" s="2" t="s">
        <v>12</v>
      </c>
      <c r="I263" s="2" t="s">
        <v>31</v>
      </c>
    </row>
    <row r="264" spans="1:9" x14ac:dyDescent="0.3">
      <c r="A264" s="2" t="s">
        <v>829</v>
      </c>
      <c r="B264" s="2" t="s">
        <v>830</v>
      </c>
      <c r="C264" s="2">
        <v>60</v>
      </c>
      <c r="D264" s="2" t="str">
        <f>IF(Customer_Details[[#This Row],[Age]]&lt;=30,"Adult",IF(Customer_Details[[#This Row],[Age]]&lt;=50,"Mid-Adult","Senior"))</f>
        <v>Senior</v>
      </c>
      <c r="E264" s="2" t="s">
        <v>16</v>
      </c>
      <c r="F264" s="2" t="s">
        <v>831</v>
      </c>
      <c r="G264" s="2" t="s">
        <v>66</v>
      </c>
      <c r="H264" s="2" t="s">
        <v>12</v>
      </c>
      <c r="I264" s="2" t="s">
        <v>31</v>
      </c>
    </row>
    <row r="265" spans="1:9" x14ac:dyDescent="0.3">
      <c r="A265" s="2" t="s">
        <v>832</v>
      </c>
      <c r="B265" s="2" t="s">
        <v>833</v>
      </c>
      <c r="C265" s="2">
        <v>50</v>
      </c>
      <c r="D265" s="2" t="str">
        <f>IF(Customer_Details[[#This Row],[Age]]&lt;=30,"Adult",IF(Customer_Details[[#This Row],[Age]]&lt;=50,"Mid-Adult","Senior"))</f>
        <v>Mid-Adult</v>
      </c>
      <c r="E265" s="2" t="s">
        <v>9</v>
      </c>
      <c r="F265" s="2" t="s">
        <v>834</v>
      </c>
      <c r="G265" s="2" t="s">
        <v>323</v>
      </c>
      <c r="H265" s="2" t="s">
        <v>12</v>
      </c>
      <c r="I265" s="2" t="s">
        <v>26</v>
      </c>
    </row>
    <row r="266" spans="1:9" x14ac:dyDescent="0.3">
      <c r="A266" s="2" t="s">
        <v>835</v>
      </c>
      <c r="B266" s="2" t="s">
        <v>836</v>
      </c>
      <c r="C266" s="2">
        <v>25</v>
      </c>
      <c r="D266" s="2" t="str">
        <f>IF(Customer_Details[[#This Row],[Age]]&lt;=30,"Adult",IF(Customer_Details[[#This Row],[Age]]&lt;=50,"Mid-Adult","Senior"))</f>
        <v>Adult</v>
      </c>
      <c r="E266" s="2" t="s">
        <v>9</v>
      </c>
      <c r="F266" s="2" t="s">
        <v>837</v>
      </c>
      <c r="G266" s="2" t="s">
        <v>838</v>
      </c>
      <c r="H266" s="2" t="s">
        <v>12</v>
      </c>
      <c r="I266" s="2" t="s">
        <v>13</v>
      </c>
    </row>
    <row r="267" spans="1:9" x14ac:dyDescent="0.3">
      <c r="A267" s="2" t="s">
        <v>839</v>
      </c>
      <c r="B267" s="2" t="s">
        <v>840</v>
      </c>
      <c r="C267" s="2">
        <v>38</v>
      </c>
      <c r="D267" s="2" t="str">
        <f>IF(Customer_Details[[#This Row],[Age]]&lt;=30,"Adult",IF(Customer_Details[[#This Row],[Age]]&lt;=50,"Mid-Adult","Senior"))</f>
        <v>Mid-Adult</v>
      </c>
      <c r="E267" s="2" t="s">
        <v>9</v>
      </c>
      <c r="F267" s="2" t="s">
        <v>841</v>
      </c>
      <c r="G267" s="2" t="s">
        <v>234</v>
      </c>
      <c r="H267" s="2" t="s">
        <v>12</v>
      </c>
      <c r="I267" s="2" t="s">
        <v>31</v>
      </c>
    </row>
    <row r="268" spans="1:9" x14ac:dyDescent="0.3">
      <c r="A268" s="2" t="s">
        <v>842</v>
      </c>
      <c r="B268" s="2" t="s">
        <v>843</v>
      </c>
      <c r="C268" s="2">
        <v>32</v>
      </c>
      <c r="D268" s="2" t="str">
        <f>IF(Customer_Details[[#This Row],[Age]]&lt;=30,"Adult",IF(Customer_Details[[#This Row],[Age]]&lt;=50,"Mid-Adult","Senior"))</f>
        <v>Mid-Adult</v>
      </c>
      <c r="E268" s="2" t="s">
        <v>16</v>
      </c>
      <c r="F268" s="2" t="s">
        <v>844</v>
      </c>
      <c r="G268" s="2" t="s">
        <v>582</v>
      </c>
      <c r="H268" s="2" t="s">
        <v>12</v>
      </c>
      <c r="I268" s="2" t="s">
        <v>26</v>
      </c>
    </row>
    <row r="269" spans="1:9" x14ac:dyDescent="0.3">
      <c r="A269" s="2" t="s">
        <v>845</v>
      </c>
      <c r="B269" s="2" t="s">
        <v>846</v>
      </c>
      <c r="C269" s="2">
        <v>18</v>
      </c>
      <c r="D269" s="2" t="str">
        <f>IF(Customer_Details[[#This Row],[Age]]&lt;=30,"Adult",IF(Customer_Details[[#This Row],[Age]]&lt;=50,"Mid-Adult","Senior"))</f>
        <v>Adult</v>
      </c>
      <c r="E269" s="2" t="s">
        <v>9</v>
      </c>
      <c r="F269" s="2" t="s">
        <v>775</v>
      </c>
      <c r="G269" s="2" t="s">
        <v>66</v>
      </c>
      <c r="H269" s="2" t="s">
        <v>12</v>
      </c>
      <c r="I269" s="2" t="s">
        <v>26</v>
      </c>
    </row>
    <row r="270" spans="1:9" x14ac:dyDescent="0.3">
      <c r="A270" s="2" t="s">
        <v>847</v>
      </c>
      <c r="B270" s="2" t="s">
        <v>848</v>
      </c>
      <c r="C270" s="2">
        <v>53</v>
      </c>
      <c r="D270" s="2" t="str">
        <f>IF(Customer_Details[[#This Row],[Age]]&lt;=30,"Adult",IF(Customer_Details[[#This Row],[Age]]&lt;=50,"Mid-Adult","Senior"))</f>
        <v>Senior</v>
      </c>
      <c r="E270" s="2" t="s">
        <v>16</v>
      </c>
      <c r="F270" s="2" t="s">
        <v>849</v>
      </c>
      <c r="G270" s="2" t="s">
        <v>198</v>
      </c>
      <c r="H270" s="2" t="s">
        <v>12</v>
      </c>
      <c r="I270" s="2" t="s">
        <v>26</v>
      </c>
    </row>
    <row r="271" spans="1:9" x14ac:dyDescent="0.3">
      <c r="A271" s="2" t="s">
        <v>850</v>
      </c>
      <c r="B271" s="2" t="s">
        <v>851</v>
      </c>
      <c r="C271" s="2">
        <v>45</v>
      </c>
      <c r="D271" s="2" t="str">
        <f>IF(Customer_Details[[#This Row],[Age]]&lt;=30,"Adult",IF(Customer_Details[[#This Row],[Age]]&lt;=50,"Mid-Adult","Senior"))</f>
        <v>Mid-Adult</v>
      </c>
      <c r="E271" s="2" t="s">
        <v>16</v>
      </c>
      <c r="F271" s="2" t="s">
        <v>852</v>
      </c>
      <c r="G271" s="2" t="s">
        <v>30</v>
      </c>
      <c r="H271" s="2" t="s">
        <v>12</v>
      </c>
      <c r="I271" s="2" t="s">
        <v>31</v>
      </c>
    </row>
    <row r="272" spans="1:9" x14ac:dyDescent="0.3">
      <c r="A272" s="2" t="s">
        <v>853</v>
      </c>
      <c r="B272" s="2" t="s">
        <v>854</v>
      </c>
      <c r="C272" s="2">
        <v>31</v>
      </c>
      <c r="D272" s="2" t="str">
        <f>IF(Customer_Details[[#This Row],[Age]]&lt;=30,"Adult",IF(Customer_Details[[#This Row],[Age]]&lt;=50,"Mid-Adult","Senior"))</f>
        <v>Mid-Adult</v>
      </c>
      <c r="E272" s="2" t="s">
        <v>16</v>
      </c>
      <c r="F272" s="2" t="s">
        <v>855</v>
      </c>
      <c r="G272" s="2" t="s">
        <v>323</v>
      </c>
      <c r="H272" s="2" t="s">
        <v>12</v>
      </c>
      <c r="I272" s="2" t="s">
        <v>13</v>
      </c>
    </row>
    <row r="273" spans="1:9" x14ac:dyDescent="0.3">
      <c r="A273" s="2" t="s">
        <v>856</v>
      </c>
      <c r="B273" s="2" t="s">
        <v>3946</v>
      </c>
      <c r="C273" s="2">
        <v>64</v>
      </c>
      <c r="D273" s="2" t="str">
        <f>IF(Customer_Details[[#This Row],[Age]]&lt;=30,"Adult",IF(Customer_Details[[#This Row],[Age]]&lt;=50,"Mid-Adult","Senior"))</f>
        <v>Senior</v>
      </c>
      <c r="E273" s="2" t="s">
        <v>9</v>
      </c>
      <c r="F273" s="2" t="s">
        <v>857</v>
      </c>
      <c r="G273" s="2" t="s">
        <v>70</v>
      </c>
      <c r="H273" s="2" t="s">
        <v>12</v>
      </c>
      <c r="I273" s="2" t="s">
        <v>19</v>
      </c>
    </row>
    <row r="274" spans="1:9" x14ac:dyDescent="0.3">
      <c r="A274" s="2" t="s">
        <v>858</v>
      </c>
      <c r="B274" s="2" t="s">
        <v>859</v>
      </c>
      <c r="C274" s="2">
        <v>48</v>
      </c>
      <c r="D274" s="2" t="str">
        <f>IF(Customer_Details[[#This Row],[Age]]&lt;=30,"Adult",IF(Customer_Details[[#This Row],[Age]]&lt;=50,"Mid-Adult","Senior"))</f>
        <v>Mid-Adult</v>
      </c>
      <c r="E274" s="2" t="s">
        <v>16</v>
      </c>
      <c r="F274" s="2" t="s">
        <v>860</v>
      </c>
      <c r="G274" s="2" t="s">
        <v>30</v>
      </c>
      <c r="H274" s="2" t="s">
        <v>12</v>
      </c>
      <c r="I274" s="2" t="s">
        <v>13</v>
      </c>
    </row>
    <row r="275" spans="1:9" x14ac:dyDescent="0.3">
      <c r="A275" s="2" t="s">
        <v>861</v>
      </c>
      <c r="B275" s="2" t="s">
        <v>862</v>
      </c>
      <c r="C275" s="2">
        <v>23</v>
      </c>
      <c r="D275" s="2" t="str">
        <f>IF(Customer_Details[[#This Row],[Age]]&lt;=30,"Adult",IF(Customer_Details[[#This Row],[Age]]&lt;=50,"Mid-Adult","Senior"))</f>
        <v>Adult</v>
      </c>
      <c r="E275" s="2" t="s">
        <v>9</v>
      </c>
      <c r="F275" s="2" t="s">
        <v>863</v>
      </c>
      <c r="G275" s="2" t="s">
        <v>309</v>
      </c>
      <c r="H275" s="2" t="s">
        <v>12</v>
      </c>
      <c r="I275" s="2" t="s">
        <v>26</v>
      </c>
    </row>
    <row r="276" spans="1:9" x14ac:dyDescent="0.3">
      <c r="A276" s="2" t="s">
        <v>864</v>
      </c>
      <c r="B276" s="2" t="s">
        <v>865</v>
      </c>
      <c r="C276" s="2">
        <v>38</v>
      </c>
      <c r="D276" s="2" t="str">
        <f>IF(Customer_Details[[#This Row],[Age]]&lt;=30,"Adult",IF(Customer_Details[[#This Row],[Age]]&lt;=50,"Mid-Adult","Senior"))</f>
        <v>Mid-Adult</v>
      </c>
      <c r="E276" s="2" t="s">
        <v>9</v>
      </c>
      <c r="F276" s="2" t="s">
        <v>866</v>
      </c>
      <c r="G276" s="2" t="s">
        <v>170</v>
      </c>
      <c r="H276" s="2" t="s">
        <v>12</v>
      </c>
      <c r="I276" s="2" t="s">
        <v>31</v>
      </c>
    </row>
    <row r="277" spans="1:9" x14ac:dyDescent="0.3">
      <c r="A277" s="2" t="s">
        <v>867</v>
      </c>
      <c r="B277" s="2" t="s">
        <v>868</v>
      </c>
      <c r="C277" s="2">
        <v>22</v>
      </c>
      <c r="D277" s="2" t="str">
        <f>IF(Customer_Details[[#This Row],[Age]]&lt;=30,"Adult",IF(Customer_Details[[#This Row],[Age]]&lt;=50,"Mid-Adult","Senior"))</f>
        <v>Adult</v>
      </c>
      <c r="E277" s="2" t="s">
        <v>9</v>
      </c>
      <c r="F277" s="2" t="s">
        <v>869</v>
      </c>
      <c r="G277" s="2" t="s">
        <v>582</v>
      </c>
      <c r="H277" s="2" t="s">
        <v>12</v>
      </c>
      <c r="I277" s="2" t="s">
        <v>13</v>
      </c>
    </row>
    <row r="278" spans="1:9" x14ac:dyDescent="0.3">
      <c r="A278" s="2" t="s">
        <v>870</v>
      </c>
      <c r="B278" s="2" t="s">
        <v>871</v>
      </c>
      <c r="C278" s="2">
        <v>38</v>
      </c>
      <c r="D278" s="2" t="str">
        <f>IF(Customer_Details[[#This Row],[Age]]&lt;=30,"Adult",IF(Customer_Details[[#This Row],[Age]]&lt;=50,"Mid-Adult","Senior"))</f>
        <v>Mid-Adult</v>
      </c>
      <c r="E278" s="2" t="s">
        <v>9</v>
      </c>
      <c r="F278" s="2" t="s">
        <v>872</v>
      </c>
      <c r="G278" s="2" t="s">
        <v>181</v>
      </c>
      <c r="H278" s="2" t="s">
        <v>12</v>
      </c>
      <c r="I278" s="2" t="s">
        <v>13</v>
      </c>
    </row>
    <row r="279" spans="1:9" x14ac:dyDescent="0.3">
      <c r="A279" s="2" t="s">
        <v>873</v>
      </c>
      <c r="B279" s="2" t="s">
        <v>874</v>
      </c>
      <c r="C279" s="2">
        <v>22</v>
      </c>
      <c r="D279" s="2" t="str">
        <f>IF(Customer_Details[[#This Row],[Age]]&lt;=30,"Adult",IF(Customer_Details[[#This Row],[Age]]&lt;=50,"Mid-Adult","Senior"))</f>
        <v>Adult</v>
      </c>
      <c r="E279" s="2" t="s">
        <v>16</v>
      </c>
      <c r="F279" s="2" t="s">
        <v>875</v>
      </c>
      <c r="G279" s="2" t="s">
        <v>271</v>
      </c>
      <c r="H279" s="2" t="s">
        <v>12</v>
      </c>
      <c r="I279" s="2" t="s">
        <v>19</v>
      </c>
    </row>
    <row r="280" spans="1:9" x14ac:dyDescent="0.3">
      <c r="A280" s="2" t="s">
        <v>876</v>
      </c>
      <c r="B280" s="2" t="s">
        <v>877</v>
      </c>
      <c r="C280" s="2">
        <v>42</v>
      </c>
      <c r="D280" s="2" t="str">
        <f>IF(Customer_Details[[#This Row],[Age]]&lt;=30,"Adult",IF(Customer_Details[[#This Row],[Age]]&lt;=50,"Mid-Adult","Senior"))</f>
        <v>Mid-Adult</v>
      </c>
      <c r="E280" s="2" t="s">
        <v>16</v>
      </c>
      <c r="F280" s="2" t="s">
        <v>878</v>
      </c>
      <c r="G280" s="2" t="s">
        <v>214</v>
      </c>
      <c r="H280" s="2" t="s">
        <v>12</v>
      </c>
      <c r="I280" s="2" t="s">
        <v>19</v>
      </c>
    </row>
    <row r="281" spans="1:9" x14ac:dyDescent="0.3">
      <c r="A281" s="2" t="s">
        <v>879</v>
      </c>
      <c r="B281" s="2" t="s">
        <v>880</v>
      </c>
      <c r="C281" s="2">
        <v>21</v>
      </c>
      <c r="D281" s="2" t="str">
        <f>IF(Customer_Details[[#This Row],[Age]]&lt;=30,"Adult",IF(Customer_Details[[#This Row],[Age]]&lt;=50,"Mid-Adult","Senior"))</f>
        <v>Adult</v>
      </c>
      <c r="E281" s="2" t="s">
        <v>16</v>
      </c>
      <c r="F281" s="2" t="s">
        <v>881</v>
      </c>
      <c r="G281" s="2" t="s">
        <v>25</v>
      </c>
      <c r="H281" s="2" t="s">
        <v>12</v>
      </c>
      <c r="I281" s="2" t="s">
        <v>26</v>
      </c>
    </row>
    <row r="282" spans="1:9" x14ac:dyDescent="0.3">
      <c r="A282" s="2" t="s">
        <v>882</v>
      </c>
      <c r="B282" s="2" t="s">
        <v>883</v>
      </c>
      <c r="C282" s="2">
        <v>48</v>
      </c>
      <c r="D282" s="2" t="str">
        <f>IF(Customer_Details[[#This Row],[Age]]&lt;=30,"Adult",IF(Customer_Details[[#This Row],[Age]]&lt;=50,"Mid-Adult","Senior"))</f>
        <v>Mid-Adult</v>
      </c>
      <c r="E282" s="2" t="s">
        <v>9</v>
      </c>
      <c r="F282" s="2" t="s">
        <v>884</v>
      </c>
      <c r="G282" s="2" t="s">
        <v>99</v>
      </c>
      <c r="H282" s="2" t="s">
        <v>12</v>
      </c>
      <c r="I282" s="2" t="s">
        <v>26</v>
      </c>
    </row>
    <row r="283" spans="1:9" x14ac:dyDescent="0.3">
      <c r="A283" s="2" t="s">
        <v>885</v>
      </c>
      <c r="B283" s="2" t="s">
        <v>886</v>
      </c>
      <c r="C283" s="2">
        <v>59</v>
      </c>
      <c r="D283" s="2" t="str">
        <f>IF(Customer_Details[[#This Row],[Age]]&lt;=30,"Adult",IF(Customer_Details[[#This Row],[Age]]&lt;=50,"Mid-Adult","Senior"))</f>
        <v>Senior</v>
      </c>
      <c r="E283" s="2" t="s">
        <v>9</v>
      </c>
      <c r="F283" s="2" t="s">
        <v>887</v>
      </c>
      <c r="G283" s="2" t="s">
        <v>166</v>
      </c>
      <c r="H283" s="2" t="s">
        <v>12</v>
      </c>
      <c r="I283" s="2" t="s">
        <v>19</v>
      </c>
    </row>
    <row r="284" spans="1:9" x14ac:dyDescent="0.3">
      <c r="A284" s="2" t="s">
        <v>888</v>
      </c>
      <c r="B284" s="2" t="s">
        <v>889</v>
      </c>
      <c r="C284" s="2">
        <v>46</v>
      </c>
      <c r="D284" s="2" t="str">
        <f>IF(Customer_Details[[#This Row],[Age]]&lt;=30,"Adult",IF(Customer_Details[[#This Row],[Age]]&lt;=50,"Mid-Adult","Senior"))</f>
        <v>Mid-Adult</v>
      </c>
      <c r="E284" s="2" t="s">
        <v>16</v>
      </c>
      <c r="F284" s="2" t="s">
        <v>890</v>
      </c>
      <c r="G284" s="2" t="s">
        <v>88</v>
      </c>
      <c r="H284" s="2" t="s">
        <v>12</v>
      </c>
      <c r="I284" s="2" t="s">
        <v>13</v>
      </c>
    </row>
    <row r="285" spans="1:9" x14ac:dyDescent="0.3">
      <c r="A285" s="2" t="s">
        <v>891</v>
      </c>
      <c r="B285" s="2" t="s">
        <v>892</v>
      </c>
      <c r="C285" s="2">
        <v>54</v>
      </c>
      <c r="D285" s="2" t="str">
        <f>IF(Customer_Details[[#This Row],[Age]]&lt;=30,"Adult",IF(Customer_Details[[#This Row],[Age]]&lt;=50,"Mid-Adult","Senior"))</f>
        <v>Senior</v>
      </c>
      <c r="E285" s="2" t="s">
        <v>16</v>
      </c>
      <c r="F285" s="2" t="s">
        <v>893</v>
      </c>
      <c r="G285" s="2" t="s">
        <v>838</v>
      </c>
      <c r="H285" s="2" t="s">
        <v>12</v>
      </c>
      <c r="I285" s="2" t="s">
        <v>31</v>
      </c>
    </row>
    <row r="286" spans="1:9" x14ac:dyDescent="0.3">
      <c r="A286" s="2" t="s">
        <v>894</v>
      </c>
      <c r="B286" s="2" t="s">
        <v>895</v>
      </c>
      <c r="C286" s="2">
        <v>54</v>
      </c>
      <c r="D286" s="2" t="str">
        <f>IF(Customer_Details[[#This Row],[Age]]&lt;=30,"Adult",IF(Customer_Details[[#This Row],[Age]]&lt;=50,"Mid-Adult","Senior"))</f>
        <v>Senior</v>
      </c>
      <c r="E286" s="2" t="s">
        <v>9</v>
      </c>
      <c r="F286" s="2" t="s">
        <v>896</v>
      </c>
      <c r="G286" s="2" t="s">
        <v>166</v>
      </c>
      <c r="H286" s="2" t="s">
        <v>12</v>
      </c>
      <c r="I286" s="2" t="s">
        <v>13</v>
      </c>
    </row>
    <row r="287" spans="1:9" x14ac:dyDescent="0.3">
      <c r="A287" s="2" t="s">
        <v>897</v>
      </c>
      <c r="B287" s="2" t="s">
        <v>898</v>
      </c>
      <c r="C287" s="2">
        <v>46</v>
      </c>
      <c r="D287" s="2" t="str">
        <f>IF(Customer_Details[[#This Row],[Age]]&lt;=30,"Adult",IF(Customer_Details[[#This Row],[Age]]&lt;=50,"Mid-Adult","Senior"))</f>
        <v>Mid-Adult</v>
      </c>
      <c r="E287" s="2" t="s">
        <v>16</v>
      </c>
      <c r="F287" s="2" t="s">
        <v>899</v>
      </c>
      <c r="G287" s="2" t="s">
        <v>709</v>
      </c>
      <c r="H287" s="2" t="s">
        <v>12</v>
      </c>
      <c r="I287" s="2" t="s">
        <v>31</v>
      </c>
    </row>
    <row r="288" spans="1:9" x14ac:dyDescent="0.3">
      <c r="A288" s="2" t="s">
        <v>900</v>
      </c>
      <c r="B288" s="2" t="s">
        <v>901</v>
      </c>
      <c r="C288" s="2">
        <v>22</v>
      </c>
      <c r="D288" s="2" t="str">
        <f>IF(Customer_Details[[#This Row],[Age]]&lt;=30,"Adult",IF(Customer_Details[[#This Row],[Age]]&lt;=50,"Mid-Adult","Senior"))</f>
        <v>Adult</v>
      </c>
      <c r="E288" s="2" t="s">
        <v>9</v>
      </c>
      <c r="F288" s="2" t="s">
        <v>902</v>
      </c>
      <c r="G288" s="2" t="s">
        <v>39</v>
      </c>
      <c r="H288" s="2" t="s">
        <v>12</v>
      </c>
      <c r="I288" s="2" t="s">
        <v>31</v>
      </c>
    </row>
    <row r="289" spans="1:9" x14ac:dyDescent="0.3">
      <c r="A289" s="2" t="s">
        <v>903</v>
      </c>
      <c r="B289" s="2" t="s">
        <v>904</v>
      </c>
      <c r="C289" s="2">
        <v>22</v>
      </c>
      <c r="D289" s="2" t="str">
        <f>IF(Customer_Details[[#This Row],[Age]]&lt;=30,"Adult",IF(Customer_Details[[#This Row],[Age]]&lt;=50,"Mid-Adult","Senior"))</f>
        <v>Adult</v>
      </c>
      <c r="E289" s="2" t="s">
        <v>16</v>
      </c>
      <c r="F289" s="2" t="s">
        <v>905</v>
      </c>
      <c r="G289" s="2" t="s">
        <v>170</v>
      </c>
      <c r="H289" s="2" t="s">
        <v>12</v>
      </c>
      <c r="I289" s="2" t="s">
        <v>13</v>
      </c>
    </row>
    <row r="290" spans="1:9" x14ac:dyDescent="0.3">
      <c r="A290" s="2" t="s">
        <v>906</v>
      </c>
      <c r="B290" s="2" t="s">
        <v>907</v>
      </c>
      <c r="C290" s="2">
        <v>58</v>
      </c>
      <c r="D290" s="2" t="str">
        <f>IF(Customer_Details[[#This Row],[Age]]&lt;=30,"Adult",IF(Customer_Details[[#This Row],[Age]]&lt;=50,"Mid-Adult","Senior"))</f>
        <v>Senior</v>
      </c>
      <c r="E290" s="2" t="s">
        <v>9</v>
      </c>
      <c r="F290" s="2" t="s">
        <v>908</v>
      </c>
      <c r="G290" s="2" t="s">
        <v>166</v>
      </c>
      <c r="H290" s="2" t="s">
        <v>12</v>
      </c>
      <c r="I290" s="2" t="s">
        <v>13</v>
      </c>
    </row>
    <row r="291" spans="1:9" x14ac:dyDescent="0.3">
      <c r="A291" s="2" t="s">
        <v>909</v>
      </c>
      <c r="B291" s="2" t="s">
        <v>910</v>
      </c>
      <c r="C291" s="2">
        <v>45</v>
      </c>
      <c r="D291" s="2" t="str">
        <f>IF(Customer_Details[[#This Row],[Age]]&lt;=30,"Adult",IF(Customer_Details[[#This Row],[Age]]&lt;=50,"Mid-Adult","Senior"))</f>
        <v>Mid-Adult</v>
      </c>
      <c r="E291" s="2" t="s">
        <v>9</v>
      </c>
      <c r="F291" s="2" t="s">
        <v>911</v>
      </c>
      <c r="G291" s="2" t="s">
        <v>25</v>
      </c>
      <c r="H291" s="2" t="s">
        <v>12</v>
      </c>
      <c r="I291" s="2" t="s">
        <v>26</v>
      </c>
    </row>
    <row r="292" spans="1:9" x14ac:dyDescent="0.3">
      <c r="A292" s="2" t="s">
        <v>912</v>
      </c>
      <c r="B292" s="2" t="s">
        <v>3947</v>
      </c>
      <c r="C292" s="2">
        <v>52</v>
      </c>
      <c r="D292" s="2" t="str">
        <f>IF(Customer_Details[[#This Row],[Age]]&lt;=30,"Adult",IF(Customer_Details[[#This Row],[Age]]&lt;=50,"Mid-Adult","Senior"))</f>
        <v>Senior</v>
      </c>
      <c r="E292" s="2" t="s">
        <v>16</v>
      </c>
      <c r="F292" s="2" t="s">
        <v>913</v>
      </c>
      <c r="G292" s="2" t="s">
        <v>284</v>
      </c>
      <c r="H292" s="2" t="s">
        <v>12</v>
      </c>
      <c r="I292" s="2" t="s">
        <v>31</v>
      </c>
    </row>
    <row r="293" spans="1:9" x14ac:dyDescent="0.3">
      <c r="A293" s="2" t="s">
        <v>914</v>
      </c>
      <c r="B293" s="2" t="s">
        <v>915</v>
      </c>
      <c r="C293" s="2">
        <v>40</v>
      </c>
      <c r="D293" s="2" t="str">
        <f>IF(Customer_Details[[#This Row],[Age]]&lt;=30,"Adult",IF(Customer_Details[[#This Row],[Age]]&lt;=50,"Mid-Adult","Senior"))</f>
        <v>Mid-Adult</v>
      </c>
      <c r="E293" s="2" t="s">
        <v>16</v>
      </c>
      <c r="F293" s="2" t="s">
        <v>916</v>
      </c>
      <c r="G293" s="2" t="s">
        <v>113</v>
      </c>
      <c r="H293" s="2" t="s">
        <v>12</v>
      </c>
      <c r="I293" s="2" t="s">
        <v>26</v>
      </c>
    </row>
    <row r="294" spans="1:9" x14ac:dyDescent="0.3">
      <c r="A294" s="2" t="s">
        <v>917</v>
      </c>
      <c r="B294" s="2" t="s">
        <v>918</v>
      </c>
      <c r="C294" s="2">
        <v>30</v>
      </c>
      <c r="D294" s="2" t="str">
        <f>IF(Customer_Details[[#This Row],[Age]]&lt;=30,"Adult",IF(Customer_Details[[#This Row],[Age]]&lt;=50,"Mid-Adult","Senior"))</f>
        <v>Adult</v>
      </c>
      <c r="E294" s="2" t="s">
        <v>9</v>
      </c>
      <c r="F294" s="2" t="s">
        <v>919</v>
      </c>
      <c r="G294" s="2" t="s">
        <v>198</v>
      </c>
      <c r="H294" s="2" t="s">
        <v>12</v>
      </c>
      <c r="I294" s="2" t="s">
        <v>31</v>
      </c>
    </row>
    <row r="295" spans="1:9" x14ac:dyDescent="0.3">
      <c r="A295" s="2" t="s">
        <v>920</v>
      </c>
      <c r="B295" s="2" t="s">
        <v>921</v>
      </c>
      <c r="C295" s="2">
        <v>56</v>
      </c>
      <c r="D295" s="2" t="str">
        <f>IF(Customer_Details[[#This Row],[Age]]&lt;=30,"Adult",IF(Customer_Details[[#This Row],[Age]]&lt;=50,"Mid-Adult","Senior"))</f>
        <v>Senior</v>
      </c>
      <c r="E295" s="2" t="s">
        <v>16</v>
      </c>
      <c r="F295" s="2" t="s">
        <v>922</v>
      </c>
      <c r="G295" s="2" t="s">
        <v>323</v>
      </c>
      <c r="H295" s="2" t="s">
        <v>12</v>
      </c>
      <c r="I295" s="2" t="s">
        <v>19</v>
      </c>
    </row>
    <row r="296" spans="1:9" x14ac:dyDescent="0.3">
      <c r="A296" s="2" t="s">
        <v>923</v>
      </c>
      <c r="B296" s="2" t="s">
        <v>924</v>
      </c>
      <c r="C296" s="2">
        <v>29</v>
      </c>
      <c r="D296" s="2" t="str">
        <f>IF(Customer_Details[[#This Row],[Age]]&lt;=30,"Adult",IF(Customer_Details[[#This Row],[Age]]&lt;=50,"Mid-Adult","Senior"))</f>
        <v>Adult</v>
      </c>
      <c r="E296" s="2" t="s">
        <v>9</v>
      </c>
      <c r="F296" s="2" t="s">
        <v>567</v>
      </c>
      <c r="G296" s="2" t="s">
        <v>66</v>
      </c>
      <c r="H296" s="2" t="s">
        <v>12</v>
      </c>
      <c r="I296" s="2" t="s">
        <v>19</v>
      </c>
    </row>
    <row r="297" spans="1:9" x14ac:dyDescent="0.3">
      <c r="A297" s="2" t="s">
        <v>925</v>
      </c>
      <c r="B297" s="2" t="s">
        <v>926</v>
      </c>
      <c r="C297" s="2">
        <v>19</v>
      </c>
      <c r="D297" s="2" t="str">
        <f>IF(Customer_Details[[#This Row],[Age]]&lt;=30,"Adult",IF(Customer_Details[[#This Row],[Age]]&lt;=50,"Mid-Adult","Senior"))</f>
        <v>Adult</v>
      </c>
      <c r="E297" s="2" t="s">
        <v>16</v>
      </c>
      <c r="F297" s="2" t="s">
        <v>927</v>
      </c>
      <c r="G297" s="2" t="s">
        <v>62</v>
      </c>
      <c r="H297" s="2" t="s">
        <v>12</v>
      </c>
      <c r="I297" s="2" t="s">
        <v>26</v>
      </c>
    </row>
    <row r="298" spans="1:9" x14ac:dyDescent="0.3">
      <c r="A298" s="2" t="s">
        <v>928</v>
      </c>
      <c r="B298" s="2" t="s">
        <v>929</v>
      </c>
      <c r="C298" s="2">
        <v>28</v>
      </c>
      <c r="D298" s="2" t="str">
        <f>IF(Customer_Details[[#This Row],[Age]]&lt;=30,"Adult",IF(Customer_Details[[#This Row],[Age]]&lt;=50,"Mid-Adult","Senior"))</f>
        <v>Adult</v>
      </c>
      <c r="E298" s="2" t="s">
        <v>16</v>
      </c>
      <c r="F298" s="2" t="s">
        <v>294</v>
      </c>
      <c r="G298" s="2" t="s">
        <v>43</v>
      </c>
      <c r="H298" s="2" t="s">
        <v>12</v>
      </c>
      <c r="I298" s="2" t="s">
        <v>26</v>
      </c>
    </row>
    <row r="299" spans="1:9" x14ac:dyDescent="0.3">
      <c r="A299" s="2" t="s">
        <v>930</v>
      </c>
      <c r="B299" s="2" t="s">
        <v>931</v>
      </c>
      <c r="C299" s="2">
        <v>47</v>
      </c>
      <c r="D299" s="2" t="str">
        <f>IF(Customer_Details[[#This Row],[Age]]&lt;=30,"Adult",IF(Customer_Details[[#This Row],[Age]]&lt;=50,"Mid-Adult","Senior"))</f>
        <v>Mid-Adult</v>
      </c>
      <c r="E299" s="2" t="s">
        <v>16</v>
      </c>
      <c r="F299" s="2" t="s">
        <v>932</v>
      </c>
      <c r="G299" s="2" t="s">
        <v>113</v>
      </c>
      <c r="H299" s="2" t="s">
        <v>12</v>
      </c>
      <c r="I299" s="2" t="s">
        <v>31</v>
      </c>
    </row>
    <row r="300" spans="1:9" x14ac:dyDescent="0.3">
      <c r="A300" s="2" t="s">
        <v>933</v>
      </c>
      <c r="B300" s="2" t="s">
        <v>934</v>
      </c>
      <c r="C300" s="2">
        <v>64</v>
      </c>
      <c r="D300" s="2" t="str">
        <f>IF(Customer_Details[[#This Row],[Age]]&lt;=30,"Adult",IF(Customer_Details[[#This Row],[Age]]&lt;=50,"Mid-Adult","Senior"))</f>
        <v>Senior</v>
      </c>
      <c r="E300" s="2" t="s">
        <v>9</v>
      </c>
      <c r="F300" s="2" t="s">
        <v>935</v>
      </c>
      <c r="G300" s="2" t="s">
        <v>429</v>
      </c>
      <c r="H300" s="2" t="s">
        <v>12</v>
      </c>
      <c r="I300" s="2" t="s">
        <v>19</v>
      </c>
    </row>
    <row r="301" spans="1:9" x14ac:dyDescent="0.3">
      <c r="A301" s="2" t="s">
        <v>936</v>
      </c>
      <c r="B301" s="2" t="s">
        <v>937</v>
      </c>
      <c r="C301" s="2">
        <v>48</v>
      </c>
      <c r="D301" s="2" t="str">
        <f>IF(Customer_Details[[#This Row],[Age]]&lt;=30,"Adult",IF(Customer_Details[[#This Row],[Age]]&lt;=50,"Mid-Adult","Senior"))</f>
        <v>Mid-Adult</v>
      </c>
      <c r="E301" s="2" t="s">
        <v>16</v>
      </c>
      <c r="F301" s="2" t="s">
        <v>938</v>
      </c>
      <c r="G301" s="2" t="s">
        <v>323</v>
      </c>
      <c r="H301" s="2" t="s">
        <v>12</v>
      </c>
      <c r="I301" s="2" t="s">
        <v>19</v>
      </c>
    </row>
    <row r="302" spans="1:9" x14ac:dyDescent="0.3">
      <c r="A302" s="2" t="s">
        <v>939</v>
      </c>
      <c r="B302" s="2" t="s">
        <v>940</v>
      </c>
      <c r="C302" s="2">
        <v>29</v>
      </c>
      <c r="D302" s="2" t="str">
        <f>IF(Customer_Details[[#This Row],[Age]]&lt;=30,"Adult",IF(Customer_Details[[#This Row],[Age]]&lt;=50,"Mid-Adult","Senior"))</f>
        <v>Adult</v>
      </c>
      <c r="E302" s="2" t="s">
        <v>9</v>
      </c>
      <c r="F302" s="2" t="s">
        <v>941</v>
      </c>
      <c r="G302" s="2" t="s">
        <v>35</v>
      </c>
      <c r="H302" s="2" t="s">
        <v>12</v>
      </c>
      <c r="I302" s="2" t="s">
        <v>31</v>
      </c>
    </row>
    <row r="303" spans="1:9" x14ac:dyDescent="0.3">
      <c r="A303" s="2" t="s">
        <v>942</v>
      </c>
      <c r="B303" s="2" t="s">
        <v>943</v>
      </c>
      <c r="C303" s="2">
        <v>50</v>
      </c>
      <c r="D303" s="2" t="str">
        <f>IF(Customer_Details[[#This Row],[Age]]&lt;=30,"Adult",IF(Customer_Details[[#This Row],[Age]]&lt;=50,"Mid-Adult","Senior"))</f>
        <v>Mid-Adult</v>
      </c>
      <c r="E303" s="2" t="s">
        <v>9</v>
      </c>
      <c r="F303" s="2" t="s">
        <v>944</v>
      </c>
      <c r="G303" s="2" t="s">
        <v>284</v>
      </c>
      <c r="H303" s="2" t="s">
        <v>12</v>
      </c>
      <c r="I303" s="2" t="s">
        <v>13</v>
      </c>
    </row>
    <row r="304" spans="1:9" x14ac:dyDescent="0.3">
      <c r="A304" s="2" t="s">
        <v>945</v>
      </c>
      <c r="B304" s="2" t="s">
        <v>946</v>
      </c>
      <c r="C304" s="2">
        <v>36</v>
      </c>
      <c r="D304" s="2" t="str">
        <f>IF(Customer_Details[[#This Row],[Age]]&lt;=30,"Adult",IF(Customer_Details[[#This Row],[Age]]&lt;=50,"Mid-Adult","Senior"))</f>
        <v>Mid-Adult</v>
      </c>
      <c r="E304" s="2" t="s">
        <v>9</v>
      </c>
      <c r="F304" s="2" t="s">
        <v>947</v>
      </c>
      <c r="G304" s="2" t="s">
        <v>133</v>
      </c>
      <c r="H304" s="2" t="s">
        <v>12</v>
      </c>
      <c r="I304" s="2" t="s">
        <v>13</v>
      </c>
    </row>
    <row r="305" spans="1:9" x14ac:dyDescent="0.3">
      <c r="A305" s="2" t="s">
        <v>948</v>
      </c>
      <c r="B305" s="2" t="s">
        <v>949</v>
      </c>
      <c r="C305" s="2">
        <v>23</v>
      </c>
      <c r="D305" s="2" t="str">
        <f>IF(Customer_Details[[#This Row],[Age]]&lt;=30,"Adult",IF(Customer_Details[[#This Row],[Age]]&lt;=50,"Mid-Adult","Senior"))</f>
        <v>Adult</v>
      </c>
      <c r="E305" s="2" t="s">
        <v>16</v>
      </c>
      <c r="F305" s="2" t="s">
        <v>950</v>
      </c>
      <c r="G305" s="2" t="s">
        <v>92</v>
      </c>
      <c r="H305" s="2" t="s">
        <v>12</v>
      </c>
      <c r="I305" s="2" t="s">
        <v>19</v>
      </c>
    </row>
    <row r="306" spans="1:9" x14ac:dyDescent="0.3">
      <c r="A306" s="2" t="s">
        <v>951</v>
      </c>
      <c r="B306" s="2" t="s">
        <v>3948</v>
      </c>
      <c r="C306" s="2">
        <v>41</v>
      </c>
      <c r="D306" s="2" t="str">
        <f>IF(Customer_Details[[#This Row],[Age]]&lt;=30,"Adult",IF(Customer_Details[[#This Row],[Age]]&lt;=50,"Mid-Adult","Senior"))</f>
        <v>Mid-Adult</v>
      </c>
      <c r="E306" s="2" t="s">
        <v>9</v>
      </c>
      <c r="F306" s="2" t="s">
        <v>952</v>
      </c>
      <c r="G306" s="2" t="s">
        <v>62</v>
      </c>
      <c r="H306" s="2" t="s">
        <v>12</v>
      </c>
      <c r="I306" s="2" t="s">
        <v>31</v>
      </c>
    </row>
    <row r="307" spans="1:9" x14ac:dyDescent="0.3">
      <c r="A307" s="2" t="s">
        <v>953</v>
      </c>
      <c r="B307" s="2" t="s">
        <v>954</v>
      </c>
      <c r="C307" s="2">
        <v>64</v>
      </c>
      <c r="D307" s="2" t="str">
        <f>IF(Customer_Details[[#This Row],[Age]]&lt;=30,"Adult",IF(Customer_Details[[#This Row],[Age]]&lt;=50,"Mid-Adult","Senior"))</f>
        <v>Senior</v>
      </c>
      <c r="E307" s="2" t="s">
        <v>9</v>
      </c>
      <c r="F307" s="2" t="s">
        <v>955</v>
      </c>
      <c r="G307" s="2" t="s">
        <v>74</v>
      </c>
      <c r="H307" s="2" t="s">
        <v>12</v>
      </c>
      <c r="I307" s="2" t="s">
        <v>19</v>
      </c>
    </row>
    <row r="308" spans="1:9" x14ac:dyDescent="0.3">
      <c r="A308" s="2" t="s">
        <v>956</v>
      </c>
      <c r="B308" s="2" t="s">
        <v>957</v>
      </c>
      <c r="C308" s="2">
        <v>44</v>
      </c>
      <c r="D308" s="2" t="str">
        <f>IF(Customer_Details[[#This Row],[Age]]&lt;=30,"Adult",IF(Customer_Details[[#This Row],[Age]]&lt;=50,"Mid-Adult","Senior"))</f>
        <v>Mid-Adult</v>
      </c>
      <c r="E308" s="2" t="s">
        <v>9</v>
      </c>
      <c r="F308" s="2" t="s">
        <v>958</v>
      </c>
      <c r="G308" s="2" t="s">
        <v>234</v>
      </c>
      <c r="H308" s="2" t="s">
        <v>12</v>
      </c>
      <c r="I308" s="2" t="s">
        <v>19</v>
      </c>
    </row>
    <row r="309" spans="1:9" x14ac:dyDescent="0.3">
      <c r="A309" s="2" t="s">
        <v>959</v>
      </c>
      <c r="B309" s="2" t="s">
        <v>960</v>
      </c>
      <c r="C309" s="2">
        <v>56</v>
      </c>
      <c r="D309" s="2" t="str">
        <f>IF(Customer_Details[[#This Row],[Age]]&lt;=30,"Adult",IF(Customer_Details[[#This Row],[Age]]&lt;=50,"Mid-Adult","Senior"))</f>
        <v>Senior</v>
      </c>
      <c r="E309" s="2" t="s">
        <v>16</v>
      </c>
      <c r="F309" s="2" t="s">
        <v>961</v>
      </c>
      <c r="G309" s="2" t="s">
        <v>22</v>
      </c>
      <c r="H309" s="2" t="s">
        <v>12</v>
      </c>
      <c r="I309" s="2" t="s">
        <v>26</v>
      </c>
    </row>
    <row r="310" spans="1:9" x14ac:dyDescent="0.3">
      <c r="A310" s="2" t="s">
        <v>962</v>
      </c>
      <c r="B310" s="2" t="s">
        <v>963</v>
      </c>
      <c r="C310" s="2">
        <v>60</v>
      </c>
      <c r="D310" s="2" t="str">
        <f>IF(Customer_Details[[#This Row],[Age]]&lt;=30,"Adult",IF(Customer_Details[[#This Row],[Age]]&lt;=50,"Mid-Adult","Senior"))</f>
        <v>Senior</v>
      </c>
      <c r="E310" s="2" t="s">
        <v>16</v>
      </c>
      <c r="F310" s="2" t="s">
        <v>964</v>
      </c>
      <c r="G310" s="2" t="s">
        <v>264</v>
      </c>
      <c r="H310" s="2" t="s">
        <v>12</v>
      </c>
      <c r="I310" s="2" t="s">
        <v>13</v>
      </c>
    </row>
    <row r="311" spans="1:9" x14ac:dyDescent="0.3">
      <c r="A311" s="2" t="s">
        <v>965</v>
      </c>
      <c r="B311" s="2" t="s">
        <v>966</v>
      </c>
      <c r="C311" s="2">
        <v>41</v>
      </c>
      <c r="D311" s="2" t="str">
        <f>IF(Customer_Details[[#This Row],[Age]]&lt;=30,"Adult",IF(Customer_Details[[#This Row],[Age]]&lt;=50,"Mid-Adult","Senior"))</f>
        <v>Mid-Adult</v>
      </c>
      <c r="E311" s="2" t="s">
        <v>16</v>
      </c>
      <c r="F311" s="2" t="s">
        <v>967</v>
      </c>
      <c r="G311" s="2" t="s">
        <v>30</v>
      </c>
      <c r="H311" s="2" t="s">
        <v>12</v>
      </c>
      <c r="I311" s="2" t="s">
        <v>26</v>
      </c>
    </row>
    <row r="312" spans="1:9" x14ac:dyDescent="0.3">
      <c r="A312" s="2" t="s">
        <v>968</v>
      </c>
      <c r="B312" s="2" t="s">
        <v>969</v>
      </c>
      <c r="C312" s="2">
        <v>20</v>
      </c>
      <c r="D312" s="2" t="str">
        <f>IF(Customer_Details[[#This Row],[Age]]&lt;=30,"Adult",IF(Customer_Details[[#This Row],[Age]]&lt;=50,"Mid-Adult","Senior"))</f>
        <v>Adult</v>
      </c>
      <c r="E312" s="2" t="s">
        <v>9</v>
      </c>
      <c r="F312" s="2" t="s">
        <v>970</v>
      </c>
      <c r="G312" s="2" t="s">
        <v>170</v>
      </c>
      <c r="H312" s="2" t="s">
        <v>12</v>
      </c>
      <c r="I312" s="2" t="s">
        <v>31</v>
      </c>
    </row>
    <row r="313" spans="1:9" x14ac:dyDescent="0.3">
      <c r="A313" s="2" t="s">
        <v>971</v>
      </c>
      <c r="B313" s="2" t="s">
        <v>972</v>
      </c>
      <c r="C313" s="2">
        <v>35</v>
      </c>
      <c r="D313" s="2" t="str">
        <f>IF(Customer_Details[[#This Row],[Age]]&lt;=30,"Adult",IF(Customer_Details[[#This Row],[Age]]&lt;=50,"Mid-Adult","Senior"))</f>
        <v>Mid-Adult</v>
      </c>
      <c r="E313" s="2" t="s">
        <v>9</v>
      </c>
      <c r="F313" s="2" t="s">
        <v>973</v>
      </c>
      <c r="G313" s="2" t="s">
        <v>35</v>
      </c>
      <c r="H313" s="2" t="s">
        <v>12</v>
      </c>
      <c r="I313" s="2" t="s">
        <v>19</v>
      </c>
    </row>
    <row r="314" spans="1:9" x14ac:dyDescent="0.3">
      <c r="A314" s="2" t="s">
        <v>974</v>
      </c>
      <c r="B314" s="2" t="s">
        <v>975</v>
      </c>
      <c r="C314" s="2">
        <v>47</v>
      </c>
      <c r="D314" s="2" t="str">
        <f>IF(Customer_Details[[#This Row],[Age]]&lt;=30,"Adult",IF(Customer_Details[[#This Row],[Age]]&lt;=50,"Mid-Adult","Senior"))</f>
        <v>Mid-Adult</v>
      </c>
      <c r="E314" s="2" t="s">
        <v>16</v>
      </c>
      <c r="F314" s="2" t="s">
        <v>976</v>
      </c>
      <c r="G314" s="2" t="s">
        <v>92</v>
      </c>
      <c r="H314" s="2" t="s">
        <v>12</v>
      </c>
      <c r="I314" s="2" t="s">
        <v>31</v>
      </c>
    </row>
    <row r="315" spans="1:9" x14ac:dyDescent="0.3">
      <c r="A315" s="2" t="s">
        <v>977</v>
      </c>
      <c r="B315" s="2" t="s">
        <v>978</v>
      </c>
      <c r="C315" s="2">
        <v>62</v>
      </c>
      <c r="D315" s="2" t="str">
        <f>IF(Customer_Details[[#This Row],[Age]]&lt;=30,"Adult",IF(Customer_Details[[#This Row],[Age]]&lt;=50,"Mid-Adult","Senior"))</f>
        <v>Senior</v>
      </c>
      <c r="E315" s="2" t="s">
        <v>9</v>
      </c>
      <c r="F315" s="2" t="s">
        <v>979</v>
      </c>
      <c r="G315" s="2" t="s">
        <v>139</v>
      </c>
      <c r="H315" s="2" t="s">
        <v>12</v>
      </c>
      <c r="I315" s="2" t="s">
        <v>19</v>
      </c>
    </row>
    <row r="316" spans="1:9" x14ac:dyDescent="0.3">
      <c r="A316" s="2" t="s">
        <v>980</v>
      </c>
      <c r="B316" s="2" t="s">
        <v>981</v>
      </c>
      <c r="C316" s="2">
        <v>53</v>
      </c>
      <c r="D316" s="2" t="str">
        <f>IF(Customer_Details[[#This Row],[Age]]&lt;=30,"Adult",IF(Customer_Details[[#This Row],[Age]]&lt;=50,"Mid-Adult","Senior"))</f>
        <v>Senior</v>
      </c>
      <c r="E316" s="2" t="s">
        <v>16</v>
      </c>
      <c r="F316" s="2" t="s">
        <v>982</v>
      </c>
      <c r="G316" s="2" t="s">
        <v>74</v>
      </c>
      <c r="H316" s="2" t="s">
        <v>12</v>
      </c>
      <c r="I316" s="2" t="s">
        <v>31</v>
      </c>
    </row>
    <row r="317" spans="1:9" x14ac:dyDescent="0.3">
      <c r="A317" s="2" t="s">
        <v>983</v>
      </c>
      <c r="B317" s="2" t="s">
        <v>984</v>
      </c>
      <c r="C317" s="2">
        <v>49</v>
      </c>
      <c r="D317" s="2" t="str">
        <f>IF(Customer_Details[[#This Row],[Age]]&lt;=30,"Adult",IF(Customer_Details[[#This Row],[Age]]&lt;=50,"Mid-Adult","Senior"))</f>
        <v>Mid-Adult</v>
      </c>
      <c r="E317" s="2" t="s">
        <v>9</v>
      </c>
      <c r="F317" s="2" t="s">
        <v>985</v>
      </c>
      <c r="G317" s="2" t="s">
        <v>709</v>
      </c>
      <c r="H317" s="2" t="s">
        <v>12</v>
      </c>
      <c r="I317" s="2" t="s">
        <v>31</v>
      </c>
    </row>
    <row r="318" spans="1:9" x14ac:dyDescent="0.3">
      <c r="A318" s="2" t="s">
        <v>986</v>
      </c>
      <c r="B318" s="2" t="s">
        <v>987</v>
      </c>
      <c r="C318" s="2">
        <v>34</v>
      </c>
      <c r="D318" s="2" t="str">
        <f>IF(Customer_Details[[#This Row],[Age]]&lt;=30,"Adult",IF(Customer_Details[[#This Row],[Age]]&lt;=50,"Mid-Adult","Senior"))</f>
        <v>Mid-Adult</v>
      </c>
      <c r="E318" s="2" t="s">
        <v>9</v>
      </c>
      <c r="F318" s="2" t="s">
        <v>988</v>
      </c>
      <c r="G318" s="2" t="s">
        <v>139</v>
      </c>
      <c r="H318" s="2" t="s">
        <v>12</v>
      </c>
      <c r="I318" s="2" t="s">
        <v>13</v>
      </c>
    </row>
    <row r="319" spans="1:9" x14ac:dyDescent="0.3">
      <c r="A319" s="2" t="s">
        <v>989</v>
      </c>
      <c r="B319" s="2" t="s">
        <v>990</v>
      </c>
      <c r="C319" s="2">
        <v>64</v>
      </c>
      <c r="D319" s="2" t="str">
        <f>IF(Customer_Details[[#This Row],[Age]]&lt;=30,"Adult",IF(Customer_Details[[#This Row],[Age]]&lt;=50,"Mid-Adult","Senior"))</f>
        <v>Senior</v>
      </c>
      <c r="E319" s="2" t="s">
        <v>16</v>
      </c>
      <c r="F319" s="2" t="s">
        <v>991</v>
      </c>
      <c r="G319" s="2" t="s">
        <v>47</v>
      </c>
      <c r="H319" s="2" t="s">
        <v>12</v>
      </c>
      <c r="I319" s="2" t="s">
        <v>13</v>
      </c>
    </row>
    <row r="320" spans="1:9" x14ac:dyDescent="0.3">
      <c r="A320" s="2" t="s">
        <v>992</v>
      </c>
      <c r="B320" s="2" t="s">
        <v>993</v>
      </c>
      <c r="C320" s="2">
        <v>25</v>
      </c>
      <c r="D320" s="2" t="str">
        <f>IF(Customer_Details[[#This Row],[Age]]&lt;=30,"Adult",IF(Customer_Details[[#This Row],[Age]]&lt;=50,"Mid-Adult","Senior"))</f>
        <v>Adult</v>
      </c>
      <c r="E320" s="2" t="s">
        <v>9</v>
      </c>
      <c r="F320" s="2" t="s">
        <v>994</v>
      </c>
      <c r="G320" s="2" t="s">
        <v>62</v>
      </c>
      <c r="H320" s="2" t="s">
        <v>12</v>
      </c>
      <c r="I320" s="2" t="s">
        <v>19</v>
      </c>
    </row>
    <row r="321" spans="1:9" x14ac:dyDescent="0.3">
      <c r="A321" s="2" t="s">
        <v>995</v>
      </c>
      <c r="B321" s="2" t="s">
        <v>996</v>
      </c>
      <c r="C321" s="2">
        <v>54</v>
      </c>
      <c r="D321" s="2" t="str">
        <f>IF(Customer_Details[[#This Row],[Age]]&lt;=30,"Adult",IF(Customer_Details[[#This Row],[Age]]&lt;=50,"Mid-Adult","Senior"))</f>
        <v>Senior</v>
      </c>
      <c r="E321" s="2" t="s">
        <v>9</v>
      </c>
      <c r="F321" s="2" t="s">
        <v>997</v>
      </c>
      <c r="G321" s="2" t="s">
        <v>309</v>
      </c>
      <c r="H321" s="2" t="s">
        <v>12</v>
      </c>
      <c r="I321" s="2" t="s">
        <v>19</v>
      </c>
    </row>
    <row r="322" spans="1:9" x14ac:dyDescent="0.3">
      <c r="A322" s="2" t="s">
        <v>998</v>
      </c>
      <c r="B322" s="2" t="s">
        <v>999</v>
      </c>
      <c r="C322" s="2">
        <v>34</v>
      </c>
      <c r="D322" s="2" t="str">
        <f>IF(Customer_Details[[#This Row],[Age]]&lt;=30,"Adult",IF(Customer_Details[[#This Row],[Age]]&lt;=50,"Mid-Adult","Senior"))</f>
        <v>Mid-Adult</v>
      </c>
      <c r="E322" s="2" t="s">
        <v>16</v>
      </c>
      <c r="F322" s="2" t="s">
        <v>1000</v>
      </c>
      <c r="G322" s="2" t="s">
        <v>264</v>
      </c>
      <c r="H322" s="2" t="s">
        <v>12</v>
      </c>
      <c r="I322" s="2" t="s">
        <v>26</v>
      </c>
    </row>
    <row r="323" spans="1:9" x14ac:dyDescent="0.3">
      <c r="A323" s="2" t="s">
        <v>1001</v>
      </c>
      <c r="B323" s="2" t="s">
        <v>1002</v>
      </c>
      <c r="C323" s="2">
        <v>21</v>
      </c>
      <c r="D323" s="2" t="str">
        <f>IF(Customer_Details[[#This Row],[Age]]&lt;=30,"Adult",IF(Customer_Details[[#This Row],[Age]]&lt;=50,"Mid-Adult","Senior"))</f>
        <v>Adult</v>
      </c>
      <c r="E323" s="2" t="s">
        <v>16</v>
      </c>
      <c r="F323" s="2" t="s">
        <v>1003</v>
      </c>
      <c r="G323" s="2" t="s">
        <v>234</v>
      </c>
      <c r="H323" s="2" t="s">
        <v>12</v>
      </c>
      <c r="I323" s="2" t="s">
        <v>26</v>
      </c>
    </row>
    <row r="324" spans="1:9" x14ac:dyDescent="0.3">
      <c r="A324" s="2" t="s">
        <v>1004</v>
      </c>
      <c r="B324" s="2" t="s">
        <v>1005</v>
      </c>
      <c r="C324" s="2">
        <v>54</v>
      </c>
      <c r="D324" s="2" t="str">
        <f>IF(Customer_Details[[#This Row],[Age]]&lt;=30,"Adult",IF(Customer_Details[[#This Row],[Age]]&lt;=50,"Mid-Adult","Senior"))</f>
        <v>Senior</v>
      </c>
      <c r="E324" s="2" t="s">
        <v>9</v>
      </c>
      <c r="F324" s="2" t="s">
        <v>1006</v>
      </c>
      <c r="G324" s="2" t="s">
        <v>838</v>
      </c>
      <c r="H324" s="2" t="s">
        <v>12</v>
      </c>
      <c r="I324" s="2" t="s">
        <v>26</v>
      </c>
    </row>
    <row r="325" spans="1:9" x14ac:dyDescent="0.3">
      <c r="A325" s="2" t="s">
        <v>1007</v>
      </c>
      <c r="B325" s="2" t="s">
        <v>1008</v>
      </c>
      <c r="C325" s="2">
        <v>64</v>
      </c>
      <c r="D325" s="2" t="str">
        <f>IF(Customer_Details[[#This Row],[Age]]&lt;=30,"Adult",IF(Customer_Details[[#This Row],[Age]]&lt;=50,"Mid-Adult","Senior"))</f>
        <v>Senior</v>
      </c>
      <c r="E325" s="2" t="s">
        <v>16</v>
      </c>
      <c r="F325" s="2" t="s">
        <v>1009</v>
      </c>
      <c r="G325" s="2" t="s">
        <v>11</v>
      </c>
      <c r="H325" s="2" t="s">
        <v>12</v>
      </c>
      <c r="I325" s="2" t="s">
        <v>19</v>
      </c>
    </row>
    <row r="326" spans="1:9" x14ac:dyDescent="0.3">
      <c r="A326" s="2" t="s">
        <v>1010</v>
      </c>
      <c r="B326" s="2" t="s">
        <v>3949</v>
      </c>
      <c r="C326" s="2">
        <v>58</v>
      </c>
      <c r="D326" s="2" t="str">
        <f>IF(Customer_Details[[#This Row],[Age]]&lt;=30,"Adult",IF(Customer_Details[[#This Row],[Age]]&lt;=50,"Mid-Adult","Senior"))</f>
        <v>Senior</v>
      </c>
      <c r="E326" s="2" t="s">
        <v>9</v>
      </c>
      <c r="F326" s="2" t="s">
        <v>1011</v>
      </c>
      <c r="G326" s="2" t="s">
        <v>96</v>
      </c>
      <c r="H326" s="2" t="s">
        <v>12</v>
      </c>
      <c r="I326" s="2" t="s">
        <v>26</v>
      </c>
    </row>
    <row r="327" spans="1:9" x14ac:dyDescent="0.3">
      <c r="A327" s="2" t="s">
        <v>1012</v>
      </c>
      <c r="B327" s="2" t="s">
        <v>1013</v>
      </c>
      <c r="C327" s="2">
        <v>60</v>
      </c>
      <c r="D327" s="2" t="str">
        <f>IF(Customer_Details[[#This Row],[Age]]&lt;=30,"Adult",IF(Customer_Details[[#This Row],[Age]]&lt;=50,"Mid-Adult","Senior"))</f>
        <v>Senior</v>
      </c>
      <c r="E327" s="2" t="s">
        <v>9</v>
      </c>
      <c r="F327" s="2" t="s">
        <v>1014</v>
      </c>
      <c r="G327" s="2" t="s">
        <v>319</v>
      </c>
      <c r="H327" s="2" t="s">
        <v>12</v>
      </c>
      <c r="I327" s="2" t="s">
        <v>26</v>
      </c>
    </row>
    <row r="328" spans="1:9" x14ac:dyDescent="0.3">
      <c r="A328" s="2" t="s">
        <v>1015</v>
      </c>
      <c r="B328" s="2" t="s">
        <v>1016</v>
      </c>
      <c r="C328" s="2">
        <v>58</v>
      </c>
      <c r="D328" s="2" t="str">
        <f>IF(Customer_Details[[#This Row],[Age]]&lt;=30,"Adult",IF(Customer_Details[[#This Row],[Age]]&lt;=50,"Mid-Adult","Senior"))</f>
        <v>Senior</v>
      </c>
      <c r="E328" s="2" t="s">
        <v>16</v>
      </c>
      <c r="F328" s="2" t="s">
        <v>1017</v>
      </c>
      <c r="G328" s="2" t="s">
        <v>214</v>
      </c>
      <c r="H328" s="2" t="s">
        <v>12</v>
      </c>
      <c r="I328" s="2" t="s">
        <v>13</v>
      </c>
    </row>
    <row r="329" spans="1:9" x14ac:dyDescent="0.3">
      <c r="A329" s="2" t="s">
        <v>1018</v>
      </c>
      <c r="B329" s="2" t="s">
        <v>1019</v>
      </c>
      <c r="C329" s="2">
        <v>62</v>
      </c>
      <c r="D329" s="2" t="str">
        <f>IF(Customer_Details[[#This Row],[Age]]&lt;=30,"Adult",IF(Customer_Details[[#This Row],[Age]]&lt;=50,"Mid-Adult","Senior"))</f>
        <v>Senior</v>
      </c>
      <c r="E329" s="2" t="s">
        <v>16</v>
      </c>
      <c r="F329" s="2" t="s">
        <v>1020</v>
      </c>
      <c r="G329" s="2" t="s">
        <v>58</v>
      </c>
      <c r="H329" s="2" t="s">
        <v>12</v>
      </c>
      <c r="I329" s="2" t="s">
        <v>26</v>
      </c>
    </row>
    <row r="330" spans="1:9" x14ac:dyDescent="0.3">
      <c r="A330" s="2" t="s">
        <v>1021</v>
      </c>
      <c r="B330" s="2" t="s">
        <v>1022</v>
      </c>
      <c r="C330" s="2">
        <v>46</v>
      </c>
      <c r="D330" s="2" t="str">
        <f>IF(Customer_Details[[#This Row],[Age]]&lt;=30,"Adult",IF(Customer_Details[[#This Row],[Age]]&lt;=50,"Mid-Adult","Senior"))</f>
        <v>Mid-Adult</v>
      </c>
      <c r="E330" s="2" t="s">
        <v>9</v>
      </c>
      <c r="F330" s="2" t="s">
        <v>1023</v>
      </c>
      <c r="G330" s="2" t="s">
        <v>198</v>
      </c>
      <c r="H330" s="2" t="s">
        <v>12</v>
      </c>
      <c r="I330" s="2" t="s">
        <v>19</v>
      </c>
    </row>
    <row r="331" spans="1:9" x14ac:dyDescent="0.3">
      <c r="A331" s="2" t="s">
        <v>1024</v>
      </c>
      <c r="B331" s="2" t="s">
        <v>1025</v>
      </c>
      <c r="C331" s="2">
        <v>62</v>
      </c>
      <c r="D331" s="2" t="str">
        <f>IF(Customer_Details[[#This Row],[Age]]&lt;=30,"Adult",IF(Customer_Details[[#This Row],[Age]]&lt;=50,"Mid-Adult","Senior"))</f>
        <v>Senior</v>
      </c>
      <c r="E331" s="2" t="s">
        <v>16</v>
      </c>
      <c r="F331" s="2" t="s">
        <v>1026</v>
      </c>
      <c r="G331" s="2" t="s">
        <v>198</v>
      </c>
      <c r="H331" s="2" t="s">
        <v>12</v>
      </c>
      <c r="I331" s="2" t="s">
        <v>26</v>
      </c>
    </row>
    <row r="332" spans="1:9" x14ac:dyDescent="0.3">
      <c r="A332" s="2" t="s">
        <v>1027</v>
      </c>
      <c r="B332" s="2" t="s">
        <v>1028</v>
      </c>
      <c r="C332" s="2">
        <v>54</v>
      </c>
      <c r="D332" s="2" t="str">
        <f>IF(Customer_Details[[#This Row],[Age]]&lt;=30,"Adult",IF(Customer_Details[[#This Row],[Age]]&lt;=50,"Mid-Adult","Senior"))</f>
        <v>Senior</v>
      </c>
      <c r="E332" s="2" t="s">
        <v>9</v>
      </c>
      <c r="F332" s="2" t="s">
        <v>1029</v>
      </c>
      <c r="G332" s="2" t="s">
        <v>191</v>
      </c>
      <c r="H332" s="2" t="s">
        <v>12</v>
      </c>
      <c r="I332" s="2" t="s">
        <v>19</v>
      </c>
    </row>
    <row r="333" spans="1:9" x14ac:dyDescent="0.3">
      <c r="A333" s="2" t="s">
        <v>1030</v>
      </c>
      <c r="B333" s="2" t="s">
        <v>1031</v>
      </c>
      <c r="C333" s="2">
        <v>38</v>
      </c>
      <c r="D333" s="2" t="str">
        <f>IF(Customer_Details[[#This Row],[Age]]&lt;=30,"Adult",IF(Customer_Details[[#This Row],[Age]]&lt;=50,"Mid-Adult","Senior"))</f>
        <v>Mid-Adult</v>
      </c>
      <c r="E333" s="2" t="s">
        <v>16</v>
      </c>
      <c r="F333" s="2" t="s">
        <v>1032</v>
      </c>
      <c r="G333" s="2" t="s">
        <v>66</v>
      </c>
      <c r="H333" s="2" t="s">
        <v>12</v>
      </c>
      <c r="I333" s="2" t="s">
        <v>26</v>
      </c>
    </row>
    <row r="334" spans="1:9" x14ac:dyDescent="0.3">
      <c r="A334" s="2" t="s">
        <v>1033</v>
      </c>
      <c r="B334" s="2" t="s">
        <v>1034</v>
      </c>
      <c r="C334" s="2">
        <v>34</v>
      </c>
      <c r="D334" s="2" t="str">
        <f>IF(Customer_Details[[#This Row],[Age]]&lt;=30,"Adult",IF(Customer_Details[[#This Row],[Age]]&lt;=50,"Mid-Adult","Senior"))</f>
        <v>Mid-Adult</v>
      </c>
      <c r="E334" s="2" t="s">
        <v>16</v>
      </c>
      <c r="F334" s="2" t="s">
        <v>1035</v>
      </c>
      <c r="G334" s="2" t="s">
        <v>99</v>
      </c>
      <c r="H334" s="2" t="s">
        <v>12</v>
      </c>
      <c r="I334" s="2" t="s">
        <v>26</v>
      </c>
    </row>
    <row r="335" spans="1:9" x14ac:dyDescent="0.3">
      <c r="A335" s="2" t="s">
        <v>1036</v>
      </c>
      <c r="B335" s="2" t="s">
        <v>1037</v>
      </c>
      <c r="C335" s="2">
        <v>64</v>
      </c>
      <c r="D335" s="2" t="str">
        <f>IF(Customer_Details[[#This Row],[Age]]&lt;=30,"Adult",IF(Customer_Details[[#This Row],[Age]]&lt;=50,"Mid-Adult","Senior"))</f>
        <v>Senior</v>
      </c>
      <c r="E335" s="2" t="s">
        <v>16</v>
      </c>
      <c r="F335" s="2" t="s">
        <v>1038</v>
      </c>
      <c r="G335" s="2" t="s">
        <v>81</v>
      </c>
      <c r="H335" s="2" t="s">
        <v>12</v>
      </c>
      <c r="I335" s="2" t="s">
        <v>13</v>
      </c>
    </row>
    <row r="336" spans="1:9" x14ac:dyDescent="0.3">
      <c r="A336" s="2" t="s">
        <v>1039</v>
      </c>
      <c r="B336" s="2" t="s">
        <v>1040</v>
      </c>
      <c r="C336" s="2">
        <v>50</v>
      </c>
      <c r="D336" s="2" t="str">
        <f>IF(Customer_Details[[#This Row],[Age]]&lt;=30,"Adult",IF(Customer_Details[[#This Row],[Age]]&lt;=50,"Mid-Adult","Senior"))</f>
        <v>Mid-Adult</v>
      </c>
      <c r="E336" s="2" t="s">
        <v>16</v>
      </c>
      <c r="F336" s="2" t="s">
        <v>1041</v>
      </c>
      <c r="G336" s="2" t="s">
        <v>166</v>
      </c>
      <c r="H336" s="2" t="s">
        <v>12</v>
      </c>
      <c r="I336" s="2" t="s">
        <v>31</v>
      </c>
    </row>
    <row r="337" spans="1:9" x14ac:dyDescent="0.3">
      <c r="A337" s="2" t="s">
        <v>1042</v>
      </c>
      <c r="B337" s="2" t="s">
        <v>1043</v>
      </c>
      <c r="C337" s="2">
        <v>37</v>
      </c>
      <c r="D337" s="2" t="str">
        <f>IF(Customer_Details[[#This Row],[Age]]&lt;=30,"Adult",IF(Customer_Details[[#This Row],[Age]]&lt;=50,"Mid-Adult","Senior"))</f>
        <v>Mid-Adult</v>
      </c>
      <c r="E337" s="2" t="s">
        <v>9</v>
      </c>
      <c r="F337" s="2" t="s">
        <v>1044</v>
      </c>
      <c r="G337" s="2" t="s">
        <v>11</v>
      </c>
      <c r="H337" s="2" t="s">
        <v>12</v>
      </c>
      <c r="I337" s="2" t="s">
        <v>19</v>
      </c>
    </row>
    <row r="338" spans="1:9" x14ac:dyDescent="0.3">
      <c r="A338" s="2" t="s">
        <v>1045</v>
      </c>
      <c r="B338" s="2" t="s">
        <v>1046</v>
      </c>
      <c r="C338" s="2">
        <v>58</v>
      </c>
      <c r="D338" s="2" t="str">
        <f>IF(Customer_Details[[#This Row],[Age]]&lt;=30,"Adult",IF(Customer_Details[[#This Row],[Age]]&lt;=50,"Mid-Adult","Senior"))</f>
        <v>Senior</v>
      </c>
      <c r="E338" s="2" t="s">
        <v>16</v>
      </c>
      <c r="F338" s="2" t="s">
        <v>1047</v>
      </c>
      <c r="G338" s="2" t="s">
        <v>35</v>
      </c>
      <c r="H338" s="2" t="s">
        <v>12</v>
      </c>
      <c r="I338" s="2" t="s">
        <v>31</v>
      </c>
    </row>
    <row r="339" spans="1:9" x14ac:dyDescent="0.3">
      <c r="A339" s="2" t="s">
        <v>1048</v>
      </c>
      <c r="B339" s="2" t="s">
        <v>1049</v>
      </c>
      <c r="C339" s="2">
        <v>40</v>
      </c>
      <c r="D339" s="2" t="str">
        <f>IF(Customer_Details[[#This Row],[Age]]&lt;=30,"Adult",IF(Customer_Details[[#This Row],[Age]]&lt;=50,"Mid-Adult","Senior"))</f>
        <v>Mid-Adult</v>
      </c>
      <c r="E339" s="2" t="s">
        <v>16</v>
      </c>
      <c r="F339" s="2" t="s">
        <v>1050</v>
      </c>
      <c r="G339" s="2" t="s">
        <v>11</v>
      </c>
      <c r="H339" s="2" t="s">
        <v>12</v>
      </c>
      <c r="I339" s="2" t="s">
        <v>26</v>
      </c>
    </row>
    <row r="340" spans="1:9" x14ac:dyDescent="0.3">
      <c r="A340" s="2" t="s">
        <v>1051</v>
      </c>
      <c r="B340" s="2" t="s">
        <v>1052</v>
      </c>
      <c r="C340" s="2">
        <v>46</v>
      </c>
      <c r="D340" s="2" t="str">
        <f>IF(Customer_Details[[#This Row],[Age]]&lt;=30,"Adult",IF(Customer_Details[[#This Row],[Age]]&lt;=50,"Mid-Adult","Senior"))</f>
        <v>Mid-Adult</v>
      </c>
      <c r="E340" s="2" t="s">
        <v>16</v>
      </c>
      <c r="F340" s="2" t="s">
        <v>1053</v>
      </c>
      <c r="G340" s="2" t="s">
        <v>166</v>
      </c>
      <c r="H340" s="2" t="s">
        <v>12</v>
      </c>
      <c r="I340" s="2" t="s">
        <v>31</v>
      </c>
    </row>
    <row r="341" spans="1:9" x14ac:dyDescent="0.3">
      <c r="A341" s="2" t="s">
        <v>1054</v>
      </c>
      <c r="B341" s="2" t="s">
        <v>1055</v>
      </c>
      <c r="C341" s="2">
        <v>52</v>
      </c>
      <c r="D341" s="2" t="str">
        <f>IF(Customer_Details[[#This Row],[Age]]&lt;=30,"Adult",IF(Customer_Details[[#This Row],[Age]]&lt;=50,"Mid-Adult","Senior"))</f>
        <v>Senior</v>
      </c>
      <c r="E341" s="2" t="s">
        <v>16</v>
      </c>
      <c r="F341" s="2" t="s">
        <v>1056</v>
      </c>
      <c r="G341" s="2" t="s">
        <v>133</v>
      </c>
      <c r="H341" s="2" t="s">
        <v>12</v>
      </c>
      <c r="I341" s="2" t="s">
        <v>19</v>
      </c>
    </row>
    <row r="342" spans="1:9" x14ac:dyDescent="0.3">
      <c r="A342" s="2" t="s">
        <v>1057</v>
      </c>
      <c r="B342" s="2" t="s">
        <v>1058</v>
      </c>
      <c r="C342" s="2">
        <v>27</v>
      </c>
      <c r="D342" s="2" t="str">
        <f>IF(Customer_Details[[#This Row],[Age]]&lt;=30,"Adult",IF(Customer_Details[[#This Row],[Age]]&lt;=50,"Mid-Adult","Senior"))</f>
        <v>Adult</v>
      </c>
      <c r="E342" s="2" t="s">
        <v>9</v>
      </c>
      <c r="F342" s="2" t="s">
        <v>1059</v>
      </c>
      <c r="G342" s="2" t="s">
        <v>271</v>
      </c>
      <c r="H342" s="2" t="s">
        <v>12</v>
      </c>
      <c r="I342" s="2" t="s">
        <v>26</v>
      </c>
    </row>
    <row r="343" spans="1:9" x14ac:dyDescent="0.3">
      <c r="A343" s="2" t="s">
        <v>1060</v>
      </c>
      <c r="B343" s="2" t="s">
        <v>1061</v>
      </c>
      <c r="C343" s="2">
        <v>56</v>
      </c>
      <c r="D343" s="2" t="str">
        <f>IF(Customer_Details[[#This Row],[Age]]&lt;=30,"Adult",IF(Customer_Details[[#This Row],[Age]]&lt;=50,"Mid-Adult","Senior"))</f>
        <v>Senior</v>
      </c>
      <c r="E343" s="2" t="s">
        <v>16</v>
      </c>
      <c r="F343" s="2" t="s">
        <v>1062</v>
      </c>
      <c r="G343" s="2" t="s">
        <v>191</v>
      </c>
      <c r="H343" s="2" t="s">
        <v>12</v>
      </c>
      <c r="I343" s="2" t="s">
        <v>26</v>
      </c>
    </row>
    <row r="344" spans="1:9" x14ac:dyDescent="0.3">
      <c r="A344" s="2" t="s">
        <v>1063</v>
      </c>
      <c r="B344" s="2" t="s">
        <v>1064</v>
      </c>
      <c r="C344" s="2">
        <v>30</v>
      </c>
      <c r="D344" s="2" t="str">
        <f>IF(Customer_Details[[#This Row],[Age]]&lt;=30,"Adult",IF(Customer_Details[[#This Row],[Age]]&lt;=50,"Mid-Adult","Senior"))</f>
        <v>Adult</v>
      </c>
      <c r="E344" s="2" t="s">
        <v>16</v>
      </c>
      <c r="F344" s="2" t="s">
        <v>1065</v>
      </c>
      <c r="G344" s="2" t="s">
        <v>166</v>
      </c>
      <c r="H344" s="2" t="s">
        <v>12</v>
      </c>
      <c r="I344" s="2" t="s">
        <v>26</v>
      </c>
    </row>
    <row r="345" spans="1:9" x14ac:dyDescent="0.3">
      <c r="A345" s="2" t="s">
        <v>1066</v>
      </c>
      <c r="B345" s="2" t="s">
        <v>1067</v>
      </c>
      <c r="C345" s="2">
        <v>38</v>
      </c>
      <c r="D345" s="2" t="str">
        <f>IF(Customer_Details[[#This Row],[Age]]&lt;=30,"Adult",IF(Customer_Details[[#This Row],[Age]]&lt;=50,"Mid-Adult","Senior"))</f>
        <v>Mid-Adult</v>
      </c>
      <c r="E345" s="2" t="s">
        <v>9</v>
      </c>
      <c r="F345" s="2" t="s">
        <v>1068</v>
      </c>
      <c r="G345" s="2" t="s">
        <v>284</v>
      </c>
      <c r="H345" s="2" t="s">
        <v>12</v>
      </c>
      <c r="I345" s="2" t="s">
        <v>26</v>
      </c>
    </row>
    <row r="346" spans="1:9" x14ac:dyDescent="0.3">
      <c r="A346" s="2" t="s">
        <v>1069</v>
      </c>
      <c r="B346" s="2" t="s">
        <v>1070</v>
      </c>
      <c r="C346" s="2">
        <v>39</v>
      </c>
      <c r="D346" s="2" t="str">
        <f>IF(Customer_Details[[#This Row],[Age]]&lt;=30,"Adult",IF(Customer_Details[[#This Row],[Age]]&lt;=50,"Mid-Adult","Senior"))</f>
        <v>Mid-Adult</v>
      </c>
      <c r="E346" s="2" t="s">
        <v>9</v>
      </c>
      <c r="F346" s="2" t="s">
        <v>1071</v>
      </c>
      <c r="G346" s="2" t="s">
        <v>230</v>
      </c>
      <c r="H346" s="2" t="s">
        <v>12</v>
      </c>
      <c r="I346" s="2" t="s">
        <v>13</v>
      </c>
    </row>
    <row r="347" spans="1:9" x14ac:dyDescent="0.3">
      <c r="A347" s="2" t="s">
        <v>1072</v>
      </c>
      <c r="B347" s="2" t="s">
        <v>1073</v>
      </c>
      <c r="C347" s="2">
        <v>33</v>
      </c>
      <c r="D347" s="2" t="str">
        <f>IF(Customer_Details[[#This Row],[Age]]&lt;=30,"Adult",IF(Customer_Details[[#This Row],[Age]]&lt;=50,"Mid-Adult","Senior"))</f>
        <v>Mid-Adult</v>
      </c>
      <c r="E347" s="2" t="s">
        <v>9</v>
      </c>
      <c r="F347" s="2" t="s">
        <v>1074</v>
      </c>
      <c r="G347" s="2" t="s">
        <v>96</v>
      </c>
      <c r="H347" s="2" t="s">
        <v>12</v>
      </c>
      <c r="I347" s="2" t="s">
        <v>26</v>
      </c>
    </row>
    <row r="348" spans="1:9" x14ac:dyDescent="0.3">
      <c r="A348" s="2" t="s">
        <v>1075</v>
      </c>
      <c r="B348" s="2" t="s">
        <v>1076</v>
      </c>
      <c r="C348" s="2">
        <v>58</v>
      </c>
      <c r="D348" s="2" t="str">
        <f>IF(Customer_Details[[#This Row],[Age]]&lt;=30,"Adult",IF(Customer_Details[[#This Row],[Age]]&lt;=50,"Mid-Adult","Senior"))</f>
        <v>Senior</v>
      </c>
      <c r="E348" s="2" t="s">
        <v>16</v>
      </c>
      <c r="F348" s="2" t="s">
        <v>1077</v>
      </c>
      <c r="G348" s="2" t="s">
        <v>234</v>
      </c>
      <c r="H348" s="2" t="s">
        <v>12</v>
      </c>
      <c r="I348" s="2" t="s">
        <v>19</v>
      </c>
    </row>
    <row r="349" spans="1:9" x14ac:dyDescent="0.3">
      <c r="A349" s="2" t="s">
        <v>1078</v>
      </c>
      <c r="B349" s="2" t="s">
        <v>3950</v>
      </c>
      <c r="C349" s="2">
        <v>39</v>
      </c>
      <c r="D349" s="2" t="str">
        <f>IF(Customer_Details[[#This Row],[Age]]&lt;=30,"Adult",IF(Customer_Details[[#This Row],[Age]]&lt;=50,"Mid-Adult","Senior"))</f>
        <v>Mid-Adult</v>
      </c>
      <c r="E349" s="2" t="s">
        <v>16</v>
      </c>
      <c r="F349" s="2" t="s">
        <v>1079</v>
      </c>
      <c r="G349" s="2" t="s">
        <v>166</v>
      </c>
      <c r="H349" s="2" t="s">
        <v>12</v>
      </c>
      <c r="I349" s="2" t="s">
        <v>13</v>
      </c>
    </row>
    <row r="350" spans="1:9" x14ac:dyDescent="0.3">
      <c r="A350" s="2" t="s">
        <v>1080</v>
      </c>
      <c r="B350" s="2" t="s">
        <v>1081</v>
      </c>
      <c r="C350" s="2">
        <v>55</v>
      </c>
      <c r="D350" s="2" t="str">
        <f>IF(Customer_Details[[#This Row],[Age]]&lt;=30,"Adult",IF(Customer_Details[[#This Row],[Age]]&lt;=50,"Mid-Adult","Senior"))</f>
        <v>Senior</v>
      </c>
      <c r="E350" s="2" t="s">
        <v>9</v>
      </c>
      <c r="F350" s="2" t="s">
        <v>1082</v>
      </c>
      <c r="G350" s="2" t="s">
        <v>51</v>
      </c>
      <c r="H350" s="2" t="s">
        <v>12</v>
      </c>
      <c r="I350" s="2" t="s">
        <v>31</v>
      </c>
    </row>
    <row r="351" spans="1:9" x14ac:dyDescent="0.3">
      <c r="A351" s="2" t="s">
        <v>1083</v>
      </c>
      <c r="B351" s="2" t="s">
        <v>1084</v>
      </c>
      <c r="C351" s="2">
        <v>31</v>
      </c>
      <c r="D351" s="2" t="str">
        <f>IF(Customer_Details[[#This Row],[Age]]&lt;=30,"Adult",IF(Customer_Details[[#This Row],[Age]]&lt;=50,"Mid-Adult","Senior"))</f>
        <v>Mid-Adult</v>
      </c>
      <c r="E351" s="2" t="s">
        <v>9</v>
      </c>
      <c r="F351" s="2" t="s">
        <v>1085</v>
      </c>
      <c r="G351" s="2" t="s">
        <v>162</v>
      </c>
      <c r="H351" s="2" t="s">
        <v>12</v>
      </c>
      <c r="I351" s="2" t="s">
        <v>26</v>
      </c>
    </row>
    <row r="352" spans="1:9" x14ac:dyDescent="0.3">
      <c r="A352" s="2" t="s">
        <v>1086</v>
      </c>
      <c r="B352" s="2" t="s">
        <v>1087</v>
      </c>
      <c r="C352" s="2">
        <v>26</v>
      </c>
      <c r="D352" s="2" t="str">
        <f>IF(Customer_Details[[#This Row],[Age]]&lt;=30,"Adult",IF(Customer_Details[[#This Row],[Age]]&lt;=50,"Mid-Adult","Senior"))</f>
        <v>Adult</v>
      </c>
      <c r="E352" s="2" t="s">
        <v>9</v>
      </c>
      <c r="F352" s="2" t="s">
        <v>1088</v>
      </c>
      <c r="G352" s="2" t="s">
        <v>264</v>
      </c>
      <c r="H352" s="2" t="s">
        <v>12</v>
      </c>
      <c r="I352" s="2" t="s">
        <v>31</v>
      </c>
    </row>
    <row r="353" spans="1:9" x14ac:dyDescent="0.3">
      <c r="A353" s="2" t="s">
        <v>1089</v>
      </c>
      <c r="B353" s="2" t="s">
        <v>1090</v>
      </c>
      <c r="C353" s="2">
        <v>25</v>
      </c>
      <c r="D353" s="2" t="str">
        <f>IF(Customer_Details[[#This Row],[Age]]&lt;=30,"Adult",IF(Customer_Details[[#This Row],[Age]]&lt;=50,"Mid-Adult","Senior"))</f>
        <v>Adult</v>
      </c>
      <c r="E353" s="2" t="s">
        <v>16</v>
      </c>
      <c r="F353" s="2" t="s">
        <v>1091</v>
      </c>
      <c r="G353" s="2" t="s">
        <v>70</v>
      </c>
      <c r="H353" s="2" t="s">
        <v>12</v>
      </c>
      <c r="I353" s="2" t="s">
        <v>26</v>
      </c>
    </row>
    <row r="354" spans="1:9" x14ac:dyDescent="0.3">
      <c r="A354" s="2" t="s">
        <v>1092</v>
      </c>
      <c r="B354" s="2" t="s">
        <v>1093</v>
      </c>
      <c r="C354" s="2">
        <v>52</v>
      </c>
      <c r="D354" s="2" t="str">
        <f>IF(Customer_Details[[#This Row],[Age]]&lt;=30,"Adult",IF(Customer_Details[[#This Row],[Age]]&lt;=50,"Mid-Adult","Senior"))</f>
        <v>Senior</v>
      </c>
      <c r="E354" s="2" t="s">
        <v>16</v>
      </c>
      <c r="F354" s="2" t="s">
        <v>1094</v>
      </c>
      <c r="G354" s="2" t="s">
        <v>319</v>
      </c>
      <c r="H354" s="2" t="s">
        <v>12</v>
      </c>
      <c r="I354" s="2" t="s">
        <v>31</v>
      </c>
    </row>
    <row r="355" spans="1:9" x14ac:dyDescent="0.3">
      <c r="A355" s="2" t="s">
        <v>1095</v>
      </c>
      <c r="B355" s="2" t="s">
        <v>3958</v>
      </c>
      <c r="C355" s="2">
        <v>56</v>
      </c>
      <c r="D355" s="2" t="str">
        <f>IF(Customer_Details[[#This Row],[Age]]&lt;=30,"Adult",IF(Customer_Details[[#This Row],[Age]]&lt;=50,"Mid-Adult","Senior"))</f>
        <v>Senior</v>
      </c>
      <c r="E355" s="2" t="s">
        <v>16</v>
      </c>
      <c r="F355" s="2" t="s">
        <v>1096</v>
      </c>
      <c r="G355" s="2" t="s">
        <v>35</v>
      </c>
      <c r="H355" s="2" t="s">
        <v>12</v>
      </c>
      <c r="I355" s="2" t="s">
        <v>19</v>
      </c>
    </row>
    <row r="356" spans="1:9" x14ac:dyDescent="0.3">
      <c r="A356" s="2" t="s">
        <v>1097</v>
      </c>
      <c r="B356" s="2" t="s">
        <v>1098</v>
      </c>
      <c r="C356" s="2">
        <v>38</v>
      </c>
      <c r="D356" s="2" t="str">
        <f>IF(Customer_Details[[#This Row],[Age]]&lt;=30,"Adult",IF(Customer_Details[[#This Row],[Age]]&lt;=50,"Mid-Adult","Senior"))</f>
        <v>Mid-Adult</v>
      </c>
      <c r="E356" s="2" t="s">
        <v>9</v>
      </c>
      <c r="F356" s="2" t="s">
        <v>1099</v>
      </c>
      <c r="G356" s="2" t="s">
        <v>166</v>
      </c>
      <c r="H356" s="2" t="s">
        <v>12</v>
      </c>
      <c r="I356" s="2" t="s">
        <v>31</v>
      </c>
    </row>
    <row r="357" spans="1:9" x14ac:dyDescent="0.3">
      <c r="A357" s="2" t="s">
        <v>1100</v>
      </c>
      <c r="B357" s="2" t="s">
        <v>1101</v>
      </c>
      <c r="C357" s="2">
        <v>20</v>
      </c>
      <c r="D357" s="2" t="str">
        <f>IF(Customer_Details[[#This Row],[Age]]&lt;=30,"Adult",IF(Customer_Details[[#This Row],[Age]]&lt;=50,"Mid-Adult","Senior"))</f>
        <v>Adult</v>
      </c>
      <c r="E357" s="2" t="s">
        <v>9</v>
      </c>
      <c r="F357" s="2" t="s">
        <v>1102</v>
      </c>
      <c r="G357" s="2" t="s">
        <v>74</v>
      </c>
      <c r="H357" s="2" t="s">
        <v>12</v>
      </c>
      <c r="I357" s="2" t="s">
        <v>13</v>
      </c>
    </row>
    <row r="358" spans="1:9" x14ac:dyDescent="0.3">
      <c r="A358" s="2" t="s">
        <v>1103</v>
      </c>
      <c r="B358" s="2" t="s">
        <v>1104</v>
      </c>
      <c r="C358" s="2">
        <v>54</v>
      </c>
      <c r="D358" s="2" t="str">
        <f>IF(Customer_Details[[#This Row],[Age]]&lt;=30,"Adult",IF(Customer_Details[[#This Row],[Age]]&lt;=50,"Mid-Adult","Senior"))</f>
        <v>Senior</v>
      </c>
      <c r="E358" s="2" t="s">
        <v>9</v>
      </c>
      <c r="F358" s="2" t="s">
        <v>1105</v>
      </c>
      <c r="G358" s="2" t="s">
        <v>284</v>
      </c>
      <c r="H358" s="2" t="s">
        <v>12</v>
      </c>
      <c r="I358" s="2" t="s">
        <v>26</v>
      </c>
    </row>
    <row r="359" spans="1:9" x14ac:dyDescent="0.3">
      <c r="A359" s="2" t="s">
        <v>1106</v>
      </c>
      <c r="B359" s="2" t="s">
        <v>1107</v>
      </c>
      <c r="C359" s="2">
        <v>41</v>
      </c>
      <c r="D359" s="2" t="str">
        <f>IF(Customer_Details[[#This Row],[Age]]&lt;=30,"Adult",IF(Customer_Details[[#This Row],[Age]]&lt;=50,"Mid-Adult","Senior"))</f>
        <v>Mid-Adult</v>
      </c>
      <c r="E359" s="2" t="s">
        <v>9</v>
      </c>
      <c r="F359" s="2" t="s">
        <v>1108</v>
      </c>
      <c r="G359" s="2" t="s">
        <v>234</v>
      </c>
      <c r="H359" s="2" t="s">
        <v>12</v>
      </c>
      <c r="I359" s="2" t="s">
        <v>13</v>
      </c>
    </row>
    <row r="360" spans="1:9" x14ac:dyDescent="0.3">
      <c r="A360" s="2" t="s">
        <v>1109</v>
      </c>
      <c r="B360" s="2" t="s">
        <v>1110</v>
      </c>
      <c r="C360" s="2">
        <v>60</v>
      </c>
      <c r="D360" s="2" t="str">
        <f>IF(Customer_Details[[#This Row],[Age]]&lt;=30,"Adult",IF(Customer_Details[[#This Row],[Age]]&lt;=50,"Mid-Adult","Senior"))</f>
        <v>Senior</v>
      </c>
      <c r="E360" s="2" t="s">
        <v>16</v>
      </c>
      <c r="F360" s="2" t="s">
        <v>1111</v>
      </c>
      <c r="G360" s="2" t="s">
        <v>309</v>
      </c>
      <c r="H360" s="2" t="s">
        <v>12</v>
      </c>
      <c r="I360" s="2" t="s">
        <v>13</v>
      </c>
    </row>
    <row r="361" spans="1:9" x14ac:dyDescent="0.3">
      <c r="A361" s="2" t="s">
        <v>1112</v>
      </c>
      <c r="B361" s="2" t="s">
        <v>1113</v>
      </c>
      <c r="C361" s="2">
        <v>32</v>
      </c>
      <c r="D361" s="2" t="str">
        <f>IF(Customer_Details[[#This Row],[Age]]&lt;=30,"Adult",IF(Customer_Details[[#This Row],[Age]]&lt;=50,"Mid-Adult","Senior"))</f>
        <v>Mid-Adult</v>
      </c>
      <c r="E361" s="2" t="s">
        <v>9</v>
      </c>
      <c r="F361" s="2" t="s">
        <v>1114</v>
      </c>
      <c r="G361" s="2" t="s">
        <v>62</v>
      </c>
      <c r="H361" s="2" t="s">
        <v>12</v>
      </c>
      <c r="I361" s="2" t="s">
        <v>31</v>
      </c>
    </row>
    <row r="362" spans="1:9" x14ac:dyDescent="0.3">
      <c r="A362" s="2" t="s">
        <v>1115</v>
      </c>
      <c r="B362" s="2" t="s">
        <v>1116</v>
      </c>
      <c r="C362" s="2">
        <v>34</v>
      </c>
      <c r="D362" s="2" t="str">
        <f>IF(Customer_Details[[#This Row],[Age]]&lt;=30,"Adult",IF(Customer_Details[[#This Row],[Age]]&lt;=50,"Mid-Adult","Senior"))</f>
        <v>Mid-Adult</v>
      </c>
      <c r="E362" s="2" t="s">
        <v>9</v>
      </c>
      <c r="F362" s="2" t="s">
        <v>1117</v>
      </c>
      <c r="G362" s="2" t="s">
        <v>288</v>
      </c>
      <c r="H362" s="2" t="s">
        <v>12</v>
      </c>
      <c r="I362" s="2" t="s">
        <v>19</v>
      </c>
    </row>
    <row r="363" spans="1:9" x14ac:dyDescent="0.3">
      <c r="A363" s="2" t="s">
        <v>1118</v>
      </c>
      <c r="B363" s="2" t="s">
        <v>1119</v>
      </c>
      <c r="C363" s="2">
        <v>64</v>
      </c>
      <c r="D363" s="2" t="str">
        <f>IF(Customer_Details[[#This Row],[Age]]&lt;=30,"Adult",IF(Customer_Details[[#This Row],[Age]]&lt;=50,"Mid-Adult","Senior"))</f>
        <v>Senior</v>
      </c>
      <c r="E363" s="2" t="s">
        <v>9</v>
      </c>
      <c r="F363" s="2" t="s">
        <v>1120</v>
      </c>
      <c r="G363" s="2" t="s">
        <v>251</v>
      </c>
      <c r="H363" s="2" t="s">
        <v>12</v>
      </c>
      <c r="I363" s="2" t="s">
        <v>19</v>
      </c>
    </row>
    <row r="364" spans="1:9" x14ac:dyDescent="0.3">
      <c r="A364" s="2" t="s">
        <v>1121</v>
      </c>
      <c r="B364" s="2" t="s">
        <v>3951</v>
      </c>
      <c r="C364" s="2">
        <v>60</v>
      </c>
      <c r="D364" s="2" t="str">
        <f>IF(Customer_Details[[#This Row],[Age]]&lt;=30,"Adult",IF(Customer_Details[[#This Row],[Age]]&lt;=50,"Mid-Adult","Senior"))</f>
        <v>Senior</v>
      </c>
      <c r="E364" s="2" t="s">
        <v>9</v>
      </c>
      <c r="F364" s="2" t="s">
        <v>1122</v>
      </c>
      <c r="G364" s="2" t="s">
        <v>162</v>
      </c>
      <c r="H364" s="2" t="s">
        <v>12</v>
      </c>
      <c r="I364" s="2" t="s">
        <v>13</v>
      </c>
    </row>
    <row r="365" spans="1:9" x14ac:dyDescent="0.3">
      <c r="A365" s="2" t="s">
        <v>1123</v>
      </c>
      <c r="B365" s="2" t="s">
        <v>1124</v>
      </c>
      <c r="C365" s="2">
        <v>23</v>
      </c>
      <c r="D365" s="2" t="str">
        <f>IF(Customer_Details[[#This Row],[Age]]&lt;=30,"Adult",IF(Customer_Details[[#This Row],[Age]]&lt;=50,"Mid-Adult","Senior"))</f>
        <v>Adult</v>
      </c>
      <c r="E365" s="2" t="s">
        <v>9</v>
      </c>
      <c r="F365" s="2" t="s">
        <v>1125</v>
      </c>
      <c r="G365" s="2" t="s">
        <v>25</v>
      </c>
      <c r="H365" s="2" t="s">
        <v>12</v>
      </c>
      <c r="I365" s="2" t="s">
        <v>26</v>
      </c>
    </row>
    <row r="366" spans="1:9" x14ac:dyDescent="0.3">
      <c r="A366" s="2" t="s">
        <v>1126</v>
      </c>
      <c r="B366" s="2" t="s">
        <v>1127</v>
      </c>
      <c r="C366" s="2">
        <v>58</v>
      </c>
      <c r="D366" s="2" t="str">
        <f>IF(Customer_Details[[#This Row],[Age]]&lt;=30,"Adult",IF(Customer_Details[[#This Row],[Age]]&lt;=50,"Mid-Adult","Senior"))</f>
        <v>Senior</v>
      </c>
      <c r="E366" s="2" t="s">
        <v>9</v>
      </c>
      <c r="F366" s="2" t="s">
        <v>1128</v>
      </c>
      <c r="G366" s="2" t="s">
        <v>133</v>
      </c>
      <c r="H366" s="2" t="s">
        <v>12</v>
      </c>
      <c r="I366" s="2" t="s">
        <v>26</v>
      </c>
    </row>
    <row r="367" spans="1:9" x14ac:dyDescent="0.3">
      <c r="A367" s="2" t="s">
        <v>1129</v>
      </c>
      <c r="B367" s="2" t="s">
        <v>1130</v>
      </c>
      <c r="C367" s="2">
        <v>63</v>
      </c>
      <c r="D367" s="2" t="str">
        <f>IF(Customer_Details[[#This Row],[Age]]&lt;=30,"Adult",IF(Customer_Details[[#This Row],[Age]]&lt;=50,"Mid-Adult","Senior"))</f>
        <v>Senior</v>
      </c>
      <c r="E367" s="2" t="s">
        <v>16</v>
      </c>
      <c r="F367" s="2" t="s">
        <v>1131</v>
      </c>
      <c r="G367" s="2" t="s">
        <v>162</v>
      </c>
      <c r="H367" s="2" t="s">
        <v>12</v>
      </c>
      <c r="I367" s="2" t="s">
        <v>19</v>
      </c>
    </row>
    <row r="368" spans="1:9" x14ac:dyDescent="0.3">
      <c r="A368" s="2" t="s">
        <v>1132</v>
      </c>
      <c r="B368" s="2" t="s">
        <v>1133</v>
      </c>
      <c r="C368" s="2">
        <v>40</v>
      </c>
      <c r="D368" s="2" t="str">
        <f>IF(Customer_Details[[#This Row],[Age]]&lt;=30,"Adult",IF(Customer_Details[[#This Row],[Age]]&lt;=50,"Mid-Adult","Senior"))</f>
        <v>Mid-Adult</v>
      </c>
      <c r="E368" s="2" t="s">
        <v>16</v>
      </c>
      <c r="F368" s="2" t="s">
        <v>1134</v>
      </c>
      <c r="G368" s="2" t="s">
        <v>22</v>
      </c>
      <c r="H368" s="2" t="s">
        <v>12</v>
      </c>
      <c r="I368" s="2" t="s">
        <v>19</v>
      </c>
    </row>
    <row r="369" spans="1:9" x14ac:dyDescent="0.3">
      <c r="A369" s="2" t="s">
        <v>1135</v>
      </c>
      <c r="B369" s="2" t="s">
        <v>1136</v>
      </c>
      <c r="C369" s="2">
        <v>51</v>
      </c>
      <c r="D369" s="2" t="str">
        <f>IF(Customer_Details[[#This Row],[Age]]&lt;=30,"Adult",IF(Customer_Details[[#This Row],[Age]]&lt;=50,"Mid-Adult","Senior"))</f>
        <v>Senior</v>
      </c>
      <c r="E369" s="2" t="s">
        <v>9</v>
      </c>
      <c r="F369" s="2" t="s">
        <v>1137</v>
      </c>
      <c r="G369" s="2" t="s">
        <v>25</v>
      </c>
      <c r="H369" s="2" t="s">
        <v>12</v>
      </c>
      <c r="I369" s="2" t="s">
        <v>26</v>
      </c>
    </row>
    <row r="370" spans="1:9" x14ac:dyDescent="0.3">
      <c r="A370" s="2" t="s">
        <v>1138</v>
      </c>
      <c r="B370" s="2" t="s">
        <v>1139</v>
      </c>
      <c r="C370" s="2">
        <v>34</v>
      </c>
      <c r="D370" s="2" t="str">
        <f>IF(Customer_Details[[#This Row],[Age]]&lt;=30,"Adult",IF(Customer_Details[[#This Row],[Age]]&lt;=50,"Mid-Adult","Senior"))</f>
        <v>Mid-Adult</v>
      </c>
      <c r="E370" s="2" t="s">
        <v>16</v>
      </c>
      <c r="F370" s="2" t="s">
        <v>1140</v>
      </c>
      <c r="G370" s="2" t="s">
        <v>58</v>
      </c>
      <c r="H370" s="2" t="s">
        <v>12</v>
      </c>
      <c r="I370" s="2" t="s">
        <v>19</v>
      </c>
    </row>
    <row r="371" spans="1:9" x14ac:dyDescent="0.3">
      <c r="A371" s="2" t="s">
        <v>1141</v>
      </c>
      <c r="B371" s="2" t="s">
        <v>1142</v>
      </c>
      <c r="C371" s="2">
        <v>20</v>
      </c>
      <c r="D371" s="2" t="str">
        <f>IF(Customer_Details[[#This Row],[Age]]&lt;=30,"Adult",IF(Customer_Details[[#This Row],[Age]]&lt;=50,"Mid-Adult","Senior"))</f>
        <v>Adult</v>
      </c>
      <c r="E371" s="2" t="s">
        <v>16</v>
      </c>
      <c r="F371" s="2" t="s">
        <v>1143</v>
      </c>
      <c r="G371" s="2" t="s">
        <v>170</v>
      </c>
      <c r="H371" s="2" t="s">
        <v>12</v>
      </c>
      <c r="I371" s="2" t="s">
        <v>19</v>
      </c>
    </row>
    <row r="372" spans="1:9" x14ac:dyDescent="0.3">
      <c r="A372" s="2" t="s">
        <v>1144</v>
      </c>
      <c r="B372" s="2" t="s">
        <v>1145</v>
      </c>
      <c r="C372" s="2">
        <v>45</v>
      </c>
      <c r="D372" s="2" t="str">
        <f>IF(Customer_Details[[#This Row],[Age]]&lt;=30,"Adult",IF(Customer_Details[[#This Row],[Age]]&lt;=50,"Mid-Adult","Senior"))</f>
        <v>Mid-Adult</v>
      </c>
      <c r="E372" s="2" t="s">
        <v>9</v>
      </c>
      <c r="F372" s="2" t="s">
        <v>1146</v>
      </c>
      <c r="G372" s="2" t="s">
        <v>251</v>
      </c>
      <c r="H372" s="2" t="s">
        <v>12</v>
      </c>
      <c r="I372" s="2" t="s">
        <v>31</v>
      </c>
    </row>
    <row r="373" spans="1:9" x14ac:dyDescent="0.3">
      <c r="A373" s="2" t="s">
        <v>1147</v>
      </c>
      <c r="B373" s="2" t="s">
        <v>1148</v>
      </c>
      <c r="C373" s="2">
        <v>21</v>
      </c>
      <c r="D373" s="2" t="str">
        <f>IF(Customer_Details[[#This Row],[Age]]&lt;=30,"Adult",IF(Customer_Details[[#This Row],[Age]]&lt;=50,"Mid-Adult","Senior"))</f>
        <v>Adult</v>
      </c>
      <c r="E373" s="2" t="s">
        <v>16</v>
      </c>
      <c r="F373" s="2" t="s">
        <v>1149</v>
      </c>
      <c r="G373" s="2" t="s">
        <v>47</v>
      </c>
      <c r="H373" s="2" t="s">
        <v>12</v>
      </c>
      <c r="I373" s="2" t="s">
        <v>19</v>
      </c>
    </row>
    <row r="374" spans="1:9" x14ac:dyDescent="0.3">
      <c r="A374" s="2" t="s">
        <v>1150</v>
      </c>
      <c r="B374" s="2" t="s">
        <v>1151</v>
      </c>
      <c r="C374" s="2">
        <v>28</v>
      </c>
      <c r="D374" s="2" t="str">
        <f>IF(Customer_Details[[#This Row],[Age]]&lt;=30,"Adult",IF(Customer_Details[[#This Row],[Age]]&lt;=50,"Mid-Adult","Senior"))</f>
        <v>Adult</v>
      </c>
      <c r="E374" s="2" t="s">
        <v>9</v>
      </c>
      <c r="F374" s="2" t="s">
        <v>1152</v>
      </c>
      <c r="G374" s="2" t="s">
        <v>25</v>
      </c>
      <c r="H374" s="2" t="s">
        <v>12</v>
      </c>
      <c r="I374" s="2" t="s">
        <v>26</v>
      </c>
    </row>
    <row r="375" spans="1:9" x14ac:dyDescent="0.3">
      <c r="A375" s="2" t="s">
        <v>1153</v>
      </c>
      <c r="B375" s="2" t="s">
        <v>1154</v>
      </c>
      <c r="C375" s="2">
        <v>37</v>
      </c>
      <c r="D375" s="2" t="str">
        <f>IF(Customer_Details[[#This Row],[Age]]&lt;=30,"Adult",IF(Customer_Details[[#This Row],[Age]]&lt;=50,"Mid-Adult","Senior"))</f>
        <v>Mid-Adult</v>
      </c>
      <c r="E375" s="2" t="s">
        <v>16</v>
      </c>
      <c r="F375" s="2" t="s">
        <v>1155</v>
      </c>
      <c r="G375" s="2" t="s">
        <v>429</v>
      </c>
      <c r="H375" s="2" t="s">
        <v>12</v>
      </c>
      <c r="I375" s="2" t="s">
        <v>13</v>
      </c>
    </row>
    <row r="376" spans="1:9" x14ac:dyDescent="0.3">
      <c r="A376" s="2" t="s">
        <v>1156</v>
      </c>
      <c r="B376" s="2" t="s">
        <v>1157</v>
      </c>
      <c r="C376" s="2">
        <v>60</v>
      </c>
      <c r="D376" s="2" t="str">
        <f>IF(Customer_Details[[#This Row],[Age]]&lt;=30,"Adult",IF(Customer_Details[[#This Row],[Age]]&lt;=50,"Mid-Adult","Senior"))</f>
        <v>Senior</v>
      </c>
      <c r="E376" s="2" t="s">
        <v>9</v>
      </c>
      <c r="F376" s="2" t="s">
        <v>1158</v>
      </c>
      <c r="G376" s="2" t="s">
        <v>99</v>
      </c>
      <c r="H376" s="2" t="s">
        <v>12</v>
      </c>
      <c r="I376" s="2" t="s">
        <v>19</v>
      </c>
    </row>
    <row r="377" spans="1:9" x14ac:dyDescent="0.3">
      <c r="A377" s="2" t="s">
        <v>1159</v>
      </c>
      <c r="B377" s="2" t="s">
        <v>1160</v>
      </c>
      <c r="C377" s="2">
        <v>26</v>
      </c>
      <c r="D377" s="2" t="str">
        <f>IF(Customer_Details[[#This Row],[Age]]&lt;=30,"Adult",IF(Customer_Details[[#This Row],[Age]]&lt;=50,"Mid-Adult","Senior"))</f>
        <v>Adult</v>
      </c>
      <c r="E377" s="2" t="s">
        <v>9</v>
      </c>
      <c r="F377" s="2" t="s">
        <v>1161</v>
      </c>
      <c r="G377" s="2" t="s">
        <v>198</v>
      </c>
      <c r="H377" s="2" t="s">
        <v>12</v>
      </c>
      <c r="I377" s="2" t="s">
        <v>19</v>
      </c>
    </row>
    <row r="378" spans="1:9" x14ac:dyDescent="0.3">
      <c r="A378" s="2" t="s">
        <v>1162</v>
      </c>
      <c r="B378" s="2" t="s">
        <v>1163</v>
      </c>
      <c r="C378" s="2">
        <v>30</v>
      </c>
      <c r="D378" s="2" t="str">
        <f>IF(Customer_Details[[#This Row],[Age]]&lt;=30,"Adult",IF(Customer_Details[[#This Row],[Age]]&lt;=50,"Mid-Adult","Senior"))</f>
        <v>Adult</v>
      </c>
      <c r="E378" s="2" t="s">
        <v>9</v>
      </c>
      <c r="F378" s="2" t="s">
        <v>1164</v>
      </c>
      <c r="G378" s="2" t="s">
        <v>166</v>
      </c>
      <c r="H378" s="2" t="s">
        <v>12</v>
      </c>
      <c r="I378" s="2" t="s">
        <v>26</v>
      </c>
    </row>
    <row r="379" spans="1:9" x14ac:dyDescent="0.3">
      <c r="A379" s="2" t="s">
        <v>1165</v>
      </c>
      <c r="B379" s="2" t="s">
        <v>1166</v>
      </c>
      <c r="C379" s="2">
        <v>39</v>
      </c>
      <c r="D379" s="2" t="str">
        <f>IF(Customer_Details[[#This Row],[Age]]&lt;=30,"Adult",IF(Customer_Details[[#This Row],[Age]]&lt;=50,"Mid-Adult","Senior"))</f>
        <v>Mid-Adult</v>
      </c>
      <c r="E379" s="2" t="s">
        <v>16</v>
      </c>
      <c r="F379" s="2" t="s">
        <v>1167</v>
      </c>
      <c r="G379" s="2" t="s">
        <v>429</v>
      </c>
      <c r="H379" s="2" t="s">
        <v>12</v>
      </c>
      <c r="I379" s="2" t="s">
        <v>13</v>
      </c>
    </row>
    <row r="380" spans="1:9" x14ac:dyDescent="0.3">
      <c r="A380" s="2" t="s">
        <v>1168</v>
      </c>
      <c r="B380" s="2" t="s">
        <v>1169</v>
      </c>
      <c r="C380" s="2">
        <v>44</v>
      </c>
      <c r="D380" s="2" t="str">
        <f>IF(Customer_Details[[#This Row],[Age]]&lt;=30,"Adult",IF(Customer_Details[[#This Row],[Age]]&lt;=50,"Mid-Adult","Senior"))</f>
        <v>Mid-Adult</v>
      </c>
      <c r="E380" s="2" t="s">
        <v>16</v>
      </c>
      <c r="F380" s="2" t="s">
        <v>1170</v>
      </c>
      <c r="G380" s="2" t="s">
        <v>92</v>
      </c>
      <c r="H380" s="2" t="s">
        <v>12</v>
      </c>
      <c r="I380" s="2" t="s">
        <v>26</v>
      </c>
    </row>
    <row r="381" spans="1:9" x14ac:dyDescent="0.3">
      <c r="A381" s="2" t="s">
        <v>1171</v>
      </c>
      <c r="B381" s="2" t="s">
        <v>1172</v>
      </c>
      <c r="C381" s="2">
        <v>34</v>
      </c>
      <c r="D381" s="2" t="str">
        <f>IF(Customer_Details[[#This Row],[Age]]&lt;=30,"Adult",IF(Customer_Details[[#This Row],[Age]]&lt;=50,"Mid-Adult","Senior"))</f>
        <v>Mid-Adult</v>
      </c>
      <c r="E381" s="2" t="s">
        <v>16</v>
      </c>
      <c r="F381" s="2" t="s">
        <v>1173</v>
      </c>
      <c r="G381" s="2" t="s">
        <v>264</v>
      </c>
      <c r="H381" s="2" t="s">
        <v>12</v>
      </c>
      <c r="I381" s="2" t="s">
        <v>13</v>
      </c>
    </row>
    <row r="382" spans="1:9" x14ac:dyDescent="0.3">
      <c r="A382" s="2" t="s">
        <v>1174</v>
      </c>
      <c r="B382" s="2" t="s">
        <v>1175</v>
      </c>
      <c r="C382" s="2">
        <v>23</v>
      </c>
      <c r="D382" s="2" t="str">
        <f>IF(Customer_Details[[#This Row],[Age]]&lt;=30,"Adult",IF(Customer_Details[[#This Row],[Age]]&lt;=50,"Mid-Adult","Senior"))</f>
        <v>Adult</v>
      </c>
      <c r="E382" s="2" t="s">
        <v>9</v>
      </c>
      <c r="F382" s="2" t="s">
        <v>1176</v>
      </c>
      <c r="G382" s="2" t="s">
        <v>214</v>
      </c>
      <c r="H382" s="2" t="s">
        <v>12</v>
      </c>
      <c r="I382" s="2" t="s">
        <v>13</v>
      </c>
    </row>
    <row r="383" spans="1:9" x14ac:dyDescent="0.3">
      <c r="A383" s="2" t="s">
        <v>1177</v>
      </c>
      <c r="B383" s="2" t="s">
        <v>1178</v>
      </c>
      <c r="C383" s="2">
        <v>50</v>
      </c>
      <c r="D383" s="2" t="str">
        <f>IF(Customer_Details[[#This Row],[Age]]&lt;=30,"Adult",IF(Customer_Details[[#This Row],[Age]]&lt;=50,"Mid-Adult","Senior"))</f>
        <v>Mid-Adult</v>
      </c>
      <c r="E383" s="2" t="s">
        <v>9</v>
      </c>
      <c r="F383" s="2" t="s">
        <v>1179</v>
      </c>
      <c r="G383" s="2" t="s">
        <v>22</v>
      </c>
      <c r="H383" s="2" t="s">
        <v>12</v>
      </c>
      <c r="I383" s="2" t="s">
        <v>31</v>
      </c>
    </row>
    <row r="384" spans="1:9" x14ac:dyDescent="0.3">
      <c r="A384" s="2" t="s">
        <v>1180</v>
      </c>
      <c r="B384" s="2" t="s">
        <v>1181</v>
      </c>
      <c r="C384" s="2">
        <v>20</v>
      </c>
      <c r="D384" s="2" t="str">
        <f>IF(Customer_Details[[#This Row],[Age]]&lt;=30,"Adult",IF(Customer_Details[[#This Row],[Age]]&lt;=50,"Mid-Adult","Senior"))</f>
        <v>Adult</v>
      </c>
      <c r="E384" s="2" t="s">
        <v>16</v>
      </c>
      <c r="F384" s="2" t="s">
        <v>1182</v>
      </c>
      <c r="G384" s="2" t="s">
        <v>30</v>
      </c>
      <c r="H384" s="2" t="s">
        <v>12</v>
      </c>
      <c r="I384" s="2" t="s">
        <v>13</v>
      </c>
    </row>
    <row r="385" spans="1:9" x14ac:dyDescent="0.3">
      <c r="A385" s="2" t="s">
        <v>1183</v>
      </c>
      <c r="B385" s="2" t="s">
        <v>1184</v>
      </c>
      <c r="C385" s="2">
        <v>27</v>
      </c>
      <c r="D385" s="2" t="str">
        <f>IF(Customer_Details[[#This Row],[Age]]&lt;=30,"Adult",IF(Customer_Details[[#This Row],[Age]]&lt;=50,"Mid-Adult","Senior"))</f>
        <v>Adult</v>
      </c>
      <c r="E385" s="2" t="s">
        <v>16</v>
      </c>
      <c r="F385" s="2" t="s">
        <v>1185</v>
      </c>
      <c r="G385" s="2" t="s">
        <v>312</v>
      </c>
      <c r="H385" s="2" t="s">
        <v>12</v>
      </c>
      <c r="I385" s="2" t="s">
        <v>31</v>
      </c>
    </row>
    <row r="386" spans="1:9" x14ac:dyDescent="0.3">
      <c r="A386" s="2" t="s">
        <v>1186</v>
      </c>
      <c r="B386" s="2" t="s">
        <v>1187</v>
      </c>
      <c r="C386" s="2">
        <v>52</v>
      </c>
      <c r="D386" s="2" t="str">
        <f>IF(Customer_Details[[#This Row],[Age]]&lt;=30,"Adult",IF(Customer_Details[[#This Row],[Age]]&lt;=50,"Mid-Adult","Senior"))</f>
        <v>Senior</v>
      </c>
      <c r="E386" s="2" t="s">
        <v>16</v>
      </c>
      <c r="F386" s="2" t="s">
        <v>1188</v>
      </c>
      <c r="G386" s="2" t="s">
        <v>264</v>
      </c>
      <c r="H386" s="2" t="s">
        <v>12</v>
      </c>
      <c r="I386" s="2" t="s">
        <v>26</v>
      </c>
    </row>
    <row r="387" spans="1:9" x14ac:dyDescent="0.3">
      <c r="A387" s="2" t="s">
        <v>1189</v>
      </c>
      <c r="B387" s="2" t="s">
        <v>1190</v>
      </c>
      <c r="C387" s="2">
        <v>60</v>
      </c>
      <c r="D387" s="2" t="str">
        <f>IF(Customer_Details[[#This Row],[Age]]&lt;=30,"Adult",IF(Customer_Details[[#This Row],[Age]]&lt;=50,"Mid-Adult","Senior"))</f>
        <v>Senior</v>
      </c>
      <c r="E387" s="2" t="s">
        <v>9</v>
      </c>
      <c r="F387" s="2" t="s">
        <v>1191</v>
      </c>
      <c r="G387" s="2" t="s">
        <v>312</v>
      </c>
      <c r="H387" s="2" t="s">
        <v>12</v>
      </c>
      <c r="I387" s="2" t="s">
        <v>13</v>
      </c>
    </row>
    <row r="388" spans="1:9" x14ac:dyDescent="0.3">
      <c r="A388" s="2" t="s">
        <v>1192</v>
      </c>
      <c r="B388" s="2" t="s">
        <v>1193</v>
      </c>
      <c r="C388" s="2">
        <v>18</v>
      </c>
      <c r="D388" s="2" t="str">
        <f>IF(Customer_Details[[#This Row],[Age]]&lt;=30,"Adult",IF(Customer_Details[[#This Row],[Age]]&lt;=50,"Mid-Adult","Senior"))</f>
        <v>Adult</v>
      </c>
      <c r="E388" s="2" t="s">
        <v>16</v>
      </c>
      <c r="F388" s="2" t="s">
        <v>1194</v>
      </c>
      <c r="G388" s="2" t="s">
        <v>139</v>
      </c>
      <c r="H388" s="2" t="s">
        <v>12</v>
      </c>
      <c r="I388" s="2" t="s">
        <v>26</v>
      </c>
    </row>
    <row r="389" spans="1:9" x14ac:dyDescent="0.3">
      <c r="A389" s="2" t="s">
        <v>1195</v>
      </c>
      <c r="B389" s="2" t="s">
        <v>1196</v>
      </c>
      <c r="C389" s="2">
        <v>28</v>
      </c>
      <c r="D389" s="2" t="str">
        <f>IF(Customer_Details[[#This Row],[Age]]&lt;=30,"Adult",IF(Customer_Details[[#This Row],[Age]]&lt;=50,"Mid-Adult","Senior"))</f>
        <v>Adult</v>
      </c>
      <c r="E389" s="2" t="s">
        <v>16</v>
      </c>
      <c r="F389" s="2" t="s">
        <v>1197</v>
      </c>
      <c r="G389" s="2" t="s">
        <v>88</v>
      </c>
      <c r="H389" s="2" t="s">
        <v>12</v>
      </c>
      <c r="I389" s="2" t="s">
        <v>31</v>
      </c>
    </row>
    <row r="390" spans="1:9" x14ac:dyDescent="0.3">
      <c r="A390" s="2" t="s">
        <v>1198</v>
      </c>
      <c r="B390" s="2" t="s">
        <v>1199</v>
      </c>
      <c r="C390" s="2">
        <v>53</v>
      </c>
      <c r="D390" s="2" t="str">
        <f>IF(Customer_Details[[#This Row],[Age]]&lt;=30,"Adult",IF(Customer_Details[[#This Row],[Age]]&lt;=50,"Mid-Adult","Senior"))</f>
        <v>Senior</v>
      </c>
      <c r="E390" s="2" t="s">
        <v>9</v>
      </c>
      <c r="F390" s="2" t="s">
        <v>1200</v>
      </c>
      <c r="G390" s="2" t="s">
        <v>113</v>
      </c>
      <c r="H390" s="2" t="s">
        <v>12</v>
      </c>
      <c r="I390" s="2" t="s">
        <v>19</v>
      </c>
    </row>
    <row r="391" spans="1:9" x14ac:dyDescent="0.3">
      <c r="A391" s="2" t="s">
        <v>1201</v>
      </c>
      <c r="B391" s="2" t="s">
        <v>1202</v>
      </c>
      <c r="C391" s="2">
        <v>50</v>
      </c>
      <c r="D391" s="2" t="str">
        <f>IF(Customer_Details[[#This Row],[Age]]&lt;=30,"Adult",IF(Customer_Details[[#This Row],[Age]]&lt;=50,"Mid-Adult","Senior"))</f>
        <v>Mid-Adult</v>
      </c>
      <c r="E391" s="2" t="s">
        <v>9</v>
      </c>
      <c r="F391" s="2" t="s">
        <v>1203</v>
      </c>
      <c r="G391" s="2" t="s">
        <v>70</v>
      </c>
      <c r="H391" s="2" t="s">
        <v>12</v>
      </c>
      <c r="I391" s="2" t="s">
        <v>19</v>
      </c>
    </row>
    <row r="392" spans="1:9" x14ac:dyDescent="0.3">
      <c r="A392" s="2" t="s">
        <v>1204</v>
      </c>
      <c r="B392" s="2" t="s">
        <v>1205</v>
      </c>
      <c r="C392" s="2">
        <v>56</v>
      </c>
      <c r="D392" s="2" t="str">
        <f>IF(Customer_Details[[#This Row],[Age]]&lt;=30,"Adult",IF(Customer_Details[[#This Row],[Age]]&lt;=50,"Mid-Adult","Senior"))</f>
        <v>Senior</v>
      </c>
      <c r="E392" s="2" t="s">
        <v>9</v>
      </c>
      <c r="F392" s="2" t="s">
        <v>1206</v>
      </c>
      <c r="G392" s="2" t="s">
        <v>288</v>
      </c>
      <c r="H392" s="2" t="s">
        <v>12</v>
      </c>
      <c r="I392" s="2" t="s">
        <v>31</v>
      </c>
    </row>
    <row r="393" spans="1:9" x14ac:dyDescent="0.3">
      <c r="A393" s="2" t="s">
        <v>1207</v>
      </c>
      <c r="B393" s="2" t="s">
        <v>1208</v>
      </c>
      <c r="C393" s="2">
        <v>40</v>
      </c>
      <c r="D393" s="2" t="str">
        <f>IF(Customer_Details[[#This Row],[Age]]&lt;=30,"Adult",IF(Customer_Details[[#This Row],[Age]]&lt;=50,"Mid-Adult","Senior"))</f>
        <v>Mid-Adult</v>
      </c>
      <c r="E393" s="2" t="s">
        <v>16</v>
      </c>
      <c r="F393" s="2" t="s">
        <v>1209</v>
      </c>
      <c r="G393" s="2" t="s">
        <v>35</v>
      </c>
      <c r="H393" s="2" t="s">
        <v>12</v>
      </c>
      <c r="I393" s="2" t="s">
        <v>26</v>
      </c>
    </row>
    <row r="394" spans="1:9" x14ac:dyDescent="0.3">
      <c r="A394" s="2" t="s">
        <v>1210</v>
      </c>
      <c r="B394" s="2" t="s">
        <v>1211</v>
      </c>
      <c r="C394" s="2">
        <v>46</v>
      </c>
      <c r="D394" s="2" t="str">
        <f>IF(Customer_Details[[#This Row],[Age]]&lt;=30,"Adult",IF(Customer_Details[[#This Row],[Age]]&lt;=50,"Mid-Adult","Senior"))</f>
        <v>Mid-Adult</v>
      </c>
      <c r="E394" s="2" t="s">
        <v>9</v>
      </c>
      <c r="F394" s="2" t="s">
        <v>1212</v>
      </c>
      <c r="G394" s="2" t="s">
        <v>113</v>
      </c>
      <c r="H394" s="2" t="s">
        <v>12</v>
      </c>
      <c r="I394" s="2" t="s">
        <v>13</v>
      </c>
    </row>
    <row r="395" spans="1:9" x14ac:dyDescent="0.3">
      <c r="A395" s="2" t="s">
        <v>1213</v>
      </c>
      <c r="B395" s="2" t="s">
        <v>1214</v>
      </c>
      <c r="C395" s="2">
        <v>46</v>
      </c>
      <c r="D395" s="2" t="str">
        <f>IF(Customer_Details[[#This Row],[Age]]&lt;=30,"Adult",IF(Customer_Details[[#This Row],[Age]]&lt;=50,"Mid-Adult","Senior"))</f>
        <v>Mid-Adult</v>
      </c>
      <c r="E395" s="2" t="s">
        <v>9</v>
      </c>
      <c r="F395" s="2" t="s">
        <v>1215</v>
      </c>
      <c r="G395" s="2" t="s">
        <v>117</v>
      </c>
      <c r="H395" s="2" t="s">
        <v>12</v>
      </c>
      <c r="I395" s="2" t="s">
        <v>26</v>
      </c>
    </row>
    <row r="396" spans="1:9" x14ac:dyDescent="0.3">
      <c r="A396" s="2" t="s">
        <v>1216</v>
      </c>
      <c r="B396" s="2" t="s">
        <v>1217</v>
      </c>
      <c r="C396" s="2">
        <v>43</v>
      </c>
      <c r="D396" s="2" t="str">
        <f>IF(Customer_Details[[#This Row],[Age]]&lt;=30,"Adult",IF(Customer_Details[[#This Row],[Age]]&lt;=50,"Mid-Adult","Senior"))</f>
        <v>Mid-Adult</v>
      </c>
      <c r="E396" s="2" t="s">
        <v>16</v>
      </c>
      <c r="F396" s="2" t="s">
        <v>1218</v>
      </c>
      <c r="G396" s="2" t="s">
        <v>166</v>
      </c>
      <c r="H396" s="2" t="s">
        <v>12</v>
      </c>
      <c r="I396" s="2" t="s">
        <v>26</v>
      </c>
    </row>
    <row r="397" spans="1:9" x14ac:dyDescent="0.3">
      <c r="A397" s="2" t="s">
        <v>1219</v>
      </c>
      <c r="B397" s="2" t="s">
        <v>1220</v>
      </c>
      <c r="C397" s="2">
        <v>50</v>
      </c>
      <c r="D397" s="2" t="str">
        <f>IF(Customer_Details[[#This Row],[Age]]&lt;=30,"Adult",IF(Customer_Details[[#This Row],[Age]]&lt;=50,"Mid-Adult","Senior"))</f>
        <v>Mid-Adult</v>
      </c>
      <c r="E397" s="2" t="s">
        <v>9</v>
      </c>
      <c r="F397" s="2" t="s">
        <v>1221</v>
      </c>
      <c r="G397" s="2" t="s">
        <v>62</v>
      </c>
      <c r="H397" s="2" t="s">
        <v>12</v>
      </c>
      <c r="I397" s="2" t="s">
        <v>13</v>
      </c>
    </row>
    <row r="398" spans="1:9" x14ac:dyDescent="0.3">
      <c r="A398" s="2" t="s">
        <v>1222</v>
      </c>
      <c r="B398" s="2" t="s">
        <v>1223</v>
      </c>
      <c r="C398" s="2">
        <v>25</v>
      </c>
      <c r="D398" s="2" t="str">
        <f>IF(Customer_Details[[#This Row],[Age]]&lt;=30,"Adult",IF(Customer_Details[[#This Row],[Age]]&lt;=50,"Mid-Adult","Senior"))</f>
        <v>Adult</v>
      </c>
      <c r="E398" s="2" t="s">
        <v>16</v>
      </c>
      <c r="F398" s="2" t="s">
        <v>1224</v>
      </c>
      <c r="G398" s="2" t="s">
        <v>58</v>
      </c>
      <c r="H398" s="2" t="s">
        <v>12</v>
      </c>
      <c r="I398" s="2" t="s">
        <v>31</v>
      </c>
    </row>
    <row r="399" spans="1:9" x14ac:dyDescent="0.3">
      <c r="A399" s="2" t="s">
        <v>1225</v>
      </c>
      <c r="B399" s="2" t="s">
        <v>3952</v>
      </c>
      <c r="C399" s="2">
        <v>62</v>
      </c>
      <c r="D399" s="2" t="str">
        <f>IF(Customer_Details[[#This Row],[Age]]&lt;=30,"Adult",IF(Customer_Details[[#This Row],[Age]]&lt;=50,"Mid-Adult","Senior"))</f>
        <v>Senior</v>
      </c>
      <c r="E399" s="2" t="s">
        <v>16</v>
      </c>
      <c r="F399" s="2" t="s">
        <v>123</v>
      </c>
      <c r="G399" s="2" t="s">
        <v>62</v>
      </c>
      <c r="H399" s="2" t="s">
        <v>12</v>
      </c>
      <c r="I399" s="2" t="s">
        <v>19</v>
      </c>
    </row>
    <row r="400" spans="1:9" x14ac:dyDescent="0.3">
      <c r="A400" s="2" t="s">
        <v>1226</v>
      </c>
      <c r="B400" s="2" t="s">
        <v>1227</v>
      </c>
      <c r="C400" s="2">
        <v>54</v>
      </c>
      <c r="D400" s="2" t="str">
        <f>IF(Customer_Details[[#This Row],[Age]]&lt;=30,"Adult",IF(Customer_Details[[#This Row],[Age]]&lt;=50,"Mid-Adult","Senior"))</f>
        <v>Senior</v>
      </c>
      <c r="E400" s="2" t="s">
        <v>9</v>
      </c>
      <c r="F400" s="2" t="s">
        <v>1228</v>
      </c>
      <c r="G400" s="2" t="s">
        <v>47</v>
      </c>
      <c r="H400" s="2" t="s">
        <v>12</v>
      </c>
      <c r="I400" s="2" t="s">
        <v>26</v>
      </c>
    </row>
    <row r="401" spans="1:9" x14ac:dyDescent="0.3">
      <c r="A401" s="2" t="s">
        <v>1229</v>
      </c>
      <c r="B401" s="2" t="s">
        <v>1230</v>
      </c>
      <c r="C401" s="2">
        <v>27</v>
      </c>
      <c r="D401" s="2" t="str">
        <f>IF(Customer_Details[[#This Row],[Age]]&lt;=30,"Adult",IF(Customer_Details[[#This Row],[Age]]&lt;=50,"Mid-Adult","Senior"))</f>
        <v>Adult</v>
      </c>
      <c r="E401" s="2" t="s">
        <v>9</v>
      </c>
      <c r="F401" s="2" t="s">
        <v>1231</v>
      </c>
      <c r="G401" s="2" t="s">
        <v>429</v>
      </c>
      <c r="H401" s="2" t="s">
        <v>12</v>
      </c>
      <c r="I401" s="2" t="s">
        <v>26</v>
      </c>
    </row>
    <row r="402" spans="1:9" x14ac:dyDescent="0.3">
      <c r="A402" s="2" t="s">
        <v>1232</v>
      </c>
      <c r="B402" s="2" t="s">
        <v>1233</v>
      </c>
      <c r="C402" s="2">
        <v>57</v>
      </c>
      <c r="D402" s="2" t="str">
        <f>IF(Customer_Details[[#This Row],[Age]]&lt;=30,"Adult",IF(Customer_Details[[#This Row],[Age]]&lt;=50,"Mid-Adult","Senior"))</f>
        <v>Senior</v>
      </c>
      <c r="E402" s="2" t="s">
        <v>16</v>
      </c>
      <c r="F402" s="2" t="s">
        <v>1234</v>
      </c>
      <c r="G402" s="2" t="s">
        <v>96</v>
      </c>
      <c r="H402" s="2" t="s">
        <v>12</v>
      </c>
      <c r="I402" s="2" t="s">
        <v>19</v>
      </c>
    </row>
    <row r="403" spans="1:9" x14ac:dyDescent="0.3">
      <c r="A403" s="2" t="s">
        <v>1235</v>
      </c>
      <c r="B403" s="2" t="s">
        <v>1236</v>
      </c>
      <c r="C403" s="2">
        <v>51</v>
      </c>
      <c r="D403" s="2" t="str">
        <f>IF(Customer_Details[[#This Row],[Age]]&lt;=30,"Adult",IF(Customer_Details[[#This Row],[Age]]&lt;=50,"Mid-Adult","Senior"))</f>
        <v>Senior</v>
      </c>
      <c r="E403" s="2" t="s">
        <v>16</v>
      </c>
      <c r="F403" s="2" t="s">
        <v>1237</v>
      </c>
      <c r="G403" s="2" t="s">
        <v>181</v>
      </c>
      <c r="H403" s="2" t="s">
        <v>12</v>
      </c>
      <c r="I403" s="2" t="s">
        <v>19</v>
      </c>
    </row>
    <row r="404" spans="1:9" x14ac:dyDescent="0.3">
      <c r="A404" s="2" t="s">
        <v>1238</v>
      </c>
      <c r="B404" s="2" t="s">
        <v>1239</v>
      </c>
      <c r="C404" s="2">
        <v>31</v>
      </c>
      <c r="D404" s="2" t="str">
        <f>IF(Customer_Details[[#This Row],[Age]]&lt;=30,"Adult",IF(Customer_Details[[#This Row],[Age]]&lt;=50,"Mid-Adult","Senior"))</f>
        <v>Mid-Adult</v>
      </c>
      <c r="E404" s="2" t="s">
        <v>9</v>
      </c>
      <c r="F404" s="2" t="s">
        <v>80</v>
      </c>
      <c r="G404" s="2" t="s">
        <v>309</v>
      </c>
      <c r="H404" s="2" t="s">
        <v>12</v>
      </c>
      <c r="I404" s="2" t="s">
        <v>26</v>
      </c>
    </row>
    <row r="405" spans="1:9" x14ac:dyDescent="0.3">
      <c r="A405" s="2" t="s">
        <v>1240</v>
      </c>
      <c r="B405" s="2" t="s">
        <v>1241</v>
      </c>
      <c r="C405" s="2">
        <v>34</v>
      </c>
      <c r="D405" s="2" t="str">
        <f>IF(Customer_Details[[#This Row],[Age]]&lt;=30,"Adult",IF(Customer_Details[[#This Row],[Age]]&lt;=50,"Mid-Adult","Senior"))</f>
        <v>Mid-Adult</v>
      </c>
      <c r="E405" s="2" t="s">
        <v>9</v>
      </c>
      <c r="F405" s="2" t="s">
        <v>1242</v>
      </c>
      <c r="G405" s="2" t="s">
        <v>323</v>
      </c>
      <c r="H405" s="2" t="s">
        <v>12</v>
      </c>
      <c r="I405" s="2" t="s">
        <v>26</v>
      </c>
    </row>
    <row r="406" spans="1:9" x14ac:dyDescent="0.3">
      <c r="A406" s="2" t="s">
        <v>1243</v>
      </c>
      <c r="B406" s="2" t="s">
        <v>1244</v>
      </c>
      <c r="C406" s="2">
        <v>22</v>
      </c>
      <c r="D406" s="2" t="str">
        <f>IF(Customer_Details[[#This Row],[Age]]&lt;=30,"Adult",IF(Customer_Details[[#This Row],[Age]]&lt;=50,"Mid-Adult","Senior"))</f>
        <v>Adult</v>
      </c>
      <c r="E406" s="2" t="s">
        <v>16</v>
      </c>
      <c r="F406" s="2" t="s">
        <v>1245</v>
      </c>
      <c r="G406" s="2" t="s">
        <v>288</v>
      </c>
      <c r="H406" s="2" t="s">
        <v>12</v>
      </c>
      <c r="I406" s="2" t="s">
        <v>31</v>
      </c>
    </row>
    <row r="407" spans="1:9" x14ac:dyDescent="0.3">
      <c r="A407" s="2" t="s">
        <v>1246</v>
      </c>
      <c r="B407" s="2" t="s">
        <v>1247</v>
      </c>
      <c r="C407" s="2">
        <v>18</v>
      </c>
      <c r="D407" s="2" t="str">
        <f>IF(Customer_Details[[#This Row],[Age]]&lt;=30,"Adult",IF(Customer_Details[[#This Row],[Age]]&lt;=50,"Mid-Adult","Senior"))</f>
        <v>Adult</v>
      </c>
      <c r="E407" s="2" t="s">
        <v>16</v>
      </c>
      <c r="F407" s="2" t="s">
        <v>1248</v>
      </c>
      <c r="G407" s="2" t="s">
        <v>323</v>
      </c>
      <c r="H407" s="2" t="s">
        <v>12</v>
      </c>
      <c r="I407" s="2" t="s">
        <v>13</v>
      </c>
    </row>
    <row r="408" spans="1:9" x14ac:dyDescent="0.3">
      <c r="A408" s="2" t="s">
        <v>1249</v>
      </c>
      <c r="B408" s="2" t="s">
        <v>1250</v>
      </c>
      <c r="C408" s="2">
        <v>23</v>
      </c>
      <c r="D408" s="2" t="str">
        <f>IF(Customer_Details[[#This Row],[Age]]&lt;=30,"Adult",IF(Customer_Details[[#This Row],[Age]]&lt;=50,"Mid-Adult","Senior"))</f>
        <v>Adult</v>
      </c>
      <c r="E408" s="2" t="s">
        <v>16</v>
      </c>
      <c r="F408" s="2" t="s">
        <v>1251</v>
      </c>
      <c r="G408" s="2" t="s">
        <v>319</v>
      </c>
      <c r="H408" s="2" t="s">
        <v>12</v>
      </c>
      <c r="I408" s="2" t="s">
        <v>13</v>
      </c>
    </row>
    <row r="409" spans="1:9" x14ac:dyDescent="0.3">
      <c r="A409" s="2" t="s">
        <v>1252</v>
      </c>
      <c r="B409" s="2" t="s">
        <v>1253</v>
      </c>
      <c r="C409" s="2">
        <v>33</v>
      </c>
      <c r="D409" s="2" t="str">
        <f>IF(Customer_Details[[#This Row],[Age]]&lt;=30,"Adult",IF(Customer_Details[[#This Row],[Age]]&lt;=50,"Mid-Adult","Senior"))</f>
        <v>Mid-Adult</v>
      </c>
      <c r="E409" s="2" t="s">
        <v>9</v>
      </c>
      <c r="F409" s="2" t="s">
        <v>1254</v>
      </c>
      <c r="G409" s="2" t="s">
        <v>139</v>
      </c>
      <c r="H409" s="2" t="s">
        <v>12</v>
      </c>
      <c r="I409" s="2" t="s">
        <v>13</v>
      </c>
    </row>
    <row r="410" spans="1:9" x14ac:dyDescent="0.3">
      <c r="A410" s="2" t="s">
        <v>1255</v>
      </c>
      <c r="B410" s="2" t="s">
        <v>1256</v>
      </c>
      <c r="C410" s="2">
        <v>36</v>
      </c>
      <c r="D410" s="2" t="str">
        <f>IF(Customer_Details[[#This Row],[Age]]&lt;=30,"Adult",IF(Customer_Details[[#This Row],[Age]]&lt;=50,"Mid-Adult","Senior"))</f>
        <v>Mid-Adult</v>
      </c>
      <c r="E410" s="2" t="s">
        <v>9</v>
      </c>
      <c r="F410" s="2" t="s">
        <v>1257</v>
      </c>
      <c r="G410" s="2" t="s">
        <v>88</v>
      </c>
      <c r="H410" s="2" t="s">
        <v>12</v>
      </c>
      <c r="I410" s="2" t="s">
        <v>13</v>
      </c>
    </row>
    <row r="411" spans="1:9" x14ac:dyDescent="0.3">
      <c r="A411" s="2" t="s">
        <v>1258</v>
      </c>
      <c r="B411" s="2" t="s">
        <v>1259</v>
      </c>
      <c r="C411" s="2">
        <v>55</v>
      </c>
      <c r="D411" s="2" t="str">
        <f>IF(Customer_Details[[#This Row],[Age]]&lt;=30,"Adult",IF(Customer_Details[[#This Row],[Age]]&lt;=50,"Mid-Adult","Senior"))</f>
        <v>Senior</v>
      </c>
      <c r="E411" s="2" t="s">
        <v>9</v>
      </c>
      <c r="F411" s="2" t="s">
        <v>1260</v>
      </c>
      <c r="G411" s="2" t="s">
        <v>838</v>
      </c>
      <c r="H411" s="2" t="s">
        <v>12</v>
      </c>
      <c r="I411" s="2" t="s">
        <v>13</v>
      </c>
    </row>
    <row r="412" spans="1:9" x14ac:dyDescent="0.3">
      <c r="A412" s="2" t="s">
        <v>1261</v>
      </c>
      <c r="B412" s="2" t="s">
        <v>1262</v>
      </c>
      <c r="C412" s="2">
        <v>48</v>
      </c>
      <c r="D412" s="2" t="str">
        <f>IF(Customer_Details[[#This Row],[Age]]&lt;=30,"Adult",IF(Customer_Details[[#This Row],[Age]]&lt;=50,"Mid-Adult","Senior"))</f>
        <v>Mid-Adult</v>
      </c>
      <c r="E412" s="2" t="s">
        <v>16</v>
      </c>
      <c r="F412" s="2" t="s">
        <v>1263</v>
      </c>
      <c r="G412" s="2" t="s">
        <v>88</v>
      </c>
      <c r="H412" s="2" t="s">
        <v>12</v>
      </c>
      <c r="I412" s="2" t="s">
        <v>26</v>
      </c>
    </row>
    <row r="413" spans="1:9" x14ac:dyDescent="0.3">
      <c r="A413" s="2" t="s">
        <v>1264</v>
      </c>
      <c r="B413" s="2" t="s">
        <v>1265</v>
      </c>
      <c r="C413" s="2">
        <v>63</v>
      </c>
      <c r="D413" s="2" t="str">
        <f>IF(Customer_Details[[#This Row],[Age]]&lt;=30,"Adult",IF(Customer_Details[[#This Row],[Age]]&lt;=50,"Mid-Adult","Senior"))</f>
        <v>Senior</v>
      </c>
      <c r="E413" s="2" t="s">
        <v>9</v>
      </c>
      <c r="F413" s="2" t="s">
        <v>1266</v>
      </c>
      <c r="G413" s="2" t="s">
        <v>25</v>
      </c>
      <c r="H413" s="2" t="s">
        <v>12</v>
      </c>
      <c r="I413" s="2" t="s">
        <v>31</v>
      </c>
    </row>
    <row r="414" spans="1:9" x14ac:dyDescent="0.3">
      <c r="A414" s="2" t="s">
        <v>1267</v>
      </c>
      <c r="B414" s="2" t="s">
        <v>1268</v>
      </c>
      <c r="C414" s="2">
        <v>23</v>
      </c>
      <c r="D414" s="2" t="str">
        <f>IF(Customer_Details[[#This Row],[Age]]&lt;=30,"Adult",IF(Customer_Details[[#This Row],[Age]]&lt;=50,"Mid-Adult","Senior"))</f>
        <v>Adult</v>
      </c>
      <c r="E414" s="2" t="s">
        <v>16</v>
      </c>
      <c r="F414" s="2" t="s">
        <v>201</v>
      </c>
      <c r="G414" s="2" t="s">
        <v>155</v>
      </c>
      <c r="H414" s="2" t="s">
        <v>12</v>
      </c>
      <c r="I414" s="2" t="s">
        <v>13</v>
      </c>
    </row>
    <row r="415" spans="1:9" x14ac:dyDescent="0.3">
      <c r="A415" s="2" t="s">
        <v>1269</v>
      </c>
      <c r="B415" s="2" t="s">
        <v>1270</v>
      </c>
      <c r="C415" s="2">
        <v>59</v>
      </c>
      <c r="D415" s="2" t="str">
        <f>IF(Customer_Details[[#This Row],[Age]]&lt;=30,"Adult",IF(Customer_Details[[#This Row],[Age]]&lt;=50,"Mid-Adult","Senior"))</f>
        <v>Senior</v>
      </c>
      <c r="E415" s="2" t="s">
        <v>16</v>
      </c>
      <c r="F415" s="2" t="s">
        <v>1271</v>
      </c>
      <c r="G415" s="2" t="s">
        <v>106</v>
      </c>
      <c r="H415" s="2" t="s">
        <v>12</v>
      </c>
      <c r="I415" s="2" t="s">
        <v>26</v>
      </c>
    </row>
    <row r="416" spans="1:9" x14ac:dyDescent="0.3">
      <c r="A416" s="2" t="s">
        <v>1272</v>
      </c>
      <c r="B416" s="2" t="s">
        <v>1273</v>
      </c>
      <c r="C416" s="2">
        <v>35</v>
      </c>
      <c r="D416" s="2" t="str">
        <f>IF(Customer_Details[[#This Row],[Age]]&lt;=30,"Adult",IF(Customer_Details[[#This Row],[Age]]&lt;=50,"Mid-Adult","Senior"))</f>
        <v>Mid-Adult</v>
      </c>
      <c r="E416" s="2" t="s">
        <v>16</v>
      </c>
      <c r="F416" s="2" t="s">
        <v>1274</v>
      </c>
      <c r="G416" s="2" t="s">
        <v>113</v>
      </c>
      <c r="H416" s="2" t="s">
        <v>12</v>
      </c>
      <c r="I416" s="2" t="s">
        <v>13</v>
      </c>
    </row>
    <row r="417" spans="1:9" x14ac:dyDescent="0.3">
      <c r="A417" s="2" t="s">
        <v>1275</v>
      </c>
      <c r="B417" s="2" t="s">
        <v>1276</v>
      </c>
      <c r="C417" s="2">
        <v>26</v>
      </c>
      <c r="D417" s="2" t="str">
        <f>IF(Customer_Details[[#This Row],[Age]]&lt;=30,"Adult",IF(Customer_Details[[#This Row],[Age]]&lt;=50,"Mid-Adult","Senior"))</f>
        <v>Adult</v>
      </c>
      <c r="E417" s="2" t="s">
        <v>16</v>
      </c>
      <c r="F417" s="2" t="s">
        <v>1277</v>
      </c>
      <c r="G417" s="2" t="s">
        <v>162</v>
      </c>
      <c r="H417" s="2" t="s">
        <v>12</v>
      </c>
      <c r="I417" s="2" t="s">
        <v>31</v>
      </c>
    </row>
    <row r="418" spans="1:9" x14ac:dyDescent="0.3">
      <c r="A418" s="2" t="s">
        <v>1278</v>
      </c>
      <c r="B418" s="2" t="s">
        <v>1279</v>
      </c>
      <c r="C418" s="2">
        <v>46</v>
      </c>
      <c r="D418" s="2" t="str">
        <f>IF(Customer_Details[[#This Row],[Age]]&lt;=30,"Adult",IF(Customer_Details[[#This Row],[Age]]&lt;=50,"Mid-Adult","Senior"))</f>
        <v>Mid-Adult</v>
      </c>
      <c r="E418" s="2" t="s">
        <v>9</v>
      </c>
      <c r="F418" s="2" t="s">
        <v>1280</v>
      </c>
      <c r="G418" s="2" t="s">
        <v>319</v>
      </c>
      <c r="H418" s="2" t="s">
        <v>12</v>
      </c>
      <c r="I418" s="2" t="s">
        <v>19</v>
      </c>
    </row>
    <row r="419" spans="1:9" x14ac:dyDescent="0.3">
      <c r="A419" s="2" t="s">
        <v>1281</v>
      </c>
      <c r="B419" s="2" t="s">
        <v>1282</v>
      </c>
      <c r="C419" s="2">
        <v>64</v>
      </c>
      <c r="D419" s="2" t="str">
        <f>IF(Customer_Details[[#This Row],[Age]]&lt;=30,"Adult",IF(Customer_Details[[#This Row],[Age]]&lt;=50,"Mid-Adult","Senior"))</f>
        <v>Senior</v>
      </c>
      <c r="E419" s="2" t="s">
        <v>16</v>
      </c>
      <c r="F419" s="2" t="s">
        <v>1283</v>
      </c>
      <c r="G419" s="2" t="s">
        <v>11</v>
      </c>
      <c r="H419" s="2" t="s">
        <v>12</v>
      </c>
      <c r="I419" s="2" t="s">
        <v>26</v>
      </c>
    </row>
    <row r="420" spans="1:9" x14ac:dyDescent="0.3">
      <c r="A420" s="2" t="s">
        <v>1284</v>
      </c>
      <c r="B420" s="2" t="s">
        <v>1285</v>
      </c>
      <c r="C420" s="2">
        <v>60</v>
      </c>
      <c r="D420" s="2" t="str">
        <f>IF(Customer_Details[[#This Row],[Age]]&lt;=30,"Adult",IF(Customer_Details[[#This Row],[Age]]&lt;=50,"Mid-Adult","Senior"))</f>
        <v>Senior</v>
      </c>
      <c r="E420" s="2" t="s">
        <v>16</v>
      </c>
      <c r="F420" s="2" t="s">
        <v>1286</v>
      </c>
      <c r="G420" s="2" t="s">
        <v>47</v>
      </c>
      <c r="H420" s="2" t="s">
        <v>12</v>
      </c>
      <c r="I420" s="2" t="s">
        <v>31</v>
      </c>
    </row>
    <row r="421" spans="1:9" x14ac:dyDescent="0.3">
      <c r="A421" s="2" t="s">
        <v>1287</v>
      </c>
      <c r="B421" s="2" t="s">
        <v>1288</v>
      </c>
      <c r="C421" s="2">
        <v>33</v>
      </c>
      <c r="D421" s="2" t="str">
        <f>IF(Customer_Details[[#This Row],[Age]]&lt;=30,"Adult",IF(Customer_Details[[#This Row],[Age]]&lt;=50,"Mid-Adult","Senior"))</f>
        <v>Mid-Adult</v>
      </c>
      <c r="E421" s="2" t="s">
        <v>9</v>
      </c>
      <c r="F421" s="2" t="s">
        <v>1289</v>
      </c>
      <c r="G421" s="2" t="s">
        <v>309</v>
      </c>
      <c r="H421" s="2" t="s">
        <v>12</v>
      </c>
      <c r="I421" s="2" t="s">
        <v>13</v>
      </c>
    </row>
    <row r="422" spans="1:9" x14ac:dyDescent="0.3">
      <c r="A422" s="2" t="s">
        <v>1290</v>
      </c>
      <c r="B422" s="2" t="s">
        <v>3953</v>
      </c>
      <c r="C422" s="2">
        <v>60</v>
      </c>
      <c r="D422" s="2" t="str">
        <f>IF(Customer_Details[[#This Row],[Age]]&lt;=30,"Adult",IF(Customer_Details[[#This Row],[Age]]&lt;=50,"Mid-Adult","Senior"))</f>
        <v>Senior</v>
      </c>
      <c r="E422" s="2" t="s">
        <v>9</v>
      </c>
      <c r="F422" s="2" t="s">
        <v>1291</v>
      </c>
      <c r="G422" s="2" t="s">
        <v>11</v>
      </c>
      <c r="H422" s="2" t="s">
        <v>12</v>
      </c>
      <c r="I422" s="2" t="s">
        <v>26</v>
      </c>
    </row>
    <row r="423" spans="1:9" x14ac:dyDescent="0.3">
      <c r="A423" s="2" t="s">
        <v>1292</v>
      </c>
      <c r="B423" s="2" t="s">
        <v>1293</v>
      </c>
      <c r="C423" s="2">
        <v>45</v>
      </c>
      <c r="D423" s="2" t="str">
        <f>IF(Customer_Details[[#This Row],[Age]]&lt;=30,"Adult",IF(Customer_Details[[#This Row],[Age]]&lt;=50,"Mid-Adult","Senior"))</f>
        <v>Mid-Adult</v>
      </c>
      <c r="E423" s="2" t="s">
        <v>16</v>
      </c>
      <c r="F423" s="2" t="s">
        <v>1294</v>
      </c>
      <c r="G423" s="2" t="s">
        <v>74</v>
      </c>
      <c r="H423" s="2" t="s">
        <v>12</v>
      </c>
      <c r="I423" s="2" t="s">
        <v>19</v>
      </c>
    </row>
    <row r="424" spans="1:9" x14ac:dyDescent="0.3">
      <c r="A424" s="2" t="s">
        <v>1295</v>
      </c>
      <c r="B424" s="2" t="s">
        <v>3954</v>
      </c>
      <c r="C424" s="2">
        <v>42</v>
      </c>
      <c r="D424" s="2" t="str">
        <f>IF(Customer_Details[[#This Row],[Age]]&lt;=30,"Adult",IF(Customer_Details[[#This Row],[Age]]&lt;=50,"Mid-Adult","Senior"))</f>
        <v>Mid-Adult</v>
      </c>
      <c r="E424" s="2" t="s">
        <v>16</v>
      </c>
      <c r="F424" s="2" t="s">
        <v>1296</v>
      </c>
      <c r="G424" s="2" t="s">
        <v>62</v>
      </c>
      <c r="H424" s="2" t="s">
        <v>12</v>
      </c>
      <c r="I424" s="2" t="s">
        <v>19</v>
      </c>
    </row>
    <row r="425" spans="1:9" x14ac:dyDescent="0.3">
      <c r="A425" s="2" t="s">
        <v>1297</v>
      </c>
      <c r="B425" s="2" t="s">
        <v>1298</v>
      </c>
      <c r="C425" s="2">
        <v>35</v>
      </c>
      <c r="D425" s="2" t="str">
        <f>IF(Customer_Details[[#This Row],[Age]]&lt;=30,"Adult",IF(Customer_Details[[#This Row],[Age]]&lt;=50,"Mid-Adult","Senior"))</f>
        <v>Mid-Adult</v>
      </c>
      <c r="E425" s="2" t="s">
        <v>9</v>
      </c>
      <c r="F425" s="2" t="s">
        <v>1299</v>
      </c>
      <c r="G425" s="2" t="s">
        <v>62</v>
      </c>
      <c r="H425" s="2" t="s">
        <v>12</v>
      </c>
      <c r="I425" s="2" t="s">
        <v>31</v>
      </c>
    </row>
    <row r="426" spans="1:9" x14ac:dyDescent="0.3">
      <c r="A426" s="2" t="s">
        <v>1300</v>
      </c>
      <c r="B426" s="2" t="s">
        <v>1301</v>
      </c>
      <c r="C426" s="2">
        <v>53</v>
      </c>
      <c r="D426" s="2" t="str">
        <f>IF(Customer_Details[[#This Row],[Age]]&lt;=30,"Adult",IF(Customer_Details[[#This Row],[Age]]&lt;=50,"Mid-Adult","Senior"))</f>
        <v>Senior</v>
      </c>
      <c r="E426" s="2" t="s">
        <v>9</v>
      </c>
      <c r="F426" s="2" t="s">
        <v>1302</v>
      </c>
      <c r="G426" s="2" t="s">
        <v>11</v>
      </c>
      <c r="H426" s="2" t="s">
        <v>12</v>
      </c>
      <c r="I426" s="2" t="s">
        <v>26</v>
      </c>
    </row>
    <row r="427" spans="1:9" x14ac:dyDescent="0.3">
      <c r="A427" s="2" t="s">
        <v>1303</v>
      </c>
      <c r="B427" s="2" t="s">
        <v>1304</v>
      </c>
      <c r="C427" s="2">
        <v>40</v>
      </c>
      <c r="D427" s="2" t="str">
        <f>IF(Customer_Details[[#This Row],[Age]]&lt;=30,"Adult",IF(Customer_Details[[#This Row],[Age]]&lt;=50,"Mid-Adult","Senior"))</f>
        <v>Mid-Adult</v>
      </c>
      <c r="E427" s="2" t="s">
        <v>9</v>
      </c>
      <c r="F427" s="2" t="s">
        <v>1305</v>
      </c>
      <c r="G427" s="2" t="s">
        <v>117</v>
      </c>
      <c r="H427" s="2" t="s">
        <v>12</v>
      </c>
      <c r="I427" s="2" t="s">
        <v>26</v>
      </c>
    </row>
    <row r="428" spans="1:9" x14ac:dyDescent="0.3">
      <c r="A428" s="2" t="s">
        <v>1306</v>
      </c>
      <c r="B428" s="2" t="s">
        <v>1307</v>
      </c>
      <c r="C428" s="2">
        <v>28</v>
      </c>
      <c r="D428" s="2" t="str">
        <f>IF(Customer_Details[[#This Row],[Age]]&lt;=30,"Adult",IF(Customer_Details[[#This Row],[Age]]&lt;=50,"Mid-Adult","Senior"))</f>
        <v>Adult</v>
      </c>
      <c r="E428" s="2" t="s">
        <v>9</v>
      </c>
      <c r="F428" s="2" t="s">
        <v>1308</v>
      </c>
      <c r="G428" s="2" t="s">
        <v>11</v>
      </c>
      <c r="H428" s="2" t="s">
        <v>12</v>
      </c>
      <c r="I428" s="2" t="s">
        <v>19</v>
      </c>
    </row>
    <row r="429" spans="1:9" x14ac:dyDescent="0.3">
      <c r="A429" s="2" t="s">
        <v>1309</v>
      </c>
      <c r="B429" s="2" t="s">
        <v>1310</v>
      </c>
      <c r="C429" s="2">
        <v>18</v>
      </c>
      <c r="D429" s="2" t="str">
        <f>IF(Customer_Details[[#This Row],[Age]]&lt;=30,"Adult",IF(Customer_Details[[#This Row],[Age]]&lt;=50,"Mid-Adult","Senior"))</f>
        <v>Adult</v>
      </c>
      <c r="E429" s="2" t="s">
        <v>16</v>
      </c>
      <c r="F429" s="2" t="s">
        <v>1311</v>
      </c>
      <c r="G429" s="2" t="s">
        <v>429</v>
      </c>
      <c r="H429" s="2" t="s">
        <v>12</v>
      </c>
      <c r="I429" s="2" t="s">
        <v>13</v>
      </c>
    </row>
    <row r="430" spans="1:9" x14ac:dyDescent="0.3">
      <c r="A430" s="2" t="s">
        <v>1312</v>
      </c>
      <c r="B430" s="2" t="s">
        <v>1313</v>
      </c>
      <c r="C430" s="2">
        <v>27</v>
      </c>
      <c r="D430" s="2" t="str">
        <f>IF(Customer_Details[[#This Row],[Age]]&lt;=30,"Adult",IF(Customer_Details[[#This Row],[Age]]&lt;=50,"Mid-Adult","Senior"))</f>
        <v>Adult</v>
      </c>
      <c r="E430" s="2" t="s">
        <v>16</v>
      </c>
      <c r="F430" s="2" t="s">
        <v>1314</v>
      </c>
      <c r="G430" s="2" t="s">
        <v>323</v>
      </c>
      <c r="H430" s="2" t="s">
        <v>12</v>
      </c>
      <c r="I430" s="2" t="s">
        <v>26</v>
      </c>
    </row>
    <row r="431" spans="1:9" x14ac:dyDescent="0.3">
      <c r="A431" s="2" t="s">
        <v>1315</v>
      </c>
      <c r="B431" s="2" t="s">
        <v>1316</v>
      </c>
      <c r="C431" s="2">
        <v>43</v>
      </c>
      <c r="D431" s="2" t="str">
        <f>IF(Customer_Details[[#This Row],[Age]]&lt;=30,"Adult",IF(Customer_Details[[#This Row],[Age]]&lt;=50,"Mid-Adult","Senior"))</f>
        <v>Mid-Adult</v>
      </c>
      <c r="E431" s="2" t="s">
        <v>9</v>
      </c>
      <c r="F431" s="2" t="s">
        <v>1317</v>
      </c>
      <c r="G431" s="2" t="s">
        <v>106</v>
      </c>
      <c r="H431" s="2" t="s">
        <v>12</v>
      </c>
      <c r="I431" s="2" t="s">
        <v>19</v>
      </c>
    </row>
    <row r="432" spans="1:9" x14ac:dyDescent="0.3">
      <c r="A432" s="2" t="s">
        <v>1318</v>
      </c>
      <c r="B432" s="2" t="s">
        <v>1319</v>
      </c>
      <c r="C432" s="2">
        <v>36</v>
      </c>
      <c r="D432" s="2" t="str">
        <f>IF(Customer_Details[[#This Row],[Age]]&lt;=30,"Adult",IF(Customer_Details[[#This Row],[Age]]&lt;=50,"Mid-Adult","Senior"))</f>
        <v>Mid-Adult</v>
      </c>
      <c r="E432" s="2" t="s">
        <v>16</v>
      </c>
      <c r="F432" s="2" t="s">
        <v>1320</v>
      </c>
      <c r="G432" s="2" t="s">
        <v>88</v>
      </c>
      <c r="H432" s="2" t="s">
        <v>12</v>
      </c>
      <c r="I432" s="2" t="s">
        <v>13</v>
      </c>
    </row>
    <row r="433" spans="1:9" x14ac:dyDescent="0.3">
      <c r="A433" s="2" t="s">
        <v>1321</v>
      </c>
      <c r="B433" s="2" t="s">
        <v>1322</v>
      </c>
      <c r="C433" s="2">
        <v>27</v>
      </c>
      <c r="D433" s="2" t="str">
        <f>IF(Customer_Details[[#This Row],[Age]]&lt;=30,"Adult",IF(Customer_Details[[#This Row],[Age]]&lt;=50,"Mid-Adult","Senior"))</f>
        <v>Adult</v>
      </c>
      <c r="E433" s="2" t="s">
        <v>9</v>
      </c>
      <c r="F433" s="2" t="s">
        <v>1323</v>
      </c>
      <c r="G433" s="2" t="s">
        <v>30</v>
      </c>
      <c r="H433" s="2" t="s">
        <v>12</v>
      </c>
      <c r="I433" s="2" t="s">
        <v>19</v>
      </c>
    </row>
    <row r="434" spans="1:9" x14ac:dyDescent="0.3">
      <c r="A434" s="2" t="s">
        <v>1324</v>
      </c>
      <c r="B434" s="2" t="s">
        <v>1325</v>
      </c>
      <c r="C434" s="2">
        <v>37</v>
      </c>
      <c r="D434" s="2" t="str">
        <f>IF(Customer_Details[[#This Row],[Age]]&lt;=30,"Adult",IF(Customer_Details[[#This Row],[Age]]&lt;=50,"Mid-Adult","Senior"))</f>
        <v>Mid-Adult</v>
      </c>
      <c r="E434" s="2" t="s">
        <v>9</v>
      </c>
      <c r="F434" s="2" t="s">
        <v>1326</v>
      </c>
      <c r="G434" s="2" t="s">
        <v>88</v>
      </c>
      <c r="H434" s="2" t="s">
        <v>12</v>
      </c>
      <c r="I434" s="2" t="s">
        <v>26</v>
      </c>
    </row>
    <row r="435" spans="1:9" x14ac:dyDescent="0.3">
      <c r="A435" s="2" t="s">
        <v>1327</v>
      </c>
      <c r="B435" s="2" t="s">
        <v>1328</v>
      </c>
      <c r="C435" s="2">
        <v>51</v>
      </c>
      <c r="D435" s="2" t="str">
        <f>IF(Customer_Details[[#This Row],[Age]]&lt;=30,"Adult",IF(Customer_Details[[#This Row],[Age]]&lt;=50,"Mid-Adult","Senior"))</f>
        <v>Senior</v>
      </c>
      <c r="E435" s="2" t="s">
        <v>16</v>
      </c>
      <c r="F435" s="2" t="s">
        <v>1329</v>
      </c>
      <c r="G435" s="2" t="s">
        <v>58</v>
      </c>
      <c r="H435" s="2" t="s">
        <v>12</v>
      </c>
      <c r="I435" s="2" t="s">
        <v>31</v>
      </c>
    </row>
    <row r="436" spans="1:9" x14ac:dyDescent="0.3">
      <c r="A436" s="2" t="s">
        <v>1330</v>
      </c>
      <c r="B436" s="2" t="s">
        <v>1331</v>
      </c>
      <c r="C436" s="2">
        <v>48</v>
      </c>
      <c r="D436" s="2" t="str">
        <f>IF(Customer_Details[[#This Row],[Age]]&lt;=30,"Adult",IF(Customer_Details[[#This Row],[Age]]&lt;=50,"Mid-Adult","Senior"))</f>
        <v>Mid-Adult</v>
      </c>
      <c r="E436" s="2" t="s">
        <v>16</v>
      </c>
      <c r="F436" s="2" t="s">
        <v>1332</v>
      </c>
      <c r="G436" s="2" t="s">
        <v>251</v>
      </c>
      <c r="H436" s="2" t="s">
        <v>12</v>
      </c>
      <c r="I436" s="2" t="s">
        <v>13</v>
      </c>
    </row>
    <row r="437" spans="1:9" x14ac:dyDescent="0.3">
      <c r="A437" s="2" t="s">
        <v>1333</v>
      </c>
      <c r="B437" s="2" t="s">
        <v>1334</v>
      </c>
      <c r="C437" s="2">
        <v>37</v>
      </c>
      <c r="D437" s="2" t="str">
        <f>IF(Customer_Details[[#This Row],[Age]]&lt;=30,"Adult",IF(Customer_Details[[#This Row],[Age]]&lt;=50,"Mid-Adult","Senior"))</f>
        <v>Mid-Adult</v>
      </c>
      <c r="E437" s="2" t="s">
        <v>16</v>
      </c>
      <c r="F437" s="2" t="s">
        <v>1335</v>
      </c>
      <c r="G437" s="2" t="s">
        <v>106</v>
      </c>
      <c r="H437" s="2" t="s">
        <v>12</v>
      </c>
      <c r="I437" s="2" t="s">
        <v>31</v>
      </c>
    </row>
    <row r="438" spans="1:9" x14ac:dyDescent="0.3">
      <c r="A438" s="2" t="s">
        <v>1336</v>
      </c>
      <c r="B438" s="2" t="s">
        <v>1337</v>
      </c>
      <c r="C438" s="2">
        <v>61</v>
      </c>
      <c r="D438" s="2" t="str">
        <f>IF(Customer_Details[[#This Row],[Age]]&lt;=30,"Adult",IF(Customer_Details[[#This Row],[Age]]&lt;=50,"Mid-Adult","Senior"))</f>
        <v>Senior</v>
      </c>
      <c r="E438" s="2" t="s">
        <v>9</v>
      </c>
      <c r="F438" s="2" t="s">
        <v>1338</v>
      </c>
      <c r="G438" s="2" t="s">
        <v>39</v>
      </c>
      <c r="H438" s="2" t="s">
        <v>12</v>
      </c>
      <c r="I438" s="2" t="s">
        <v>13</v>
      </c>
    </row>
    <row r="439" spans="1:9" x14ac:dyDescent="0.3">
      <c r="A439" s="2" t="s">
        <v>1339</v>
      </c>
      <c r="B439" s="2" t="s">
        <v>1340</v>
      </c>
      <c r="C439" s="2">
        <v>47</v>
      </c>
      <c r="D439" s="2" t="str">
        <f>IF(Customer_Details[[#This Row],[Age]]&lt;=30,"Adult",IF(Customer_Details[[#This Row],[Age]]&lt;=50,"Mid-Adult","Senior"))</f>
        <v>Mid-Adult</v>
      </c>
      <c r="E439" s="2" t="s">
        <v>16</v>
      </c>
      <c r="F439" s="2" t="s">
        <v>591</v>
      </c>
      <c r="G439" s="2" t="s">
        <v>47</v>
      </c>
      <c r="H439" s="2" t="s">
        <v>12</v>
      </c>
      <c r="I439" s="2" t="s">
        <v>19</v>
      </c>
    </row>
    <row r="440" spans="1:9" x14ac:dyDescent="0.3">
      <c r="A440" s="2" t="s">
        <v>1341</v>
      </c>
      <c r="B440" s="2" t="s">
        <v>1342</v>
      </c>
      <c r="C440" s="2">
        <v>59</v>
      </c>
      <c r="D440" s="2" t="str">
        <f>IF(Customer_Details[[#This Row],[Age]]&lt;=30,"Adult",IF(Customer_Details[[#This Row],[Age]]&lt;=50,"Mid-Adult","Senior"))</f>
        <v>Senior</v>
      </c>
      <c r="E440" s="2" t="s">
        <v>16</v>
      </c>
      <c r="F440" s="2" t="s">
        <v>1343</v>
      </c>
      <c r="G440" s="2" t="s">
        <v>234</v>
      </c>
      <c r="H440" s="2" t="s">
        <v>12</v>
      </c>
      <c r="I440" s="2" t="s">
        <v>19</v>
      </c>
    </row>
    <row r="441" spans="1:9" x14ac:dyDescent="0.3">
      <c r="A441" s="2" t="s">
        <v>1344</v>
      </c>
      <c r="B441" s="2" t="s">
        <v>1345</v>
      </c>
      <c r="C441" s="2">
        <v>53</v>
      </c>
      <c r="D441" s="2" t="str">
        <f>IF(Customer_Details[[#This Row],[Age]]&lt;=30,"Adult",IF(Customer_Details[[#This Row],[Age]]&lt;=50,"Mid-Adult","Senior"))</f>
        <v>Senior</v>
      </c>
      <c r="E441" s="2" t="s">
        <v>9</v>
      </c>
      <c r="F441" s="2" t="s">
        <v>922</v>
      </c>
      <c r="G441" s="2" t="s">
        <v>155</v>
      </c>
      <c r="H441" s="2" t="s">
        <v>12</v>
      </c>
      <c r="I441" s="2" t="s">
        <v>31</v>
      </c>
    </row>
    <row r="442" spans="1:9" x14ac:dyDescent="0.3">
      <c r="A442" s="2" t="s">
        <v>1346</v>
      </c>
      <c r="B442" s="2" t="s">
        <v>1347</v>
      </c>
      <c r="C442" s="2">
        <v>60</v>
      </c>
      <c r="D442" s="2" t="str">
        <f>IF(Customer_Details[[#This Row],[Age]]&lt;=30,"Adult",IF(Customer_Details[[#This Row],[Age]]&lt;=50,"Mid-Adult","Senior"))</f>
        <v>Senior</v>
      </c>
      <c r="E442" s="2" t="s">
        <v>9</v>
      </c>
      <c r="F442" s="2" t="s">
        <v>1348</v>
      </c>
      <c r="G442" s="2" t="s">
        <v>18</v>
      </c>
      <c r="H442" s="2" t="s">
        <v>12</v>
      </c>
      <c r="I442" s="2" t="s">
        <v>31</v>
      </c>
    </row>
    <row r="443" spans="1:9" x14ac:dyDescent="0.3">
      <c r="A443" s="2" t="s">
        <v>1349</v>
      </c>
      <c r="B443" s="2" t="s">
        <v>1350</v>
      </c>
      <c r="C443" s="2">
        <v>31</v>
      </c>
      <c r="D443" s="2" t="str">
        <f>IF(Customer_Details[[#This Row],[Age]]&lt;=30,"Adult",IF(Customer_Details[[#This Row],[Age]]&lt;=50,"Mid-Adult","Senior"))</f>
        <v>Mid-Adult</v>
      </c>
      <c r="E443" s="2" t="s">
        <v>9</v>
      </c>
      <c r="F443" s="2" t="s">
        <v>1351</v>
      </c>
      <c r="G443" s="2" t="s">
        <v>319</v>
      </c>
      <c r="H443" s="2" t="s">
        <v>12</v>
      </c>
      <c r="I443" s="2" t="s">
        <v>31</v>
      </c>
    </row>
    <row r="444" spans="1:9" x14ac:dyDescent="0.3">
      <c r="A444" s="2" t="s">
        <v>1352</v>
      </c>
      <c r="B444" s="2" t="s">
        <v>1353</v>
      </c>
      <c r="C444" s="2">
        <v>42</v>
      </c>
      <c r="D444" s="2" t="str">
        <f>IF(Customer_Details[[#This Row],[Age]]&lt;=30,"Adult",IF(Customer_Details[[#This Row],[Age]]&lt;=50,"Mid-Adult","Senior"))</f>
        <v>Mid-Adult</v>
      </c>
      <c r="E444" s="2" t="s">
        <v>16</v>
      </c>
      <c r="F444" s="2" t="s">
        <v>1354</v>
      </c>
      <c r="G444" s="2" t="s">
        <v>35</v>
      </c>
      <c r="H444" s="2" t="s">
        <v>12</v>
      </c>
      <c r="I444" s="2" t="s">
        <v>26</v>
      </c>
    </row>
    <row r="445" spans="1:9" x14ac:dyDescent="0.3">
      <c r="A445" s="2" t="s">
        <v>1355</v>
      </c>
      <c r="B445" s="2" t="s">
        <v>1356</v>
      </c>
      <c r="C445" s="2">
        <v>51</v>
      </c>
      <c r="D445" s="2" t="str">
        <f>IF(Customer_Details[[#This Row],[Age]]&lt;=30,"Adult",IF(Customer_Details[[#This Row],[Age]]&lt;=50,"Mid-Adult","Senior"))</f>
        <v>Senior</v>
      </c>
      <c r="E445" s="2" t="s">
        <v>9</v>
      </c>
      <c r="F445" s="2" t="s">
        <v>1357</v>
      </c>
      <c r="G445" s="2" t="s">
        <v>354</v>
      </c>
      <c r="H445" s="2" t="s">
        <v>12</v>
      </c>
      <c r="I445" s="2" t="s">
        <v>31</v>
      </c>
    </row>
    <row r="446" spans="1:9" x14ac:dyDescent="0.3">
      <c r="A446" s="2" t="s">
        <v>1358</v>
      </c>
      <c r="B446" s="2" t="s">
        <v>1359</v>
      </c>
      <c r="C446" s="2">
        <v>19</v>
      </c>
      <c r="D446" s="2" t="str">
        <f>IF(Customer_Details[[#This Row],[Age]]&lt;=30,"Adult",IF(Customer_Details[[#This Row],[Age]]&lt;=50,"Mid-Adult","Senior"))</f>
        <v>Adult</v>
      </c>
      <c r="E446" s="2" t="s">
        <v>9</v>
      </c>
      <c r="F446" s="2" t="s">
        <v>1360</v>
      </c>
      <c r="G446" s="2" t="s">
        <v>838</v>
      </c>
      <c r="H446" s="2" t="s">
        <v>12</v>
      </c>
      <c r="I446" s="2" t="s">
        <v>13</v>
      </c>
    </row>
    <row r="447" spans="1:9" x14ac:dyDescent="0.3">
      <c r="A447" s="2" t="s">
        <v>1361</v>
      </c>
      <c r="B447" s="2" t="s">
        <v>1362</v>
      </c>
      <c r="C447" s="2">
        <v>41</v>
      </c>
      <c r="D447" s="2" t="str">
        <f>IF(Customer_Details[[#This Row],[Age]]&lt;=30,"Adult",IF(Customer_Details[[#This Row],[Age]]&lt;=50,"Mid-Adult","Senior"))</f>
        <v>Mid-Adult</v>
      </c>
      <c r="E447" s="2" t="s">
        <v>16</v>
      </c>
      <c r="F447" s="2" t="s">
        <v>1363</v>
      </c>
      <c r="G447" s="2" t="s">
        <v>284</v>
      </c>
      <c r="H447" s="2" t="s">
        <v>12</v>
      </c>
      <c r="I447" s="2" t="s">
        <v>19</v>
      </c>
    </row>
    <row r="448" spans="1:9" x14ac:dyDescent="0.3">
      <c r="A448" s="2" t="s">
        <v>1364</v>
      </c>
      <c r="B448" s="2" t="s">
        <v>1365</v>
      </c>
      <c r="C448" s="2">
        <v>35</v>
      </c>
      <c r="D448" s="2" t="str">
        <f>IF(Customer_Details[[#This Row],[Age]]&lt;=30,"Adult",IF(Customer_Details[[#This Row],[Age]]&lt;=50,"Mid-Adult","Senior"))</f>
        <v>Mid-Adult</v>
      </c>
      <c r="E448" s="2" t="s">
        <v>9</v>
      </c>
      <c r="F448" s="2" t="s">
        <v>1366</v>
      </c>
      <c r="G448" s="2" t="s">
        <v>96</v>
      </c>
      <c r="H448" s="2" t="s">
        <v>12</v>
      </c>
      <c r="I448" s="2" t="s">
        <v>31</v>
      </c>
    </row>
    <row r="449" spans="1:9" x14ac:dyDescent="0.3">
      <c r="A449" s="2" t="s">
        <v>1367</v>
      </c>
      <c r="B449" s="2" t="s">
        <v>1368</v>
      </c>
      <c r="C449" s="2">
        <v>45</v>
      </c>
      <c r="D449" s="2" t="str">
        <f>IF(Customer_Details[[#This Row],[Age]]&lt;=30,"Adult",IF(Customer_Details[[#This Row],[Age]]&lt;=50,"Mid-Adult","Senior"))</f>
        <v>Mid-Adult</v>
      </c>
      <c r="E449" s="2" t="s">
        <v>9</v>
      </c>
      <c r="F449" s="2" t="s">
        <v>1369</v>
      </c>
      <c r="G449" s="2" t="s">
        <v>11</v>
      </c>
      <c r="H449" s="2" t="s">
        <v>12</v>
      </c>
      <c r="I449" s="2" t="s">
        <v>13</v>
      </c>
    </row>
    <row r="450" spans="1:9" x14ac:dyDescent="0.3">
      <c r="A450" s="2" t="s">
        <v>1370</v>
      </c>
      <c r="B450" s="2" t="s">
        <v>1371</v>
      </c>
      <c r="C450" s="2">
        <v>64</v>
      </c>
      <c r="D450" s="2" t="str">
        <f>IF(Customer_Details[[#This Row],[Age]]&lt;=30,"Adult",IF(Customer_Details[[#This Row],[Age]]&lt;=50,"Mid-Adult","Senior"))</f>
        <v>Senior</v>
      </c>
      <c r="E450" s="2" t="s">
        <v>16</v>
      </c>
      <c r="F450" s="2" t="s">
        <v>1372</v>
      </c>
      <c r="G450" s="2" t="s">
        <v>838</v>
      </c>
      <c r="H450" s="2" t="s">
        <v>12</v>
      </c>
      <c r="I450" s="2" t="s">
        <v>26</v>
      </c>
    </row>
    <row r="451" spans="1:9" x14ac:dyDescent="0.3">
      <c r="A451" s="2" t="s">
        <v>1373</v>
      </c>
      <c r="B451" s="2" t="s">
        <v>1374</v>
      </c>
      <c r="C451" s="2">
        <v>29</v>
      </c>
      <c r="D451" s="2" t="str">
        <f>IF(Customer_Details[[#This Row],[Age]]&lt;=30,"Adult",IF(Customer_Details[[#This Row],[Age]]&lt;=50,"Mid-Adult","Senior"))</f>
        <v>Adult</v>
      </c>
      <c r="E451" s="2" t="s">
        <v>9</v>
      </c>
      <c r="F451" s="2" t="s">
        <v>1375</v>
      </c>
      <c r="G451" s="2" t="s">
        <v>25</v>
      </c>
      <c r="H451" s="2" t="s">
        <v>12</v>
      </c>
      <c r="I451" s="2" t="s">
        <v>26</v>
      </c>
    </row>
    <row r="452" spans="1:9" x14ac:dyDescent="0.3">
      <c r="A452" s="2" t="s">
        <v>1376</v>
      </c>
      <c r="B452" s="2" t="s">
        <v>1377</v>
      </c>
      <c r="C452" s="2">
        <v>59</v>
      </c>
      <c r="D452" s="2" t="str">
        <f>IF(Customer_Details[[#This Row],[Age]]&lt;=30,"Adult",IF(Customer_Details[[#This Row],[Age]]&lt;=50,"Mid-Adult","Senior"))</f>
        <v>Senior</v>
      </c>
      <c r="E452" s="2" t="s">
        <v>9</v>
      </c>
      <c r="F452" s="2" t="s">
        <v>1378</v>
      </c>
      <c r="G452" s="2" t="s">
        <v>70</v>
      </c>
      <c r="H452" s="2" t="s">
        <v>12</v>
      </c>
      <c r="I452" s="2" t="s">
        <v>26</v>
      </c>
    </row>
    <row r="453" spans="1:9" x14ac:dyDescent="0.3">
      <c r="A453" s="2" t="s">
        <v>1379</v>
      </c>
      <c r="B453" s="2" t="s">
        <v>1380</v>
      </c>
      <c r="C453" s="2">
        <v>46</v>
      </c>
      <c r="D453" s="2" t="str">
        <f>IF(Customer_Details[[#This Row],[Age]]&lt;=30,"Adult",IF(Customer_Details[[#This Row],[Age]]&lt;=50,"Mid-Adult","Senior"))</f>
        <v>Mid-Adult</v>
      </c>
      <c r="E453" s="2" t="s">
        <v>9</v>
      </c>
      <c r="F453" s="2" t="s">
        <v>559</v>
      </c>
      <c r="G453" s="2" t="s">
        <v>230</v>
      </c>
      <c r="H453" s="2" t="s">
        <v>12</v>
      </c>
      <c r="I453" s="2" t="s">
        <v>13</v>
      </c>
    </row>
    <row r="454" spans="1:9" x14ac:dyDescent="0.3">
      <c r="A454" s="2" t="s">
        <v>1381</v>
      </c>
      <c r="B454" s="2" t="s">
        <v>1382</v>
      </c>
      <c r="C454" s="2">
        <v>60</v>
      </c>
      <c r="D454" s="2" t="str">
        <f>IF(Customer_Details[[#This Row],[Age]]&lt;=30,"Adult",IF(Customer_Details[[#This Row],[Age]]&lt;=50,"Mid-Adult","Senior"))</f>
        <v>Senior</v>
      </c>
      <c r="E454" s="2" t="s">
        <v>16</v>
      </c>
      <c r="F454" s="2" t="s">
        <v>1383</v>
      </c>
      <c r="G454" s="2" t="s">
        <v>309</v>
      </c>
      <c r="H454" s="2" t="s">
        <v>12</v>
      </c>
      <c r="I454" s="2" t="s">
        <v>26</v>
      </c>
    </row>
    <row r="455" spans="1:9" x14ac:dyDescent="0.3">
      <c r="A455" s="2" t="s">
        <v>1384</v>
      </c>
      <c r="B455" s="2" t="s">
        <v>1385</v>
      </c>
      <c r="C455" s="2">
        <v>62</v>
      </c>
      <c r="D455" s="2" t="str">
        <f>IF(Customer_Details[[#This Row],[Age]]&lt;=30,"Adult",IF(Customer_Details[[#This Row],[Age]]&lt;=50,"Mid-Adult","Senior"))</f>
        <v>Senior</v>
      </c>
      <c r="E455" s="2" t="s">
        <v>16</v>
      </c>
      <c r="F455" s="2" t="s">
        <v>1386</v>
      </c>
      <c r="G455" s="2" t="s">
        <v>99</v>
      </c>
      <c r="H455" s="2" t="s">
        <v>12</v>
      </c>
      <c r="I455" s="2" t="s">
        <v>19</v>
      </c>
    </row>
    <row r="456" spans="1:9" x14ac:dyDescent="0.3">
      <c r="A456" s="2" t="s">
        <v>1387</v>
      </c>
      <c r="B456" s="2" t="s">
        <v>1388</v>
      </c>
      <c r="C456" s="2">
        <v>60</v>
      </c>
      <c r="D456" s="2" t="str">
        <f>IF(Customer_Details[[#This Row],[Age]]&lt;=30,"Adult",IF(Customer_Details[[#This Row],[Age]]&lt;=50,"Mid-Adult","Senior"))</f>
        <v>Senior</v>
      </c>
      <c r="E456" s="2" t="s">
        <v>9</v>
      </c>
      <c r="F456" s="2" t="s">
        <v>129</v>
      </c>
      <c r="G456" s="2" t="s">
        <v>96</v>
      </c>
      <c r="H456" s="2" t="s">
        <v>12</v>
      </c>
      <c r="I456" s="2" t="s">
        <v>13</v>
      </c>
    </row>
    <row r="457" spans="1:9" x14ac:dyDescent="0.3">
      <c r="A457" s="2" t="s">
        <v>1389</v>
      </c>
      <c r="B457" s="2" t="s">
        <v>1390</v>
      </c>
      <c r="C457" s="2">
        <v>54</v>
      </c>
      <c r="D457" s="2" t="str">
        <f>IF(Customer_Details[[#This Row],[Age]]&lt;=30,"Adult",IF(Customer_Details[[#This Row],[Age]]&lt;=50,"Mid-Adult","Senior"))</f>
        <v>Senior</v>
      </c>
      <c r="E457" s="2" t="s">
        <v>9</v>
      </c>
      <c r="F457" s="2" t="s">
        <v>1391</v>
      </c>
      <c r="G457" s="2" t="s">
        <v>191</v>
      </c>
      <c r="H457" s="2" t="s">
        <v>12</v>
      </c>
      <c r="I457" s="2" t="s">
        <v>13</v>
      </c>
    </row>
    <row r="458" spans="1:9" x14ac:dyDescent="0.3">
      <c r="A458" s="2" t="s">
        <v>1392</v>
      </c>
      <c r="B458" s="2" t="s">
        <v>1393</v>
      </c>
      <c r="C458" s="2">
        <v>59</v>
      </c>
      <c r="D458" s="2" t="str">
        <f>IF(Customer_Details[[#This Row],[Age]]&lt;=30,"Adult",IF(Customer_Details[[#This Row],[Age]]&lt;=50,"Mid-Adult","Senior"))</f>
        <v>Senior</v>
      </c>
      <c r="E458" s="2" t="s">
        <v>16</v>
      </c>
      <c r="F458" s="2" t="s">
        <v>1394</v>
      </c>
      <c r="G458" s="2" t="s">
        <v>288</v>
      </c>
      <c r="H458" s="2" t="s">
        <v>12</v>
      </c>
      <c r="I458" s="2" t="s">
        <v>13</v>
      </c>
    </row>
    <row r="459" spans="1:9" x14ac:dyDescent="0.3">
      <c r="A459" s="2" t="s">
        <v>1395</v>
      </c>
      <c r="B459" s="2" t="s">
        <v>1396</v>
      </c>
      <c r="C459" s="2">
        <v>59</v>
      </c>
      <c r="D459" s="2" t="str">
        <f>IF(Customer_Details[[#This Row],[Age]]&lt;=30,"Adult",IF(Customer_Details[[#This Row],[Age]]&lt;=50,"Mid-Adult","Senior"))</f>
        <v>Senior</v>
      </c>
      <c r="E459" s="2" t="s">
        <v>9</v>
      </c>
      <c r="F459" s="2" t="s">
        <v>1397</v>
      </c>
      <c r="G459" s="2" t="s">
        <v>582</v>
      </c>
      <c r="H459" s="2" t="s">
        <v>12</v>
      </c>
      <c r="I459" s="2" t="s">
        <v>19</v>
      </c>
    </row>
    <row r="460" spans="1:9" x14ac:dyDescent="0.3">
      <c r="A460" s="2" t="s">
        <v>1398</v>
      </c>
      <c r="B460" s="2" t="s">
        <v>1399</v>
      </c>
      <c r="C460" s="2">
        <v>62</v>
      </c>
      <c r="D460" s="2" t="str">
        <f>IF(Customer_Details[[#This Row],[Age]]&lt;=30,"Adult",IF(Customer_Details[[#This Row],[Age]]&lt;=50,"Mid-Adult","Senior"))</f>
        <v>Senior</v>
      </c>
      <c r="E460" s="2" t="s">
        <v>16</v>
      </c>
      <c r="F460" s="2" t="s">
        <v>1400</v>
      </c>
      <c r="G460" s="2" t="s">
        <v>51</v>
      </c>
      <c r="H460" s="2" t="s">
        <v>12</v>
      </c>
      <c r="I460" s="2" t="s">
        <v>31</v>
      </c>
    </row>
    <row r="461" spans="1:9" x14ac:dyDescent="0.3">
      <c r="A461" s="2" t="s">
        <v>1401</v>
      </c>
      <c r="B461" s="2" t="s">
        <v>673</v>
      </c>
      <c r="C461" s="2">
        <v>29</v>
      </c>
      <c r="D461" s="2" t="str">
        <f>IF(Customer_Details[[#This Row],[Age]]&lt;=30,"Adult",IF(Customer_Details[[#This Row],[Age]]&lt;=50,"Mid-Adult","Senior"))</f>
        <v>Adult</v>
      </c>
      <c r="E461" s="2" t="s">
        <v>16</v>
      </c>
      <c r="F461" s="2" t="s">
        <v>1402</v>
      </c>
      <c r="G461" s="2" t="s">
        <v>312</v>
      </c>
      <c r="H461" s="2" t="s">
        <v>12</v>
      </c>
      <c r="I461" s="2" t="s">
        <v>13</v>
      </c>
    </row>
    <row r="462" spans="1:9" x14ac:dyDescent="0.3">
      <c r="A462" s="2" t="s">
        <v>1403</v>
      </c>
      <c r="B462" s="2" t="s">
        <v>1404</v>
      </c>
      <c r="C462" s="2">
        <v>35</v>
      </c>
      <c r="D462" s="2" t="str">
        <f>IF(Customer_Details[[#This Row],[Age]]&lt;=30,"Adult",IF(Customer_Details[[#This Row],[Age]]&lt;=50,"Mid-Adult","Senior"))</f>
        <v>Mid-Adult</v>
      </c>
      <c r="E462" s="2" t="s">
        <v>9</v>
      </c>
      <c r="F462" s="2" t="s">
        <v>1405</v>
      </c>
      <c r="G462" s="2" t="s">
        <v>264</v>
      </c>
      <c r="H462" s="2" t="s">
        <v>12</v>
      </c>
      <c r="I462" s="2" t="s">
        <v>13</v>
      </c>
    </row>
    <row r="463" spans="1:9" x14ac:dyDescent="0.3">
      <c r="A463" s="2" t="s">
        <v>1406</v>
      </c>
      <c r="B463" s="2" t="s">
        <v>1407</v>
      </c>
      <c r="C463" s="2">
        <v>60</v>
      </c>
      <c r="D463" s="2" t="str">
        <f>IF(Customer_Details[[#This Row],[Age]]&lt;=30,"Adult",IF(Customer_Details[[#This Row],[Age]]&lt;=50,"Mid-Adult","Senior"))</f>
        <v>Senior</v>
      </c>
      <c r="E463" s="2" t="s">
        <v>16</v>
      </c>
      <c r="F463" s="2" t="s">
        <v>1408</v>
      </c>
      <c r="G463" s="2" t="s">
        <v>62</v>
      </c>
      <c r="H463" s="2" t="s">
        <v>12</v>
      </c>
      <c r="I463" s="2" t="s">
        <v>31</v>
      </c>
    </row>
    <row r="464" spans="1:9" x14ac:dyDescent="0.3">
      <c r="A464" s="2" t="s">
        <v>1409</v>
      </c>
      <c r="B464" s="2" t="s">
        <v>1410</v>
      </c>
      <c r="C464" s="2">
        <v>34</v>
      </c>
      <c r="D464" s="2" t="str">
        <f>IF(Customer_Details[[#This Row],[Age]]&lt;=30,"Adult",IF(Customer_Details[[#This Row],[Age]]&lt;=50,"Mid-Adult","Senior"))</f>
        <v>Mid-Adult</v>
      </c>
      <c r="E464" s="2" t="s">
        <v>16</v>
      </c>
      <c r="F464" s="2" t="s">
        <v>1411</v>
      </c>
      <c r="G464" s="2" t="s">
        <v>43</v>
      </c>
      <c r="H464" s="2" t="s">
        <v>12</v>
      </c>
      <c r="I464" s="2" t="s">
        <v>31</v>
      </c>
    </row>
    <row r="465" spans="1:9" x14ac:dyDescent="0.3">
      <c r="A465" s="2" t="s">
        <v>1412</v>
      </c>
      <c r="B465" s="2" t="s">
        <v>1413</v>
      </c>
      <c r="C465" s="2">
        <v>36</v>
      </c>
      <c r="D465" s="2" t="str">
        <f>IF(Customer_Details[[#This Row],[Age]]&lt;=30,"Adult",IF(Customer_Details[[#This Row],[Age]]&lt;=50,"Mid-Adult","Senior"))</f>
        <v>Mid-Adult</v>
      </c>
      <c r="E465" s="2" t="s">
        <v>16</v>
      </c>
      <c r="F465" s="2" t="s">
        <v>1414</v>
      </c>
      <c r="G465" s="2" t="s">
        <v>166</v>
      </c>
      <c r="H465" s="2" t="s">
        <v>12</v>
      </c>
      <c r="I465" s="2" t="s">
        <v>26</v>
      </c>
    </row>
    <row r="466" spans="1:9" x14ac:dyDescent="0.3">
      <c r="A466" s="2" t="s">
        <v>1415</v>
      </c>
      <c r="B466" s="2" t="s">
        <v>1416</v>
      </c>
      <c r="C466" s="2">
        <v>45</v>
      </c>
      <c r="D466" s="2" t="str">
        <f>IF(Customer_Details[[#This Row],[Age]]&lt;=30,"Adult",IF(Customer_Details[[#This Row],[Age]]&lt;=50,"Mid-Adult","Senior"))</f>
        <v>Mid-Adult</v>
      </c>
      <c r="E466" s="2" t="s">
        <v>16</v>
      </c>
      <c r="F466" s="2" t="s">
        <v>1417</v>
      </c>
      <c r="G466" s="2" t="s">
        <v>74</v>
      </c>
      <c r="H466" s="2" t="s">
        <v>12</v>
      </c>
      <c r="I466" s="2" t="s">
        <v>19</v>
      </c>
    </row>
    <row r="467" spans="1:9" x14ac:dyDescent="0.3">
      <c r="A467" s="2" t="s">
        <v>1418</v>
      </c>
      <c r="B467" s="2" t="s">
        <v>1419</v>
      </c>
      <c r="C467" s="2">
        <v>28</v>
      </c>
      <c r="D467" s="2" t="str">
        <f>IF(Customer_Details[[#This Row],[Age]]&lt;=30,"Adult",IF(Customer_Details[[#This Row],[Age]]&lt;=50,"Mid-Adult","Senior"))</f>
        <v>Adult</v>
      </c>
      <c r="E467" s="2" t="s">
        <v>16</v>
      </c>
      <c r="F467" s="2" t="s">
        <v>1420</v>
      </c>
      <c r="G467" s="2" t="s">
        <v>11</v>
      </c>
      <c r="H467" s="2" t="s">
        <v>12</v>
      </c>
      <c r="I467" s="2" t="s">
        <v>31</v>
      </c>
    </row>
    <row r="468" spans="1:9" x14ac:dyDescent="0.3">
      <c r="A468" s="2" t="s">
        <v>1421</v>
      </c>
      <c r="B468" s="2" t="s">
        <v>1422</v>
      </c>
      <c r="C468" s="2">
        <v>18</v>
      </c>
      <c r="D468" s="2" t="str">
        <f>IF(Customer_Details[[#This Row],[Age]]&lt;=30,"Adult",IF(Customer_Details[[#This Row],[Age]]&lt;=50,"Mid-Adult","Senior"))</f>
        <v>Adult</v>
      </c>
      <c r="E468" s="2" t="s">
        <v>9</v>
      </c>
      <c r="F468" s="2" t="s">
        <v>1423</v>
      </c>
      <c r="G468" s="2" t="s">
        <v>198</v>
      </c>
      <c r="H468" s="2" t="s">
        <v>12</v>
      </c>
      <c r="I468" s="2" t="s">
        <v>31</v>
      </c>
    </row>
    <row r="469" spans="1:9" x14ac:dyDescent="0.3">
      <c r="A469" s="2" t="s">
        <v>1424</v>
      </c>
      <c r="B469" s="2" t="s">
        <v>1425</v>
      </c>
      <c r="C469" s="2">
        <v>63</v>
      </c>
      <c r="D469" s="2" t="str">
        <f>IF(Customer_Details[[#This Row],[Age]]&lt;=30,"Adult",IF(Customer_Details[[#This Row],[Age]]&lt;=50,"Mid-Adult","Senior"))</f>
        <v>Senior</v>
      </c>
      <c r="E469" s="2" t="s">
        <v>16</v>
      </c>
      <c r="F469" s="2" t="s">
        <v>1426</v>
      </c>
      <c r="G469" s="2" t="s">
        <v>170</v>
      </c>
      <c r="H469" s="2" t="s">
        <v>12</v>
      </c>
      <c r="I469" s="2" t="s">
        <v>13</v>
      </c>
    </row>
    <row r="470" spans="1:9" x14ac:dyDescent="0.3">
      <c r="A470" s="2" t="s">
        <v>1427</v>
      </c>
      <c r="B470" s="2" t="s">
        <v>1428</v>
      </c>
      <c r="C470" s="2">
        <v>45</v>
      </c>
      <c r="D470" s="2" t="str">
        <f>IF(Customer_Details[[#This Row],[Age]]&lt;=30,"Adult",IF(Customer_Details[[#This Row],[Age]]&lt;=50,"Mid-Adult","Senior"))</f>
        <v>Mid-Adult</v>
      </c>
      <c r="E470" s="2" t="s">
        <v>9</v>
      </c>
      <c r="F470" s="2" t="s">
        <v>1429</v>
      </c>
      <c r="G470" s="2" t="s">
        <v>170</v>
      </c>
      <c r="H470" s="2" t="s">
        <v>12</v>
      </c>
      <c r="I470" s="2" t="s">
        <v>26</v>
      </c>
    </row>
    <row r="471" spans="1:9" x14ac:dyDescent="0.3">
      <c r="A471" s="2" t="s">
        <v>1430</v>
      </c>
      <c r="B471" s="2" t="s">
        <v>1431</v>
      </c>
      <c r="C471" s="2">
        <v>19</v>
      </c>
      <c r="D471" s="2" t="str">
        <f>IF(Customer_Details[[#This Row],[Age]]&lt;=30,"Adult",IF(Customer_Details[[#This Row],[Age]]&lt;=50,"Mid-Adult","Senior"))</f>
        <v>Adult</v>
      </c>
      <c r="E471" s="2" t="s">
        <v>9</v>
      </c>
      <c r="F471" s="2" t="s">
        <v>1432</v>
      </c>
      <c r="G471" s="2" t="s">
        <v>117</v>
      </c>
      <c r="H471" s="2" t="s">
        <v>12</v>
      </c>
      <c r="I471" s="2" t="s">
        <v>13</v>
      </c>
    </row>
    <row r="472" spans="1:9" x14ac:dyDescent="0.3">
      <c r="A472" s="2" t="s">
        <v>1433</v>
      </c>
      <c r="B472" s="2" t="s">
        <v>1434</v>
      </c>
      <c r="C472" s="2">
        <v>21</v>
      </c>
      <c r="D472" s="2" t="str">
        <f>IF(Customer_Details[[#This Row],[Age]]&lt;=30,"Adult",IF(Customer_Details[[#This Row],[Age]]&lt;=50,"Mid-Adult","Senior"))</f>
        <v>Adult</v>
      </c>
      <c r="E472" s="2" t="s">
        <v>16</v>
      </c>
      <c r="F472" s="2" t="s">
        <v>1435</v>
      </c>
      <c r="G472" s="2" t="s">
        <v>47</v>
      </c>
      <c r="H472" s="2" t="s">
        <v>12</v>
      </c>
      <c r="I472" s="2" t="s">
        <v>13</v>
      </c>
    </row>
    <row r="473" spans="1:9" x14ac:dyDescent="0.3">
      <c r="A473" s="2" t="s">
        <v>1436</v>
      </c>
      <c r="B473" s="2" t="s">
        <v>1437</v>
      </c>
      <c r="C473" s="2">
        <v>42</v>
      </c>
      <c r="D473" s="2" t="str">
        <f>IF(Customer_Details[[#This Row],[Age]]&lt;=30,"Adult",IF(Customer_Details[[#This Row],[Age]]&lt;=50,"Mid-Adult","Senior"))</f>
        <v>Mid-Adult</v>
      </c>
      <c r="E473" s="2" t="s">
        <v>9</v>
      </c>
      <c r="F473" s="2" t="s">
        <v>1438</v>
      </c>
      <c r="G473" s="2" t="s">
        <v>66</v>
      </c>
      <c r="H473" s="2" t="s">
        <v>12</v>
      </c>
      <c r="I473" s="2" t="s">
        <v>19</v>
      </c>
    </row>
    <row r="474" spans="1:9" x14ac:dyDescent="0.3">
      <c r="A474" s="2" t="s">
        <v>1439</v>
      </c>
      <c r="B474" s="2" t="s">
        <v>1440</v>
      </c>
      <c r="C474" s="2">
        <v>42</v>
      </c>
      <c r="D474" s="2" t="str">
        <f>IF(Customer_Details[[#This Row],[Age]]&lt;=30,"Adult",IF(Customer_Details[[#This Row],[Age]]&lt;=50,"Mid-Adult","Senior"))</f>
        <v>Mid-Adult</v>
      </c>
      <c r="E474" s="2" t="s">
        <v>9</v>
      </c>
      <c r="F474" s="2" t="s">
        <v>1441</v>
      </c>
      <c r="G474" s="2" t="s">
        <v>709</v>
      </c>
      <c r="H474" s="2" t="s">
        <v>12</v>
      </c>
      <c r="I474" s="2" t="s">
        <v>31</v>
      </c>
    </row>
    <row r="475" spans="1:9" x14ac:dyDescent="0.3">
      <c r="A475" s="2" t="s">
        <v>1442</v>
      </c>
      <c r="B475" s="2" t="s">
        <v>1443</v>
      </c>
      <c r="C475" s="2">
        <v>53</v>
      </c>
      <c r="D475" s="2" t="str">
        <f>IF(Customer_Details[[#This Row],[Age]]&lt;=30,"Adult",IF(Customer_Details[[#This Row],[Age]]&lt;=50,"Mid-Adult","Senior"))</f>
        <v>Senior</v>
      </c>
      <c r="E475" s="2" t="s">
        <v>9</v>
      </c>
      <c r="F475" s="2" t="s">
        <v>1444</v>
      </c>
      <c r="G475" s="2" t="s">
        <v>319</v>
      </c>
      <c r="H475" s="2" t="s">
        <v>12</v>
      </c>
      <c r="I475" s="2" t="s">
        <v>26</v>
      </c>
    </row>
    <row r="476" spans="1:9" x14ac:dyDescent="0.3">
      <c r="A476" s="2" t="s">
        <v>1445</v>
      </c>
      <c r="B476" s="2" t="s">
        <v>1446</v>
      </c>
      <c r="C476" s="2">
        <v>32</v>
      </c>
      <c r="D476" s="2" t="str">
        <f>IF(Customer_Details[[#This Row],[Age]]&lt;=30,"Adult",IF(Customer_Details[[#This Row],[Age]]&lt;=50,"Mid-Adult","Senior"))</f>
        <v>Mid-Adult</v>
      </c>
      <c r="E476" s="2" t="s">
        <v>16</v>
      </c>
      <c r="F476" s="2" t="s">
        <v>1447</v>
      </c>
      <c r="G476" s="2" t="s">
        <v>39</v>
      </c>
      <c r="H476" s="2" t="s">
        <v>12</v>
      </c>
      <c r="I476" s="2" t="s">
        <v>19</v>
      </c>
    </row>
    <row r="477" spans="1:9" x14ac:dyDescent="0.3">
      <c r="A477" s="2" t="s">
        <v>1448</v>
      </c>
      <c r="B477" s="2" t="s">
        <v>1449</v>
      </c>
      <c r="C477" s="2">
        <v>18</v>
      </c>
      <c r="D477" s="2" t="str">
        <f>IF(Customer_Details[[#This Row],[Age]]&lt;=30,"Adult",IF(Customer_Details[[#This Row],[Age]]&lt;=50,"Mid-Adult","Senior"))</f>
        <v>Adult</v>
      </c>
      <c r="E477" s="2" t="s">
        <v>16</v>
      </c>
      <c r="F477" s="2" t="s">
        <v>390</v>
      </c>
      <c r="G477" s="2" t="s">
        <v>170</v>
      </c>
      <c r="H477" s="2" t="s">
        <v>12</v>
      </c>
      <c r="I477" s="2" t="s">
        <v>19</v>
      </c>
    </row>
    <row r="478" spans="1:9" x14ac:dyDescent="0.3">
      <c r="A478" s="2" t="s">
        <v>1450</v>
      </c>
      <c r="B478" s="2" t="s">
        <v>1451</v>
      </c>
      <c r="C478" s="2">
        <v>33</v>
      </c>
      <c r="D478" s="2" t="str">
        <f>IF(Customer_Details[[#This Row],[Age]]&lt;=30,"Adult",IF(Customer_Details[[#This Row],[Age]]&lt;=50,"Mid-Adult","Senior"))</f>
        <v>Mid-Adult</v>
      </c>
      <c r="E478" s="2" t="s">
        <v>16</v>
      </c>
      <c r="F478" s="2" t="s">
        <v>1452</v>
      </c>
      <c r="G478" s="2" t="s">
        <v>96</v>
      </c>
      <c r="H478" s="2" t="s">
        <v>12</v>
      </c>
      <c r="I478" s="2" t="s">
        <v>13</v>
      </c>
    </row>
    <row r="479" spans="1:9" x14ac:dyDescent="0.3">
      <c r="A479" s="2" t="s">
        <v>1453</v>
      </c>
      <c r="B479" s="2" t="s">
        <v>1454</v>
      </c>
      <c r="C479" s="2">
        <v>41</v>
      </c>
      <c r="D479" s="2" t="str">
        <f>IF(Customer_Details[[#This Row],[Age]]&lt;=30,"Adult",IF(Customer_Details[[#This Row],[Age]]&lt;=50,"Mid-Adult","Senior"))</f>
        <v>Mid-Adult</v>
      </c>
      <c r="E479" s="2" t="s">
        <v>16</v>
      </c>
      <c r="F479" s="2" t="s">
        <v>1455</v>
      </c>
      <c r="G479" s="2" t="s">
        <v>62</v>
      </c>
      <c r="H479" s="2" t="s">
        <v>12</v>
      </c>
      <c r="I479" s="2" t="s">
        <v>19</v>
      </c>
    </row>
    <row r="480" spans="1:9" x14ac:dyDescent="0.3">
      <c r="A480" s="2" t="s">
        <v>1456</v>
      </c>
      <c r="B480" s="2" t="s">
        <v>3955</v>
      </c>
      <c r="C480" s="2">
        <v>59</v>
      </c>
      <c r="D480" s="2" t="str">
        <f>IF(Customer_Details[[#This Row],[Age]]&lt;=30,"Adult",IF(Customer_Details[[#This Row],[Age]]&lt;=50,"Mid-Adult","Senior"))</f>
        <v>Senior</v>
      </c>
      <c r="E480" s="2" t="s">
        <v>9</v>
      </c>
      <c r="F480" s="2" t="s">
        <v>1457</v>
      </c>
      <c r="G480" s="2" t="s">
        <v>39</v>
      </c>
      <c r="H480" s="2" t="s">
        <v>12</v>
      </c>
      <c r="I480" s="2" t="s">
        <v>13</v>
      </c>
    </row>
    <row r="481" spans="1:9" x14ac:dyDescent="0.3">
      <c r="A481" s="2" t="s">
        <v>1458</v>
      </c>
      <c r="B481" s="2" t="s">
        <v>1459</v>
      </c>
      <c r="C481" s="2">
        <v>40</v>
      </c>
      <c r="D481" s="2" t="str">
        <f>IF(Customer_Details[[#This Row],[Age]]&lt;=30,"Adult",IF(Customer_Details[[#This Row],[Age]]&lt;=50,"Mid-Adult","Senior"))</f>
        <v>Mid-Adult</v>
      </c>
      <c r="E481" s="2" t="s">
        <v>9</v>
      </c>
      <c r="F481" s="2" t="s">
        <v>1460</v>
      </c>
      <c r="G481" s="2" t="s">
        <v>43</v>
      </c>
      <c r="H481" s="2" t="s">
        <v>12</v>
      </c>
      <c r="I481" s="2" t="s">
        <v>26</v>
      </c>
    </row>
    <row r="482" spans="1:9" x14ac:dyDescent="0.3">
      <c r="A482" s="2" t="s">
        <v>1461</v>
      </c>
      <c r="B482" s="2" t="s">
        <v>1462</v>
      </c>
      <c r="C482" s="2">
        <v>33</v>
      </c>
      <c r="D482" s="2" t="str">
        <f>IF(Customer_Details[[#This Row],[Age]]&lt;=30,"Adult",IF(Customer_Details[[#This Row],[Age]]&lt;=50,"Mid-Adult","Senior"))</f>
        <v>Mid-Adult</v>
      </c>
      <c r="E482" s="2" t="s">
        <v>9</v>
      </c>
      <c r="F482" s="2" t="s">
        <v>1463</v>
      </c>
      <c r="G482" s="2" t="s">
        <v>247</v>
      </c>
      <c r="H482" s="2" t="s">
        <v>12</v>
      </c>
      <c r="I482" s="2" t="s">
        <v>26</v>
      </c>
    </row>
    <row r="483" spans="1:9" x14ac:dyDescent="0.3">
      <c r="A483" s="2" t="s">
        <v>1464</v>
      </c>
      <c r="B483" s="2" t="s">
        <v>1465</v>
      </c>
      <c r="C483" s="2">
        <v>21</v>
      </c>
      <c r="D483" s="2" t="str">
        <f>IF(Customer_Details[[#This Row],[Age]]&lt;=30,"Adult",IF(Customer_Details[[#This Row],[Age]]&lt;=50,"Mid-Adult","Senior"))</f>
        <v>Adult</v>
      </c>
      <c r="E483" s="2" t="s">
        <v>9</v>
      </c>
      <c r="F483" s="2" t="s">
        <v>1466</v>
      </c>
      <c r="G483" s="2" t="s">
        <v>81</v>
      </c>
      <c r="H483" s="2" t="s">
        <v>12</v>
      </c>
      <c r="I483" s="2" t="s">
        <v>13</v>
      </c>
    </row>
    <row r="484" spans="1:9" x14ac:dyDescent="0.3">
      <c r="A484" s="2" t="s">
        <v>1467</v>
      </c>
      <c r="B484" s="2" t="s">
        <v>1468</v>
      </c>
      <c r="C484" s="2">
        <v>26</v>
      </c>
      <c r="D484" s="2" t="str">
        <f>IF(Customer_Details[[#This Row],[Age]]&lt;=30,"Adult",IF(Customer_Details[[#This Row],[Age]]&lt;=50,"Mid-Adult","Senior"))</f>
        <v>Adult</v>
      </c>
      <c r="E484" s="2" t="s">
        <v>9</v>
      </c>
      <c r="F484" s="2" t="s">
        <v>1469</v>
      </c>
      <c r="G484" s="2" t="s">
        <v>582</v>
      </c>
      <c r="H484" s="2" t="s">
        <v>12</v>
      </c>
      <c r="I484" s="2" t="s">
        <v>19</v>
      </c>
    </row>
    <row r="485" spans="1:9" x14ac:dyDescent="0.3">
      <c r="A485" s="2" t="s">
        <v>1470</v>
      </c>
      <c r="B485" s="2" t="s">
        <v>1259</v>
      </c>
      <c r="C485" s="2">
        <v>48</v>
      </c>
      <c r="D485" s="2" t="str">
        <f>IF(Customer_Details[[#This Row],[Age]]&lt;=30,"Adult",IF(Customer_Details[[#This Row],[Age]]&lt;=50,"Mid-Adult","Senior"))</f>
        <v>Mid-Adult</v>
      </c>
      <c r="E485" s="2" t="s">
        <v>9</v>
      </c>
      <c r="F485" s="2" t="s">
        <v>1471</v>
      </c>
      <c r="G485" s="2" t="s">
        <v>181</v>
      </c>
      <c r="H485" s="2" t="s">
        <v>12</v>
      </c>
      <c r="I485" s="2" t="s">
        <v>13</v>
      </c>
    </row>
    <row r="486" spans="1:9" x14ac:dyDescent="0.3">
      <c r="A486" s="2" t="s">
        <v>1472</v>
      </c>
      <c r="B486" s="2" t="s">
        <v>1473</v>
      </c>
      <c r="C486" s="2">
        <v>32</v>
      </c>
      <c r="D486" s="2" t="str">
        <f>IF(Customer_Details[[#This Row],[Age]]&lt;=30,"Adult",IF(Customer_Details[[#This Row],[Age]]&lt;=50,"Mid-Adult","Senior"))</f>
        <v>Mid-Adult</v>
      </c>
      <c r="E486" s="2" t="s">
        <v>9</v>
      </c>
      <c r="F486" s="2" t="s">
        <v>1474</v>
      </c>
      <c r="G486" s="2" t="s">
        <v>709</v>
      </c>
      <c r="H486" s="2" t="s">
        <v>12</v>
      </c>
      <c r="I486" s="2" t="s">
        <v>26</v>
      </c>
    </row>
    <row r="487" spans="1:9" x14ac:dyDescent="0.3">
      <c r="A487" s="2" t="s">
        <v>1475</v>
      </c>
      <c r="B487" s="2" t="s">
        <v>1476</v>
      </c>
      <c r="C487" s="2">
        <v>46</v>
      </c>
      <c r="D487" s="2" t="str">
        <f>IF(Customer_Details[[#This Row],[Age]]&lt;=30,"Adult",IF(Customer_Details[[#This Row],[Age]]&lt;=50,"Mid-Adult","Senior"))</f>
        <v>Mid-Adult</v>
      </c>
      <c r="E487" s="2" t="s">
        <v>16</v>
      </c>
      <c r="F487" s="2" t="s">
        <v>1477</v>
      </c>
      <c r="G487" s="2" t="s">
        <v>284</v>
      </c>
      <c r="H487" s="2" t="s">
        <v>12</v>
      </c>
      <c r="I487" s="2" t="s">
        <v>26</v>
      </c>
    </row>
    <row r="488" spans="1:9" x14ac:dyDescent="0.3">
      <c r="A488" s="2" t="s">
        <v>1478</v>
      </c>
      <c r="B488" s="2" t="s">
        <v>1479</v>
      </c>
      <c r="C488" s="2">
        <v>22</v>
      </c>
      <c r="D488" s="2" t="str">
        <f>IF(Customer_Details[[#This Row],[Age]]&lt;=30,"Adult",IF(Customer_Details[[#This Row],[Age]]&lt;=50,"Mid-Adult","Senior"))</f>
        <v>Adult</v>
      </c>
      <c r="E488" s="2" t="s">
        <v>16</v>
      </c>
      <c r="F488" s="2" t="s">
        <v>1480</v>
      </c>
      <c r="G488" s="2" t="s">
        <v>170</v>
      </c>
      <c r="H488" s="2" t="s">
        <v>12</v>
      </c>
      <c r="I488" s="2" t="s">
        <v>26</v>
      </c>
    </row>
    <row r="489" spans="1:9" x14ac:dyDescent="0.3">
      <c r="A489" s="2" t="s">
        <v>1481</v>
      </c>
      <c r="B489" s="2" t="s">
        <v>1482</v>
      </c>
      <c r="C489" s="2">
        <v>36</v>
      </c>
      <c r="D489" s="2" t="str">
        <f>IF(Customer_Details[[#This Row],[Age]]&lt;=30,"Adult",IF(Customer_Details[[#This Row],[Age]]&lt;=50,"Mid-Adult","Senior"))</f>
        <v>Mid-Adult</v>
      </c>
      <c r="E489" s="2" t="s">
        <v>16</v>
      </c>
      <c r="F489" s="2" t="s">
        <v>1483</v>
      </c>
      <c r="G489" s="2" t="s">
        <v>117</v>
      </c>
      <c r="H489" s="2" t="s">
        <v>12</v>
      </c>
      <c r="I489" s="2" t="s">
        <v>19</v>
      </c>
    </row>
    <row r="490" spans="1:9" x14ac:dyDescent="0.3">
      <c r="A490" s="2" t="s">
        <v>1484</v>
      </c>
      <c r="B490" s="2" t="s">
        <v>1485</v>
      </c>
      <c r="C490" s="2">
        <v>23</v>
      </c>
      <c r="D490" s="2" t="str">
        <f>IF(Customer_Details[[#This Row],[Age]]&lt;=30,"Adult",IF(Customer_Details[[#This Row],[Age]]&lt;=50,"Mid-Adult","Senior"))</f>
        <v>Adult</v>
      </c>
      <c r="E490" s="2" t="s">
        <v>16</v>
      </c>
      <c r="F490" s="2" t="s">
        <v>1486</v>
      </c>
      <c r="G490" s="2" t="s">
        <v>30</v>
      </c>
      <c r="H490" s="2" t="s">
        <v>12</v>
      </c>
      <c r="I490" s="2" t="s">
        <v>19</v>
      </c>
    </row>
    <row r="491" spans="1:9" x14ac:dyDescent="0.3">
      <c r="A491" s="2" t="s">
        <v>1487</v>
      </c>
      <c r="B491" s="2" t="s">
        <v>1488</v>
      </c>
      <c r="C491" s="2">
        <v>42</v>
      </c>
      <c r="D491" s="2" t="str">
        <f>IF(Customer_Details[[#This Row],[Age]]&lt;=30,"Adult",IF(Customer_Details[[#This Row],[Age]]&lt;=50,"Mid-Adult","Senior"))</f>
        <v>Mid-Adult</v>
      </c>
      <c r="E491" s="2" t="s">
        <v>16</v>
      </c>
      <c r="F491" s="2" t="s">
        <v>1489</v>
      </c>
      <c r="G491" s="2" t="s">
        <v>251</v>
      </c>
      <c r="H491" s="2" t="s">
        <v>12</v>
      </c>
      <c r="I491" s="2" t="s">
        <v>31</v>
      </c>
    </row>
    <row r="492" spans="1:9" x14ac:dyDescent="0.3">
      <c r="A492" s="2" t="s">
        <v>1490</v>
      </c>
      <c r="B492" s="2" t="s">
        <v>1491</v>
      </c>
      <c r="C492" s="2">
        <v>23</v>
      </c>
      <c r="D492" s="2" t="str">
        <f>IF(Customer_Details[[#This Row],[Age]]&lt;=30,"Adult",IF(Customer_Details[[#This Row],[Age]]&lt;=50,"Mid-Adult","Senior"))</f>
        <v>Adult</v>
      </c>
      <c r="E492" s="2" t="s">
        <v>9</v>
      </c>
      <c r="F492" s="2" t="s">
        <v>1492</v>
      </c>
      <c r="G492" s="2" t="s">
        <v>139</v>
      </c>
      <c r="H492" s="2" t="s">
        <v>12</v>
      </c>
      <c r="I492" s="2" t="s">
        <v>19</v>
      </c>
    </row>
    <row r="493" spans="1:9" x14ac:dyDescent="0.3">
      <c r="A493" s="2" t="s">
        <v>1493</v>
      </c>
      <c r="B493" s="2" t="s">
        <v>1494</v>
      </c>
      <c r="C493" s="2">
        <v>52</v>
      </c>
      <c r="D493" s="2" t="str">
        <f>IF(Customer_Details[[#This Row],[Age]]&lt;=30,"Adult",IF(Customer_Details[[#This Row],[Age]]&lt;=50,"Mid-Adult","Senior"))</f>
        <v>Senior</v>
      </c>
      <c r="E493" s="2" t="s">
        <v>16</v>
      </c>
      <c r="F493" s="2" t="s">
        <v>1495</v>
      </c>
      <c r="G493" s="2" t="s">
        <v>39</v>
      </c>
      <c r="H493" s="2" t="s">
        <v>12</v>
      </c>
      <c r="I493" s="2" t="s">
        <v>13</v>
      </c>
    </row>
    <row r="494" spans="1:9" x14ac:dyDescent="0.3">
      <c r="A494" s="2" t="s">
        <v>1496</v>
      </c>
      <c r="B494" s="2" t="s">
        <v>1497</v>
      </c>
      <c r="C494" s="2">
        <v>59</v>
      </c>
      <c r="D494" s="2" t="str">
        <f>IF(Customer_Details[[#This Row],[Age]]&lt;=30,"Adult",IF(Customer_Details[[#This Row],[Age]]&lt;=50,"Mid-Adult","Senior"))</f>
        <v>Senior</v>
      </c>
      <c r="E494" s="2" t="s">
        <v>16</v>
      </c>
      <c r="F494" s="2" t="s">
        <v>1498</v>
      </c>
      <c r="G494" s="2" t="s">
        <v>247</v>
      </c>
      <c r="H494" s="2" t="s">
        <v>12</v>
      </c>
      <c r="I494" s="2" t="s">
        <v>19</v>
      </c>
    </row>
    <row r="495" spans="1:9" x14ac:dyDescent="0.3">
      <c r="A495" s="2" t="s">
        <v>1499</v>
      </c>
      <c r="B495" s="2" t="s">
        <v>1500</v>
      </c>
      <c r="C495" s="2">
        <v>28</v>
      </c>
      <c r="D495" s="2" t="str">
        <f>IF(Customer_Details[[#This Row],[Age]]&lt;=30,"Adult",IF(Customer_Details[[#This Row],[Age]]&lt;=50,"Mid-Adult","Senior"))</f>
        <v>Adult</v>
      </c>
      <c r="E495" s="2" t="s">
        <v>9</v>
      </c>
      <c r="F495" s="2" t="s">
        <v>84</v>
      </c>
      <c r="G495" s="2" t="s">
        <v>22</v>
      </c>
      <c r="H495" s="2" t="s">
        <v>12</v>
      </c>
      <c r="I495" s="2" t="s">
        <v>31</v>
      </c>
    </row>
    <row r="496" spans="1:9" x14ac:dyDescent="0.3">
      <c r="A496" s="2" t="s">
        <v>1501</v>
      </c>
      <c r="B496" s="2" t="s">
        <v>1502</v>
      </c>
      <c r="C496" s="2">
        <v>21</v>
      </c>
      <c r="D496" s="2" t="str">
        <f>IF(Customer_Details[[#This Row],[Age]]&lt;=30,"Adult",IF(Customer_Details[[#This Row],[Age]]&lt;=50,"Mid-Adult","Senior"))</f>
        <v>Adult</v>
      </c>
      <c r="E496" s="2" t="s">
        <v>9</v>
      </c>
      <c r="F496" s="2" t="s">
        <v>1503</v>
      </c>
      <c r="G496" s="2" t="s">
        <v>354</v>
      </c>
      <c r="H496" s="2" t="s">
        <v>12</v>
      </c>
      <c r="I496" s="2" t="s">
        <v>13</v>
      </c>
    </row>
    <row r="497" spans="1:9" x14ac:dyDescent="0.3">
      <c r="A497" s="2" t="s">
        <v>1504</v>
      </c>
      <c r="B497" s="2" t="s">
        <v>1505</v>
      </c>
      <c r="C497" s="2">
        <v>23</v>
      </c>
      <c r="D497" s="2" t="str">
        <f>IF(Customer_Details[[#This Row],[Age]]&lt;=30,"Adult",IF(Customer_Details[[#This Row],[Age]]&lt;=50,"Mid-Adult","Senior"))</f>
        <v>Adult</v>
      </c>
      <c r="E497" s="2" t="s">
        <v>16</v>
      </c>
      <c r="F497" s="2" t="s">
        <v>1506</v>
      </c>
      <c r="G497" s="2" t="s">
        <v>92</v>
      </c>
      <c r="H497" s="2" t="s">
        <v>12</v>
      </c>
      <c r="I497" s="2" t="s">
        <v>26</v>
      </c>
    </row>
    <row r="498" spans="1:9" x14ac:dyDescent="0.3">
      <c r="A498" s="2" t="s">
        <v>1507</v>
      </c>
      <c r="B498" s="2" t="s">
        <v>1508</v>
      </c>
      <c r="C498" s="2">
        <v>56</v>
      </c>
      <c r="D498" s="2" t="str">
        <f>IF(Customer_Details[[#This Row],[Age]]&lt;=30,"Adult",IF(Customer_Details[[#This Row],[Age]]&lt;=50,"Mid-Adult","Senior"))</f>
        <v>Senior</v>
      </c>
      <c r="E498" s="2" t="s">
        <v>9</v>
      </c>
      <c r="F498" s="2" t="s">
        <v>1509</v>
      </c>
      <c r="G498" s="2" t="s">
        <v>25</v>
      </c>
      <c r="H498" s="2" t="s">
        <v>12</v>
      </c>
      <c r="I498" s="2" t="s">
        <v>26</v>
      </c>
    </row>
    <row r="499" spans="1:9" x14ac:dyDescent="0.3">
      <c r="A499" s="2" t="s">
        <v>1510</v>
      </c>
      <c r="B499" s="2" t="s">
        <v>1511</v>
      </c>
      <c r="C499" s="2">
        <v>47</v>
      </c>
      <c r="D499" s="2" t="str">
        <f>IF(Customer_Details[[#This Row],[Age]]&lt;=30,"Adult",IF(Customer_Details[[#This Row],[Age]]&lt;=50,"Mid-Adult","Senior"))</f>
        <v>Mid-Adult</v>
      </c>
      <c r="E499" s="2" t="s">
        <v>16</v>
      </c>
      <c r="F499" s="2" t="s">
        <v>1512</v>
      </c>
      <c r="G499" s="2" t="s">
        <v>58</v>
      </c>
      <c r="H499" s="2" t="s">
        <v>12</v>
      </c>
      <c r="I499" s="2" t="s">
        <v>13</v>
      </c>
    </row>
    <row r="500" spans="1:9" x14ac:dyDescent="0.3">
      <c r="A500" s="2" t="s">
        <v>1513</v>
      </c>
      <c r="B500" s="2" t="s">
        <v>1514</v>
      </c>
      <c r="C500" s="2">
        <v>35</v>
      </c>
      <c r="D500" s="2" t="str">
        <f>IF(Customer_Details[[#This Row],[Age]]&lt;=30,"Adult",IF(Customer_Details[[#This Row],[Age]]&lt;=50,"Mid-Adult","Senior"))</f>
        <v>Mid-Adult</v>
      </c>
      <c r="E500" s="2" t="s">
        <v>9</v>
      </c>
      <c r="F500" s="2" t="s">
        <v>1515</v>
      </c>
      <c r="G500" s="2" t="s">
        <v>230</v>
      </c>
      <c r="H500" s="2" t="s">
        <v>12</v>
      </c>
      <c r="I500" s="2" t="s">
        <v>31</v>
      </c>
    </row>
    <row r="501" spans="1:9" x14ac:dyDescent="0.3">
      <c r="A501" s="2" t="s">
        <v>1516</v>
      </c>
      <c r="B501" s="2" t="s">
        <v>1517</v>
      </c>
      <c r="C501" s="2">
        <v>27</v>
      </c>
      <c r="D501" s="2" t="str">
        <f>IF(Customer_Details[[#This Row],[Age]]&lt;=30,"Adult",IF(Customer_Details[[#This Row],[Age]]&lt;=50,"Mid-Adult","Senior"))</f>
        <v>Adult</v>
      </c>
      <c r="E501" s="2" t="s">
        <v>16</v>
      </c>
      <c r="F501" s="2" t="s">
        <v>1518</v>
      </c>
      <c r="G501" s="2" t="s">
        <v>35</v>
      </c>
      <c r="H501" s="2" t="s">
        <v>12</v>
      </c>
      <c r="I501" s="2" t="s">
        <v>19</v>
      </c>
    </row>
  </sheetData>
  <phoneticPr fontId="2" type="noConversion"/>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01"/>
  <sheetViews>
    <sheetView topLeftCell="A89" workbookViewId="0">
      <selection activeCell="A92" sqref="A92:XFD92"/>
    </sheetView>
  </sheetViews>
  <sheetFormatPr defaultRowHeight="14.4" x14ac:dyDescent="0.3"/>
  <cols>
    <col min="1" max="1" width="22.109375" customWidth="1"/>
    <col min="2" max="2" width="36.44140625" customWidth="1"/>
    <col min="3" max="3" width="16.88671875" customWidth="1"/>
    <col min="4" max="4" width="22" customWidth="1"/>
    <col min="5" max="5" width="25.33203125" customWidth="1"/>
    <col min="6" max="7" width="20.5546875" customWidth="1"/>
  </cols>
  <sheetData>
    <row r="1" spans="1:7" x14ac:dyDescent="0.3">
      <c r="A1" s="6" t="s">
        <v>1519</v>
      </c>
      <c r="B1" s="3" t="s">
        <v>1520</v>
      </c>
      <c r="C1" s="1" t="s">
        <v>1521</v>
      </c>
      <c r="D1" s="3" t="s">
        <v>1522</v>
      </c>
      <c r="E1" s="1" t="s">
        <v>1523</v>
      </c>
      <c r="F1" s="9" t="s">
        <v>1524</v>
      </c>
      <c r="G1" s="9" t="s">
        <v>1525</v>
      </c>
    </row>
    <row r="2" spans="1:7" x14ac:dyDescent="0.3">
      <c r="A2" s="5" t="s">
        <v>1526</v>
      </c>
      <c r="B2" s="4" t="s">
        <v>3814</v>
      </c>
      <c r="C2" s="4" t="s">
        <v>1546</v>
      </c>
      <c r="D2" s="4" t="s">
        <v>3815</v>
      </c>
      <c r="E2" s="4" t="s">
        <v>1528</v>
      </c>
      <c r="F2" s="10">
        <v>112.42</v>
      </c>
      <c r="G2" s="12">
        <v>416</v>
      </c>
    </row>
    <row r="3" spans="1:7" x14ac:dyDescent="0.3">
      <c r="A3" s="5" t="s">
        <v>1529</v>
      </c>
      <c r="B3" s="4" t="s">
        <v>3816</v>
      </c>
      <c r="C3" s="4" t="s">
        <v>1530</v>
      </c>
      <c r="D3" s="4" t="s">
        <v>3817</v>
      </c>
      <c r="E3" s="4" t="s">
        <v>1531</v>
      </c>
      <c r="F3" s="10">
        <v>342.56</v>
      </c>
      <c r="G3" s="12">
        <v>181</v>
      </c>
    </row>
    <row r="4" spans="1:7" x14ac:dyDescent="0.3">
      <c r="A4" s="5" t="s">
        <v>1532</v>
      </c>
      <c r="B4" s="4" t="s">
        <v>3818</v>
      </c>
      <c r="C4" s="4" t="s">
        <v>1530</v>
      </c>
      <c r="D4" s="4" t="s">
        <v>3819</v>
      </c>
      <c r="E4" s="4" t="s">
        <v>1533</v>
      </c>
      <c r="F4" s="10">
        <v>296.82666666666665</v>
      </c>
      <c r="G4" s="12">
        <v>352</v>
      </c>
    </row>
    <row r="5" spans="1:7" x14ac:dyDescent="0.3">
      <c r="A5" s="5" t="s">
        <v>1534</v>
      </c>
      <c r="B5" s="4" t="s">
        <v>3820</v>
      </c>
      <c r="C5" s="4" t="s">
        <v>1530</v>
      </c>
      <c r="D5" s="4" t="s">
        <v>3819</v>
      </c>
      <c r="E5" s="4" t="s">
        <v>1535</v>
      </c>
      <c r="F5" s="10">
        <v>364.67</v>
      </c>
      <c r="G5" s="12">
        <v>452</v>
      </c>
    </row>
    <row r="6" spans="1:7" x14ac:dyDescent="0.3">
      <c r="A6" s="5" t="s">
        <v>1536</v>
      </c>
      <c r="B6" s="4" t="s">
        <v>3821</v>
      </c>
      <c r="C6" s="4" t="s">
        <v>1530</v>
      </c>
      <c r="D6" s="4" t="s">
        <v>3822</v>
      </c>
      <c r="E6" s="4" t="s">
        <v>1537</v>
      </c>
      <c r="F6" s="10">
        <v>306.45999999999998</v>
      </c>
      <c r="G6" s="12">
        <v>487</v>
      </c>
    </row>
    <row r="7" spans="1:7" x14ac:dyDescent="0.3">
      <c r="A7" s="5" t="s">
        <v>1538</v>
      </c>
      <c r="B7" s="4" t="s">
        <v>3823</v>
      </c>
      <c r="C7" s="4" t="s">
        <v>1530</v>
      </c>
      <c r="D7" s="4" t="s">
        <v>3824</v>
      </c>
      <c r="E7" s="4" t="s">
        <v>1539</v>
      </c>
      <c r="F7" s="10">
        <v>261</v>
      </c>
      <c r="G7" s="12">
        <v>59</v>
      </c>
    </row>
    <row r="8" spans="1:7" x14ac:dyDescent="0.3">
      <c r="A8" s="5" t="s">
        <v>1540</v>
      </c>
      <c r="B8" s="4" t="s">
        <v>3825</v>
      </c>
      <c r="C8" s="4" t="s">
        <v>1541</v>
      </c>
      <c r="D8" s="4" t="s">
        <v>3826</v>
      </c>
      <c r="E8" s="4" t="s">
        <v>1542</v>
      </c>
      <c r="F8" s="10">
        <v>312.8</v>
      </c>
      <c r="G8" s="12">
        <v>350</v>
      </c>
    </row>
    <row r="9" spans="1:7" x14ac:dyDescent="0.3">
      <c r="A9" s="5" t="s">
        <v>1543</v>
      </c>
      <c r="B9" s="4" t="s">
        <v>3827</v>
      </c>
      <c r="C9" s="4" t="s">
        <v>1527</v>
      </c>
      <c r="D9" s="4" t="s">
        <v>3828</v>
      </c>
      <c r="E9" s="4" t="s">
        <v>1544</v>
      </c>
      <c r="F9" s="10">
        <v>218.86</v>
      </c>
      <c r="G9" s="12">
        <v>170</v>
      </c>
    </row>
    <row r="10" spans="1:7" x14ac:dyDescent="0.3">
      <c r="A10" s="5" t="s">
        <v>1545</v>
      </c>
      <c r="B10" s="4" t="s">
        <v>3829</v>
      </c>
      <c r="C10" s="4" t="s">
        <v>1546</v>
      </c>
      <c r="D10" s="4" t="s">
        <v>3830</v>
      </c>
      <c r="E10" s="4" t="s">
        <v>1547</v>
      </c>
      <c r="F10" s="10">
        <v>439.07</v>
      </c>
      <c r="G10" s="12">
        <v>142</v>
      </c>
    </row>
    <row r="11" spans="1:7" x14ac:dyDescent="0.3">
      <c r="A11" s="5" t="s">
        <v>1548</v>
      </c>
      <c r="B11" s="4" t="s">
        <v>3831</v>
      </c>
      <c r="C11" s="4" t="s">
        <v>1549</v>
      </c>
      <c r="D11" s="4" t="s">
        <v>3832</v>
      </c>
      <c r="E11" s="4" t="s">
        <v>1550</v>
      </c>
      <c r="F11" s="10">
        <v>495.72</v>
      </c>
      <c r="G11" s="12">
        <v>323</v>
      </c>
    </row>
    <row r="12" spans="1:7" x14ac:dyDescent="0.3">
      <c r="A12" s="5" t="s">
        <v>1551</v>
      </c>
      <c r="B12" s="4" t="s">
        <v>3833</v>
      </c>
      <c r="C12" s="4" t="s">
        <v>1527</v>
      </c>
      <c r="D12" s="4" t="s">
        <v>3834</v>
      </c>
      <c r="E12" s="4" t="s">
        <v>1552</v>
      </c>
      <c r="F12" s="10">
        <v>298.86</v>
      </c>
      <c r="G12" s="12">
        <v>308</v>
      </c>
    </row>
    <row r="13" spans="1:7" x14ac:dyDescent="0.3">
      <c r="A13" s="5" t="s">
        <v>1553</v>
      </c>
      <c r="B13" s="4" t="s">
        <v>3835</v>
      </c>
      <c r="C13" s="4" t="s">
        <v>1546</v>
      </c>
      <c r="D13" s="4" t="s">
        <v>3824</v>
      </c>
      <c r="E13" s="4" t="s">
        <v>1554</v>
      </c>
      <c r="F13" s="10">
        <v>449.4</v>
      </c>
      <c r="G13" s="12">
        <v>338</v>
      </c>
    </row>
    <row r="14" spans="1:7" x14ac:dyDescent="0.3">
      <c r="A14" s="5" t="s">
        <v>1555</v>
      </c>
      <c r="B14" s="4" t="s">
        <v>3836</v>
      </c>
      <c r="C14" s="4" t="s">
        <v>1541</v>
      </c>
      <c r="D14" s="4" t="s">
        <v>3837</v>
      </c>
      <c r="E14" s="4" t="s">
        <v>1556</v>
      </c>
      <c r="F14" s="10">
        <v>115.82</v>
      </c>
      <c r="G14" s="12">
        <v>460</v>
      </c>
    </row>
    <row r="15" spans="1:7" x14ac:dyDescent="0.3">
      <c r="A15" s="5" t="s">
        <v>1557</v>
      </c>
      <c r="B15" s="4" t="s">
        <v>3838</v>
      </c>
      <c r="C15" s="4" t="s">
        <v>1546</v>
      </c>
      <c r="D15" s="4" t="s">
        <v>3824</v>
      </c>
      <c r="E15" s="4" t="s">
        <v>1558</v>
      </c>
      <c r="F15" s="10">
        <v>242.23</v>
      </c>
      <c r="G15" s="12">
        <v>453</v>
      </c>
    </row>
    <row r="16" spans="1:7" x14ac:dyDescent="0.3">
      <c r="A16" s="5" t="s">
        <v>1559</v>
      </c>
      <c r="B16" s="4" t="s">
        <v>3839</v>
      </c>
      <c r="C16" s="4" t="s">
        <v>1527</v>
      </c>
      <c r="D16" s="4" t="s">
        <v>3840</v>
      </c>
      <c r="E16" s="4" t="s">
        <v>1560</v>
      </c>
      <c r="F16" s="10">
        <v>48.01</v>
      </c>
      <c r="G16" s="12">
        <v>439</v>
      </c>
    </row>
    <row r="17" spans="1:7" x14ac:dyDescent="0.3">
      <c r="A17" s="5" t="s">
        <v>1561</v>
      </c>
      <c r="B17" s="4" t="s">
        <v>3841</v>
      </c>
      <c r="C17" s="4" t="s">
        <v>1546</v>
      </c>
      <c r="D17" s="4" t="s">
        <v>3842</v>
      </c>
      <c r="E17" s="4" t="s">
        <v>1562</v>
      </c>
      <c r="F17" s="10">
        <v>465.34</v>
      </c>
      <c r="G17" s="12">
        <v>301</v>
      </c>
    </row>
    <row r="18" spans="1:7" x14ac:dyDescent="0.3">
      <c r="A18" s="5" t="s">
        <v>1563</v>
      </c>
      <c r="B18" s="4" t="s">
        <v>3843</v>
      </c>
      <c r="C18" s="4" t="s">
        <v>1541</v>
      </c>
      <c r="D18" s="4" t="s">
        <v>3844</v>
      </c>
      <c r="E18" s="4" t="s">
        <v>1564</v>
      </c>
      <c r="F18" s="10">
        <v>337.42</v>
      </c>
      <c r="G18" s="12">
        <v>256</v>
      </c>
    </row>
    <row r="19" spans="1:7" x14ac:dyDescent="0.3">
      <c r="A19" s="5" t="s">
        <v>1565</v>
      </c>
      <c r="B19" s="4" t="s">
        <v>3845</v>
      </c>
      <c r="C19" s="4" t="s">
        <v>1549</v>
      </c>
      <c r="D19" s="4" t="s">
        <v>3824</v>
      </c>
      <c r="E19" s="4" t="s">
        <v>1566</v>
      </c>
      <c r="F19" s="10">
        <v>144.53</v>
      </c>
      <c r="G19" s="12">
        <v>367</v>
      </c>
    </row>
    <row r="20" spans="1:7" x14ac:dyDescent="0.3">
      <c r="A20" s="5" t="s">
        <v>1567</v>
      </c>
      <c r="B20" s="4" t="s">
        <v>3846</v>
      </c>
      <c r="C20" s="4" t="s">
        <v>1530</v>
      </c>
      <c r="D20" s="4" t="s">
        <v>3822</v>
      </c>
      <c r="E20" s="4" t="s">
        <v>1568</v>
      </c>
      <c r="F20" s="10">
        <v>303.74666666666667</v>
      </c>
      <c r="G20" s="12">
        <v>343</v>
      </c>
    </row>
    <row r="21" spans="1:7" x14ac:dyDescent="0.3">
      <c r="A21" s="5" t="s">
        <v>1569</v>
      </c>
      <c r="B21" s="4" t="s">
        <v>3847</v>
      </c>
      <c r="C21" s="4" t="s">
        <v>1549</v>
      </c>
      <c r="D21" s="4" t="s">
        <v>3848</v>
      </c>
      <c r="E21" s="4" t="s">
        <v>1570</v>
      </c>
      <c r="F21" s="10">
        <v>21.34</v>
      </c>
      <c r="G21" s="12">
        <v>65</v>
      </c>
    </row>
    <row r="22" spans="1:7" x14ac:dyDescent="0.3">
      <c r="A22" s="5" t="s">
        <v>1571</v>
      </c>
      <c r="B22" s="4" t="s">
        <v>3849</v>
      </c>
      <c r="C22" s="4" t="s">
        <v>1549</v>
      </c>
      <c r="D22" s="4" t="s">
        <v>3824</v>
      </c>
      <c r="E22" s="4" t="s">
        <v>1572</v>
      </c>
      <c r="F22" s="10">
        <v>131.51</v>
      </c>
      <c r="G22" s="12">
        <v>199.2</v>
      </c>
    </row>
    <row r="23" spans="1:7" x14ac:dyDescent="0.3">
      <c r="A23" s="5" t="s">
        <v>1573</v>
      </c>
      <c r="B23" s="4" t="s">
        <v>3850</v>
      </c>
      <c r="C23" s="4" t="s">
        <v>1527</v>
      </c>
      <c r="D23" s="4" t="s">
        <v>3851</v>
      </c>
      <c r="E23" s="4" t="s">
        <v>1574</v>
      </c>
      <c r="F23" s="10">
        <v>123.46</v>
      </c>
      <c r="G23" s="12">
        <v>76</v>
      </c>
    </row>
    <row r="24" spans="1:7" x14ac:dyDescent="0.3">
      <c r="A24" s="5" t="s">
        <v>1575</v>
      </c>
      <c r="B24" s="4" t="s">
        <v>3852</v>
      </c>
      <c r="C24" s="4" t="s">
        <v>1549</v>
      </c>
      <c r="D24" s="4" t="s">
        <v>3848</v>
      </c>
      <c r="E24" s="4" t="s">
        <v>1576</v>
      </c>
      <c r="F24" s="10">
        <v>484.62</v>
      </c>
      <c r="G24" s="12">
        <v>432</v>
      </c>
    </row>
    <row r="25" spans="1:7" x14ac:dyDescent="0.3">
      <c r="A25" s="5" t="s">
        <v>1577</v>
      </c>
      <c r="B25" s="4" t="s">
        <v>3853</v>
      </c>
      <c r="C25" s="4" t="s">
        <v>1530</v>
      </c>
      <c r="D25" s="4" t="s">
        <v>3817</v>
      </c>
      <c r="E25" s="4" t="s">
        <v>1578</v>
      </c>
      <c r="F25" s="10">
        <v>282.995</v>
      </c>
      <c r="G25" s="12">
        <v>360</v>
      </c>
    </row>
    <row r="26" spans="1:7" x14ac:dyDescent="0.3">
      <c r="A26" s="5" t="s">
        <v>1579</v>
      </c>
      <c r="B26" s="4" t="s">
        <v>3854</v>
      </c>
      <c r="C26" s="4" t="s">
        <v>1549</v>
      </c>
      <c r="D26" s="4" t="s">
        <v>3855</v>
      </c>
      <c r="E26" s="4" t="s">
        <v>1580</v>
      </c>
      <c r="F26" s="10">
        <v>166.06</v>
      </c>
      <c r="G26" s="12">
        <v>340</v>
      </c>
    </row>
    <row r="27" spans="1:7" x14ac:dyDescent="0.3">
      <c r="A27" s="5" t="s">
        <v>1581</v>
      </c>
      <c r="B27" s="4" t="s">
        <v>3856</v>
      </c>
      <c r="C27" s="4" t="s">
        <v>1530</v>
      </c>
      <c r="D27" s="4" t="s">
        <v>3824</v>
      </c>
      <c r="E27" s="4" t="s">
        <v>1582</v>
      </c>
      <c r="F27" s="10">
        <v>174.02</v>
      </c>
      <c r="G27" s="12">
        <v>268</v>
      </c>
    </row>
    <row r="28" spans="1:7" x14ac:dyDescent="0.3">
      <c r="A28" s="5" t="s">
        <v>1583</v>
      </c>
      <c r="B28" s="4" t="s">
        <v>3857</v>
      </c>
      <c r="C28" s="4" t="s">
        <v>1546</v>
      </c>
      <c r="D28" s="4" t="s">
        <v>3830</v>
      </c>
      <c r="E28" s="4" t="s">
        <v>1584</v>
      </c>
      <c r="F28" s="10">
        <v>322.41000000000003</v>
      </c>
      <c r="G28" s="12">
        <v>213</v>
      </c>
    </row>
    <row r="29" spans="1:7" x14ac:dyDescent="0.3">
      <c r="A29" s="5" t="s">
        <v>1585</v>
      </c>
      <c r="B29" s="4" t="s">
        <v>3858</v>
      </c>
      <c r="C29" s="4" t="s">
        <v>1527</v>
      </c>
      <c r="D29" s="4" t="s">
        <v>3840</v>
      </c>
      <c r="E29" s="4" t="s">
        <v>1586</v>
      </c>
      <c r="F29" s="10">
        <v>219.12333333333333</v>
      </c>
      <c r="G29" s="12">
        <v>378</v>
      </c>
    </row>
    <row r="30" spans="1:7" x14ac:dyDescent="0.3">
      <c r="A30" s="5" t="s">
        <v>1587</v>
      </c>
      <c r="B30" s="4" t="s">
        <v>3859</v>
      </c>
      <c r="C30" s="4" t="s">
        <v>1549</v>
      </c>
      <c r="D30" s="4" t="s">
        <v>3824</v>
      </c>
      <c r="E30" s="4" t="s">
        <v>1588</v>
      </c>
      <c r="F30" s="10">
        <v>38.76</v>
      </c>
      <c r="G30" s="12">
        <v>137</v>
      </c>
    </row>
    <row r="31" spans="1:7" x14ac:dyDescent="0.3">
      <c r="A31" s="5" t="s">
        <v>1589</v>
      </c>
      <c r="B31" s="4" t="s">
        <v>3860</v>
      </c>
      <c r="C31" s="4" t="s">
        <v>1527</v>
      </c>
      <c r="D31" s="4" t="s">
        <v>3840</v>
      </c>
      <c r="E31" s="4" t="s">
        <v>1590</v>
      </c>
      <c r="F31" s="10">
        <v>218.48</v>
      </c>
      <c r="G31" s="12">
        <v>276</v>
      </c>
    </row>
    <row r="32" spans="1:7" x14ac:dyDescent="0.3">
      <c r="A32" s="5" t="s">
        <v>1591</v>
      </c>
      <c r="B32" s="4" t="s">
        <v>3861</v>
      </c>
      <c r="C32" s="4" t="s">
        <v>1527</v>
      </c>
      <c r="D32" s="4" t="s">
        <v>3834</v>
      </c>
      <c r="E32" s="4" t="s">
        <v>1592</v>
      </c>
      <c r="F32" s="10">
        <v>19.52</v>
      </c>
      <c r="G32" s="12">
        <v>57</v>
      </c>
    </row>
    <row r="33" spans="1:7" x14ac:dyDescent="0.3">
      <c r="A33" s="5" t="s">
        <v>1593</v>
      </c>
      <c r="B33" s="4" t="s">
        <v>3862</v>
      </c>
      <c r="C33" s="4" t="s">
        <v>1549</v>
      </c>
      <c r="D33" s="4" t="s">
        <v>3863</v>
      </c>
      <c r="E33" s="4" t="s">
        <v>1594</v>
      </c>
      <c r="F33" s="10">
        <v>204.39</v>
      </c>
      <c r="G33" s="12">
        <v>281</v>
      </c>
    </row>
    <row r="34" spans="1:7" x14ac:dyDescent="0.3">
      <c r="A34" s="5" t="s">
        <v>1595</v>
      </c>
      <c r="B34" s="4" t="s">
        <v>3864</v>
      </c>
      <c r="C34" s="4" t="s">
        <v>1541</v>
      </c>
      <c r="D34" s="4" t="s">
        <v>3826</v>
      </c>
      <c r="E34" s="4" t="s">
        <v>1596</v>
      </c>
      <c r="F34" s="10">
        <v>283.83</v>
      </c>
      <c r="G34" s="12">
        <v>244</v>
      </c>
    </row>
    <row r="35" spans="1:7" x14ac:dyDescent="0.3">
      <c r="A35" s="5" t="s">
        <v>1597</v>
      </c>
      <c r="B35" s="4" t="s">
        <v>3865</v>
      </c>
      <c r="C35" s="4" t="s">
        <v>1527</v>
      </c>
      <c r="D35" s="4" t="s">
        <v>3840</v>
      </c>
      <c r="E35" s="4" t="s">
        <v>1598</v>
      </c>
      <c r="F35" s="10">
        <v>179.77</v>
      </c>
      <c r="G35" s="12">
        <v>305</v>
      </c>
    </row>
    <row r="36" spans="1:7" x14ac:dyDescent="0.3">
      <c r="A36" s="5" t="s">
        <v>1599</v>
      </c>
      <c r="B36" s="4" t="s">
        <v>3866</v>
      </c>
      <c r="C36" s="4" t="s">
        <v>1546</v>
      </c>
      <c r="D36" s="4" t="s">
        <v>3815</v>
      </c>
      <c r="E36" s="4" t="s">
        <v>1600</v>
      </c>
      <c r="F36" s="10">
        <v>419.28</v>
      </c>
      <c r="G36" s="12">
        <v>86</v>
      </c>
    </row>
    <row r="37" spans="1:7" x14ac:dyDescent="0.3">
      <c r="A37" s="5" t="s">
        <v>1601</v>
      </c>
      <c r="B37" s="4" t="s">
        <v>3867</v>
      </c>
      <c r="C37" s="4" t="s">
        <v>1527</v>
      </c>
      <c r="D37" s="4" t="s">
        <v>3828</v>
      </c>
      <c r="E37" s="4" t="s">
        <v>1602</v>
      </c>
      <c r="F37" s="10">
        <v>382.22</v>
      </c>
      <c r="G37" s="12">
        <v>329</v>
      </c>
    </row>
    <row r="38" spans="1:7" x14ac:dyDescent="0.3">
      <c r="A38" s="5" t="s">
        <v>1603</v>
      </c>
      <c r="B38" s="4" t="s">
        <v>3868</v>
      </c>
      <c r="C38" s="4" t="s">
        <v>1530</v>
      </c>
      <c r="D38" s="4" t="s">
        <v>3817</v>
      </c>
      <c r="E38" s="4" t="s">
        <v>1604</v>
      </c>
      <c r="F38" s="10">
        <v>223.43</v>
      </c>
      <c r="G38" s="12">
        <v>154</v>
      </c>
    </row>
    <row r="39" spans="1:7" x14ac:dyDescent="0.3">
      <c r="A39" s="5" t="s">
        <v>1605</v>
      </c>
      <c r="B39" s="4" t="s">
        <v>3869</v>
      </c>
      <c r="C39" s="4" t="s">
        <v>1530</v>
      </c>
      <c r="D39" s="4" t="s">
        <v>3870</v>
      </c>
      <c r="E39" s="4" t="s">
        <v>1606</v>
      </c>
      <c r="F39" s="10">
        <v>353.47</v>
      </c>
      <c r="G39" s="12">
        <v>214</v>
      </c>
    </row>
    <row r="40" spans="1:7" x14ac:dyDescent="0.3">
      <c r="A40" s="5" t="s">
        <v>1607</v>
      </c>
      <c r="B40" s="4" t="s">
        <v>3871</v>
      </c>
      <c r="C40" s="4" t="s">
        <v>1549</v>
      </c>
      <c r="D40" s="4" t="s">
        <v>3855</v>
      </c>
      <c r="E40" s="4" t="s">
        <v>1608</v>
      </c>
      <c r="F40" s="10">
        <v>135.61000000000001</v>
      </c>
      <c r="G40" s="12">
        <v>394</v>
      </c>
    </row>
    <row r="41" spans="1:7" x14ac:dyDescent="0.3">
      <c r="A41" s="5" t="s">
        <v>1609</v>
      </c>
      <c r="B41" s="4" t="s">
        <v>3872</v>
      </c>
      <c r="C41" s="4" t="s">
        <v>1546</v>
      </c>
      <c r="D41" s="4" t="s">
        <v>3873</v>
      </c>
      <c r="E41" s="4" t="s">
        <v>1610</v>
      </c>
      <c r="F41" s="10">
        <v>326.06</v>
      </c>
      <c r="G41" s="12">
        <v>301</v>
      </c>
    </row>
    <row r="42" spans="1:7" x14ac:dyDescent="0.3">
      <c r="A42" s="5" t="s">
        <v>1611</v>
      </c>
      <c r="B42" s="4" t="s">
        <v>3874</v>
      </c>
      <c r="C42" s="4" t="s">
        <v>1546</v>
      </c>
      <c r="D42" s="4" t="s">
        <v>3830</v>
      </c>
      <c r="E42" s="4" t="s">
        <v>1612</v>
      </c>
      <c r="F42" s="10">
        <v>38.520000000000003</v>
      </c>
      <c r="G42" s="12">
        <v>378</v>
      </c>
    </row>
    <row r="43" spans="1:7" x14ac:dyDescent="0.3">
      <c r="A43" s="5" t="s">
        <v>1613</v>
      </c>
      <c r="B43" s="4" t="s">
        <v>3875</v>
      </c>
      <c r="C43" s="4" t="s">
        <v>1549</v>
      </c>
      <c r="D43" s="4" t="s">
        <v>3832</v>
      </c>
      <c r="E43" s="4" t="s">
        <v>1614</v>
      </c>
      <c r="F43" s="10">
        <v>313.26</v>
      </c>
      <c r="G43" s="12">
        <v>369</v>
      </c>
    </row>
    <row r="44" spans="1:7" x14ac:dyDescent="0.3">
      <c r="A44" s="5" t="s">
        <v>1615</v>
      </c>
      <c r="B44" s="4" t="s">
        <v>3876</v>
      </c>
      <c r="C44" s="4" t="s">
        <v>1546</v>
      </c>
      <c r="D44" s="4" t="s">
        <v>3824</v>
      </c>
      <c r="E44" s="4" t="s">
        <v>1616</v>
      </c>
      <c r="F44" s="10">
        <v>450.71</v>
      </c>
      <c r="G44" s="12">
        <v>389</v>
      </c>
    </row>
    <row r="45" spans="1:7" x14ac:dyDescent="0.3">
      <c r="A45" s="5" t="s">
        <v>1617</v>
      </c>
      <c r="B45" s="4" t="s">
        <v>3877</v>
      </c>
      <c r="C45" s="4" t="s">
        <v>1546</v>
      </c>
      <c r="D45" s="4" t="s">
        <v>3815</v>
      </c>
      <c r="E45" s="4" t="s">
        <v>1618</v>
      </c>
      <c r="F45" s="10">
        <v>253.33</v>
      </c>
      <c r="G45" s="12">
        <v>266</v>
      </c>
    </row>
    <row r="46" spans="1:7" x14ac:dyDescent="0.3">
      <c r="A46" s="5" t="s">
        <v>1619</v>
      </c>
      <c r="B46" s="4" t="s">
        <v>3878</v>
      </c>
      <c r="C46" s="4" t="s">
        <v>1549</v>
      </c>
      <c r="D46" s="4" t="s">
        <v>3832</v>
      </c>
      <c r="E46" s="4" t="s">
        <v>1620</v>
      </c>
      <c r="F46" s="10">
        <v>167.12</v>
      </c>
      <c r="G46" s="12">
        <v>316</v>
      </c>
    </row>
    <row r="47" spans="1:7" x14ac:dyDescent="0.3">
      <c r="A47" s="5" t="s">
        <v>1621</v>
      </c>
      <c r="B47" s="4" t="s">
        <v>3879</v>
      </c>
      <c r="C47" s="4" t="s">
        <v>1549</v>
      </c>
      <c r="D47" s="4" t="s">
        <v>3863</v>
      </c>
      <c r="E47" s="4" t="s">
        <v>1622</v>
      </c>
      <c r="F47" s="10">
        <v>318.91000000000003</v>
      </c>
      <c r="G47" s="12">
        <v>114</v>
      </c>
    </row>
    <row r="48" spans="1:7" x14ac:dyDescent="0.3">
      <c r="A48" s="5" t="s">
        <v>1623</v>
      </c>
      <c r="B48" s="4" t="s">
        <v>3880</v>
      </c>
      <c r="C48" s="4" t="s">
        <v>1530</v>
      </c>
      <c r="D48" s="4" t="s">
        <v>3819</v>
      </c>
      <c r="E48" s="4" t="s">
        <v>1624</v>
      </c>
      <c r="F48" s="10">
        <v>167.34</v>
      </c>
      <c r="G48" s="12">
        <v>296</v>
      </c>
    </row>
    <row r="49" spans="1:7" x14ac:dyDescent="0.3">
      <c r="A49" s="5" t="s">
        <v>1625</v>
      </c>
      <c r="B49" s="4" t="s">
        <v>3881</v>
      </c>
      <c r="C49" s="4" t="s">
        <v>1541</v>
      </c>
      <c r="D49" s="4" t="s">
        <v>3882</v>
      </c>
      <c r="E49" s="4" t="s">
        <v>1626</v>
      </c>
      <c r="F49" s="10">
        <v>241.07499999999999</v>
      </c>
      <c r="G49" s="12">
        <v>431</v>
      </c>
    </row>
    <row r="50" spans="1:7" x14ac:dyDescent="0.3">
      <c r="A50" s="5" t="s">
        <v>1627</v>
      </c>
      <c r="B50" s="4" t="s">
        <v>3883</v>
      </c>
      <c r="C50" s="4" t="s">
        <v>1546</v>
      </c>
      <c r="D50" s="4" t="s">
        <v>3824</v>
      </c>
      <c r="E50" s="4" t="s">
        <v>1628</v>
      </c>
      <c r="F50" s="10">
        <v>177.98</v>
      </c>
      <c r="G50" s="12">
        <v>103</v>
      </c>
    </row>
    <row r="51" spans="1:7" x14ac:dyDescent="0.3">
      <c r="A51" s="5" t="s">
        <v>1629</v>
      </c>
      <c r="B51" s="4" t="s">
        <v>3884</v>
      </c>
      <c r="C51" s="4" t="s">
        <v>1541</v>
      </c>
      <c r="D51" s="4" t="s">
        <v>3885</v>
      </c>
      <c r="E51" s="4" t="s">
        <v>1630</v>
      </c>
      <c r="F51" s="10">
        <v>43.29</v>
      </c>
      <c r="G51" s="12">
        <v>267</v>
      </c>
    </row>
    <row r="52" spans="1:7" x14ac:dyDescent="0.3">
      <c r="A52" s="5" t="s">
        <v>1631</v>
      </c>
      <c r="B52" s="4" t="s">
        <v>3886</v>
      </c>
      <c r="C52" s="4" t="s">
        <v>1549</v>
      </c>
      <c r="D52" s="4" t="s">
        <v>3832</v>
      </c>
      <c r="E52" s="4" t="s">
        <v>1632</v>
      </c>
      <c r="F52" s="10">
        <v>190.29</v>
      </c>
      <c r="G52" s="12">
        <v>260</v>
      </c>
    </row>
    <row r="53" spans="1:7" x14ac:dyDescent="0.3">
      <c r="A53" s="5" t="s">
        <v>1633</v>
      </c>
      <c r="B53" s="4" t="s">
        <v>3887</v>
      </c>
      <c r="C53" s="4" t="s">
        <v>1546</v>
      </c>
      <c r="D53" s="4" t="s">
        <v>3824</v>
      </c>
      <c r="E53" s="4" t="s">
        <v>1634</v>
      </c>
      <c r="F53" s="10">
        <v>88.49</v>
      </c>
      <c r="G53" s="12">
        <v>246</v>
      </c>
    </row>
    <row r="54" spans="1:7" x14ac:dyDescent="0.3">
      <c r="A54" s="5" t="s">
        <v>1635</v>
      </c>
      <c r="B54" s="4" t="s">
        <v>3888</v>
      </c>
      <c r="C54" s="4" t="s">
        <v>1549</v>
      </c>
      <c r="D54" s="4" t="s">
        <v>3863</v>
      </c>
      <c r="E54" s="4" t="s">
        <v>1636</v>
      </c>
      <c r="F54" s="10">
        <v>212.26</v>
      </c>
      <c r="G54" s="12">
        <v>82</v>
      </c>
    </row>
    <row r="55" spans="1:7" x14ac:dyDescent="0.3">
      <c r="A55" s="5" t="s">
        <v>1637</v>
      </c>
      <c r="B55" s="4" t="s">
        <v>3889</v>
      </c>
      <c r="C55" s="4" t="s">
        <v>1530</v>
      </c>
      <c r="D55" s="4" t="s">
        <v>3822</v>
      </c>
      <c r="E55" s="4" t="s">
        <v>1638</v>
      </c>
      <c r="F55" s="10">
        <v>386.56</v>
      </c>
      <c r="G55" s="12">
        <v>125</v>
      </c>
    </row>
    <row r="56" spans="1:7" x14ac:dyDescent="0.3">
      <c r="A56" s="5" t="s">
        <v>1639</v>
      </c>
      <c r="B56" s="4" t="s">
        <v>3890</v>
      </c>
      <c r="C56" s="4" t="s">
        <v>1549</v>
      </c>
      <c r="D56" s="4" t="s">
        <v>3824</v>
      </c>
      <c r="E56" s="4" t="s">
        <v>1640</v>
      </c>
      <c r="F56" s="10">
        <v>434.84</v>
      </c>
      <c r="G56" s="12">
        <v>185</v>
      </c>
    </row>
    <row r="57" spans="1:7" x14ac:dyDescent="0.3">
      <c r="A57" s="5" t="s">
        <v>1641</v>
      </c>
      <c r="B57" s="4" t="s">
        <v>3891</v>
      </c>
      <c r="C57" s="4" t="s">
        <v>1527</v>
      </c>
      <c r="D57" s="4" t="s">
        <v>3840</v>
      </c>
      <c r="E57" s="4" t="s">
        <v>1642</v>
      </c>
      <c r="F57" s="10">
        <v>81.75</v>
      </c>
      <c r="G57" s="12">
        <v>331.33333333333331</v>
      </c>
    </row>
    <row r="58" spans="1:7" x14ac:dyDescent="0.3">
      <c r="A58" s="5" t="s">
        <v>1643</v>
      </c>
      <c r="B58" s="4" t="s">
        <v>3892</v>
      </c>
      <c r="C58" s="4" t="s">
        <v>1527</v>
      </c>
      <c r="D58" s="4" t="s">
        <v>3840</v>
      </c>
      <c r="E58" s="4" t="s">
        <v>1644</v>
      </c>
      <c r="F58" s="10">
        <v>461.47</v>
      </c>
      <c r="G58" s="12">
        <v>190</v>
      </c>
    </row>
    <row r="59" spans="1:7" x14ac:dyDescent="0.3">
      <c r="A59" s="5" t="s">
        <v>1645</v>
      </c>
      <c r="B59" s="4" t="s">
        <v>3893</v>
      </c>
      <c r="C59" s="4" t="s">
        <v>1549</v>
      </c>
      <c r="D59" s="4" t="s">
        <v>3832</v>
      </c>
      <c r="E59" s="4" t="s">
        <v>1646</v>
      </c>
      <c r="F59" s="10">
        <v>30.62</v>
      </c>
      <c r="G59" s="12">
        <v>138</v>
      </c>
    </row>
    <row r="60" spans="1:7" x14ac:dyDescent="0.3">
      <c r="A60" s="5" t="s">
        <v>1647</v>
      </c>
      <c r="B60" s="4" t="s">
        <v>3894</v>
      </c>
      <c r="C60" s="4" t="s">
        <v>1530</v>
      </c>
      <c r="D60" s="4" t="s">
        <v>3824</v>
      </c>
      <c r="E60" s="4" t="s">
        <v>1648</v>
      </c>
      <c r="F60" s="10">
        <v>113.83</v>
      </c>
      <c r="G60" s="12">
        <v>485</v>
      </c>
    </row>
    <row r="61" spans="1:7" x14ac:dyDescent="0.3">
      <c r="A61" s="5" t="s">
        <v>1649</v>
      </c>
      <c r="B61" s="4" t="s">
        <v>3895</v>
      </c>
      <c r="C61" s="4" t="s">
        <v>1541</v>
      </c>
      <c r="D61" s="4" t="s">
        <v>3837</v>
      </c>
      <c r="E61" s="4" t="s">
        <v>1650</v>
      </c>
      <c r="F61" s="10">
        <v>17.309999999999999</v>
      </c>
      <c r="G61" s="12">
        <v>399</v>
      </c>
    </row>
    <row r="62" spans="1:7" x14ac:dyDescent="0.3">
      <c r="A62" s="5" t="s">
        <v>1651</v>
      </c>
      <c r="B62" s="4" t="s">
        <v>3896</v>
      </c>
      <c r="C62" s="4" t="s">
        <v>1541</v>
      </c>
      <c r="D62" s="4" t="s">
        <v>3885</v>
      </c>
      <c r="E62" s="4" t="s">
        <v>1652</v>
      </c>
      <c r="F62" s="10">
        <v>482.75</v>
      </c>
      <c r="G62" s="12">
        <v>444</v>
      </c>
    </row>
    <row r="63" spans="1:7" x14ac:dyDescent="0.3">
      <c r="A63" s="5" t="s">
        <v>1653</v>
      </c>
      <c r="B63" s="4" t="s">
        <v>3897</v>
      </c>
      <c r="C63" s="4" t="s">
        <v>1549</v>
      </c>
      <c r="D63" s="4" t="s">
        <v>3848</v>
      </c>
      <c r="E63" s="4" t="s">
        <v>1654</v>
      </c>
      <c r="F63" s="10">
        <v>103.45</v>
      </c>
      <c r="G63" s="12">
        <v>465</v>
      </c>
    </row>
    <row r="64" spans="1:7" x14ac:dyDescent="0.3">
      <c r="A64" s="5" t="s">
        <v>1655</v>
      </c>
      <c r="B64" s="4" t="s">
        <v>3898</v>
      </c>
      <c r="C64" s="4" t="s">
        <v>1546</v>
      </c>
      <c r="D64" s="4" t="s">
        <v>3815</v>
      </c>
      <c r="E64" s="4" t="s">
        <v>1656</v>
      </c>
      <c r="F64" s="10">
        <v>86.42</v>
      </c>
      <c r="G64" s="12">
        <v>222</v>
      </c>
    </row>
    <row r="65" spans="1:7" x14ac:dyDescent="0.3">
      <c r="A65" s="5" t="s">
        <v>1657</v>
      </c>
      <c r="B65" s="4" t="s">
        <v>3899</v>
      </c>
      <c r="C65" s="4" t="s">
        <v>1541</v>
      </c>
      <c r="D65" s="4" t="s">
        <v>3826</v>
      </c>
      <c r="E65" s="4" t="s">
        <v>1658</v>
      </c>
      <c r="F65" s="10">
        <v>266.86</v>
      </c>
      <c r="G65" s="12">
        <v>458</v>
      </c>
    </row>
    <row r="66" spans="1:7" x14ac:dyDescent="0.3">
      <c r="A66" s="5" t="s">
        <v>1659</v>
      </c>
      <c r="B66" s="4" t="s">
        <v>3900</v>
      </c>
      <c r="C66" s="4" t="s">
        <v>1541</v>
      </c>
      <c r="D66" s="4" t="s">
        <v>3882</v>
      </c>
      <c r="E66" s="4" t="s">
        <v>1660</v>
      </c>
      <c r="F66" s="10">
        <v>299.11</v>
      </c>
      <c r="G66" s="12">
        <v>118</v>
      </c>
    </row>
    <row r="67" spans="1:7" x14ac:dyDescent="0.3">
      <c r="A67" s="5" t="s">
        <v>1661</v>
      </c>
      <c r="B67" s="4" t="s">
        <v>3901</v>
      </c>
      <c r="C67" s="4" t="s">
        <v>1549</v>
      </c>
      <c r="D67" s="4" t="s">
        <v>3832</v>
      </c>
      <c r="E67" s="4" t="s">
        <v>1662</v>
      </c>
      <c r="F67" s="10">
        <v>240.63</v>
      </c>
      <c r="G67" s="12">
        <v>423</v>
      </c>
    </row>
    <row r="68" spans="1:7" x14ac:dyDescent="0.3">
      <c r="A68" s="5" t="s">
        <v>1663</v>
      </c>
      <c r="B68" s="4" t="s">
        <v>3902</v>
      </c>
      <c r="C68" s="4" t="s">
        <v>1541</v>
      </c>
      <c r="D68" s="4" t="s">
        <v>3837</v>
      </c>
      <c r="E68" s="4" t="s">
        <v>1664</v>
      </c>
      <c r="F68" s="10">
        <v>340.39</v>
      </c>
      <c r="G68" s="12">
        <v>177</v>
      </c>
    </row>
    <row r="69" spans="1:7" x14ac:dyDescent="0.3">
      <c r="A69" s="5" t="s">
        <v>1665</v>
      </c>
      <c r="B69" s="4" t="s">
        <v>3903</v>
      </c>
      <c r="C69" s="4" t="s">
        <v>1546</v>
      </c>
      <c r="D69" s="4" t="s">
        <v>3824</v>
      </c>
      <c r="E69" s="4" t="s">
        <v>1666</v>
      </c>
      <c r="F69" s="10">
        <v>349.17</v>
      </c>
      <c r="G69" s="12">
        <v>476</v>
      </c>
    </row>
    <row r="70" spans="1:7" x14ac:dyDescent="0.3">
      <c r="A70" s="5" t="s">
        <v>1667</v>
      </c>
      <c r="B70" s="4" t="s">
        <v>3904</v>
      </c>
      <c r="C70" s="4" t="s">
        <v>1527</v>
      </c>
      <c r="D70" s="4" t="s">
        <v>3905</v>
      </c>
      <c r="E70" s="4" t="s">
        <v>1668</v>
      </c>
      <c r="F70" s="10">
        <v>243.7</v>
      </c>
      <c r="G70" s="12">
        <v>130</v>
      </c>
    </row>
    <row r="71" spans="1:7" x14ac:dyDescent="0.3">
      <c r="A71" s="5" t="s">
        <v>1669</v>
      </c>
      <c r="B71" s="4" t="s">
        <v>3906</v>
      </c>
      <c r="C71" s="4" t="s">
        <v>1530</v>
      </c>
      <c r="D71" s="4" t="s">
        <v>3822</v>
      </c>
      <c r="E71" s="4" t="s">
        <v>1670</v>
      </c>
      <c r="F71" s="10">
        <v>218.22</v>
      </c>
      <c r="G71" s="12">
        <v>224</v>
      </c>
    </row>
    <row r="72" spans="1:7" x14ac:dyDescent="0.3">
      <c r="A72" s="5" t="s">
        <v>1671</v>
      </c>
      <c r="B72" s="4" t="s">
        <v>3907</v>
      </c>
      <c r="C72" s="4" t="s">
        <v>1527</v>
      </c>
      <c r="D72" s="4" t="s">
        <v>3851</v>
      </c>
      <c r="E72" s="4" t="s">
        <v>1672</v>
      </c>
      <c r="F72" s="10">
        <v>138.05000000000001</v>
      </c>
      <c r="G72" s="12">
        <v>89</v>
      </c>
    </row>
    <row r="73" spans="1:7" x14ac:dyDescent="0.3">
      <c r="A73" s="5" t="s">
        <v>1673</v>
      </c>
      <c r="B73" s="4" t="s">
        <v>3908</v>
      </c>
      <c r="C73" s="4" t="s">
        <v>1541</v>
      </c>
      <c r="D73" s="4" t="s">
        <v>3837</v>
      </c>
      <c r="E73" s="4" t="s">
        <v>1674</v>
      </c>
      <c r="F73" s="10">
        <v>214.32</v>
      </c>
      <c r="G73" s="12">
        <v>383</v>
      </c>
    </row>
    <row r="74" spans="1:7" x14ac:dyDescent="0.3">
      <c r="A74" s="5" t="s">
        <v>1675</v>
      </c>
      <c r="B74" s="4" t="s">
        <v>3909</v>
      </c>
      <c r="C74" s="4" t="s">
        <v>1549</v>
      </c>
      <c r="D74" s="4" t="s">
        <v>3832</v>
      </c>
      <c r="E74" s="4" t="s">
        <v>1676</v>
      </c>
      <c r="F74" s="10">
        <v>477.61</v>
      </c>
      <c r="G74" s="12">
        <v>300</v>
      </c>
    </row>
    <row r="75" spans="1:7" x14ac:dyDescent="0.3">
      <c r="A75" s="5" t="s">
        <v>1677</v>
      </c>
      <c r="B75" s="4" t="s">
        <v>3910</v>
      </c>
      <c r="C75" s="4" t="s">
        <v>1549</v>
      </c>
      <c r="D75" s="4" t="s">
        <v>3863</v>
      </c>
      <c r="E75" s="4" t="s">
        <v>1678</v>
      </c>
      <c r="F75" s="10">
        <v>107.06</v>
      </c>
      <c r="G75" s="12">
        <v>359</v>
      </c>
    </row>
    <row r="76" spans="1:7" x14ac:dyDescent="0.3">
      <c r="A76" s="5" t="s">
        <v>1679</v>
      </c>
      <c r="B76" s="4" t="s">
        <v>3911</v>
      </c>
      <c r="C76" s="4" t="s">
        <v>1546</v>
      </c>
      <c r="D76" s="4" t="s">
        <v>3830</v>
      </c>
      <c r="E76" s="4" t="s">
        <v>1680</v>
      </c>
      <c r="F76" s="10">
        <v>403.71</v>
      </c>
      <c r="G76" s="12">
        <v>159</v>
      </c>
    </row>
    <row r="77" spans="1:7" x14ac:dyDescent="0.3">
      <c r="A77" s="5" t="s">
        <v>1681</v>
      </c>
      <c r="B77" s="4" t="s">
        <v>3912</v>
      </c>
      <c r="C77" s="4" t="s">
        <v>1530</v>
      </c>
      <c r="D77" s="4" t="s">
        <v>3870</v>
      </c>
      <c r="E77" s="4" t="s">
        <v>1682</v>
      </c>
      <c r="F77" s="10">
        <v>158.13999999999999</v>
      </c>
      <c r="G77" s="12">
        <v>82</v>
      </c>
    </row>
    <row r="78" spans="1:7" x14ac:dyDescent="0.3">
      <c r="A78" s="5" t="s">
        <v>1683</v>
      </c>
      <c r="B78" s="4" t="s">
        <v>3913</v>
      </c>
      <c r="C78" s="4" t="s">
        <v>1546</v>
      </c>
      <c r="D78" s="4" t="s">
        <v>3815</v>
      </c>
      <c r="E78" s="4" t="s">
        <v>1684</v>
      </c>
      <c r="F78" s="10">
        <v>392.89</v>
      </c>
      <c r="G78" s="12">
        <v>320</v>
      </c>
    </row>
    <row r="79" spans="1:7" x14ac:dyDescent="0.3">
      <c r="A79" s="5" t="s">
        <v>1685</v>
      </c>
      <c r="B79" s="4" t="s">
        <v>3914</v>
      </c>
      <c r="C79" s="4" t="s">
        <v>1546</v>
      </c>
      <c r="D79" s="4" t="s">
        <v>3842</v>
      </c>
      <c r="E79" s="4" t="s">
        <v>1686</v>
      </c>
      <c r="F79" s="10">
        <v>480.9</v>
      </c>
      <c r="G79" s="12">
        <v>104</v>
      </c>
    </row>
    <row r="80" spans="1:7" x14ac:dyDescent="0.3">
      <c r="A80" s="5" t="s">
        <v>1687</v>
      </c>
      <c r="B80" s="4" t="s">
        <v>3915</v>
      </c>
      <c r="C80" s="4" t="s">
        <v>1527</v>
      </c>
      <c r="D80" s="4" t="s">
        <v>3840</v>
      </c>
      <c r="E80" s="4" t="s">
        <v>1688</v>
      </c>
      <c r="F80" s="10">
        <v>325.26</v>
      </c>
      <c r="G80" s="12">
        <v>400</v>
      </c>
    </row>
    <row r="81" spans="1:7" x14ac:dyDescent="0.3">
      <c r="A81" s="5" t="s">
        <v>1689</v>
      </c>
      <c r="B81" s="4" t="s">
        <v>3916</v>
      </c>
      <c r="C81" s="4" t="s">
        <v>1527</v>
      </c>
      <c r="D81" s="4" t="s">
        <v>3828</v>
      </c>
      <c r="E81" s="4" t="s">
        <v>1690</v>
      </c>
      <c r="F81" s="10">
        <v>228.53</v>
      </c>
      <c r="G81" s="12">
        <v>469</v>
      </c>
    </row>
    <row r="82" spans="1:7" x14ac:dyDescent="0.3">
      <c r="A82" s="5" t="s">
        <v>1691</v>
      </c>
      <c r="B82" s="4" t="s">
        <v>3917</v>
      </c>
      <c r="C82" s="4" t="s">
        <v>1527</v>
      </c>
      <c r="D82" s="4" t="s">
        <v>3834</v>
      </c>
      <c r="E82" s="4" t="s">
        <v>1692</v>
      </c>
      <c r="F82" s="10">
        <v>143.43</v>
      </c>
      <c r="G82" s="12">
        <v>58</v>
      </c>
    </row>
    <row r="83" spans="1:7" x14ac:dyDescent="0.3">
      <c r="A83" s="5" t="s">
        <v>1693</v>
      </c>
      <c r="B83" s="4" t="s">
        <v>3918</v>
      </c>
      <c r="C83" s="4" t="s">
        <v>1549</v>
      </c>
      <c r="D83" s="4" t="s">
        <v>3848</v>
      </c>
      <c r="E83" s="4" t="s">
        <v>1694</v>
      </c>
      <c r="F83" s="10">
        <v>285.54000000000002</v>
      </c>
      <c r="G83" s="12">
        <v>358</v>
      </c>
    </row>
    <row r="84" spans="1:7" x14ac:dyDescent="0.3">
      <c r="A84" s="5" t="s">
        <v>1695</v>
      </c>
      <c r="B84" s="4" t="s">
        <v>3919</v>
      </c>
      <c r="C84" s="4" t="s">
        <v>1549</v>
      </c>
      <c r="D84" s="4" t="s">
        <v>3832</v>
      </c>
      <c r="E84" s="4" t="s">
        <v>1696</v>
      </c>
      <c r="F84" s="10">
        <v>152.91999999999999</v>
      </c>
      <c r="G84" s="12">
        <v>281</v>
      </c>
    </row>
    <row r="85" spans="1:7" x14ac:dyDescent="0.3">
      <c r="A85" s="5" t="s">
        <v>1697</v>
      </c>
      <c r="B85" s="4" t="s">
        <v>3920</v>
      </c>
      <c r="C85" s="4" t="s">
        <v>1541</v>
      </c>
      <c r="D85" s="4" t="s">
        <v>3826</v>
      </c>
      <c r="E85" s="4" t="s">
        <v>1698</v>
      </c>
      <c r="F85" s="10">
        <v>305.49</v>
      </c>
      <c r="G85" s="12">
        <v>159</v>
      </c>
    </row>
    <row r="86" spans="1:7" x14ac:dyDescent="0.3">
      <c r="A86" s="5" t="s">
        <v>1699</v>
      </c>
      <c r="B86" s="4" t="s">
        <v>3921</v>
      </c>
      <c r="C86" s="4" t="s">
        <v>1527</v>
      </c>
      <c r="D86" s="4" t="s">
        <v>3905</v>
      </c>
      <c r="E86" s="4" t="s">
        <v>1700</v>
      </c>
      <c r="F86" s="10">
        <v>388.46</v>
      </c>
      <c r="G86" s="12">
        <v>208</v>
      </c>
    </row>
    <row r="87" spans="1:7" x14ac:dyDescent="0.3">
      <c r="A87" s="5" t="s">
        <v>1701</v>
      </c>
      <c r="B87" s="4" t="s">
        <v>3922</v>
      </c>
      <c r="C87" s="4" t="s">
        <v>1530</v>
      </c>
      <c r="D87" s="4" t="s">
        <v>3824</v>
      </c>
      <c r="E87" s="4" t="s">
        <v>1702</v>
      </c>
      <c r="F87" s="10">
        <v>119.57</v>
      </c>
      <c r="G87" s="12">
        <v>210</v>
      </c>
    </row>
    <row r="88" spans="1:7" x14ac:dyDescent="0.3">
      <c r="A88" s="5" t="s">
        <v>1703</v>
      </c>
      <c r="B88" s="4" t="s">
        <v>3923</v>
      </c>
      <c r="C88" s="4" t="s">
        <v>1527</v>
      </c>
      <c r="D88" s="4" t="s">
        <v>3834</v>
      </c>
      <c r="E88" s="4" t="s">
        <v>1704</v>
      </c>
      <c r="F88" s="10">
        <v>176.07</v>
      </c>
      <c r="G88" s="12">
        <v>82</v>
      </c>
    </row>
    <row r="89" spans="1:7" x14ac:dyDescent="0.3">
      <c r="A89" s="5" t="s">
        <v>1705</v>
      </c>
      <c r="B89" s="4" t="s">
        <v>3924</v>
      </c>
      <c r="C89" s="4" t="s">
        <v>1527</v>
      </c>
      <c r="D89" s="4" t="s">
        <v>3828</v>
      </c>
      <c r="E89" s="4" t="s">
        <v>1706</v>
      </c>
      <c r="F89" s="10">
        <v>371.38</v>
      </c>
      <c r="G89" s="12">
        <v>220</v>
      </c>
    </row>
    <row r="90" spans="1:7" x14ac:dyDescent="0.3">
      <c r="A90" s="5" t="s">
        <v>1707</v>
      </c>
      <c r="B90" s="4" t="s">
        <v>3925</v>
      </c>
      <c r="C90" s="4" t="s">
        <v>1549</v>
      </c>
      <c r="D90" s="4" t="s">
        <v>3824</v>
      </c>
      <c r="E90" s="4" t="s">
        <v>1708</v>
      </c>
      <c r="F90" s="10">
        <v>131.24</v>
      </c>
      <c r="G90" s="12">
        <v>232</v>
      </c>
    </row>
    <row r="91" spans="1:7" x14ac:dyDescent="0.3">
      <c r="A91" s="5" t="s">
        <v>1709</v>
      </c>
      <c r="B91" s="4" t="s">
        <v>3926</v>
      </c>
      <c r="C91" s="4" t="s">
        <v>1541</v>
      </c>
      <c r="D91" s="4" t="s">
        <v>3882</v>
      </c>
      <c r="E91" s="4" t="s">
        <v>1710</v>
      </c>
      <c r="F91" s="10">
        <v>183.04</v>
      </c>
      <c r="G91" s="12">
        <v>457</v>
      </c>
    </row>
    <row r="92" spans="1:7" x14ac:dyDescent="0.3">
      <c r="A92" s="5" t="s">
        <v>1711</v>
      </c>
      <c r="B92" s="4" t="s">
        <v>3927</v>
      </c>
      <c r="C92" s="4" t="s">
        <v>1546</v>
      </c>
      <c r="D92" s="4" t="s">
        <v>3824</v>
      </c>
      <c r="E92" s="4" t="s">
        <v>1712</v>
      </c>
      <c r="F92" s="10">
        <v>340.14</v>
      </c>
      <c r="G92" s="12">
        <v>361</v>
      </c>
    </row>
    <row r="93" spans="1:7" x14ac:dyDescent="0.3">
      <c r="A93" s="5" t="s">
        <v>1713</v>
      </c>
      <c r="B93" s="4" t="s">
        <v>3928</v>
      </c>
      <c r="C93" s="4" t="s">
        <v>1530</v>
      </c>
      <c r="D93" s="4" t="s">
        <v>3870</v>
      </c>
      <c r="E93" s="4" t="s">
        <v>1714</v>
      </c>
      <c r="F93" s="10">
        <v>438.25</v>
      </c>
      <c r="G93" s="12">
        <v>496</v>
      </c>
    </row>
    <row r="94" spans="1:7" x14ac:dyDescent="0.3">
      <c r="A94" s="5" t="s">
        <v>1715</v>
      </c>
      <c r="B94" s="4" t="s">
        <v>3929</v>
      </c>
      <c r="C94" s="4" t="s">
        <v>1527</v>
      </c>
      <c r="D94" s="4" t="s">
        <v>3842</v>
      </c>
      <c r="E94" s="4" t="s">
        <v>1716</v>
      </c>
      <c r="F94" s="10">
        <v>447.43</v>
      </c>
      <c r="G94" s="12">
        <v>191</v>
      </c>
    </row>
    <row r="95" spans="1:7" x14ac:dyDescent="0.3">
      <c r="A95" s="5" t="s">
        <v>1717</v>
      </c>
      <c r="B95" s="4" t="s">
        <v>3930</v>
      </c>
      <c r="C95" s="4" t="s">
        <v>1546</v>
      </c>
      <c r="D95" s="4" t="s">
        <v>3815</v>
      </c>
      <c r="E95" s="4" t="s">
        <v>1718</v>
      </c>
      <c r="F95" s="10">
        <v>377.52</v>
      </c>
      <c r="G95" s="12">
        <v>485</v>
      </c>
    </row>
    <row r="96" spans="1:7" x14ac:dyDescent="0.3">
      <c r="A96" s="5" t="s">
        <v>1719</v>
      </c>
      <c r="B96" s="4" t="s">
        <v>3931</v>
      </c>
      <c r="C96" s="4" t="s">
        <v>1541</v>
      </c>
      <c r="D96" s="4" t="s">
        <v>3826</v>
      </c>
      <c r="E96" s="4" t="s">
        <v>1720</v>
      </c>
      <c r="F96" s="10">
        <v>358.47</v>
      </c>
      <c r="G96" s="12">
        <v>213</v>
      </c>
    </row>
    <row r="97" spans="1:7" x14ac:dyDescent="0.3">
      <c r="A97" s="5" t="s">
        <v>1721</v>
      </c>
      <c r="B97" s="4" t="s">
        <v>3932</v>
      </c>
      <c r="C97" s="4" t="s">
        <v>1549</v>
      </c>
      <c r="D97" s="4" t="s">
        <v>3824</v>
      </c>
      <c r="E97" s="4" t="s">
        <v>1722</v>
      </c>
      <c r="F97" s="10">
        <v>60.65</v>
      </c>
      <c r="G97" s="12">
        <v>75</v>
      </c>
    </row>
    <row r="98" spans="1:7" x14ac:dyDescent="0.3">
      <c r="A98" s="5" t="s">
        <v>1723</v>
      </c>
      <c r="B98" s="4" t="s">
        <v>3933</v>
      </c>
      <c r="C98" s="4" t="s">
        <v>1530</v>
      </c>
      <c r="D98" s="4" t="s">
        <v>3819</v>
      </c>
      <c r="E98" s="4" t="s">
        <v>1724</v>
      </c>
      <c r="F98" s="10">
        <v>358.47</v>
      </c>
      <c r="G98" s="12">
        <v>143</v>
      </c>
    </row>
    <row r="99" spans="1:7" x14ac:dyDescent="0.3">
      <c r="A99" s="5" t="s">
        <v>1725</v>
      </c>
      <c r="B99" s="4" t="s">
        <v>3934</v>
      </c>
      <c r="C99" s="4" t="s">
        <v>1549</v>
      </c>
      <c r="D99" s="4" t="s">
        <v>3863</v>
      </c>
      <c r="E99" s="4" t="s">
        <v>1726</v>
      </c>
      <c r="F99" s="10">
        <v>245.98</v>
      </c>
      <c r="G99" s="12">
        <v>471</v>
      </c>
    </row>
    <row r="100" spans="1:7" x14ac:dyDescent="0.3">
      <c r="A100" s="5" t="s">
        <v>1727</v>
      </c>
      <c r="B100" s="4" t="s">
        <v>3935</v>
      </c>
      <c r="C100" s="4" t="s">
        <v>1546</v>
      </c>
      <c r="D100" s="4" t="s">
        <v>3830</v>
      </c>
      <c r="E100" s="4" t="s">
        <v>1728</v>
      </c>
      <c r="F100" s="10">
        <v>431.67</v>
      </c>
      <c r="G100" s="12">
        <v>73</v>
      </c>
    </row>
    <row r="101" spans="1:7" x14ac:dyDescent="0.3">
      <c r="A101" s="7" t="s">
        <v>1729</v>
      </c>
      <c r="B101" s="8" t="s">
        <v>3936</v>
      </c>
      <c r="C101" s="8" t="s">
        <v>1527</v>
      </c>
      <c r="D101" s="8" t="s">
        <v>3834</v>
      </c>
      <c r="E101" s="8" t="s">
        <v>1730</v>
      </c>
      <c r="F101" s="11">
        <v>201.41</v>
      </c>
      <c r="G101" s="13">
        <v>146</v>
      </c>
    </row>
  </sheetData>
  <phoneticPr fontId="2" type="noConversion"/>
  <conditionalFormatting sqref="B1:B1048576">
    <cfRule type="duplicateValues" dxfId="2" priority="1"/>
  </conditionalFormatting>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1"/>
  <sheetViews>
    <sheetView workbookViewId="0">
      <selection activeCell="C1" sqref="C1"/>
    </sheetView>
  </sheetViews>
  <sheetFormatPr defaultRowHeight="14.4" x14ac:dyDescent="0.3"/>
  <cols>
    <col min="1" max="1" width="10.109375" customWidth="1"/>
    <col min="2" max="2" width="29.5546875" customWidth="1"/>
    <col min="3" max="3" width="17.5546875" customWidth="1"/>
    <col min="4" max="4" width="19.77734375" customWidth="1"/>
    <col min="5" max="5" width="12.44140625" customWidth="1"/>
  </cols>
  <sheetData>
    <row r="1" spans="1:5" x14ac:dyDescent="0.3">
      <c r="A1" s="1" t="s">
        <v>1731</v>
      </c>
      <c r="B1" s="1" t="s">
        <v>1732</v>
      </c>
      <c r="C1" s="1" t="s">
        <v>1733</v>
      </c>
      <c r="D1" s="1" t="s">
        <v>4</v>
      </c>
      <c r="E1" s="1" t="s">
        <v>1734</v>
      </c>
    </row>
    <row r="2" spans="1:5" x14ac:dyDescent="0.3">
      <c r="A2" s="2" t="s">
        <v>1735</v>
      </c>
      <c r="B2" s="2" t="s">
        <v>1736</v>
      </c>
      <c r="C2" s="2" t="s">
        <v>1737</v>
      </c>
      <c r="D2" s="2" t="s">
        <v>1738</v>
      </c>
      <c r="E2" s="2" t="s">
        <v>1739</v>
      </c>
    </row>
    <row r="3" spans="1:5" x14ac:dyDescent="0.3">
      <c r="A3" s="2" t="s">
        <v>1740</v>
      </c>
      <c r="B3" s="2" t="s">
        <v>1741</v>
      </c>
      <c r="C3" s="2" t="s">
        <v>1742</v>
      </c>
      <c r="D3" s="2" t="s">
        <v>1743</v>
      </c>
      <c r="E3" s="2" t="s">
        <v>1739</v>
      </c>
    </row>
    <row r="4" spans="1:5" x14ac:dyDescent="0.3">
      <c r="A4" s="2" t="s">
        <v>1744</v>
      </c>
      <c r="B4" s="2" t="s">
        <v>1745</v>
      </c>
      <c r="C4" s="2" t="s">
        <v>1746</v>
      </c>
      <c r="D4" s="2" t="s">
        <v>1747</v>
      </c>
      <c r="E4" s="2" t="s">
        <v>1748</v>
      </c>
    </row>
    <row r="5" spans="1:5" x14ac:dyDescent="0.3">
      <c r="A5" s="2" t="s">
        <v>1749</v>
      </c>
      <c r="B5" s="2" t="s">
        <v>1750</v>
      </c>
      <c r="C5" s="2" t="s">
        <v>1742</v>
      </c>
      <c r="D5" s="2" t="s">
        <v>1751</v>
      </c>
      <c r="E5" s="2" t="s">
        <v>1748</v>
      </c>
    </row>
    <row r="6" spans="1:5" x14ac:dyDescent="0.3">
      <c r="A6" s="2" t="s">
        <v>1752</v>
      </c>
      <c r="B6" s="2" t="s">
        <v>1753</v>
      </c>
      <c r="C6" s="2" t="s">
        <v>1746</v>
      </c>
      <c r="D6" s="2" t="s">
        <v>1754</v>
      </c>
      <c r="E6" s="2" t="s">
        <v>1755</v>
      </c>
    </row>
    <row r="7" spans="1:5" x14ac:dyDescent="0.3">
      <c r="A7" s="2" t="s">
        <v>1756</v>
      </c>
      <c r="B7" s="2" t="s">
        <v>1757</v>
      </c>
      <c r="C7" s="2" t="s">
        <v>1742</v>
      </c>
      <c r="D7" s="2" t="s">
        <v>1758</v>
      </c>
      <c r="E7" s="2" t="s">
        <v>1748</v>
      </c>
    </row>
    <row r="8" spans="1:5" x14ac:dyDescent="0.3">
      <c r="A8" s="2" t="s">
        <v>1759</v>
      </c>
      <c r="B8" s="2" t="s">
        <v>1760</v>
      </c>
      <c r="C8" s="2" t="s">
        <v>1737</v>
      </c>
      <c r="D8" s="2" t="s">
        <v>1761</v>
      </c>
      <c r="E8" s="2" t="s">
        <v>1755</v>
      </c>
    </row>
    <row r="9" spans="1:5" x14ac:dyDescent="0.3">
      <c r="A9" s="2" t="s">
        <v>1762</v>
      </c>
      <c r="B9" s="2" t="s">
        <v>1763</v>
      </c>
      <c r="C9" s="2" t="s">
        <v>1746</v>
      </c>
      <c r="D9" s="2" t="s">
        <v>1764</v>
      </c>
      <c r="E9" s="2" t="s">
        <v>1755</v>
      </c>
    </row>
    <row r="10" spans="1:5" x14ac:dyDescent="0.3">
      <c r="A10" s="2" t="s">
        <v>1765</v>
      </c>
      <c r="B10" s="2" t="s">
        <v>1766</v>
      </c>
      <c r="C10" s="2" t="s">
        <v>1767</v>
      </c>
      <c r="D10" s="2" t="s">
        <v>1768</v>
      </c>
      <c r="E10" s="2" t="s">
        <v>1755</v>
      </c>
    </row>
    <row r="11" spans="1:5" x14ac:dyDescent="0.3">
      <c r="A11" s="2" t="s">
        <v>1769</v>
      </c>
      <c r="B11" s="2" t="s">
        <v>1770</v>
      </c>
      <c r="C11" s="2" t="s">
        <v>1746</v>
      </c>
      <c r="D11" s="2" t="s">
        <v>1771</v>
      </c>
      <c r="E11" s="2" t="s">
        <v>1739</v>
      </c>
    </row>
    <row r="12" spans="1:5" x14ac:dyDescent="0.3">
      <c r="A12" s="2" t="s">
        <v>1772</v>
      </c>
      <c r="B12" s="2" t="s">
        <v>1773</v>
      </c>
      <c r="C12" s="2" t="s">
        <v>1737</v>
      </c>
      <c r="D12" s="2" t="s">
        <v>1774</v>
      </c>
      <c r="E12" s="2" t="s">
        <v>1755</v>
      </c>
    </row>
    <row r="13" spans="1:5" x14ac:dyDescent="0.3">
      <c r="A13" s="2" t="s">
        <v>1775</v>
      </c>
      <c r="B13" s="2" t="s">
        <v>1776</v>
      </c>
      <c r="C13" s="2" t="s">
        <v>1746</v>
      </c>
      <c r="D13" s="2" t="s">
        <v>390</v>
      </c>
      <c r="E13" s="2" t="s">
        <v>1755</v>
      </c>
    </row>
    <row r="14" spans="1:5" x14ac:dyDescent="0.3">
      <c r="A14" s="2" t="s">
        <v>1777</v>
      </c>
      <c r="B14" s="2" t="s">
        <v>1778</v>
      </c>
      <c r="C14" s="2" t="s">
        <v>1742</v>
      </c>
      <c r="D14" s="2" t="s">
        <v>1779</v>
      </c>
      <c r="E14" s="2" t="s">
        <v>1755</v>
      </c>
    </row>
    <row r="15" spans="1:5" x14ac:dyDescent="0.3">
      <c r="A15" s="2" t="s">
        <v>1780</v>
      </c>
      <c r="B15" s="2" t="s">
        <v>1781</v>
      </c>
      <c r="C15" s="2" t="s">
        <v>1737</v>
      </c>
      <c r="D15" s="2" t="s">
        <v>129</v>
      </c>
      <c r="E15" s="2" t="s">
        <v>1739</v>
      </c>
    </row>
    <row r="16" spans="1:5" x14ac:dyDescent="0.3">
      <c r="A16" s="2" t="s">
        <v>1782</v>
      </c>
      <c r="B16" s="2" t="s">
        <v>1783</v>
      </c>
      <c r="C16" s="2" t="s">
        <v>1746</v>
      </c>
      <c r="D16" s="2" t="s">
        <v>204</v>
      </c>
      <c r="E16" s="2" t="s">
        <v>1748</v>
      </c>
    </row>
    <row r="17" spans="1:5" x14ac:dyDescent="0.3">
      <c r="A17" s="2" t="s">
        <v>1784</v>
      </c>
      <c r="B17" s="2" t="s">
        <v>1785</v>
      </c>
      <c r="C17" s="2" t="s">
        <v>1742</v>
      </c>
      <c r="D17" s="2" t="s">
        <v>1786</v>
      </c>
      <c r="E17" s="2" t="s">
        <v>1739</v>
      </c>
    </row>
    <row r="18" spans="1:5" x14ac:dyDescent="0.3">
      <c r="A18" s="2" t="s">
        <v>1787</v>
      </c>
      <c r="B18" s="2" t="s">
        <v>1788</v>
      </c>
      <c r="C18" s="2" t="s">
        <v>1767</v>
      </c>
      <c r="D18" s="2" t="s">
        <v>1789</v>
      </c>
      <c r="E18" s="2" t="s">
        <v>1739</v>
      </c>
    </row>
    <row r="19" spans="1:5" x14ac:dyDescent="0.3">
      <c r="A19" s="2" t="s">
        <v>1790</v>
      </c>
      <c r="B19" s="2" t="s">
        <v>1791</v>
      </c>
      <c r="C19" s="2" t="s">
        <v>1742</v>
      </c>
      <c r="D19" s="2" t="s">
        <v>1792</v>
      </c>
      <c r="E19" s="2" t="s">
        <v>1739</v>
      </c>
    </row>
    <row r="20" spans="1:5" x14ac:dyDescent="0.3">
      <c r="A20" s="2" t="s">
        <v>1793</v>
      </c>
      <c r="B20" s="2" t="s">
        <v>1794</v>
      </c>
      <c r="C20" s="2" t="s">
        <v>1737</v>
      </c>
      <c r="D20" s="2" t="s">
        <v>1795</v>
      </c>
      <c r="E20" s="2" t="s">
        <v>1739</v>
      </c>
    </row>
    <row r="21" spans="1:5" x14ac:dyDescent="0.3">
      <c r="A21" s="2" t="s">
        <v>1796</v>
      </c>
      <c r="B21" s="2" t="s">
        <v>1797</v>
      </c>
      <c r="C21" s="2" t="s">
        <v>1737</v>
      </c>
      <c r="D21" s="2" t="s">
        <v>1798</v>
      </c>
      <c r="E21" s="2" t="s">
        <v>1755</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B9C1E0A-9161-42C8-989E-10D733A01DB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Sales_Dasborad</vt:lpstr>
      <vt:lpstr>Tool Pak Analysis</vt:lpstr>
      <vt:lpstr>Pivot_Tables</vt:lpstr>
      <vt:lpstr>Sales_Fact</vt:lpstr>
      <vt:lpstr>Customer_Dim</vt:lpstr>
      <vt:lpstr>Product_Dim</vt:lpstr>
      <vt:lpstr>Store_Dim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Parkavi Thirumal</cp:lastModifiedBy>
  <dcterms:created xsi:type="dcterms:W3CDTF">2025-10-14T06:00:18Z</dcterms:created>
  <dcterms:modified xsi:type="dcterms:W3CDTF">2026-10-05T18:14:16Z</dcterms:modified>
</cp:coreProperties>
</file>